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OoVtL9jkFpbjvFQ4d4be1Lg+UCZZh+n/MTmy6Wo6r8="/>
    </ext>
  </extLst>
</workbook>
</file>

<file path=xl/sharedStrings.xml><?xml version="1.0" encoding="utf-8"?>
<sst xmlns="http://schemas.openxmlformats.org/spreadsheetml/2006/main" count="15870" uniqueCount="5264">
  <si>
    <t>Fecha Carga</t>
  </si>
  <si>
    <t>contacto CL</t>
  </si>
  <si>
    <t>cliente</t>
  </si>
  <si>
    <t>proveedor</t>
  </si>
  <si>
    <t>Num Fact</t>
  </si>
  <si>
    <t>Periodo</t>
  </si>
  <si>
    <t>Neto</t>
  </si>
  <si>
    <t>Iva</t>
  </si>
  <si>
    <t>Perc Iva</t>
  </si>
  <si>
    <t>Perc IIBB</t>
  </si>
  <si>
    <t>TOTAL</t>
  </si>
  <si>
    <t>retencion</t>
  </si>
  <si>
    <t>fecha de ECHEQ</t>
  </si>
  <si>
    <t>OCTOPUS</t>
  </si>
  <si>
    <t xml:space="preserve">STOLIN S.R.L. </t>
  </si>
  <si>
    <t>DISTRIBUIDORA ESPORA</t>
  </si>
  <si>
    <t>IMAGENES DEL PARQUE S.A</t>
  </si>
  <si>
    <t>HYF DISTRIBUCIONES S.A.</t>
  </si>
  <si>
    <t>CAPRISTO CARLOS MARCELO</t>
  </si>
  <si>
    <t>FURNITEC S.A.</t>
  </si>
  <si>
    <t>AGUAIER PINCHEVSKY SOCIEDAD</t>
  </si>
  <si>
    <t>0014 00035693</t>
  </si>
  <si>
    <t>TEYLEM SA</t>
  </si>
  <si>
    <t>0014 00036045</t>
  </si>
  <si>
    <t>BLUE CATERING S.A</t>
  </si>
  <si>
    <t>0014 00036046</t>
  </si>
  <si>
    <t>lelo</t>
  </si>
  <si>
    <t>EQUIS QUINCE S.A</t>
  </si>
  <si>
    <t>0014 00036049</t>
  </si>
  <si>
    <t>BOSQUEMAR EMPRENDIMIENTOS TURI</t>
  </si>
  <si>
    <t>0014 00038405</t>
  </si>
  <si>
    <t>0014 00038402</t>
  </si>
  <si>
    <t>0005- 00030460</t>
  </si>
  <si>
    <t>0005- 00030461</t>
  </si>
  <si>
    <t xml:space="preserve"> BLUE CATERING SA</t>
  </si>
  <si>
    <t>0005- 00030462</t>
  </si>
  <si>
    <t xml:space="preserve"> EQUIS QUINCE S.A.</t>
  </si>
  <si>
    <t>0005- 00030463</t>
  </si>
  <si>
    <t>gaby</t>
  </si>
  <si>
    <t>0005- 00030464</t>
  </si>
  <si>
    <t>0005- 00030465</t>
  </si>
  <si>
    <t>0014 00038401</t>
  </si>
  <si>
    <t>0005- 00030527</t>
  </si>
  <si>
    <t xml:space="preserve"> 0005- 00030526</t>
  </si>
  <si>
    <t>dario</t>
  </si>
  <si>
    <t>CICIARELLO GUIDO FRANCISCO</t>
  </si>
  <si>
    <t xml:space="preserve"> 0014 00038640</t>
  </si>
  <si>
    <t>0005- 00030531</t>
  </si>
  <si>
    <t>0005- 00030530</t>
  </si>
  <si>
    <t>0014 00038641</t>
  </si>
  <si>
    <t>0005- 00030529</t>
  </si>
  <si>
    <t>0005- 00030528</t>
  </si>
  <si>
    <t>N/C  0014 00000736</t>
  </si>
  <si>
    <t>ASOCIACION DEL PERSONAL AERO</t>
  </si>
  <si>
    <t>0014 00011583</t>
  </si>
  <si>
    <t>SPORT S LIFE SA</t>
  </si>
  <si>
    <t>0014 00040293</t>
  </si>
  <si>
    <t>0005- 00030600</t>
  </si>
  <si>
    <t>0005- 00030599</t>
  </si>
  <si>
    <t>0005- 00030601</t>
  </si>
  <si>
    <t>0005- 00030603</t>
  </si>
  <si>
    <t>0005- 00030604</t>
  </si>
  <si>
    <t>0005- 00030605</t>
  </si>
  <si>
    <t>0014 00040397</t>
  </si>
  <si>
    <t>SAENZ VALIENTE &amp; ASOCIADOS SRL</t>
  </si>
  <si>
    <t>0014 00040560</t>
  </si>
  <si>
    <t>BAZAR CHEF S.R.L.</t>
  </si>
  <si>
    <t>0014 00040629</t>
  </si>
  <si>
    <t>0005- 00030681</t>
  </si>
  <si>
    <t>0005- 00030682</t>
  </si>
  <si>
    <t>0005- 00030683</t>
  </si>
  <si>
    <t>DROGUERIA VARADERO S. A.</t>
  </si>
  <si>
    <t>NATURAL MARKET S.A.S</t>
  </si>
  <si>
    <t>001-000015304</t>
  </si>
  <si>
    <t>ENERBOM SOCIEDAD ANONIMA</t>
  </si>
  <si>
    <t>0005- 00031209</t>
  </si>
  <si>
    <t>MICAMI</t>
  </si>
  <si>
    <t>COMERCIALIZADORA LP S.A</t>
  </si>
  <si>
    <t>0001-00044743</t>
  </si>
  <si>
    <t>GOMGAR S.R.L</t>
  </si>
  <si>
    <t>0001-00044744</t>
  </si>
  <si>
    <t>0014 00040623</t>
  </si>
  <si>
    <t>0014 00040620</t>
  </si>
  <si>
    <t>0014 00040614</t>
  </si>
  <si>
    <t>CITERA FACUNDO SABINO</t>
  </si>
  <si>
    <t>0005- 00031410</t>
  </si>
  <si>
    <t>0014 00040609</t>
  </si>
  <si>
    <t>TRANSMILENIO S.R.L</t>
  </si>
  <si>
    <t>0003-00000673</t>
  </si>
  <si>
    <t>0003-00000676</t>
  </si>
  <si>
    <t>AGUAIER PINCHEVSKY</t>
  </si>
  <si>
    <t>0003-00000674</t>
  </si>
  <si>
    <t>0014 00040606</t>
  </si>
  <si>
    <t>MNOS IMPORTER S.R.L.</t>
  </si>
  <si>
    <t>0014 00040630</t>
  </si>
  <si>
    <t>0014 00040624</t>
  </si>
  <si>
    <t>0014 00040621</t>
  </si>
  <si>
    <t>0014 00040615</t>
  </si>
  <si>
    <t>BOSQUEMAR EMPRENDIMIENTOS TURISTICOS S A</t>
  </si>
  <si>
    <t>HYF DISTRIBUCIONES S.A</t>
  </si>
  <si>
    <t>0005- 00032315</t>
  </si>
  <si>
    <t>0005- 00032316</t>
  </si>
  <si>
    <t>0005- 00032320</t>
  </si>
  <si>
    <t>0005- 00032321</t>
  </si>
  <si>
    <t>0005- 00032325</t>
  </si>
  <si>
    <t>0005- 00032326</t>
  </si>
  <si>
    <t>0014 00040611</t>
  </si>
  <si>
    <t>0014 00040608</t>
  </si>
  <si>
    <t>BEKIR I S.R.L.</t>
  </si>
  <si>
    <t>0014 00040628</t>
  </si>
  <si>
    <t>0014 00040625</t>
  </si>
  <si>
    <t>COMITE EJECUTIVO S R L</t>
  </si>
  <si>
    <t>0005- 00032586</t>
  </si>
  <si>
    <t>N/C A 0005- 00006199</t>
  </si>
  <si>
    <t>0014 00040618</t>
  </si>
  <si>
    <t>0014 00040613</t>
  </si>
  <si>
    <t>0014 00040610</t>
  </si>
  <si>
    <t>0014 00040607</t>
  </si>
  <si>
    <t>INVESTIGACION CLINICA APLICADA</t>
  </si>
  <si>
    <t>0014 00041067</t>
  </si>
  <si>
    <t>SERVI SUB S.R.L.</t>
  </si>
  <si>
    <t>0014 00041300</t>
  </si>
  <si>
    <t>SINDICATO UNICO DE SERENOS</t>
  </si>
  <si>
    <t>B 0014 00011835</t>
  </si>
  <si>
    <t>FOCUS VISION SRL</t>
  </si>
  <si>
    <t>0014 00041392</t>
  </si>
  <si>
    <t>0014 00041391</t>
  </si>
  <si>
    <t>INSTITUTO BIOLOGICO CONTEMPORA</t>
  </si>
  <si>
    <t>0014 00041570</t>
  </si>
  <si>
    <t>SARJUR S.A.</t>
  </si>
  <si>
    <t>0005- 00033422</t>
  </si>
  <si>
    <t>claudio</t>
  </si>
  <si>
    <t>0005- 00033424</t>
  </si>
  <si>
    <t>0005- 00033426</t>
  </si>
  <si>
    <t>0005- 00033428</t>
  </si>
  <si>
    <t>0005- 00033431</t>
  </si>
  <si>
    <t>0014 00041569</t>
  </si>
  <si>
    <t>MAYCAR SOCIEDAD ANONIMA</t>
  </si>
  <si>
    <t>0005 - 00000059</t>
  </si>
  <si>
    <t>agos-25</t>
  </si>
  <si>
    <t>WALD SA</t>
  </si>
  <si>
    <t>0005- 00033477</t>
  </si>
  <si>
    <t>0005- 00033480</t>
  </si>
  <si>
    <t>STRAUCH IGNACIO</t>
  </si>
  <si>
    <t>B0005 - 00039866</t>
  </si>
  <si>
    <t>B0005 - 00039867</t>
  </si>
  <si>
    <t>ESTILOS GRAFICOS S. A.</t>
  </si>
  <si>
    <t>0014 00041737</t>
  </si>
  <si>
    <t>DIGITALLICA</t>
  </si>
  <si>
    <t>0005- 00033706</t>
  </si>
  <si>
    <t>0005- 00033702</t>
  </si>
  <si>
    <t>TRICO GLOBAL</t>
  </si>
  <si>
    <t>0005- 00033704</t>
  </si>
  <si>
    <t>0014 00041713</t>
  </si>
  <si>
    <t>0014 00000818</t>
  </si>
  <si>
    <t>0014 00000817</t>
  </si>
  <si>
    <t>0005- 00033758</t>
  </si>
  <si>
    <t>GRUPO SICAVI S.R.L.</t>
  </si>
  <si>
    <t>0005- 00033759</t>
  </si>
  <si>
    <t>FTL S.A.</t>
  </si>
  <si>
    <t>0005- 00033761</t>
  </si>
  <si>
    <t>0005- 00033828</t>
  </si>
  <si>
    <t>0005- 00033833</t>
  </si>
  <si>
    <t>DGSAPIENS S.A.S</t>
  </si>
  <si>
    <t>0005- 00033829</t>
  </si>
  <si>
    <t>0005- 00033834</t>
  </si>
  <si>
    <t>0005- 00033830</t>
  </si>
  <si>
    <t>0005- 00033835</t>
  </si>
  <si>
    <t>NEOIMAGENES SA</t>
  </si>
  <si>
    <t>0014 00041985</t>
  </si>
  <si>
    <t>0014 00000084</t>
  </si>
  <si>
    <t>ALIMENTOS Y VIANDAS SA</t>
  </si>
  <si>
    <t>0014 00042665</t>
  </si>
  <si>
    <t>0014 00042672</t>
  </si>
  <si>
    <t>0005- 00034018</t>
  </si>
  <si>
    <t>0005- 00034019</t>
  </si>
  <si>
    <t>0005- 00034024</t>
  </si>
  <si>
    <t>0005- 00034025</t>
  </si>
  <si>
    <t>0005- 00034030</t>
  </si>
  <si>
    <t>LELO</t>
  </si>
  <si>
    <t>0005- 00034031</t>
  </si>
  <si>
    <t>0005- 00034020</t>
  </si>
  <si>
    <t>0005- 00034021</t>
  </si>
  <si>
    <t>0005- 00034026</t>
  </si>
  <si>
    <t>0005- 00034027</t>
  </si>
  <si>
    <t>0005- 00034032</t>
  </si>
  <si>
    <t>0005- 00034033</t>
  </si>
  <si>
    <t>0005- 00034022</t>
  </si>
  <si>
    <t>0005- 00034023</t>
  </si>
  <si>
    <t>0005- 00034028</t>
  </si>
  <si>
    <t>0005- 00034029</t>
  </si>
  <si>
    <t>0005- 00034034</t>
  </si>
  <si>
    <t>0005- 00034035</t>
  </si>
  <si>
    <t>MULTI RADIO SOCIEDAD ANONIMA</t>
  </si>
  <si>
    <t>INSTITUTO BIOLOGICO CONTEMPORANEO SA</t>
  </si>
  <si>
    <t>0014 00042676</t>
  </si>
  <si>
    <t>ASHI S.A.</t>
  </si>
  <si>
    <t>0014 00042671</t>
  </si>
  <si>
    <t>0014 00000845</t>
  </si>
  <si>
    <t>0014 00000844</t>
  </si>
  <si>
    <t>CHADI</t>
  </si>
  <si>
    <t>0014 00000842</t>
  </si>
  <si>
    <t>0014 00000843</t>
  </si>
  <si>
    <t>RA SUD CONSTRUCTORA</t>
  </si>
  <si>
    <t>0014 00042746</t>
  </si>
  <si>
    <t>0005- 00040618</t>
  </si>
  <si>
    <t>30-9 2-10</t>
  </si>
  <si>
    <t>0005- 00042282</t>
  </si>
  <si>
    <t>sep-25</t>
  </si>
  <si>
    <t>RECOLETATANGO S.A</t>
  </si>
  <si>
    <t>GAMA26 SRL</t>
  </si>
  <si>
    <t>ASOCIACION DEL PERSONAL AERONA</t>
  </si>
  <si>
    <t>0014 00042952</t>
  </si>
  <si>
    <t>0014 00042956</t>
  </si>
  <si>
    <t>0014 00042967</t>
  </si>
  <si>
    <t>0014 00042970</t>
  </si>
  <si>
    <t>EQUIS QUINCE S.A.</t>
  </si>
  <si>
    <t xml:space="preserve"> 0014 00042953</t>
  </si>
  <si>
    <t>0014 00042957</t>
  </si>
  <si>
    <t>0014 00042968</t>
  </si>
  <si>
    <t>0014 00042971</t>
  </si>
  <si>
    <t>BLUE CATERING SA</t>
  </si>
  <si>
    <t>0014 00042954</t>
  </si>
  <si>
    <t>0014 00042965</t>
  </si>
  <si>
    <t>0014 00042969</t>
  </si>
  <si>
    <t xml:space="preserve"> 0014 00042972</t>
  </si>
  <si>
    <t>0014 00043021</t>
  </si>
  <si>
    <t>0014 00043032</t>
  </si>
  <si>
    <t>0014 00043031</t>
  </si>
  <si>
    <t>0014 00043113</t>
  </si>
  <si>
    <t>0014 00043119</t>
  </si>
  <si>
    <t>GESTION CITERA SOCIEDAD DE PRO</t>
  </si>
  <si>
    <t>0014 00043120</t>
  </si>
  <si>
    <t>0014 00043114</t>
  </si>
  <si>
    <t>0005- 00042283</t>
  </si>
  <si>
    <t>0005- 00042284</t>
  </si>
  <si>
    <t>KELMAN</t>
  </si>
  <si>
    <t>DARIO</t>
  </si>
  <si>
    <t>0014 00043117</t>
  </si>
  <si>
    <t>NASSIMOFF ARIEL</t>
  </si>
  <si>
    <t>0014 00043118</t>
  </si>
  <si>
    <t>0005- 00042285</t>
  </si>
  <si>
    <t>CARJUL S A</t>
  </si>
  <si>
    <t>0014 00043200</t>
  </si>
  <si>
    <t>0014 00043206</t>
  </si>
  <si>
    <t>0014 00043209</t>
  </si>
  <si>
    <t>0014 00043201</t>
  </si>
  <si>
    <t>MAGTIK S A</t>
  </si>
  <si>
    <t>0014 00043280</t>
  </si>
  <si>
    <t>0014 00043293</t>
  </si>
  <si>
    <t>0014 00043299</t>
  </si>
  <si>
    <t>0014 00043303</t>
  </si>
  <si>
    <t>0014 00043309</t>
  </si>
  <si>
    <t>0014 00043311</t>
  </si>
  <si>
    <t>0014 00043285</t>
  </si>
  <si>
    <t>0014 00043300</t>
  </si>
  <si>
    <t>0014 00043291</t>
  </si>
  <si>
    <t>0014 00043301</t>
  </si>
  <si>
    <t>0014 00043292</t>
  </si>
  <si>
    <t>0014 00043302</t>
  </si>
  <si>
    <t>SUIZO ARGENTINA S.A</t>
  </si>
  <si>
    <t>0014 00000072</t>
  </si>
  <si>
    <t>0005- 00030458</t>
  </si>
  <si>
    <t>0005- 00030459</t>
  </si>
  <si>
    <t>JALEL SRL</t>
  </si>
  <si>
    <t>0005- 00030466</t>
  </si>
  <si>
    <t>0005- 00030467</t>
  </si>
  <si>
    <t>0014 00000073</t>
  </si>
  <si>
    <t>BASICS S.A.</t>
  </si>
  <si>
    <t>0014 00043456</t>
  </si>
  <si>
    <t>0005- 00030524</t>
  </si>
  <si>
    <t>0014 00043460</t>
  </si>
  <si>
    <t>0014 00043462</t>
  </si>
  <si>
    <t>0014 00043464</t>
  </si>
  <si>
    <t>0005- 00030525</t>
  </si>
  <si>
    <t>0014 00043465</t>
  </si>
  <si>
    <t>0014 00043458</t>
  </si>
  <si>
    <t>0014 00043457</t>
  </si>
  <si>
    <t>CAMPO AMICO S.A</t>
  </si>
  <si>
    <t xml:space="preserve"> 0014 00043626</t>
  </si>
  <si>
    <t>001-000015305</t>
  </si>
  <si>
    <t>DHN DISTRIBUCIONES HORIZONTALES DEL NORTE S.R.L</t>
  </si>
  <si>
    <t>001-000346555</t>
  </si>
  <si>
    <t>001-000346556</t>
  </si>
  <si>
    <t>BAZAR CHEF S.R.L</t>
  </si>
  <si>
    <t>TECHNOLOGY LINE</t>
  </si>
  <si>
    <t>0008-00004963</t>
  </si>
  <si>
    <t>0008-00004962</t>
  </si>
  <si>
    <t>0008-00004961</t>
  </si>
  <si>
    <t>0008-00004960</t>
  </si>
  <si>
    <t>0008-00004959</t>
  </si>
  <si>
    <t>0014 00046824</t>
  </si>
  <si>
    <t>0014 00046825</t>
  </si>
  <si>
    <t>0014 00046826</t>
  </si>
  <si>
    <t>0005-0003052</t>
  </si>
  <si>
    <t>0005- 00031208</t>
  </si>
  <si>
    <t>0005- 00031207</t>
  </si>
  <si>
    <t>0005- 00031206</t>
  </si>
  <si>
    <t>0005- 00031205</t>
  </si>
  <si>
    <t>ACTIVASALUD S.R.L</t>
  </si>
  <si>
    <t>0005- 00031272</t>
  </si>
  <si>
    <t>0005- 00031270</t>
  </si>
  <si>
    <t>0005- 00031267</t>
  </si>
  <si>
    <t>0005- 00031266</t>
  </si>
  <si>
    <t>0005- 00031276</t>
  </si>
  <si>
    <t>0005- 00031274</t>
  </si>
  <si>
    <t>0005- 00031273</t>
  </si>
  <si>
    <t>0005- 00031271</t>
  </si>
  <si>
    <t>0005- 00031269</t>
  </si>
  <si>
    <t>0005- 00031268</t>
  </si>
  <si>
    <t>0005- 00031293</t>
  </si>
  <si>
    <t>0005- 00031288</t>
  </si>
  <si>
    <t>0005- 00031287</t>
  </si>
  <si>
    <t>0005- 00031284</t>
  </si>
  <si>
    <t>0005- 00031283</t>
  </si>
  <si>
    <t xml:space="preserve">DARIO </t>
  </si>
  <si>
    <t>0005- 00031279</t>
  </si>
  <si>
    <t>0005- 00031292</t>
  </si>
  <si>
    <t>0005- 00031291</t>
  </si>
  <si>
    <t>0005- 00031285</t>
  </si>
  <si>
    <t>0005- 00031289</t>
  </si>
  <si>
    <t>0005- 00031282</t>
  </si>
  <si>
    <t>0005- 00031280</t>
  </si>
  <si>
    <t>E N O D SOCIEDAD DE RESPONSABILIDAD LIMITADA</t>
  </si>
  <si>
    <t>0005- 00031290</t>
  </si>
  <si>
    <t>0005- 00031286</t>
  </si>
  <si>
    <t>0005- 00031281</t>
  </si>
  <si>
    <t>suizo argentina s.a.</t>
  </si>
  <si>
    <t>0005 - 00000030</t>
  </si>
  <si>
    <t>0005 - 00000029</t>
  </si>
  <si>
    <t>0005 - 00000028</t>
  </si>
  <si>
    <t>0005 - 00000027</t>
  </si>
  <si>
    <t>A I SERVICES</t>
  </si>
  <si>
    <t>0005- 00031332</t>
  </si>
  <si>
    <t>0005- 00031333</t>
  </si>
  <si>
    <t>0005- 00031334</t>
  </si>
  <si>
    <t>0005- 00031341</t>
  </si>
  <si>
    <t>0005- 00031342</t>
  </si>
  <si>
    <t>0005- 00031343</t>
  </si>
  <si>
    <t>0005- 00031335</t>
  </si>
  <si>
    <t>0005- 00031336</t>
  </si>
  <si>
    <t>0005- 00031337</t>
  </si>
  <si>
    <t>0005- 00031344</t>
  </si>
  <si>
    <t>0005- 00031345</t>
  </si>
  <si>
    <t>0005- 00031346</t>
  </si>
  <si>
    <t>0005- 00030457</t>
  </si>
  <si>
    <t>0005- 00031338</t>
  </si>
  <si>
    <t>0014 00046827</t>
  </si>
  <si>
    <t>0014 00035768</t>
  </si>
  <si>
    <t>0014 00035769</t>
  </si>
  <si>
    <t>0014 00035770</t>
  </si>
  <si>
    <t>0014 00035874</t>
  </si>
  <si>
    <t>0014 00035876</t>
  </si>
  <si>
    <t>0014 00035875</t>
  </si>
  <si>
    <t>0014 00035939</t>
  </si>
  <si>
    <t>0014 00035941</t>
  </si>
  <si>
    <t>CUARTA COORDENADA S.R.L.</t>
  </si>
  <si>
    <t>0005- 00031406</t>
  </si>
  <si>
    <t>0005- 00031407</t>
  </si>
  <si>
    <t>0005- 00031408</t>
  </si>
  <si>
    <t>0005- 00031413</t>
  </si>
  <si>
    <t>0005- 00031414</t>
  </si>
  <si>
    <t>GESTION CITERA SOCIEDAD DE PRODUCTORES ASESOR</t>
  </si>
  <si>
    <t>0005- 00031409</t>
  </si>
  <si>
    <t>FLEET S. A.</t>
  </si>
  <si>
    <t>0005- 00031411</t>
  </si>
  <si>
    <t>B 0005 - 00039845</t>
  </si>
  <si>
    <t>MESUCAN SRL</t>
  </si>
  <si>
    <t>0005- 00031412</t>
  </si>
  <si>
    <t>0014 00035942</t>
  </si>
  <si>
    <t>0014 00047681</t>
  </si>
  <si>
    <t>0014 00047682</t>
  </si>
  <si>
    <t>0014 00047683</t>
  </si>
  <si>
    <t>BOSQUEMAR EMPRENDIMIENTOS</t>
  </si>
  <si>
    <t>0014 00038316</t>
  </si>
  <si>
    <t>0014 00038385</t>
  </si>
  <si>
    <t>0014 00038384</t>
  </si>
  <si>
    <t>0014 00038775</t>
  </si>
  <si>
    <t>0005 - 00000066</t>
  </si>
  <si>
    <t>GRAFICA VELTON SOCIEDAD ANONIM</t>
  </si>
  <si>
    <t>0014 00039634</t>
  </si>
  <si>
    <t>demian</t>
  </si>
  <si>
    <t>0014 00039635</t>
  </si>
  <si>
    <t>0014 00039838</t>
  </si>
  <si>
    <t>0014 00039840</t>
  </si>
  <si>
    <t>0014 00039842</t>
  </si>
  <si>
    <t>0014 00039844</t>
  </si>
  <si>
    <t>0014 00039847</t>
  </si>
  <si>
    <t>0014 00039871</t>
  </si>
  <si>
    <t>0014 00039936</t>
  </si>
  <si>
    <t>0014 00039941</t>
  </si>
  <si>
    <t>0014 00040133</t>
  </si>
  <si>
    <t>0014 00040229</t>
  </si>
  <si>
    <t>0014 00040230</t>
  </si>
  <si>
    <t>0014 00040233</t>
  </si>
  <si>
    <t>GESTION CITERA SOCIEDAD DE PRODUCTORES</t>
  </si>
  <si>
    <t>0014 00040283</t>
  </si>
  <si>
    <t>DGSAPIENS S.A.S.</t>
  </si>
  <si>
    <t>0014 00040292</t>
  </si>
  <si>
    <t>TADEO CZERWENY SA</t>
  </si>
  <si>
    <t>001-000353133</t>
  </si>
  <si>
    <t>001-000015839</t>
  </si>
  <si>
    <t>001-000353453</t>
  </si>
  <si>
    <t>001-000015875</t>
  </si>
  <si>
    <t>0005- 00031705</t>
  </si>
  <si>
    <t>OBRA SOCIAL SERENOS DE BUQUES</t>
  </si>
  <si>
    <t>B 0005 - 00039849</t>
  </si>
  <si>
    <t>0014 00048324</t>
  </si>
  <si>
    <t>0014 00048325</t>
  </si>
  <si>
    <t>0005- 00032038</t>
  </si>
  <si>
    <t>MINETECH SRL</t>
  </si>
  <si>
    <t>0005- 00032039</t>
  </si>
  <si>
    <t>0005- 00032036</t>
  </si>
  <si>
    <t>0005- 00032037</t>
  </si>
  <si>
    <t>0005- 00032040</t>
  </si>
  <si>
    <t>KGM OPERACIONES SRL</t>
  </si>
  <si>
    <t>0005- 00032147</t>
  </si>
  <si>
    <t>DIXI EVENTOS S.R.L.</t>
  </si>
  <si>
    <t>0005- 00032264</t>
  </si>
  <si>
    <t>0005- 00032265</t>
  </si>
  <si>
    <t>0014 00000062</t>
  </si>
  <si>
    <t>0014 00000063</t>
  </si>
  <si>
    <t>0014 00000064</t>
  </si>
  <si>
    <t>LUPROD S.R.L.</t>
  </si>
  <si>
    <t>0005- 00032317</t>
  </si>
  <si>
    <t>0005- 00032322</t>
  </si>
  <si>
    <t>0005- 00032327</t>
  </si>
  <si>
    <t>0005- 00032318</t>
  </si>
  <si>
    <t>,</t>
  </si>
  <si>
    <t>GRAFICA VELTON SOCIEDAD ANONIMA</t>
  </si>
  <si>
    <t>0005- 00032319</t>
  </si>
  <si>
    <t>TLOGIC S. A.</t>
  </si>
  <si>
    <t>0005- 00032323</t>
  </si>
  <si>
    <t>0005- 00032324</t>
  </si>
  <si>
    <t>TRICO CONSULTORIA S.A.</t>
  </si>
  <si>
    <t>0005- 00032328</t>
  </si>
  <si>
    <t>0014 00048326</t>
  </si>
  <si>
    <t>0014 00035762</t>
  </si>
  <si>
    <t>0014 00035763</t>
  </si>
  <si>
    <t>0014 00035764</t>
  </si>
  <si>
    <t>0014 00035765</t>
  </si>
  <si>
    <t>ALLER ATUCHA SRL</t>
  </si>
  <si>
    <t>0005- 00032383</t>
  </si>
  <si>
    <t>ASHI S.A</t>
  </si>
  <si>
    <t>0005- 00032384</t>
  </si>
  <si>
    <t>0005- 00032385</t>
  </si>
  <si>
    <t>0014 00035766</t>
  </si>
  <si>
    <t>ARENA CAFE SRL</t>
  </si>
  <si>
    <t>0014 00035767</t>
  </si>
  <si>
    <t>0005- 00034679</t>
  </si>
  <si>
    <t>INVESTIGACION CLINICA APLICADA SRL</t>
  </si>
  <si>
    <t>0005- 00034680</t>
  </si>
  <si>
    <t>0014 00035771</t>
  </si>
  <si>
    <t>0014 00035772</t>
  </si>
  <si>
    <t>0014 00035872</t>
  </si>
  <si>
    <t>0014 00035871</t>
  </si>
  <si>
    <t>0014 00035878</t>
  </si>
  <si>
    <t>0014 00035877</t>
  </si>
  <si>
    <t>0014 00035873</t>
  </si>
  <si>
    <t>0014 00048327</t>
  </si>
  <si>
    <t>0014 00043627</t>
  </si>
  <si>
    <t>0014 00035938</t>
  </si>
  <si>
    <t>0014 00035944</t>
  </si>
  <si>
    <t>0014-00035877</t>
  </si>
  <si>
    <t>0014-00035878</t>
  </si>
  <si>
    <t>0014-00035871</t>
  </si>
  <si>
    <t>0014-00035872</t>
  </si>
  <si>
    <t>0014 00037098</t>
  </si>
  <si>
    <t>0014 00037099</t>
  </si>
  <si>
    <t>0014 00037100</t>
  </si>
  <si>
    <t>0014 00037105</t>
  </si>
  <si>
    <t>0014 00037106</t>
  </si>
  <si>
    <t>SUIZO ARGENTINA SOCIEDAD ANONI</t>
  </si>
  <si>
    <t>0005 - 00000035</t>
  </si>
  <si>
    <t>0005 - 00000034</t>
  </si>
  <si>
    <t>0005 - 00000033</t>
  </si>
  <si>
    <t>0005 - 00000032</t>
  </si>
  <si>
    <t>0005 - 00000031</t>
  </si>
  <si>
    <t>0014 00037104</t>
  </si>
  <si>
    <t>0014 00043628</t>
  </si>
  <si>
    <t>0014 00043631</t>
  </si>
  <si>
    <t>0005- 00032893</t>
  </si>
  <si>
    <t>0005- 00032896</t>
  </si>
  <si>
    <t>0005- 00032895</t>
  </si>
  <si>
    <t>0005- 00033071</t>
  </si>
  <si>
    <t>0005- 00033072</t>
  </si>
  <si>
    <t>0005- 00033075</t>
  </si>
  <si>
    <t>0005- 00033076</t>
  </si>
  <si>
    <t>0005- 00033077</t>
  </si>
  <si>
    <t>0014-00037196</t>
  </si>
  <si>
    <t>0014- 0003719</t>
  </si>
  <si>
    <t>PROTECCION INTELIGENTE S.A</t>
  </si>
  <si>
    <t>0014 00037201</t>
  </si>
  <si>
    <t>0014 00037203</t>
  </si>
  <si>
    <t>0014 00037204</t>
  </si>
  <si>
    <t>0005- 00033073</t>
  </si>
  <si>
    <t>0005- 00033137</t>
  </si>
  <si>
    <t>TORCH S A</t>
  </si>
  <si>
    <t>0005- 00033140</t>
  </si>
  <si>
    <t>0005- 00033143</t>
  </si>
  <si>
    <t>0014 00037205</t>
  </si>
  <si>
    <t>B0005 - 00039861</t>
  </si>
  <si>
    <t>0014 00011280</t>
  </si>
  <si>
    <t>0014 00037202</t>
  </si>
  <si>
    <t>0014 00000093</t>
  </si>
  <si>
    <t>0014 00037231</t>
  </si>
  <si>
    <t>GCM PRODUCCIONES S.R.L.</t>
  </si>
  <si>
    <t>0014 00037232</t>
  </si>
  <si>
    <t>0014 00037233</t>
  </si>
  <si>
    <t>0014 00037234</t>
  </si>
  <si>
    <t>0014 00037264</t>
  </si>
  <si>
    <t>0014 00037265</t>
  </si>
  <si>
    <t>00006-00000008</t>
  </si>
  <si>
    <t>0014 00037200</t>
  </si>
  <si>
    <t>0014 00037306</t>
  </si>
  <si>
    <t>0014 00037307</t>
  </si>
  <si>
    <t>0014 00037308</t>
  </si>
  <si>
    <t>0014 00037309</t>
  </si>
  <si>
    <t>0014 00037317</t>
  </si>
  <si>
    <t>0014 00037318</t>
  </si>
  <si>
    <t>0014 00037320</t>
  </si>
  <si>
    <t>0005- 00033296</t>
  </si>
  <si>
    <t>0005- 00033297</t>
  </si>
  <si>
    <t>0014 00037310</t>
  </si>
  <si>
    <t>HOME COLLECTION S. A.</t>
  </si>
  <si>
    <t>0014 00037311</t>
  </si>
  <si>
    <t>0014 00037312</t>
  </si>
  <si>
    <t>IMAGENES DEL PARQUE S.A.</t>
  </si>
  <si>
    <t>0014 00037313</t>
  </si>
  <si>
    <t>0005- 00033317</t>
  </si>
  <si>
    <t>0005- 00033318</t>
  </si>
  <si>
    <t>0005- 00033319</t>
  </si>
  <si>
    <t>0005- 00033321</t>
  </si>
  <si>
    <t>0005- 00033323</t>
  </si>
  <si>
    <t>0005- 00033320</t>
  </si>
  <si>
    <t>0005- 00033322</t>
  </si>
  <si>
    <t>0014 00037319</t>
  </si>
  <si>
    <t>0014 00000057</t>
  </si>
  <si>
    <t>EL PERRO EN LA LUNA S.R.L</t>
  </si>
  <si>
    <t>0014 00037489</t>
  </si>
  <si>
    <t>0014 00037492</t>
  </si>
  <si>
    <t>SAENZ VALIENTE &amp; ASOCIADOS</t>
  </si>
  <si>
    <t xml:space="preserve"> 0014 00037700</t>
  </si>
  <si>
    <t>B 0014 00011336</t>
  </si>
  <si>
    <t>B 0014 00011337</t>
  </si>
  <si>
    <t>B 0014 00011338</t>
  </si>
  <si>
    <t>CALL UP SOCIEDAD ANONIMA</t>
  </si>
  <si>
    <t>0014 00037701</t>
  </si>
  <si>
    <t>0014 00037703</t>
  </si>
  <si>
    <t>0014 00037702</t>
  </si>
  <si>
    <t>0005- 00033423</t>
  </si>
  <si>
    <t>0005- 00033427</t>
  </si>
  <si>
    <t>0005- 00033430</t>
  </si>
  <si>
    <t>0005- 00033432</t>
  </si>
  <si>
    <t>LUGALU S.A.</t>
  </si>
  <si>
    <t>0014 00037997</t>
  </si>
  <si>
    <t>0014 00038000</t>
  </si>
  <si>
    <t>0014 00038003</t>
  </si>
  <si>
    <t>0014 00037998</t>
  </si>
  <si>
    <t>CORFAM CORPORACION FABRICANTES DE MUEBLES</t>
  </si>
  <si>
    <t>0005- 00033476</t>
  </si>
  <si>
    <t>AVD ARGENTINA SRL</t>
  </si>
  <si>
    <t>0005- 00033614</t>
  </si>
  <si>
    <t>0005- 00033615</t>
  </si>
  <si>
    <t>0005- 00033619</t>
  </si>
  <si>
    <t>0005- 00033624</t>
  </si>
  <si>
    <t>0005- 00033618</t>
  </si>
  <si>
    <t>IT PATAGONIA SA</t>
  </si>
  <si>
    <t>0005- 00033616</t>
  </si>
  <si>
    <t>0005- 00033617</t>
  </si>
  <si>
    <t>0005- 00033620</t>
  </si>
  <si>
    <t>0005- 00033621</t>
  </si>
  <si>
    <t>0005- 00033622</t>
  </si>
  <si>
    <t>0005- 00033626</t>
  </si>
  <si>
    <t>0005- 00033628</t>
  </si>
  <si>
    <t>0014 00038002</t>
  </si>
  <si>
    <t>0014 00037999</t>
  </si>
  <si>
    <t>0014-00038301</t>
  </si>
  <si>
    <t xml:space="preserve"> 0014-00038302</t>
  </si>
  <si>
    <t>0014 00038404</t>
  </si>
  <si>
    <t>0014 00038403</t>
  </si>
  <si>
    <t>0014 00038386</t>
  </si>
  <si>
    <t>OPEN PARK SA</t>
  </si>
  <si>
    <t>0014 00038400</t>
  </si>
  <si>
    <t>N/C 0005- 00006392</t>
  </si>
  <si>
    <t xml:space="preserve">N/C 0005- 00006393 </t>
  </si>
  <si>
    <t>N/C 0005- 00006390</t>
  </si>
  <si>
    <t>N/C 0005- 00006391</t>
  </si>
  <si>
    <t>0005- 00033697</t>
  </si>
  <si>
    <t>0005- 00033698</t>
  </si>
  <si>
    <t>0005- 00033700</t>
  </si>
  <si>
    <t>0005- 00033699</t>
  </si>
  <si>
    <t>0014 00038399</t>
  </si>
  <si>
    <t>0014 00038389</t>
  </si>
  <si>
    <t>0014 00038388</t>
  </si>
  <si>
    <t>N/C 0005- 00006397</t>
  </si>
  <si>
    <t>N/C 0005- 00006396</t>
  </si>
  <si>
    <t xml:space="preserve">N/C 0005- 00006394 </t>
  </si>
  <si>
    <t>N/C 0005- 00006395</t>
  </si>
  <si>
    <t>0005- 00033701</t>
  </si>
  <si>
    <t>0005- 00033707</t>
  </si>
  <si>
    <t>0005- 00033705</t>
  </si>
  <si>
    <t>0005- 00033703</t>
  </si>
  <si>
    <t>0014 00038387</t>
  </si>
  <si>
    <t>0014 00038498</t>
  </si>
  <si>
    <t>0014 00038499</t>
  </si>
  <si>
    <t>0014 00038500</t>
  </si>
  <si>
    <t>ALECOLOR SRL</t>
  </si>
  <si>
    <t>0014 00038502</t>
  </si>
  <si>
    <t>0005- 00033757</t>
  </si>
  <si>
    <t>0005- 00033762</t>
  </si>
  <si>
    <t>MARINOZZI GABRIEL HERNAN</t>
  </si>
  <si>
    <t>0005- 00033780</t>
  </si>
  <si>
    <t>0005- 00033779</t>
  </si>
  <si>
    <t>0014 00038503</t>
  </si>
  <si>
    <t>0014 00038501</t>
  </si>
  <si>
    <t>0005- 00033827</t>
  </si>
  <si>
    <t>0005- 00033832</t>
  </si>
  <si>
    <t>0005- 00033831</t>
  </si>
  <si>
    <t>0014 00038504</t>
  </si>
  <si>
    <t>0014 00038505</t>
  </si>
  <si>
    <t>0014 00041068</t>
  </si>
  <si>
    <t>0005- 00033966</t>
  </si>
  <si>
    <t>E N O D SOCIEDAD DE RESPONSABI</t>
  </si>
  <si>
    <t>0014 00038644</t>
  </si>
  <si>
    <t>0014 00038645</t>
  </si>
  <si>
    <t>0005 - 00000037</t>
  </si>
  <si>
    <t>0005- 00034065</t>
  </si>
  <si>
    <t>0005 - 00000038</t>
  </si>
  <si>
    <t>0005- 00034068</t>
  </si>
  <si>
    <t>0014 00038649</t>
  </si>
  <si>
    <t>0014 00038650</t>
  </si>
  <si>
    <t>0005 - 00000039</t>
  </si>
  <si>
    <t>0005- 00034069</t>
  </si>
  <si>
    <t>0014 00038655</t>
  </si>
  <si>
    <t>LX ARGENTINA S.A.</t>
  </si>
  <si>
    <t>0005- 00034127</t>
  </si>
  <si>
    <t>0005- 00034128</t>
  </si>
  <si>
    <t>0005- 00034129</t>
  </si>
  <si>
    <t>0005- 00034130</t>
  </si>
  <si>
    <t>0005- 00034131</t>
  </si>
  <si>
    <t>0014 00038656</t>
  </si>
  <si>
    <t>0014 00038646</t>
  </si>
  <si>
    <t>0014 00038647</t>
  </si>
  <si>
    <t>0014 00038648</t>
  </si>
  <si>
    <t xml:space="preserve">OCTOPUS </t>
  </si>
  <si>
    <t>0014 00038651</t>
  </si>
  <si>
    <t>0014 00038652</t>
  </si>
  <si>
    <t>0014 00038653</t>
  </si>
  <si>
    <t>0014 00038654</t>
  </si>
  <si>
    <t>0014 00038657</t>
  </si>
  <si>
    <t>0014 00038658</t>
  </si>
  <si>
    <t>0014 00038659</t>
  </si>
  <si>
    <t>0014 00038660</t>
  </si>
  <si>
    <t>0014 00038661</t>
  </si>
  <si>
    <t>0014 00039113</t>
  </si>
  <si>
    <t>0014 00039114</t>
  </si>
  <si>
    <t>COMAGASI S A</t>
  </si>
  <si>
    <t>0014 00039290</t>
  </si>
  <si>
    <t>0014 00039291</t>
  </si>
  <si>
    <t>0014 00039292</t>
  </si>
  <si>
    <t>0014 00039463</t>
  </si>
  <si>
    <t>0014 00039464</t>
  </si>
  <si>
    <t>0014 00039465</t>
  </si>
  <si>
    <t>0014 00039466</t>
  </si>
  <si>
    <t>BLINKER MEDIA CONSULTING S.A.</t>
  </si>
  <si>
    <t>0005- 00034160</t>
  </si>
  <si>
    <t>0005- 00034249</t>
  </si>
  <si>
    <t>0005- 00034252</t>
  </si>
  <si>
    <t>0005- 00034245</t>
  </si>
  <si>
    <t>0005- 00034246</t>
  </si>
  <si>
    <t>0014 00039470</t>
  </si>
  <si>
    <t>0014 00039469</t>
  </si>
  <si>
    <t>0014 00011585</t>
  </si>
  <si>
    <t>0014 00039579</t>
  </si>
  <si>
    <t>0014 00039590</t>
  </si>
  <si>
    <t>0014 00039574</t>
  </si>
  <si>
    <t>0014 00039582</t>
  </si>
  <si>
    <t>0014 00039585</t>
  </si>
  <si>
    <t>0014 00039577</t>
  </si>
  <si>
    <t>0014 00039584</t>
  </si>
  <si>
    <t>0005- 00034310</t>
  </si>
  <si>
    <t>0005- 00034312</t>
  </si>
  <si>
    <t>0005- 00034314</t>
  </si>
  <si>
    <t>0014 00039581</t>
  </si>
  <si>
    <t>0014 00039578</t>
  </si>
  <si>
    <t>0005- 00034339</t>
  </si>
  <si>
    <t>0005- 00034340</t>
  </si>
  <si>
    <t>0005- 00034341</t>
  </si>
  <si>
    <t>0005- 00034343</t>
  </si>
  <si>
    <t>0005- 00034344</t>
  </si>
  <si>
    <t>0005- 00034345</t>
  </si>
  <si>
    <t>0005- 00034347</t>
  </si>
  <si>
    <t>0005 - 00039871</t>
  </si>
  <si>
    <t>0014 00039586</t>
  </si>
  <si>
    <t>0014 00039575</t>
  </si>
  <si>
    <t>0014 00039588</t>
  </si>
  <si>
    <t>0014 00039576</t>
  </si>
  <si>
    <t>0014 00039573</t>
  </si>
  <si>
    <t>0014 00039583</t>
  </si>
  <si>
    <t>0014 00039580</t>
  </si>
  <si>
    <t>0014 00039587</t>
  </si>
  <si>
    <t>0014 00039589</t>
  </si>
  <si>
    <t>0014 00039681</t>
  </si>
  <si>
    <t>0014 00039696</t>
  </si>
  <si>
    <t>0014 00039682</t>
  </si>
  <si>
    <t>0014 00039695</t>
  </si>
  <si>
    <t>0014 00039702</t>
  </si>
  <si>
    <t>0014 00039703</t>
  </si>
  <si>
    <t>0014 00039704</t>
  </si>
  <si>
    <t>0014 00039706</t>
  </si>
  <si>
    <t>0014 00039707</t>
  </si>
  <si>
    <t>0014 00039708</t>
  </si>
  <si>
    <t>0014 00039711</t>
  </si>
  <si>
    <t>0005- 00034587</t>
  </si>
  <si>
    <t>0005- 00034592</t>
  </si>
  <si>
    <t>0005- 00034588</t>
  </si>
  <si>
    <t>0005- 00034593</t>
  </si>
  <si>
    <t>QUIMICA ANASTACIO ARGENTINA S.A.U.</t>
  </si>
  <si>
    <t>0005- 00034589</t>
  </si>
  <si>
    <t>0005- 00034590</t>
  </si>
  <si>
    <t>0005- 00034594</t>
  </si>
  <si>
    <t>0005 - 00039872</t>
  </si>
  <si>
    <t>0014 00039759</t>
  </si>
  <si>
    <t>0014 00011619</t>
  </si>
  <si>
    <t>0005- 00031339</t>
  </si>
  <si>
    <t>0005- 00031340</t>
  </si>
  <si>
    <t>0005- 00031347</t>
  </si>
  <si>
    <t>0005- 00031348</t>
  </si>
  <si>
    <t>0005- 00031349</t>
  </si>
  <si>
    <t>0005- 00034924</t>
  </si>
  <si>
    <t>0014 00011620</t>
  </si>
  <si>
    <t>0014 00011621</t>
  </si>
  <si>
    <t>0014 00039839</t>
  </si>
  <si>
    <t>0014 00039843</t>
  </si>
  <si>
    <t>0014 00039848</t>
  </si>
  <si>
    <t>0014 00039896</t>
  </si>
  <si>
    <t>0005- 00034989</t>
  </si>
  <si>
    <t>0014 00039895</t>
  </si>
  <si>
    <t>0014 00039894</t>
  </si>
  <si>
    <t>0014 00039937</t>
  </si>
  <si>
    <t>TECMA S.A</t>
  </si>
  <si>
    <t>0005- 00035098</t>
  </si>
  <si>
    <t>0005- 00035097</t>
  </si>
  <si>
    <t>0005- 00035096</t>
  </si>
  <si>
    <t>0005- 00035095</t>
  </si>
  <si>
    <t>0005- 00035094</t>
  </si>
  <si>
    <t>0005- 00035093</t>
  </si>
  <si>
    <t>0005- 00035091</t>
  </si>
  <si>
    <t>0005- 00035092</t>
  </si>
  <si>
    <t>0005- 00035088</t>
  </si>
  <si>
    <t>0005- 00035089</t>
  </si>
  <si>
    <t>0014 00040054</t>
  </si>
  <si>
    <t>0014 00040053</t>
  </si>
  <si>
    <t>0014 00040052</t>
  </si>
  <si>
    <t>0014 00040051</t>
  </si>
  <si>
    <t>0014 00040049</t>
  </si>
  <si>
    <t>COSEME SA</t>
  </si>
  <si>
    <t>0005- 00035122</t>
  </si>
  <si>
    <t>0005- 00035123</t>
  </si>
  <si>
    <t>0005- 00035124</t>
  </si>
  <si>
    <t>0005- 00035125</t>
  </si>
  <si>
    <t>0005- 00035126</t>
  </si>
  <si>
    <t>0005- 00035179</t>
  </si>
  <si>
    <t>0005- 00006616</t>
  </si>
  <si>
    <t>0005- 00006617</t>
  </si>
  <si>
    <t>javier</t>
  </si>
  <si>
    <t>CNH S.A.</t>
  </si>
  <si>
    <t>0003-00007930</t>
  </si>
  <si>
    <t>LAGOPUELO S.A</t>
  </si>
  <si>
    <t>0003-00007945</t>
  </si>
  <si>
    <t>0003-00007944</t>
  </si>
  <si>
    <t>0003-00007932</t>
  </si>
  <si>
    <t>0003-00007931</t>
  </si>
  <si>
    <t>DHN DISTRIBUCIONES HORIZON</t>
  </si>
  <si>
    <t>0005- 00035260</t>
  </si>
  <si>
    <t>0005- 00035259</t>
  </si>
  <si>
    <t>0005- 00035258</t>
  </si>
  <si>
    <t>0005- 00035257</t>
  </si>
  <si>
    <t>0005- 00035256</t>
  </si>
  <si>
    <t>0014 00040048</t>
  </si>
  <si>
    <t>B 0014 00011671</t>
  </si>
  <si>
    <t>SINDICATO UNICO DE TRABAJADORES DEL ESTADO</t>
  </si>
  <si>
    <t>B00017-00000017</t>
  </si>
  <si>
    <t>COMPLEJO AKIRA SA</t>
  </si>
  <si>
    <t>A00017-00000861</t>
  </si>
  <si>
    <t>SMARTGROW S.A.S</t>
  </si>
  <si>
    <t>El Barby S.R.L</t>
  </si>
  <si>
    <t>0004 - 00000679</t>
  </si>
  <si>
    <t>SAMPEDRO ALFREDO</t>
  </si>
  <si>
    <t>0004 - 00000678</t>
  </si>
  <si>
    <t>0004 - 00000677</t>
  </si>
  <si>
    <t>0004 - 00000676</t>
  </si>
  <si>
    <t>0004 - 00000675</t>
  </si>
  <si>
    <t>B 0014 00011670</t>
  </si>
  <si>
    <t>N/C 0014 00000769</t>
  </si>
  <si>
    <t>N/C 0014 00000768</t>
  </si>
  <si>
    <t>N/C 0014 00000770</t>
  </si>
  <si>
    <t>0014 00040134</t>
  </si>
  <si>
    <t>0014 00040132</t>
  </si>
  <si>
    <t>0014 00040135</t>
  </si>
  <si>
    <t>0014 00040231</t>
  </si>
  <si>
    <t>0014 00040234</t>
  </si>
  <si>
    <t>0014 00040257</t>
  </si>
  <si>
    <t>0014 00040258</t>
  </si>
  <si>
    <t>0014 00040282</t>
  </si>
  <si>
    <t>0014 00040294</t>
  </si>
  <si>
    <t>LANIADO LAZARO DANIEL</t>
  </si>
  <si>
    <t>0014 00040398</t>
  </si>
  <si>
    <t>0014 00040399</t>
  </si>
  <si>
    <t>0014 00000058</t>
  </si>
  <si>
    <t>0005- 00035436</t>
  </si>
  <si>
    <t>0005- 00035440</t>
  </si>
  <si>
    <t>0005- 00035444</t>
  </si>
  <si>
    <t>0005- 00035437</t>
  </si>
  <si>
    <t>0005- 00035441</t>
  </si>
  <si>
    <t>0005- 00035438</t>
  </si>
  <si>
    <t>0005- 00035445</t>
  </si>
  <si>
    <t xml:space="preserve"> 0005- 00035442</t>
  </si>
  <si>
    <t>0014 00000059</t>
  </si>
  <si>
    <t>0014 00000060</t>
  </si>
  <si>
    <t>0014 00040564</t>
  </si>
  <si>
    <t>0014 00040622</t>
  </si>
  <si>
    <t>0014 00040617</t>
  </si>
  <si>
    <t>EL PERRO EN LA LUNA SRL</t>
  </si>
  <si>
    <t>DISTRIBUIDORA LA PREFERIDA SRL</t>
  </si>
  <si>
    <t>ale contador</t>
  </si>
  <si>
    <t>fernandez grijalva</t>
  </si>
  <si>
    <t>datan group</t>
  </si>
  <si>
    <t>aguiar jorge</t>
  </si>
  <si>
    <t>mensajERIA TOA TOA S.R.L.</t>
  </si>
  <si>
    <t>REAL COLOR</t>
  </si>
  <si>
    <t>GUG SRL</t>
  </si>
  <si>
    <t>ROBOTICA INDUSTRIAL SRL</t>
  </si>
  <si>
    <t>ESTUDIO JURIDICO STORANI</t>
  </si>
  <si>
    <t>FABIAN PAZ</t>
  </si>
  <si>
    <t>TEXTIL ROYAL</t>
  </si>
  <si>
    <t>kelman</t>
  </si>
  <si>
    <t>dadia s.a.</t>
  </si>
  <si>
    <t>capristo carlos marcelo</t>
  </si>
  <si>
    <t>0005- 00035615</t>
  </si>
  <si>
    <t>0005- 00035613</t>
  </si>
  <si>
    <t>0005- 00035614</t>
  </si>
  <si>
    <t>B0005 - 00039878</t>
  </si>
  <si>
    <t>0014 00040612</t>
  </si>
  <si>
    <t>0014 00040605</t>
  </si>
  <si>
    <t>0014 00040634</t>
  </si>
  <si>
    <t>0014 00040637</t>
  </si>
  <si>
    <t>0005- 00035616</t>
  </si>
  <si>
    <t>0005- 00035617</t>
  </si>
  <si>
    <t>0005- 00035618</t>
  </si>
  <si>
    <t>0005- 00035661</t>
  </si>
  <si>
    <t>0005- 00035664</t>
  </si>
  <si>
    <t>0005- 00035666</t>
  </si>
  <si>
    <t>0005- 00035668</t>
  </si>
  <si>
    <t>0005- 00035669</t>
  </si>
  <si>
    <t>0005- 00035670</t>
  </si>
  <si>
    <t>0005- 00035671</t>
  </si>
  <si>
    <t>0014 00040640</t>
  </si>
  <si>
    <t>0014 00040643</t>
  </si>
  <si>
    <t>0014 00040646</t>
  </si>
  <si>
    <t>0014 00040635</t>
  </si>
  <si>
    <t>0014 00040638</t>
  </si>
  <si>
    <t>0014 00040645</t>
  </si>
  <si>
    <t>EQUILA SRL</t>
  </si>
  <si>
    <t>0005- 00035663</t>
  </si>
  <si>
    <t>0005- 00035665</t>
  </si>
  <si>
    <t>0005- 00035667</t>
  </si>
  <si>
    <t>0014 00040641</t>
  </si>
  <si>
    <t>0014 00040639</t>
  </si>
  <si>
    <t>0014 00040651</t>
  </si>
  <si>
    <t>0014 00040653</t>
  </si>
  <si>
    <t>0014 00040659</t>
  </si>
  <si>
    <t>0014 00000092</t>
  </si>
  <si>
    <t>0005- 00035727</t>
  </si>
  <si>
    <t>0005- 00035730</t>
  </si>
  <si>
    <t>0005- 00035732</t>
  </si>
  <si>
    <t>0014 00040660</t>
  </si>
  <si>
    <t>0014 00040662</t>
  </si>
  <si>
    <t>0014 00040664</t>
  </si>
  <si>
    <t>0014 00040666</t>
  </si>
  <si>
    <t>0005- 00035728</t>
  </si>
  <si>
    <t>0005- 00035731</t>
  </si>
  <si>
    <t>0005- 00035729</t>
  </si>
  <si>
    <t>0014 00040667</t>
  </si>
  <si>
    <t>TATAT AGROSERVICIOS S. A.</t>
  </si>
  <si>
    <t>NISTICO CARLOS RAFAEL</t>
  </si>
  <si>
    <t>8-00001479</t>
  </si>
  <si>
    <t>8-00001480</t>
  </si>
  <si>
    <t>8-00001481</t>
  </si>
  <si>
    <t>CIEXSA COMPAÑIA INTEGRADA DE EXPORTACION</t>
  </si>
  <si>
    <t>0005- 00035784</t>
  </si>
  <si>
    <t>0014 00011758</t>
  </si>
  <si>
    <t>MENSAJERIA TOA TOA S.R.L.</t>
  </si>
  <si>
    <t>0014 00040761</t>
  </si>
  <si>
    <t>8-00001487</t>
  </si>
  <si>
    <t>8-00001488</t>
  </si>
  <si>
    <t>8-00001489</t>
  </si>
  <si>
    <t>8-00001490</t>
  </si>
  <si>
    <t>8-00001491</t>
  </si>
  <si>
    <t>8-00001492</t>
  </si>
  <si>
    <t>8-00001493</t>
  </si>
  <si>
    <t>8-00000019</t>
  </si>
  <si>
    <t>8-00001500</t>
  </si>
  <si>
    <t>8-00001503</t>
  </si>
  <si>
    <t>8-00001504</t>
  </si>
  <si>
    <t>8-00001505</t>
  </si>
  <si>
    <t>8-00001506</t>
  </si>
  <si>
    <t>8-00001507</t>
  </si>
  <si>
    <t>8-00001501</t>
  </si>
  <si>
    <t>8-00001502</t>
  </si>
  <si>
    <t>8-00000018</t>
  </si>
  <si>
    <t>8-00000017</t>
  </si>
  <si>
    <t>8-00000016</t>
  </si>
  <si>
    <t>8-00000015</t>
  </si>
  <si>
    <t>8-00000014</t>
  </si>
  <si>
    <t>8-00000013</t>
  </si>
  <si>
    <t>8-00000012</t>
  </si>
  <si>
    <t>SOLUCIONES MRO S A I C</t>
  </si>
  <si>
    <t>0005- 00035950</t>
  </si>
  <si>
    <t>0014 00040776</t>
  </si>
  <si>
    <t>0014 00040787</t>
  </si>
  <si>
    <t>0005- 00036112</t>
  </si>
  <si>
    <t>0005- 00036114</t>
  </si>
  <si>
    <t>0005- 00036117</t>
  </si>
  <si>
    <t>0014 00040788</t>
  </si>
  <si>
    <t>0005 - 00000067</t>
  </si>
  <si>
    <t>0014 00040872</t>
  </si>
  <si>
    <t>0014 00040881</t>
  </si>
  <si>
    <t>0005- 00036113</t>
  </si>
  <si>
    <t>0005- 00036116</t>
  </si>
  <si>
    <t>INVLAC CONSTRUCCIONES S.R.L S. R. L.</t>
  </si>
  <si>
    <t>0005- 00036167</t>
  </si>
  <si>
    <t>0005- 00036168</t>
  </si>
  <si>
    <t>0005- 00036171</t>
  </si>
  <si>
    <t>0005- 00036173</t>
  </si>
  <si>
    <t>0005- 00036169</t>
  </si>
  <si>
    <t>0005- 00036172</t>
  </si>
  <si>
    <t>0005- 00036170</t>
  </si>
  <si>
    <t>0005- 00036267</t>
  </si>
  <si>
    <t>0014 00040954</t>
  </si>
  <si>
    <t>0005- 00034925</t>
  </si>
  <si>
    <t>0005- 00034926</t>
  </si>
  <si>
    <t>0005- 00034927</t>
  </si>
  <si>
    <t>0014 00040955</t>
  </si>
  <si>
    <t>0014 00040957</t>
  </si>
  <si>
    <t>0014 00040962</t>
  </si>
  <si>
    <t>0014 00040956</t>
  </si>
  <si>
    <t>QUIMICA ANASTACIO ARGENTINA S.</t>
  </si>
  <si>
    <t>0014 00040961</t>
  </si>
  <si>
    <t>0014 00037103</t>
  </si>
  <si>
    <t>0005- 00036318</t>
  </si>
  <si>
    <t>0005- 00036320</t>
  </si>
  <si>
    <t>0014 00037107</t>
  </si>
  <si>
    <t>0014 00037108</t>
  </si>
  <si>
    <t>17-12 y 5/1/2025</t>
  </si>
  <si>
    <t>0005- 00034928</t>
  </si>
  <si>
    <t>0005- 00034929</t>
  </si>
  <si>
    <t>0005- 00036317</t>
  </si>
  <si>
    <t>0005- 00036367</t>
  </si>
  <si>
    <t>0014 00035761</t>
  </si>
  <si>
    <t>00008-00001535</t>
  </si>
  <si>
    <t>00008-00001536</t>
  </si>
  <si>
    <t>00008-00001537</t>
  </si>
  <si>
    <t>00008-00001538</t>
  </si>
  <si>
    <t>00008-00001539</t>
  </si>
  <si>
    <t>00008-00001532</t>
  </si>
  <si>
    <t>00008-00001533</t>
  </si>
  <si>
    <t>00008-00001534</t>
  </si>
  <si>
    <t>MOJZESZOWICZ ROMINA PAOLA</t>
  </si>
  <si>
    <t>0014 00041301</t>
  </si>
  <si>
    <t>0005- 00036448</t>
  </si>
  <si>
    <t>0014 00041415</t>
  </si>
  <si>
    <t>LA MANTOVANA DE SERVICIOS GENE</t>
  </si>
  <si>
    <t>0005 - 00000042</t>
  </si>
  <si>
    <t>0005 - 00000043</t>
  </si>
  <si>
    <t>0005 - 00000044</t>
  </si>
  <si>
    <t>0005 - 00000045</t>
  </si>
  <si>
    <t>0014 00041417</t>
  </si>
  <si>
    <t>0014 00041418</t>
  </si>
  <si>
    <t>POHJOLA ANTTI ILKKA JOHANNES</t>
  </si>
  <si>
    <t>0014 00041734</t>
  </si>
  <si>
    <t>0014 00041710</t>
  </si>
  <si>
    <t>0014 00041760</t>
  </si>
  <si>
    <t>0014 00041735</t>
  </si>
  <si>
    <t>0014 00041711</t>
  </si>
  <si>
    <t>0014 00041736</t>
  </si>
  <si>
    <t>0014 00041715</t>
  </si>
  <si>
    <t>0014 00041759</t>
  </si>
  <si>
    <t>0014 00041762</t>
  </si>
  <si>
    <t>0014 00041716</t>
  </si>
  <si>
    <t>0014 00041738</t>
  </si>
  <si>
    <t>0014 00041718</t>
  </si>
  <si>
    <t>0014 00041712</t>
  </si>
  <si>
    <t>0014 00041714</t>
  </si>
  <si>
    <t>CRE/A 0014 00000815</t>
  </si>
  <si>
    <t>0005- 00036597</t>
  </si>
  <si>
    <t>0005- 00036599</t>
  </si>
  <si>
    <t>0005- 00036601</t>
  </si>
  <si>
    <t>0005- 00036603</t>
  </si>
  <si>
    <t>0014 00041768</t>
  </si>
  <si>
    <t>0005- 00036600</t>
  </si>
  <si>
    <t>B 0014 00011913</t>
  </si>
  <si>
    <t>0014 00000069</t>
  </si>
  <si>
    <t>CNH S.A</t>
  </si>
  <si>
    <t xml:space="preserve">BEIKIRI SRL </t>
  </si>
  <si>
    <t>00017-00000943</t>
  </si>
  <si>
    <t>00017-00000945</t>
  </si>
  <si>
    <t>00017-00000944</t>
  </si>
  <si>
    <t>PRODOCSA PROYECTOS DOCUMENTALES S.A.</t>
  </si>
  <si>
    <t>0005- 00036814</t>
  </si>
  <si>
    <t>0005- 00036813</t>
  </si>
  <si>
    <t>0014 00000070</t>
  </si>
  <si>
    <t>0014 00042058</t>
  </si>
  <si>
    <t>0014 00042060</t>
  </si>
  <si>
    <t>0014 00042062</t>
  </si>
  <si>
    <t>0014 00042064</t>
  </si>
  <si>
    <t>0014 00042066</t>
  </si>
  <si>
    <t>0014 00042067</t>
  </si>
  <si>
    <t>0014 00042059</t>
  </si>
  <si>
    <t>0014 00042061</t>
  </si>
  <si>
    <t>El Barby S.R.L.</t>
  </si>
  <si>
    <t xml:space="preserve"> 0004 - 00000687</t>
  </si>
  <si>
    <t>0004 - 00000686</t>
  </si>
  <si>
    <t xml:space="preserve"> 0004 - 00000685</t>
  </si>
  <si>
    <t>0014 00042063</t>
  </si>
  <si>
    <t>0014 00042065</t>
  </si>
  <si>
    <t>0014 00042134</t>
  </si>
  <si>
    <t>0014 00042136</t>
  </si>
  <si>
    <t>0014 00042137</t>
  </si>
  <si>
    <t>0014 00042133</t>
  </si>
  <si>
    <t>0014 00042135</t>
  </si>
  <si>
    <t>ARGENETICS SEMILLAS S. A.</t>
  </si>
  <si>
    <t>0014 00042204</t>
  </si>
  <si>
    <t>0014 00042205</t>
  </si>
  <si>
    <t>B 0014 00011947</t>
  </si>
  <si>
    <t>CRONKLAM</t>
  </si>
  <si>
    <t>0014 00042344</t>
  </si>
  <si>
    <t>0014 00042496</t>
  </si>
  <si>
    <t>0014 00042500</t>
  </si>
  <si>
    <t>MOJZESZOWICZ ROMINA</t>
  </si>
  <si>
    <t>MTex-EMPRESA</t>
  </si>
  <si>
    <t>00010-00004095</t>
  </si>
  <si>
    <t>00010-00004093</t>
  </si>
  <si>
    <t>00010-00004090</t>
  </si>
  <si>
    <t>00010-00004089</t>
  </si>
  <si>
    <t>00010-00004091</t>
  </si>
  <si>
    <t>0014 00042499</t>
  </si>
  <si>
    <t>0014 00042502</t>
  </si>
  <si>
    <t>0014 00042626</t>
  </si>
  <si>
    <t>0014 00042669</t>
  </si>
  <si>
    <t>0014 00042675</t>
  </si>
  <si>
    <t>ASPEN BROKER SA</t>
  </si>
  <si>
    <t>0014 00042674</t>
  </si>
  <si>
    <t>KOMODO S.R.L.</t>
  </si>
  <si>
    <t>0014 00042830</t>
  </si>
  <si>
    <t>MARIO CAROLEO S.A.</t>
  </si>
  <si>
    <t>0014 00042881</t>
  </si>
  <si>
    <t>0014 00043008</t>
  </si>
  <si>
    <t>0014 00043020</t>
  </si>
  <si>
    <t>0014 00043022</t>
  </si>
  <si>
    <t>0014 00043024</t>
  </si>
  <si>
    <t>GRINAS ARIEL ALEJANDRO</t>
  </si>
  <si>
    <t>0004 - 00000693</t>
  </si>
  <si>
    <t xml:space="preserve"> 0004 - 00000692</t>
  </si>
  <si>
    <t>WS GROUP S.A.</t>
  </si>
  <si>
    <t xml:space="preserve"> 0004 - 00000689</t>
  </si>
  <si>
    <t>ROSEMBERG SEBASTIAN PABLO</t>
  </si>
  <si>
    <t xml:space="preserve"> 0004 - 00000690</t>
  </si>
  <si>
    <t xml:space="preserve"> 0004 - 00000694</t>
  </si>
  <si>
    <t>00006-00000055</t>
  </si>
  <si>
    <t xml:space="preserve"> 0004 - 00000691</t>
  </si>
  <si>
    <t>00006-00000056</t>
  </si>
  <si>
    <t>0014 00043029</t>
  </si>
  <si>
    <t>0014 00043112</t>
  </si>
  <si>
    <t>0014 00043116</t>
  </si>
  <si>
    <t>0005- 00037142</t>
  </si>
  <si>
    <t>0005- 00037143</t>
  </si>
  <si>
    <t>0005 - 00000046</t>
  </si>
  <si>
    <t>0005 - 00000047</t>
  </si>
  <si>
    <t>0014 00043115</t>
  </si>
  <si>
    <t>0014 00043204</t>
  </si>
  <si>
    <t>0014 00043211</t>
  </si>
  <si>
    <t>0014 00043205</t>
  </si>
  <si>
    <t>0014 00043207</t>
  </si>
  <si>
    <t>0014 00043210</t>
  </si>
  <si>
    <t>0014 00043212</t>
  </si>
  <si>
    <t>0014 00043202</t>
  </si>
  <si>
    <t>0014 00043203</t>
  </si>
  <si>
    <t>0014 00043208</t>
  </si>
  <si>
    <t>0014 00043358</t>
  </si>
  <si>
    <t>0014 00043359</t>
  </si>
  <si>
    <t>0014 00043360</t>
  </si>
  <si>
    <t>0014 00043459</t>
  </si>
  <si>
    <t>0014 00043461</t>
  </si>
  <si>
    <t>COMPLEJO AKIRA S.A</t>
  </si>
  <si>
    <t>00098-00000127</t>
  </si>
  <si>
    <t>B00098-00000191</t>
  </si>
  <si>
    <t>00006-00000057</t>
  </si>
  <si>
    <t>LORENZO NORBERTO FABIAN</t>
  </si>
  <si>
    <t>MARITEL</t>
  </si>
  <si>
    <t>0009-00004332</t>
  </si>
  <si>
    <t>0009-00004333</t>
  </si>
  <si>
    <t>0009-00004334</t>
  </si>
  <si>
    <t>B0005 - 00039894</t>
  </si>
  <si>
    <t>0014 00043463</t>
  </si>
  <si>
    <t>0014 00043467</t>
  </si>
  <si>
    <t>0014 00043468</t>
  </si>
  <si>
    <t>0014 00043469</t>
  </si>
  <si>
    <t>0014 00012047</t>
  </si>
  <si>
    <t>0014 00035870</t>
  </si>
  <si>
    <t>0014 00035937</t>
  </si>
  <si>
    <t>DROGUERIA META S A</t>
  </si>
  <si>
    <t>0005- 00037432</t>
  </si>
  <si>
    <t>0005- 00037433</t>
  </si>
  <si>
    <t>0005- 00037442</t>
  </si>
  <si>
    <t>0005- 00037441</t>
  </si>
  <si>
    <t>0005- 00037440</t>
  </si>
  <si>
    <t>0005- 00037475</t>
  </si>
  <si>
    <t>0014 00043773</t>
  </si>
  <si>
    <t>0014 00043786</t>
  </si>
  <si>
    <t>0014 00043787</t>
  </si>
  <si>
    <t>0014 00043788</t>
  </si>
  <si>
    <t>0005- 00037609</t>
  </si>
  <si>
    <t>4-7 y 10-7</t>
  </si>
  <si>
    <t>0005- 00037610</t>
  </si>
  <si>
    <t>0005- 00037612</t>
  </si>
  <si>
    <t>0005- 00037613</t>
  </si>
  <si>
    <t>0005- 00037614</t>
  </si>
  <si>
    <t>0005- 00037615</t>
  </si>
  <si>
    <t>0005- 00037617</t>
  </si>
  <si>
    <t>0005- 00037616</t>
  </si>
  <si>
    <t>0005- 00037618</t>
  </si>
  <si>
    <t>0014 00043972</t>
  </si>
  <si>
    <t>0014 00043973</t>
  </si>
  <si>
    <t>0014 00043974</t>
  </si>
  <si>
    <t>WOLF PACK S.A.</t>
  </si>
  <si>
    <t>0014 00044054</t>
  </si>
  <si>
    <t>0014 00044053</t>
  </si>
  <si>
    <t>0014 00044052</t>
  </si>
  <si>
    <t>0005- 00037680</t>
  </si>
  <si>
    <t>0005- 00037679</t>
  </si>
  <si>
    <t>0005- 00037678</t>
  </si>
  <si>
    <t>0014 00044112</t>
  </si>
  <si>
    <t>0014 00044111</t>
  </si>
  <si>
    <t>0014 00044110</t>
  </si>
  <si>
    <t>0005- 00037732</t>
  </si>
  <si>
    <t>0005- 00037731</t>
  </si>
  <si>
    <t>0005- 00037730</t>
  </si>
  <si>
    <t>0005- 00037812</t>
  </si>
  <si>
    <t>0005- 00037815</t>
  </si>
  <si>
    <t>0005- 00037818</t>
  </si>
  <si>
    <t>0014 00044181</t>
  </si>
  <si>
    <t>0014 00044183</t>
  </si>
  <si>
    <t>0014 00044186</t>
  </si>
  <si>
    <t>0005- 00006923</t>
  </si>
  <si>
    <t>0014 00000888</t>
  </si>
  <si>
    <t>0014 00044304</t>
  </si>
  <si>
    <t>0014 00044332</t>
  </si>
  <si>
    <t>0005- 00038009</t>
  </si>
  <si>
    <t>0005- 00038008</t>
  </si>
  <si>
    <t>0014 00044333</t>
  </si>
  <si>
    <t>B0014 00012102</t>
  </si>
  <si>
    <t>0005 - 00000068</t>
  </si>
  <si>
    <t>0014 00000004</t>
  </si>
  <si>
    <t>0014 00000068</t>
  </si>
  <si>
    <t>0014 00000071</t>
  </si>
  <si>
    <t>LA CASA DEL R D S A C I</t>
  </si>
  <si>
    <t>0014 00044470</t>
  </si>
  <si>
    <t>0014 00044473</t>
  </si>
  <si>
    <t>0014 00044472</t>
  </si>
  <si>
    <t>00010-00004107</t>
  </si>
  <si>
    <t>00010-00004114</t>
  </si>
  <si>
    <t>00010-00004098</t>
  </si>
  <si>
    <t>0005- 00038183</t>
  </si>
  <si>
    <t>17-7 Y 8-8</t>
  </si>
  <si>
    <t>0005- 00038187</t>
  </si>
  <si>
    <t>INSTITUTO BIOLOGICO CONTEMPORANEO</t>
  </si>
  <si>
    <t>0005- 00038185</t>
  </si>
  <si>
    <t>ISAKITO S.A.</t>
  </si>
  <si>
    <t>0005- 00038184</t>
  </si>
  <si>
    <t>0005- 00038189</t>
  </si>
  <si>
    <t>0014 00044531</t>
  </si>
  <si>
    <t>CENTRO MEDICO AMENABAR SRL</t>
  </si>
  <si>
    <t>0014 00044527</t>
  </si>
  <si>
    <t>0014 00044533</t>
  </si>
  <si>
    <t>0014 00044538</t>
  </si>
  <si>
    <t>0014 00044547</t>
  </si>
  <si>
    <t>0014 00044551</t>
  </si>
  <si>
    <t>MANAGING CONSULT S.A.</t>
  </si>
  <si>
    <t>0014 00044528</t>
  </si>
  <si>
    <t>0014 00044534</t>
  </si>
  <si>
    <t>0014 00044539</t>
  </si>
  <si>
    <t>0014 00044548</t>
  </si>
  <si>
    <t>0014 00044552</t>
  </si>
  <si>
    <t>0014 00044529</t>
  </si>
  <si>
    <t>0014 00044536</t>
  </si>
  <si>
    <t>0014 00044540</t>
  </si>
  <si>
    <t>0014 00044549</t>
  </si>
  <si>
    <t>PRODOCSA PROYECTOS DOCUMENTALE</t>
  </si>
  <si>
    <t>0014 00044530</t>
  </si>
  <si>
    <t>0014 00044541</t>
  </si>
  <si>
    <t>0014 00044554</t>
  </si>
  <si>
    <t>0014 00044555</t>
  </si>
  <si>
    <t>0014 00044557</t>
  </si>
  <si>
    <t>0014 00044558</t>
  </si>
  <si>
    <t>0014 00044560</t>
  </si>
  <si>
    <t>IMPACTO JEANS</t>
  </si>
  <si>
    <t>00001-00000313</t>
  </si>
  <si>
    <t>JACME TEX S.R.L</t>
  </si>
  <si>
    <t>00004-00002771</t>
  </si>
  <si>
    <t xml:space="preserve"> 0005- 00038560</t>
  </si>
  <si>
    <t>0005- 00038557</t>
  </si>
  <si>
    <t>0005- 00038554</t>
  </si>
  <si>
    <t>0005- 00038559</t>
  </si>
  <si>
    <t>0005- 00038556</t>
  </si>
  <si>
    <t>0005- 00038553</t>
  </si>
  <si>
    <t>0005- 00038558</t>
  </si>
  <si>
    <t>0005- 00038555</t>
  </si>
  <si>
    <t>0005- 00038552</t>
  </si>
  <si>
    <t>0014 00000077</t>
  </si>
  <si>
    <t>0014 00000078</t>
  </si>
  <si>
    <t>0005 - 00000050</t>
  </si>
  <si>
    <t>0005 - 00000051</t>
  </si>
  <si>
    <t>0014 00045035</t>
  </si>
  <si>
    <t>0005- 00038657</t>
  </si>
  <si>
    <t>0005- 00038659</t>
  </si>
  <si>
    <t>0005- 00038661</t>
  </si>
  <si>
    <t>0005- 00038663</t>
  </si>
  <si>
    <t>0005- 00038658</t>
  </si>
  <si>
    <t>0005- 00038660</t>
  </si>
  <si>
    <t>CIEN MILLAS S.A.</t>
  </si>
  <si>
    <t>0005- 00038681</t>
  </si>
  <si>
    <t>0005- 00038683</t>
  </si>
  <si>
    <t>0005- 00007015</t>
  </si>
  <si>
    <t>0005- 00007016</t>
  </si>
  <si>
    <t>0005- 00038680</t>
  </si>
  <si>
    <t>0005- 00038682</t>
  </si>
  <si>
    <t>OVEJA</t>
  </si>
  <si>
    <t>MOHALEM MARIA LUZ</t>
  </si>
  <si>
    <t>TODO PUNTO</t>
  </si>
  <si>
    <t>SLIM FIT</t>
  </si>
  <si>
    <t>MULTIPLOS</t>
  </si>
  <si>
    <t>STOLIN</t>
  </si>
  <si>
    <t>TINCOL S.A</t>
  </si>
  <si>
    <t>.0002-00035036</t>
  </si>
  <si>
    <t>QUOMO TEXTIL SRL</t>
  </si>
  <si>
    <t>0002-00035051</t>
  </si>
  <si>
    <t>SLIM FIT S.A.S.</t>
  </si>
  <si>
    <t>0002-00035050</t>
  </si>
  <si>
    <t>LONDYNSKI LEONARDO ABRAHAM</t>
  </si>
  <si>
    <t>0002-00035123</t>
  </si>
  <si>
    <t>0002-00035124</t>
  </si>
  <si>
    <t>0005- 00036319</t>
  </si>
  <si>
    <t>0005- 00036321</t>
  </si>
  <si>
    <t>0005- 00006784</t>
  </si>
  <si>
    <t>0005- 00038720</t>
  </si>
  <si>
    <t>0005- 00038724</t>
  </si>
  <si>
    <t>0005- 00038722</t>
  </si>
  <si>
    <t>0014 00045109</t>
  </si>
  <si>
    <t>0014 00045110</t>
  </si>
  <si>
    <t>0014 00045179</t>
  </si>
  <si>
    <t>0014 00045180</t>
  </si>
  <si>
    <t>0014 00045181</t>
  </si>
  <si>
    <t>0005- 00038786</t>
  </si>
  <si>
    <t>0005- 00038787</t>
  </si>
  <si>
    <t>0005- 00038788</t>
  </si>
  <si>
    <t>0014 00045182</t>
  </si>
  <si>
    <t>0005- 00038791</t>
  </si>
  <si>
    <t>0005- 00038792</t>
  </si>
  <si>
    <t xml:space="preserve"> 0005- 00038793</t>
  </si>
  <si>
    <t>0005- 00038794</t>
  </si>
  <si>
    <t>0005- 00038795</t>
  </si>
  <si>
    <t>0014 00045209</t>
  </si>
  <si>
    <t>0014 00045210</t>
  </si>
  <si>
    <t>ACMED S A</t>
  </si>
  <si>
    <t>0005- 00038836</t>
  </si>
  <si>
    <t>MEDICAL CROSS S.A.</t>
  </si>
  <si>
    <t>0005- 00038837</t>
  </si>
  <si>
    <t>MEDIPREMIUM SA</t>
  </si>
  <si>
    <t>0005- 00038838</t>
  </si>
  <si>
    <t>RED PRESTACIONAL SA</t>
  </si>
  <si>
    <t>0005- 00038839</t>
  </si>
  <si>
    <t>CEMAIR SA</t>
  </si>
  <si>
    <t>0005- 00038840</t>
  </si>
  <si>
    <t>MAS METROS CATAMARCA S.R.L.</t>
  </si>
  <si>
    <t>0005- 00038841</t>
  </si>
  <si>
    <t>REAL COLOR S.R.L</t>
  </si>
  <si>
    <t>0021 00004199</t>
  </si>
  <si>
    <t>0021 00004198</t>
  </si>
  <si>
    <t>0021 00004197</t>
  </si>
  <si>
    <t>0021 00004196</t>
  </si>
  <si>
    <t>0005- 00038903</t>
  </si>
  <si>
    <t>0005- 00038911</t>
  </si>
  <si>
    <t>0005- 00038933</t>
  </si>
  <si>
    <t>0014 00045304</t>
  </si>
  <si>
    <t>0014 00045311</t>
  </si>
  <si>
    <t>0005- 00038904</t>
  </si>
  <si>
    <t>0005- 00038912</t>
  </si>
  <si>
    <t>0005- 00038934</t>
  </si>
  <si>
    <t>0014 00045305</t>
  </si>
  <si>
    <t>0014 00045312</t>
  </si>
  <si>
    <t>0005- 00038905</t>
  </si>
  <si>
    <t>0005- 00038913</t>
  </si>
  <si>
    <t>0005- 00038935</t>
  </si>
  <si>
    <t>0014 00045306</t>
  </si>
  <si>
    <t>0014 00045313</t>
  </si>
  <si>
    <t>0005- 00038908</t>
  </si>
  <si>
    <t>0005- 00038915</t>
  </si>
  <si>
    <t>0005- 00038937</t>
  </si>
  <si>
    <t>0014 00045308</t>
  </si>
  <si>
    <t>0014 00045315</t>
  </si>
  <si>
    <t>MEDICAID SALUD S.A.</t>
  </si>
  <si>
    <t>0005- 00038909</t>
  </si>
  <si>
    <t>0014 00045309</t>
  </si>
  <si>
    <t>B0005 - 00039903</t>
  </si>
  <si>
    <t>B 0014 00012173</t>
  </si>
  <si>
    <t xml:space="preserve"> 0014 00045310</t>
  </si>
  <si>
    <t>0005- 00038906</t>
  </si>
  <si>
    <t>0005- 00038914</t>
  </si>
  <si>
    <t>0005- 00038936</t>
  </si>
  <si>
    <t>0014 00045307</t>
  </si>
  <si>
    <t>0014 00045314</t>
  </si>
  <si>
    <t>0005- 00038957</t>
  </si>
  <si>
    <t>0005- 00038958</t>
  </si>
  <si>
    <t>0005- 00038978</t>
  </si>
  <si>
    <t>0005- 00038979</t>
  </si>
  <si>
    <t>0005- 00038980</t>
  </si>
  <si>
    <t>0005- 00006783</t>
  </si>
  <si>
    <t>0005- 00006782</t>
  </si>
  <si>
    <t>0005- 00038719</t>
  </si>
  <si>
    <t>0005- 00038721</t>
  </si>
  <si>
    <t>0005- 00038725</t>
  </si>
  <si>
    <t>0014 00037101</t>
  </si>
  <si>
    <t>0014 00037102</t>
  </si>
  <si>
    <t>0014 00037109</t>
  </si>
  <si>
    <t>0014 00041246</t>
  </si>
  <si>
    <t>0014 00041247</t>
  </si>
  <si>
    <t>E N O D SOCIEDAD DE RESPONSABILIDAD</t>
  </si>
  <si>
    <t>0005- 00039025</t>
  </si>
  <si>
    <t>0005- 00039030</t>
  </si>
  <si>
    <t>0014 00045561</t>
  </si>
  <si>
    <t>0014 00045563</t>
  </si>
  <si>
    <t>0014 00045565</t>
  </si>
  <si>
    <t>0014 00045567</t>
  </si>
  <si>
    <t>0014 00045569</t>
  </si>
  <si>
    <t>0005- 00039229</t>
  </si>
  <si>
    <t>0005- 00039230</t>
  </si>
  <si>
    <t>STERIPAPER S.A.</t>
  </si>
  <si>
    <t>0014 00045716</t>
  </si>
  <si>
    <t>0014 00045717</t>
  </si>
  <si>
    <t>0014 00045748</t>
  </si>
  <si>
    <t>0014 00045749</t>
  </si>
  <si>
    <t>0005- 00039281</t>
  </si>
  <si>
    <t>0005- 00039282</t>
  </si>
  <si>
    <t>0014 00045838</t>
  </si>
  <si>
    <t>0014 00045839</t>
  </si>
  <si>
    <t>0014 00045840</t>
  </si>
  <si>
    <t>0014 00000061</t>
  </si>
  <si>
    <t>0014 00000056</t>
  </si>
  <si>
    <t>0005 - 00000040</t>
  </si>
  <si>
    <t>0014 00000065</t>
  </si>
  <si>
    <t>B0014 00012210</t>
  </si>
  <si>
    <t>0005- 00039338</t>
  </si>
  <si>
    <t>0005- 00039339</t>
  </si>
  <si>
    <t>0014 00045846</t>
  </si>
  <si>
    <t>0005- 00039401</t>
  </si>
  <si>
    <t>0005- 00039403</t>
  </si>
  <si>
    <t>0005- 00039402</t>
  </si>
  <si>
    <t>0014 00045849</t>
  </si>
  <si>
    <t>0014 00045847</t>
  </si>
  <si>
    <t>0005- 00039444</t>
  </si>
  <si>
    <t>0014 00045860</t>
  </si>
  <si>
    <t>0014 00045859</t>
  </si>
  <si>
    <t>0014 00045858</t>
  </si>
  <si>
    <t>0014 00045856</t>
  </si>
  <si>
    <t>0014 00045855</t>
  </si>
  <si>
    <t>0005- 00039450</t>
  </si>
  <si>
    <t>0005- 00039451</t>
  </si>
  <si>
    <t>0005- 00039453</t>
  </si>
  <si>
    <t>0005- 00039454</t>
  </si>
  <si>
    <t>0005- 00039455</t>
  </si>
  <si>
    <t>0005- 00039469</t>
  </si>
  <si>
    <t>23/24/25/26/28</t>
  </si>
  <si>
    <t>0005- 00039470</t>
  </si>
  <si>
    <t>0005- 00039471</t>
  </si>
  <si>
    <t>0005- 00039472</t>
  </si>
  <si>
    <t>0005- 00039473</t>
  </si>
  <si>
    <t>0005- 00039468</t>
  </si>
  <si>
    <t>0014 00045862</t>
  </si>
  <si>
    <t>28-8</t>
  </si>
  <si>
    <t>0014 00045863</t>
  </si>
  <si>
    <t>0014 00045864</t>
  </si>
  <si>
    <t>0014 00045865</t>
  </si>
  <si>
    <t>0014 00045901</t>
  </si>
  <si>
    <t>0005- 00039476</t>
  </si>
  <si>
    <t>0005- 00039474</t>
  </si>
  <si>
    <t>C &amp; C SERVICIOS INFORMATICO</t>
  </si>
  <si>
    <t>0005- 00039475</t>
  </si>
  <si>
    <t>Juan contador</t>
  </si>
  <si>
    <t>B00017-00000018</t>
  </si>
  <si>
    <t>B00017-00000019</t>
  </si>
  <si>
    <t>STOLIN S.R.L.</t>
  </si>
  <si>
    <t>A 0004 - 00000706</t>
  </si>
  <si>
    <t>ALE EPZTEIN</t>
  </si>
  <si>
    <t>UP SOLUCIONES S.R.L.</t>
  </si>
  <si>
    <t>CONSTRULEVEN S.A.</t>
  </si>
  <si>
    <t>00001-00000440</t>
  </si>
  <si>
    <t>00001-00000434</t>
  </si>
  <si>
    <t>00001-00000432</t>
  </si>
  <si>
    <t>00001-00000437</t>
  </si>
  <si>
    <t>GURUMAS SRL</t>
  </si>
  <si>
    <t>00001-00000439</t>
  </si>
  <si>
    <t>00001-00000436</t>
  </si>
  <si>
    <t>Farmacia Jujuy S.A.</t>
  </si>
  <si>
    <t>B 0002 - 00011882</t>
  </si>
  <si>
    <t>0014 00046298</t>
  </si>
  <si>
    <t>0014 00046303</t>
  </si>
  <si>
    <t>0014 00046321</t>
  </si>
  <si>
    <t>0014 00046332</t>
  </si>
  <si>
    <t>C &amp; C SERVICIOS INFORMATICOS</t>
  </si>
  <si>
    <t>0014 00046299</t>
  </si>
  <si>
    <t>0014 00046305</t>
  </si>
  <si>
    <t>0014 00046322</t>
  </si>
  <si>
    <t>0014 00046329</t>
  </si>
  <si>
    <t>0014 00046300</t>
  </si>
  <si>
    <t>0014 00046308</t>
  </si>
  <si>
    <t>0014 00046302</t>
  </si>
  <si>
    <t>0014 00046331</t>
  </si>
  <si>
    <t>0014 00046304</t>
  </si>
  <si>
    <t>0014 00046330</t>
  </si>
  <si>
    <t>0014 00046307</t>
  </si>
  <si>
    <t>0014 00046327</t>
  </si>
  <si>
    <t>0014 00046324</t>
  </si>
  <si>
    <t>0014 00046325</t>
  </si>
  <si>
    <t>0014 00046326</t>
  </si>
  <si>
    <t>0014 00046301</t>
  </si>
  <si>
    <t>0014 00046306</t>
  </si>
  <si>
    <t>0014 00046323</t>
  </si>
  <si>
    <t>0014 00046328</t>
  </si>
  <si>
    <t>00027-00001602</t>
  </si>
  <si>
    <t>0014 00046487</t>
  </si>
  <si>
    <t>0014 00046485</t>
  </si>
  <si>
    <t xml:space="preserve"> 0014 00046486</t>
  </si>
  <si>
    <t>0014 00046488</t>
  </si>
  <si>
    <t>0014 00046489</t>
  </si>
  <si>
    <t>0014 00046491</t>
  </si>
  <si>
    <t>0014 00046492</t>
  </si>
  <si>
    <t xml:space="preserve">NUTRISIMA S.A </t>
  </si>
  <si>
    <t>00027-00001603</t>
  </si>
  <si>
    <t xml:space="preserve">SERVICIOS MEDICOS SANTA JULIA S.A </t>
  </si>
  <si>
    <t>00027-00001604</t>
  </si>
  <si>
    <t>GA-MA MEDIC SOCIEDAD ANONIMA</t>
  </si>
  <si>
    <t>00027-00001605</t>
  </si>
  <si>
    <t>BUBYTEX S.R.L</t>
  </si>
  <si>
    <t>00006-00005136</t>
  </si>
  <si>
    <t>LONKEL S.R.L</t>
  </si>
  <si>
    <t>00001-00001620</t>
  </si>
  <si>
    <t>EL RINCON DEL ESTUDIANTE S.A</t>
  </si>
  <si>
    <t>00003-00006120</t>
  </si>
  <si>
    <t>LERNER ALBERTO ANGEL</t>
  </si>
  <si>
    <t>00006-00000070</t>
  </si>
  <si>
    <t>00006-00000069</t>
  </si>
  <si>
    <t>00006-00000068</t>
  </si>
  <si>
    <t>00027-00001607</t>
  </si>
  <si>
    <t>TIENDA MERCADO HERRAMIENTAS</t>
  </si>
  <si>
    <t>00027-00001608</t>
  </si>
  <si>
    <t>00017-00001119</t>
  </si>
  <si>
    <t>0014 00046530</t>
  </si>
  <si>
    <t>0014 00046531</t>
  </si>
  <si>
    <t>0014 00046532</t>
  </si>
  <si>
    <t>0014 00046542</t>
  </si>
  <si>
    <t xml:space="preserve"> 0014 00046543</t>
  </si>
  <si>
    <t>SPIRIT GROUP SRL</t>
  </si>
  <si>
    <t>0002-00035193</t>
  </si>
  <si>
    <t>SLIM FIT S.A.S. (015)</t>
  </si>
  <si>
    <t>0002-00035215</t>
  </si>
  <si>
    <t>QUOMO TEXTIL SRL (996)</t>
  </si>
  <si>
    <t>0002-00035255</t>
  </si>
  <si>
    <t>0002-00035272</t>
  </si>
  <si>
    <t>OH ESTELA VERONICA</t>
  </si>
  <si>
    <t>0002-00035326</t>
  </si>
  <si>
    <t>LEVY JONATHAN</t>
  </si>
  <si>
    <t>0002-00035339</t>
  </si>
  <si>
    <t>NUTRISIMA S. A.</t>
  </si>
  <si>
    <t>00004-00000011</t>
  </si>
  <si>
    <t>SERVICIOS MEDICOS SANTA JULIA S.A.</t>
  </si>
  <si>
    <t>00004-00000012</t>
  </si>
  <si>
    <t>00004-00000013</t>
  </si>
  <si>
    <t>0014 00046654</t>
  </si>
  <si>
    <t>0014 00046655</t>
  </si>
  <si>
    <t>B 0014 00012261</t>
  </si>
  <si>
    <t>0005- 00040427</t>
  </si>
  <si>
    <t>0005- 00040428</t>
  </si>
  <si>
    <t>B0005 - 00039911</t>
  </si>
  <si>
    <t>B0005 - 00039912</t>
  </si>
  <si>
    <t>0005- 00040441</t>
  </si>
  <si>
    <t>0005 - 00000055</t>
  </si>
  <si>
    <t>0005 - 00000056</t>
  </si>
  <si>
    <t>KORDON OSHER JONATAN</t>
  </si>
  <si>
    <t>00033-00000014</t>
  </si>
  <si>
    <t>RITAIL S R L</t>
  </si>
  <si>
    <t>0005- 00040442</t>
  </si>
  <si>
    <t>0005- 00040443</t>
  </si>
  <si>
    <t>0005- 00040444</t>
  </si>
  <si>
    <t>0005- 00040445</t>
  </si>
  <si>
    <t>0005- 00040446</t>
  </si>
  <si>
    <t>DONDERA S. A.</t>
  </si>
  <si>
    <t>0005- 00040546</t>
  </si>
  <si>
    <t>0005- 00039024</t>
  </si>
  <si>
    <t>0005- 00039026</t>
  </si>
  <si>
    <t>0005- 00039029</t>
  </si>
  <si>
    <t>0005- 00039031</t>
  </si>
  <si>
    <t>0014 00041248</t>
  </si>
  <si>
    <t>0014 00041249</t>
  </si>
  <si>
    <t>0014 00041250</t>
  </si>
  <si>
    <t>0014 00041251</t>
  </si>
  <si>
    <t>0005- 00040783</t>
  </si>
  <si>
    <t>0005- 00040779</t>
  </si>
  <si>
    <t>0005- 00040781</t>
  </si>
  <si>
    <t>0005- 00040780</t>
  </si>
  <si>
    <t>0005- 00040778</t>
  </si>
  <si>
    <t>0005- 00040782</t>
  </si>
  <si>
    <t>0005- 00040784</t>
  </si>
  <si>
    <t>0005- 00040786</t>
  </si>
  <si>
    <t>0005- 00040788</t>
  </si>
  <si>
    <t>0005- 00040787</t>
  </si>
  <si>
    <t>0005- 00040785</t>
  </si>
  <si>
    <t>0014 00046968</t>
  </si>
  <si>
    <t>0014 00046970</t>
  </si>
  <si>
    <t>0014 00046967</t>
  </si>
  <si>
    <t>0014 00046969</t>
  </si>
  <si>
    <t>0014 00046971</t>
  </si>
  <si>
    <t>FERNANDEZ GRIJALVA JOAQUIN PATRICIO</t>
  </si>
  <si>
    <t>JACME TEX S.R.L.</t>
  </si>
  <si>
    <t>00004/00003097</t>
  </si>
  <si>
    <t>0005- 00040848</t>
  </si>
  <si>
    <t>0005- 00040866</t>
  </si>
  <si>
    <t>0005- 00040867</t>
  </si>
  <si>
    <t>0005- 00040868</t>
  </si>
  <si>
    <t>0005- 00040865</t>
  </si>
  <si>
    <t>0005- 00040869</t>
  </si>
  <si>
    <t>CLUB ATLETICO RIVER PLATE ASOC CIVIL</t>
  </si>
  <si>
    <t>EL FARO DIECIOCHO DE TANDIL S. R. L.</t>
  </si>
  <si>
    <t>00004-00000001</t>
  </si>
  <si>
    <t>MANTRA BEAUTY S.A.</t>
  </si>
  <si>
    <t>0014 00047174</t>
  </si>
  <si>
    <t>0014 00047257</t>
  </si>
  <si>
    <t>0014 00047259</t>
  </si>
  <si>
    <t>0014 00047260</t>
  </si>
  <si>
    <t>0014 00047261</t>
  </si>
  <si>
    <t>0014 00047262</t>
  </si>
  <si>
    <t>0014 00047263</t>
  </si>
  <si>
    <t>0005- 00041125</t>
  </si>
  <si>
    <t>0005- 00041126</t>
  </si>
  <si>
    <t>0005- 00041127</t>
  </si>
  <si>
    <t>0005- 00041129</t>
  </si>
  <si>
    <t xml:space="preserve"> 0005- 00041130</t>
  </si>
  <si>
    <t>0005- 00041123</t>
  </si>
  <si>
    <t>0014 00047265</t>
  </si>
  <si>
    <t>0014 00047266</t>
  </si>
  <si>
    <t>00004-00000002</t>
  </si>
  <si>
    <t>0014 00047302</t>
  </si>
  <si>
    <t>0014 00047304</t>
  </si>
  <si>
    <t>SAINT GERMAIN S. R. L.</t>
  </si>
  <si>
    <t>0014 00047303</t>
  </si>
  <si>
    <t>0014 00047305</t>
  </si>
  <si>
    <t>0014 00000075</t>
  </si>
  <si>
    <t>0014 00000076</t>
  </si>
  <si>
    <t>0005 - 00000048</t>
  </si>
  <si>
    <t>0005 - 00000049</t>
  </si>
  <si>
    <t>0005- 00041171</t>
  </si>
  <si>
    <t>0005- 00041172</t>
  </si>
  <si>
    <t>0005- 00041173</t>
  </si>
  <si>
    <t>0014 00047324</t>
  </si>
  <si>
    <t>0014 00047325</t>
  </si>
  <si>
    <t>0014 00047327</t>
  </si>
  <si>
    <t>NEUSTADT MARIANA JUDITH</t>
  </si>
  <si>
    <t>0014 00047356</t>
  </si>
  <si>
    <t>0014 00047357</t>
  </si>
  <si>
    <t>0014 00047424</t>
  </si>
  <si>
    <t>0014 00047425</t>
  </si>
  <si>
    <t>0014 00047426</t>
  </si>
  <si>
    <t>0014 00047427</t>
  </si>
  <si>
    <t>0014 00047428</t>
  </si>
  <si>
    <t>0005- 00041278</t>
  </si>
  <si>
    <t>0005- 00041279</t>
  </si>
  <si>
    <t>0005- 00041280</t>
  </si>
  <si>
    <t>0005- 00041282</t>
  </si>
  <si>
    <t>0005- 00041284</t>
  </si>
  <si>
    <t>0014 00047430</t>
  </si>
  <si>
    <t>0014 00047429</t>
  </si>
  <si>
    <t>26-8</t>
  </si>
  <si>
    <t>0014 00047431</t>
  </si>
  <si>
    <t>0014 00047435</t>
  </si>
  <si>
    <t>0014 00000997</t>
  </si>
  <si>
    <t>0014 00000999</t>
  </si>
  <si>
    <t>0014 00000998</t>
  </si>
  <si>
    <t>0014 00047456</t>
  </si>
  <si>
    <t>0014 00047457</t>
  </si>
  <si>
    <t>0014 00047458</t>
  </si>
  <si>
    <t>0014 00047518</t>
  </si>
  <si>
    <t>0014 00047516</t>
  </si>
  <si>
    <t>0014 00047519</t>
  </si>
  <si>
    <t>0005- 00041344</t>
  </si>
  <si>
    <t>0005- 00041345</t>
  </si>
  <si>
    <t>0005- 00041346</t>
  </si>
  <si>
    <t>B 0014 00012306</t>
  </si>
  <si>
    <t>0014 00047655</t>
  </si>
  <si>
    <t>0014 00047658</t>
  </si>
  <si>
    <t>0014 00047661</t>
  </si>
  <si>
    <t>0014 00047657</t>
  </si>
  <si>
    <t>0014 00047659</t>
  </si>
  <si>
    <t>0014 00047660</t>
  </si>
  <si>
    <t>0014 00047662</t>
  </si>
  <si>
    <t>0014 00047663</t>
  </si>
  <si>
    <t>0005- 00041546</t>
  </si>
  <si>
    <t>0005- 00041547</t>
  </si>
  <si>
    <t>0014 00043625</t>
  </si>
  <si>
    <t>0014 00043630</t>
  </si>
  <si>
    <t>0014 00045486</t>
  </si>
  <si>
    <t>0014 00047712</t>
  </si>
  <si>
    <t>0014 00047713</t>
  </si>
  <si>
    <t>0014 00047718</t>
  </si>
  <si>
    <t>0014 00047719</t>
  </si>
  <si>
    <t>0014 00047725</t>
  </si>
  <si>
    <t xml:space="preserve"> 0014 00047726</t>
  </si>
  <si>
    <t>0014 00047731</t>
  </si>
  <si>
    <t>0014 00047732</t>
  </si>
  <si>
    <t>0014 00047736</t>
  </si>
  <si>
    <t>0014 00047737</t>
  </si>
  <si>
    <t>0014 00047738</t>
  </si>
  <si>
    <t>0014 00047740</t>
  </si>
  <si>
    <t>0014 00047741</t>
  </si>
  <si>
    <t>0014 00047742</t>
  </si>
  <si>
    <t>A T X SA</t>
  </si>
  <si>
    <t>0014 00047714</t>
  </si>
  <si>
    <t>0014 00047715</t>
  </si>
  <si>
    <t>0014 00047720</t>
  </si>
  <si>
    <t>0014 00047721</t>
  </si>
  <si>
    <t>0014 00047727</t>
  </si>
  <si>
    <t>0014 00047728</t>
  </si>
  <si>
    <t>0014 00047733</t>
  </si>
  <si>
    <t>0014 00047716</t>
  </si>
  <si>
    <t>0014 00047717</t>
  </si>
  <si>
    <t>0014 00047722</t>
  </si>
  <si>
    <t>0014 00047723</t>
  </si>
  <si>
    <t>0014 00047729</t>
  </si>
  <si>
    <t>0014 00047730</t>
  </si>
  <si>
    <t>0014 00047734</t>
  </si>
  <si>
    <t>RAISVIC SRL</t>
  </si>
  <si>
    <t>00002-00001350</t>
  </si>
  <si>
    <t xml:space="preserve">QUOMO TEXTIL SRL </t>
  </si>
  <si>
    <t>00002-00001353</t>
  </si>
  <si>
    <t>STOLIN SRL</t>
  </si>
  <si>
    <t>00002-00001345</t>
  </si>
  <si>
    <t>00002-00001354</t>
  </si>
  <si>
    <t>00002-00001347</t>
  </si>
  <si>
    <t>00002-00001343</t>
  </si>
  <si>
    <t>00002-00001352</t>
  </si>
  <si>
    <t>00002-00001355</t>
  </si>
  <si>
    <t>00002-00001351</t>
  </si>
  <si>
    <t>00002-00001356</t>
  </si>
  <si>
    <t>00002-00001348</t>
  </si>
  <si>
    <t>00002-00001344</t>
  </si>
  <si>
    <t>00002-00001346</t>
  </si>
  <si>
    <t>00002-00001349</t>
  </si>
  <si>
    <t>0002-00035459</t>
  </si>
  <si>
    <t>0002-00035510</t>
  </si>
  <si>
    <t xml:space="preserve">SLIM FIT S.A.S. </t>
  </si>
  <si>
    <t>0002-00035419</t>
  </si>
  <si>
    <t>0014 00047882</t>
  </si>
  <si>
    <t>10-11-12 / 009</t>
  </si>
  <si>
    <t>0014 00047883</t>
  </si>
  <si>
    <t>0014 00047885</t>
  </si>
  <si>
    <t>0014 00047887</t>
  </si>
  <si>
    <t>0014 00047889</t>
  </si>
  <si>
    <t>0014 00047892</t>
  </si>
  <si>
    <t>0014 00047884</t>
  </si>
  <si>
    <t>0014 00047888</t>
  </si>
  <si>
    <t>00001-00000491</t>
  </si>
  <si>
    <t>00001-00000490</t>
  </si>
  <si>
    <t>00001-00000489</t>
  </si>
  <si>
    <t>00001-00000487</t>
  </si>
  <si>
    <t>00001-00000488</t>
  </si>
  <si>
    <t>DYKTEL S.A.</t>
  </si>
  <si>
    <t>0014 00047893</t>
  </si>
  <si>
    <t>0014 00047894</t>
  </si>
  <si>
    <t>0014 00047895</t>
  </si>
  <si>
    <t>juan contador</t>
  </si>
  <si>
    <t>YAMAGUI</t>
  </si>
  <si>
    <t>00017-00001186</t>
  </si>
  <si>
    <t>BURGER COUPLE HOUSE</t>
  </si>
  <si>
    <t>00017-00001188</t>
  </si>
  <si>
    <t>BURGER COUPLE 3 S. R. L</t>
  </si>
  <si>
    <t>00017-00001187</t>
  </si>
  <si>
    <t xml:space="preserve">TALSA </t>
  </si>
  <si>
    <t>0008-00003757</t>
  </si>
  <si>
    <t>0005- 00041947</t>
  </si>
  <si>
    <t>0014 00047982</t>
  </si>
  <si>
    <t>0014 00047983</t>
  </si>
  <si>
    <t>0005- 00041948</t>
  </si>
  <si>
    <t>0005- 00041949</t>
  </si>
  <si>
    <t>0014 00047984</t>
  </si>
  <si>
    <t>SIN TRA</t>
  </si>
  <si>
    <t>0026-00016780</t>
  </si>
  <si>
    <t>0026-00016779</t>
  </si>
  <si>
    <t>0026-00016781</t>
  </si>
  <si>
    <t>0026-00016777</t>
  </si>
  <si>
    <t>X</t>
  </si>
  <si>
    <t>0026-00016776</t>
  </si>
  <si>
    <t>0026-00016775</t>
  </si>
  <si>
    <t>0026-00016774</t>
  </si>
  <si>
    <t>0026-00016773</t>
  </si>
  <si>
    <t>alejandro cont</t>
  </si>
  <si>
    <t>CAISEN S.R.L.</t>
  </si>
  <si>
    <t>DHN DISTRIBUCIONES HORIZONTALES</t>
  </si>
  <si>
    <t>00003-00000006</t>
  </si>
  <si>
    <t>00003-00000005</t>
  </si>
  <si>
    <t>DIGITALRAD S.A.</t>
  </si>
  <si>
    <t>00004-00000018</t>
  </si>
  <si>
    <t>PREVENITE SA</t>
  </si>
  <si>
    <t>00004-00000017</t>
  </si>
  <si>
    <t>PRESTACIONES MEDICAS INTEGRALES SAN PEDRO SA</t>
  </si>
  <si>
    <t>00004-00000016</t>
  </si>
  <si>
    <t>MINORD SA</t>
  </si>
  <si>
    <t>00004-00000015</t>
  </si>
  <si>
    <t>S.A.L.U.D.E SA</t>
  </si>
  <si>
    <t>00004-00000014</t>
  </si>
  <si>
    <t>0005- 00041988</t>
  </si>
  <si>
    <t>0005- 00041989</t>
  </si>
  <si>
    <t>CONTENT EVERYWHERE S.A.</t>
  </si>
  <si>
    <t>0005- 00042060</t>
  </si>
  <si>
    <t>0005- 00042062</t>
  </si>
  <si>
    <t>0005- 00042064</t>
  </si>
  <si>
    <t>0005- 00042061</t>
  </si>
  <si>
    <t>0005- 00042063</t>
  </si>
  <si>
    <t>0014 00048101</t>
  </si>
  <si>
    <t>00006-00000080</t>
  </si>
  <si>
    <t>0005- 00042075</t>
  </si>
  <si>
    <t>SILVER VISION S.R.L.</t>
  </si>
  <si>
    <t>00006-00000081</t>
  </si>
  <si>
    <t>0014 00000085</t>
  </si>
  <si>
    <t>0014 00000086</t>
  </si>
  <si>
    <t>0014 00000087</t>
  </si>
  <si>
    <t>0014 00000088</t>
  </si>
  <si>
    <t>LEVY JACOBO MIJAEL</t>
  </si>
  <si>
    <t>00005-00000218</t>
  </si>
  <si>
    <t>0005- 00042160</t>
  </si>
  <si>
    <t>0005- 00042161</t>
  </si>
  <si>
    <t>0005- 00039034</t>
  </si>
  <si>
    <t>0005- 00040619</t>
  </si>
  <si>
    <t>0005- 00040620</t>
  </si>
  <si>
    <t>0005- 00040621</t>
  </si>
  <si>
    <t>0014 00045487</t>
  </si>
  <si>
    <t>0014 00045489</t>
  </si>
  <si>
    <t>0014 00045492</t>
  </si>
  <si>
    <t>0014 00045503</t>
  </si>
  <si>
    <t>0005 - 00000060</t>
  </si>
  <si>
    <t>0005 - 00000061</t>
  </si>
  <si>
    <t>0005 - 00000062</t>
  </si>
  <si>
    <t>0005- 00042329</t>
  </si>
  <si>
    <t>0005- 00042331</t>
  </si>
  <si>
    <t xml:space="preserve"> 0005- 00042333</t>
  </si>
  <si>
    <t>0005- 00042334</t>
  </si>
  <si>
    <t>0005- 00042336</t>
  </si>
  <si>
    <t>0005- 00042337</t>
  </si>
  <si>
    <t>0014 00048351</t>
  </si>
  <si>
    <t>0014 00048352</t>
  </si>
  <si>
    <t>0014 00048354</t>
  </si>
  <si>
    <t>0014 00048362</t>
  </si>
  <si>
    <t>0014 00048356</t>
  </si>
  <si>
    <t xml:space="preserve"> 0014 00048358</t>
  </si>
  <si>
    <t>0014 00048359</t>
  </si>
  <si>
    <t>0014 00048353</t>
  </si>
  <si>
    <t>0014 00048357</t>
  </si>
  <si>
    <t>0014 00048360</t>
  </si>
  <si>
    <t>0005- 00042330</t>
  </si>
  <si>
    <t>0005- 00042332</t>
  </si>
  <si>
    <t>0005- 00042335</t>
  </si>
  <si>
    <t>0005- 00042370</t>
  </si>
  <si>
    <t>0005- 00042371</t>
  </si>
  <si>
    <t>0014 00048450</t>
  </si>
  <si>
    <t>0014 00048443</t>
  </si>
  <si>
    <t>0014 00048446</t>
  </si>
  <si>
    <t>0014 00048449</t>
  </si>
  <si>
    <t>0014 00048445</t>
  </si>
  <si>
    <t>0014 00048444</t>
  </si>
  <si>
    <t>0014 00048448</t>
  </si>
  <si>
    <t>0014 00012347</t>
  </si>
  <si>
    <t>0005 - 00039928</t>
  </si>
  <si>
    <t>0005 - 00039929</t>
  </si>
  <si>
    <t>0014 00048526</t>
  </si>
  <si>
    <t>0005- 00042447</t>
  </si>
  <si>
    <t>0014 00048527</t>
  </si>
  <si>
    <t>0014 00048528</t>
  </si>
  <si>
    <t>FV HOLDING SRL</t>
  </si>
  <si>
    <t>0005- 00042464</t>
  </si>
  <si>
    <t>0014 00048539</t>
  </si>
  <si>
    <t>0014 00048536</t>
  </si>
  <si>
    <t>0014 00048537</t>
  </si>
  <si>
    <t>0014 00048538</t>
  </si>
  <si>
    <t>0014 00048540</t>
  </si>
  <si>
    <t>0014 00048541</t>
  </si>
  <si>
    <t>0005 - 00000063</t>
  </si>
  <si>
    <t>0005 - 00000064</t>
  </si>
  <si>
    <t>0014 00048743</t>
  </si>
  <si>
    <t>0014 00048776</t>
  </si>
  <si>
    <t>0014 00048772</t>
  </si>
  <si>
    <t>0014 00048773</t>
  </si>
  <si>
    <t>0014 00048774</t>
  </si>
  <si>
    <t>0014 00048775</t>
  </si>
  <si>
    <t>0005- 00042704</t>
  </si>
  <si>
    <t>0014 00048794</t>
  </si>
  <si>
    <t>0014 00048793</t>
  </si>
  <si>
    <t>0014 00000091</t>
  </si>
  <si>
    <t>0014 00000090</t>
  </si>
  <si>
    <t>0005- 00042775</t>
  </si>
  <si>
    <t>0014 00048893</t>
  </si>
  <si>
    <t>0014 00048917</t>
  </si>
  <si>
    <t>0014 00048918</t>
  </si>
  <si>
    <t>0005 - 00000053</t>
  </si>
  <si>
    <t>0005 - 00000054</t>
  </si>
  <si>
    <t>0014 00000080</t>
  </si>
  <si>
    <t>0014 00049033</t>
  </si>
  <si>
    <t>0005- 00042992</t>
  </si>
  <si>
    <t>0005- 00043096</t>
  </si>
  <si>
    <t>0005- 00043097</t>
  </si>
  <si>
    <t>0014 00012375</t>
  </si>
  <si>
    <t>0005- 00043093</t>
  </si>
  <si>
    <t>0005- 00043101</t>
  </si>
  <si>
    <t>0014 00000081</t>
  </si>
  <si>
    <t>0005 - 00000058</t>
  </si>
  <si>
    <t>0014 00000083</t>
  </si>
  <si>
    <t>0005- 00043190</t>
  </si>
  <si>
    <t>0005- 00043192</t>
  </si>
  <si>
    <t>0005- 00043194</t>
  </si>
  <si>
    <t>0005- 00043191</t>
  </si>
  <si>
    <t>0005- 00043193</t>
  </si>
  <si>
    <t>0014 00049155</t>
  </si>
  <si>
    <t>0014 00049157</t>
  </si>
  <si>
    <t>0014 00049168</t>
  </si>
  <si>
    <t>VEGA Y CAMJI S A I C</t>
  </si>
  <si>
    <t>0014 00049211</t>
  </si>
  <si>
    <t>0005- 00043273</t>
  </si>
  <si>
    <t>VINZALAB SA</t>
  </si>
  <si>
    <t>0005- 00043271</t>
  </si>
  <si>
    <t>0005- 00043272</t>
  </si>
  <si>
    <t>0005- 00043274</t>
  </si>
  <si>
    <t>0005- 00043275</t>
  </si>
  <si>
    <t>0005- 00043276</t>
  </si>
  <si>
    <t>0014 00049209</t>
  </si>
  <si>
    <t>0014 00049210</t>
  </si>
  <si>
    <t>0014 00049212</t>
  </si>
  <si>
    <t>ESCALUM INVESTMENT S.A.</t>
  </si>
  <si>
    <t>0014 00049261</t>
  </si>
  <si>
    <t>0014 00049266</t>
  </si>
  <si>
    <t>0005- 00043323</t>
  </si>
  <si>
    <t>APR ENERGY S.R.L.</t>
  </si>
  <si>
    <t>0014 00049262</t>
  </si>
  <si>
    <t>0005- 00043324</t>
  </si>
  <si>
    <t>DRACONIS S.A.</t>
  </si>
  <si>
    <t>0005- 00043325</t>
  </si>
  <si>
    <t>0014 00049263</t>
  </si>
  <si>
    <t>0005- 00043322</t>
  </si>
  <si>
    <t>0014 00049264</t>
  </si>
  <si>
    <t>0014 00049265</t>
  </si>
  <si>
    <t>ALEJANDRO NEGRO S.R.L</t>
  </si>
  <si>
    <t>0004-01000532</t>
  </si>
  <si>
    <t>0004-01000531</t>
  </si>
  <si>
    <t>0004-01000530</t>
  </si>
  <si>
    <t>0004-01000529</t>
  </si>
  <si>
    <t>LA PREFERIDA SRL</t>
  </si>
  <si>
    <t>0014 00049364</t>
  </si>
  <si>
    <t>0014 00049365</t>
  </si>
  <si>
    <t>0014 00049366</t>
  </si>
  <si>
    <t>0014 00049374</t>
  </si>
  <si>
    <t>0014 00049375</t>
  </si>
  <si>
    <t>FORESTEX S.R.L</t>
  </si>
  <si>
    <t>00002-00002421</t>
  </si>
  <si>
    <t>Super Congelados Río de la Plata SA</t>
  </si>
  <si>
    <t>0005-00012051</t>
  </si>
  <si>
    <t>0002-00035638</t>
  </si>
  <si>
    <t>0002-00035680</t>
  </si>
  <si>
    <t>0002-00035768</t>
  </si>
  <si>
    <t>0002-00035708</t>
  </si>
  <si>
    <t>00002-00000028</t>
  </si>
  <si>
    <t>00002-00000029</t>
  </si>
  <si>
    <t>00002-00000030</t>
  </si>
  <si>
    <t>00002-00000031</t>
  </si>
  <si>
    <t>00002-00000032</t>
  </si>
  <si>
    <t>00006-00000012</t>
  </si>
  <si>
    <t>26-11</t>
  </si>
  <si>
    <t>00006-00000013</t>
  </si>
  <si>
    <t>00006-00000014</t>
  </si>
  <si>
    <t>00006-00000015</t>
  </si>
  <si>
    <t>00006-00000016</t>
  </si>
  <si>
    <t>00006-00000017</t>
  </si>
  <si>
    <t>00006-00000018</t>
  </si>
  <si>
    <t>00002-00000033</t>
  </si>
  <si>
    <t>00002-00000034</t>
  </si>
  <si>
    <t>P.I.T. S.R.L.</t>
  </si>
  <si>
    <t>00006-00000214</t>
  </si>
  <si>
    <t>MULTIPLOS S.A.S.</t>
  </si>
  <si>
    <t>00006-00000215</t>
  </si>
  <si>
    <t>00006-00000216</t>
  </si>
  <si>
    <t>00002-00000035</t>
  </si>
  <si>
    <t>00002-00000036</t>
  </si>
  <si>
    <t>DERRIBANDOMUROS S.R.L.</t>
  </si>
  <si>
    <t>00004-00000101</t>
  </si>
  <si>
    <t>0014 00049599</t>
  </si>
  <si>
    <t>0005- 00043741</t>
  </si>
  <si>
    <t>0005- 00043843</t>
  </si>
  <si>
    <t>0005- 00007804</t>
  </si>
  <si>
    <t>0005- 00043875</t>
  </si>
  <si>
    <t>0014 00000095</t>
  </si>
  <si>
    <t>0014 00000096</t>
  </si>
  <si>
    <t>0005 - 00000073</t>
  </si>
  <si>
    <t>0005 - 00000074</t>
  </si>
  <si>
    <t>0005- 00044094</t>
  </si>
  <si>
    <t>0005- 00044087</t>
  </si>
  <si>
    <t>0005- 00044099</t>
  </si>
  <si>
    <t>0014 00049946</t>
  </si>
  <si>
    <t>0005- 00044091</t>
  </si>
  <si>
    <t>0005- 00044102</t>
  </si>
  <si>
    <t>0005- 00044097</t>
  </si>
  <si>
    <t xml:space="preserve"> 0014 00049949</t>
  </si>
  <si>
    <t>0005- 00044092</t>
  </si>
  <si>
    <t>0014 00049944</t>
  </si>
  <si>
    <t>0005- 00044093</t>
  </si>
  <si>
    <t>0005- 00044085</t>
  </si>
  <si>
    <t>0005- 00044098</t>
  </si>
  <si>
    <t>0014 00049945</t>
  </si>
  <si>
    <t>0005- 00044088</t>
  </si>
  <si>
    <t>0005- 00044100</t>
  </si>
  <si>
    <t>0005- 00044095</t>
  </si>
  <si>
    <t>0014 00049947</t>
  </si>
  <si>
    <t>0005- 00044090</t>
  </si>
  <si>
    <t>0005- 00044101</t>
  </si>
  <si>
    <t>0005- 00044096</t>
  </si>
  <si>
    <t>0014 00049948</t>
  </si>
  <si>
    <t>0014 00050005</t>
  </si>
  <si>
    <t>INDIAN ARGENTINA S.A.</t>
  </si>
  <si>
    <t>0014 00050006</t>
  </si>
  <si>
    <t>0014 00050007</t>
  </si>
  <si>
    <t xml:space="preserve"> 0014 00050008</t>
  </si>
  <si>
    <t>0014 00050022</t>
  </si>
  <si>
    <t>0014 00050025</t>
  </si>
  <si>
    <t>0014 00050027</t>
  </si>
  <si>
    <t>0014 00050030</t>
  </si>
  <si>
    <t>0014 00050032</t>
  </si>
  <si>
    <t>0014 00050023</t>
  </si>
  <si>
    <t>0014 00050028</t>
  </si>
  <si>
    <t>0005- 00044218</t>
  </si>
  <si>
    <t>0014 00050024</t>
  </si>
  <si>
    <t>0014 00050029</t>
  </si>
  <si>
    <t>0005- 00044219</t>
  </si>
  <si>
    <t>0014 00050026</t>
  </si>
  <si>
    <t>0014 00050031</t>
  </si>
  <si>
    <t>0005- 00044220</t>
  </si>
  <si>
    <t>B0005 - 00039943</t>
  </si>
  <si>
    <t>B0005 - 00039944</t>
  </si>
  <si>
    <t>0005- 00044333</t>
  </si>
  <si>
    <t>0005- 00044334</t>
  </si>
  <si>
    <t>0005- 00044335</t>
  </si>
  <si>
    <t>0005- 00044336</t>
  </si>
  <si>
    <t>0005- 00044337</t>
  </si>
  <si>
    <t>0014 00050116</t>
  </si>
  <si>
    <t>0014 00050117</t>
  </si>
  <si>
    <t>0014 00050118</t>
  </si>
  <si>
    <t>0014 00050119</t>
  </si>
  <si>
    <t>0014 00050120</t>
  </si>
  <si>
    <t>CLINICA BASILEA SA</t>
  </si>
  <si>
    <t>0014 00050244</t>
  </si>
  <si>
    <t>0014 00050243</t>
  </si>
  <si>
    <t>0014 00050245</t>
  </si>
  <si>
    <t>00002-00002425</t>
  </si>
  <si>
    <t>0014 00050323</t>
  </si>
  <si>
    <t>0014 00050325</t>
  </si>
  <si>
    <t>0005- 00044538</t>
  </si>
  <si>
    <t>GYULAND S.R.L.</t>
  </si>
  <si>
    <t>0005- 00044539</t>
  </si>
  <si>
    <t>0014 00050327</t>
  </si>
  <si>
    <t>0005- 00044617</t>
  </si>
  <si>
    <t>0005- 00044618</t>
  </si>
  <si>
    <t>0005- 00007956</t>
  </si>
  <si>
    <t>0014 00050393</t>
  </si>
  <si>
    <t>0014 00050394</t>
  </si>
  <si>
    <t>0005- 00044653</t>
  </si>
  <si>
    <t>0005- 00044654</t>
  </si>
  <si>
    <t>SINDICATO UNICO DE SERENOS D</t>
  </si>
  <si>
    <t>B 0014 00012437</t>
  </si>
  <si>
    <t>0005- 00044726</t>
  </si>
  <si>
    <t>0005- 00044727</t>
  </si>
  <si>
    <t>0005- 00044725</t>
  </si>
  <si>
    <t>0005- 00044728</t>
  </si>
  <si>
    <t>0005- 00044730</t>
  </si>
  <si>
    <t>0005- 00044729</t>
  </si>
  <si>
    <t>0014 00050484</t>
  </si>
  <si>
    <t>0014 00050483</t>
  </si>
  <si>
    <t>0014 00050486</t>
  </si>
  <si>
    <t>0014 00050489</t>
  </si>
  <si>
    <t>0014 00050490</t>
  </si>
  <si>
    <t>0014 00050492</t>
  </si>
  <si>
    <t>MERNO S A</t>
  </si>
  <si>
    <t>0014 00050480</t>
  </si>
  <si>
    <t>0014 00050485</t>
  </si>
  <si>
    <t>0014 00050491</t>
  </si>
  <si>
    <t>0014 00050488</t>
  </si>
  <si>
    <t>0014 00050487</t>
  </si>
  <si>
    <t>0005- 00044777</t>
  </si>
  <si>
    <t>0014 00050538</t>
  </si>
  <si>
    <t>COOK MASTER S R L</t>
  </si>
  <si>
    <t>0005 - 00000076</t>
  </si>
  <si>
    <t>0005 - 00000077</t>
  </si>
  <si>
    <t>0005 - 00000078</t>
  </si>
  <si>
    <t>0005 - 00000079</t>
  </si>
  <si>
    <t>FENIX SALUD SA</t>
  </si>
  <si>
    <t>0014 00050566</t>
  </si>
  <si>
    <t>0014 00050567</t>
  </si>
  <si>
    <t>0014 00050568</t>
  </si>
  <si>
    <t>0005- 00044790</t>
  </si>
  <si>
    <t>0005- 00044791</t>
  </si>
  <si>
    <t>0005- 00044792</t>
  </si>
  <si>
    <t>0005- 00044848</t>
  </si>
  <si>
    <t>0005- 00044866</t>
  </si>
  <si>
    <t>0005- 00044867</t>
  </si>
  <si>
    <t>0005- 00044868</t>
  </si>
  <si>
    <t>0005- 00044869</t>
  </si>
  <si>
    <t>0005- 00044870</t>
  </si>
  <si>
    <t>0005- 00044871</t>
  </si>
  <si>
    <t>0005- 00044872</t>
  </si>
  <si>
    <t>0014 00050605</t>
  </si>
  <si>
    <t>0014 00050606</t>
  </si>
  <si>
    <t>0014 00050607</t>
  </si>
  <si>
    <t>0014 00050608</t>
  </si>
  <si>
    <t>0014 00050609</t>
  </si>
  <si>
    <t>0014 00050610</t>
  </si>
  <si>
    <t>0014 00050611</t>
  </si>
  <si>
    <t>0014 00050612</t>
  </si>
  <si>
    <t>SPIRIT GROUP S.R.L.</t>
  </si>
  <si>
    <t>00002-00002145</t>
  </si>
  <si>
    <t>00002-00002144</t>
  </si>
  <si>
    <t>00002-00002142</t>
  </si>
  <si>
    <t>00002-00002143</t>
  </si>
  <si>
    <t>00002-00002141</t>
  </si>
  <si>
    <t>0014 00050680</t>
  </si>
  <si>
    <t>0014 00050681</t>
  </si>
  <si>
    <t>0014 00050753</t>
  </si>
  <si>
    <t>0014 00050754</t>
  </si>
  <si>
    <t>0014 00050762</t>
  </si>
  <si>
    <t>FORESTEX S.R.L.</t>
  </si>
  <si>
    <t>00002-00002430</t>
  </si>
  <si>
    <t>00002-00002428</t>
  </si>
  <si>
    <t>SANCOR COOPERATIVA DE SEGUROS</t>
  </si>
  <si>
    <t>0009 00000212</t>
  </si>
  <si>
    <t>0014 00001107</t>
  </si>
  <si>
    <t>0014 00001106</t>
  </si>
  <si>
    <t>0014 00001108</t>
  </si>
  <si>
    <t>PWI EVENTS S.R.L</t>
  </si>
  <si>
    <t>0014 00050906</t>
  </si>
  <si>
    <t>0014 00050901</t>
  </si>
  <si>
    <t>ENOD SOCIEDAD DE RESPONSAB</t>
  </si>
  <si>
    <t>0014 00050905</t>
  </si>
  <si>
    <t>0014 00050896</t>
  </si>
  <si>
    <t>0014 00050894</t>
  </si>
  <si>
    <t>0014 00050895</t>
  </si>
  <si>
    <t>0014 00050891</t>
  </si>
  <si>
    <t>DIGNA SEGUROS S.A</t>
  </si>
  <si>
    <t>0014 00050880</t>
  </si>
  <si>
    <t>TORCH S.A</t>
  </si>
  <si>
    <t>0014 00050878</t>
  </si>
  <si>
    <t>0014 00050879</t>
  </si>
  <si>
    <t>0014 00050877</t>
  </si>
  <si>
    <t>0014 00050870</t>
  </si>
  <si>
    <t>0014 00050890</t>
  </si>
  <si>
    <t>0014 00050872</t>
  </si>
  <si>
    <t>0014 00050881</t>
  </si>
  <si>
    <t>0014 00050866</t>
  </si>
  <si>
    <t>0014 00050840</t>
  </si>
  <si>
    <t>0014 00050861</t>
  </si>
  <si>
    <t>0014 00050839</t>
  </si>
  <si>
    <t>0014 00050911</t>
  </si>
  <si>
    <t>0014 00050910</t>
  </si>
  <si>
    <t>0014 00050909</t>
  </si>
  <si>
    <t>0014 00050907</t>
  </si>
  <si>
    <t>0014 00050908</t>
  </si>
  <si>
    <t>SAN TELMO GELATO</t>
  </si>
  <si>
    <t>0014 00050915</t>
  </si>
  <si>
    <t>0014 00050952</t>
  </si>
  <si>
    <t>0014 00050945</t>
  </si>
  <si>
    <t xml:space="preserve">PRESTACIONES MEDICAS INTEGRALES </t>
  </si>
  <si>
    <t>0005- 00045372</t>
  </si>
  <si>
    <t>0005- 00045375</t>
  </si>
  <si>
    <t>0014 00050964</t>
  </si>
  <si>
    <t>0014 00050967</t>
  </si>
  <si>
    <t>0005- 00045373</t>
  </si>
  <si>
    <t>0005- 00045376</t>
  </si>
  <si>
    <t>0014 00050961</t>
  </si>
  <si>
    <t>0014 00050966</t>
  </si>
  <si>
    <t>0005- 00045374</t>
  </si>
  <si>
    <t>0005- 00045377</t>
  </si>
  <si>
    <t>0014 00050962</t>
  </si>
  <si>
    <t>0014 00050965</t>
  </si>
  <si>
    <t>0014 00050963</t>
  </si>
  <si>
    <t>0014 00050970</t>
  </si>
  <si>
    <t>0014 00050971</t>
  </si>
  <si>
    <t>0014 00050973</t>
  </si>
  <si>
    <t>5 ON LINE S.R.L</t>
  </si>
  <si>
    <t>0003-0002829</t>
  </si>
  <si>
    <t>0014 00050995</t>
  </si>
  <si>
    <t>0014 00050997</t>
  </si>
  <si>
    <t>0014 00050999</t>
  </si>
  <si>
    <t>0014 00051001</t>
  </si>
  <si>
    <t>0014 00050996</t>
  </si>
  <si>
    <t>0014 00051002</t>
  </si>
  <si>
    <t>0005- 00045435</t>
  </si>
  <si>
    <t>0005- 00045438</t>
  </si>
  <si>
    <t>0005- 00045437</t>
  </si>
  <si>
    <t>0005- 00045440</t>
  </si>
  <si>
    <t>0014 00051000</t>
  </si>
  <si>
    <t>0013 00004235</t>
  </si>
  <si>
    <t>0005- 00045439</t>
  </si>
  <si>
    <t>0005- 00045436</t>
  </si>
  <si>
    <t>0014 00051003</t>
  </si>
  <si>
    <t>0014 00050998</t>
  </si>
  <si>
    <t>MOHALEM MARIA LUZ DE LOS MILAGROS</t>
  </si>
  <si>
    <t>00005-00000118</t>
  </si>
  <si>
    <t>FARMACIA JUJUY SA</t>
  </si>
  <si>
    <t>00004-00000022</t>
  </si>
  <si>
    <t>QUIROFA S.A.</t>
  </si>
  <si>
    <t>00004-00000023</t>
  </si>
  <si>
    <t>00004-00000020</t>
  </si>
  <si>
    <t>00004-00000021</t>
  </si>
  <si>
    <t>00006-00000024</t>
  </si>
  <si>
    <t>00006-00000025</t>
  </si>
  <si>
    <t>00006-00000026</t>
  </si>
  <si>
    <t>00006-00000027</t>
  </si>
  <si>
    <t>PRESTACIONES MEDICAS INTEGRALES SAN PEDRO</t>
  </si>
  <si>
    <t>00006-00000028</t>
  </si>
  <si>
    <t>0005 - 00000080</t>
  </si>
  <si>
    <t>0005 - 00000081</t>
  </si>
  <si>
    <t>0014 00000097</t>
  </si>
  <si>
    <t>0014 00000098</t>
  </si>
  <si>
    <t>0014 00051073</t>
  </si>
  <si>
    <t>0014 00051074</t>
  </si>
  <si>
    <t>0014 00051075</t>
  </si>
  <si>
    <t>0014 00051076</t>
  </si>
  <si>
    <t>BABED TEXTIL</t>
  </si>
  <si>
    <t>00001-00000512</t>
  </si>
  <si>
    <t>tincol</t>
  </si>
  <si>
    <t>mohalem</t>
  </si>
  <si>
    <t>0014 00051111</t>
  </si>
  <si>
    <t>0014 00051112</t>
  </si>
  <si>
    <t>0014 00051113</t>
  </si>
  <si>
    <t>0005- 00045504</t>
  </si>
  <si>
    <t>0005- 00045508</t>
  </si>
  <si>
    <t>0005- 00045501</t>
  </si>
  <si>
    <t>0005- 00045505</t>
  </si>
  <si>
    <t>0005- 00045506</t>
  </si>
  <si>
    <t>0005- 00045500</t>
  </si>
  <si>
    <t>0005- 00045502</t>
  </si>
  <si>
    <t>0005- 00045509</t>
  </si>
  <si>
    <t>0005- 00045557</t>
  </si>
  <si>
    <t>0005- 00045558</t>
  </si>
  <si>
    <t>0014 00051185</t>
  </si>
  <si>
    <t>0014 00051247</t>
  </si>
  <si>
    <t>B0005 - 00039953</t>
  </si>
  <si>
    <t>B0005 - 00039952</t>
  </si>
  <si>
    <t>0005- 00045569</t>
  </si>
  <si>
    <t>0005- 00045568</t>
  </si>
  <si>
    <t>0005- 00045570</t>
  </si>
  <si>
    <t>0005- 00045571</t>
  </si>
  <si>
    <t>0014 00051194</t>
  </si>
  <si>
    <t>0014 00051193</t>
  </si>
  <si>
    <t>0014 00051249</t>
  </si>
  <si>
    <t>0014 00051250</t>
  </si>
  <si>
    <t>0014 00051252</t>
  </si>
  <si>
    <t>0014 00051251</t>
  </si>
  <si>
    <t>0014 00051253</t>
  </si>
  <si>
    <t>0014 00051254</t>
  </si>
  <si>
    <t>0005- 00045585</t>
  </si>
  <si>
    <t>0005- 00045584</t>
  </si>
  <si>
    <t>0005- 00045586</t>
  </si>
  <si>
    <t>0005- 00045587</t>
  </si>
  <si>
    <t>0005- 00045588</t>
  </si>
  <si>
    <t>0014 00001118</t>
  </si>
  <si>
    <t>0005- 00008141</t>
  </si>
  <si>
    <t>0014 00001117</t>
  </si>
  <si>
    <t>0005- 00008142</t>
  </si>
  <si>
    <t>0014 00051302</t>
  </si>
  <si>
    <t>0014 00051305</t>
  </si>
  <si>
    <t>0014 00051306</t>
  </si>
  <si>
    <t>0014 00051307</t>
  </si>
  <si>
    <t>0014 00051308</t>
  </si>
  <si>
    <t>0005- 00045656</t>
  </si>
  <si>
    <t>0005- 00045657</t>
  </si>
  <si>
    <t>0005- 00045658</t>
  </si>
  <si>
    <t>0005- 00045659</t>
  </si>
  <si>
    <t>MUELLE 357 S.R.L.</t>
  </si>
  <si>
    <t>0014 00051448</t>
  </si>
  <si>
    <t>0005- 00045840</t>
  </si>
  <si>
    <t>0014 00051552</t>
  </si>
  <si>
    <t>0005- 00045992</t>
  </si>
  <si>
    <t>0014 00051639</t>
  </si>
  <si>
    <t>0005- 00045984</t>
  </si>
  <si>
    <t>0014 00051641</t>
  </si>
  <si>
    <t>0005- 00045987</t>
  </si>
  <si>
    <t>0005- 00045994</t>
  </si>
  <si>
    <t>0014 00051640</t>
  </si>
  <si>
    <t>0005- 00045993</t>
  </si>
  <si>
    <t>0005- 00045985</t>
  </si>
  <si>
    <t>0014 00051642</t>
  </si>
  <si>
    <t>0005- 00045988</t>
  </si>
  <si>
    <t>0014 00051643</t>
  </si>
  <si>
    <t>0005- 00045995</t>
  </si>
  <si>
    <t>0014 00051633</t>
  </si>
  <si>
    <t>0005- 00045991</t>
  </si>
  <si>
    <t>0005- 00045982</t>
  </si>
  <si>
    <t>0005- 00045990</t>
  </si>
  <si>
    <t>0005- 00046013</t>
  </si>
  <si>
    <t>CENTRO MEDICO AMENABAR S. R. L.</t>
  </si>
  <si>
    <t>0005- 00046072</t>
  </si>
  <si>
    <t>0005- 00046073</t>
  </si>
  <si>
    <t>0005- 00046074</t>
  </si>
  <si>
    <t>0014 00051751</t>
  </si>
  <si>
    <t>0014 00051752</t>
  </si>
  <si>
    <t>0005- 00046112</t>
  </si>
  <si>
    <t>0005- 00046113</t>
  </si>
  <si>
    <t>0005- 00046114</t>
  </si>
  <si>
    <t>0005- 00046115</t>
  </si>
  <si>
    <t>AX3 S.R.L.</t>
  </si>
  <si>
    <t>0014 00051793</t>
  </si>
  <si>
    <t>ASISTEPLAN</t>
  </si>
  <si>
    <t>0005- 00046191</t>
  </si>
  <si>
    <t>0005- 00046192</t>
  </si>
  <si>
    <t>0014 00051826</t>
  </si>
  <si>
    <t>BERAJATEX SRL</t>
  </si>
  <si>
    <t>00002-00001701</t>
  </si>
  <si>
    <t>0014 00000109</t>
  </si>
  <si>
    <t>0005 - 00000091</t>
  </si>
  <si>
    <t>0014 00051879</t>
  </si>
  <si>
    <t>0014 00051878</t>
  </si>
  <si>
    <t>0014 00051844</t>
  </si>
  <si>
    <t>0005- 00046264</t>
  </si>
  <si>
    <t>0014 00052043</t>
  </si>
  <si>
    <t>0014 00052044</t>
  </si>
  <si>
    <t>0005- 00046390</t>
  </si>
  <si>
    <t>0005- 00046387</t>
  </si>
  <si>
    <t>0005- 00046410</t>
  </si>
  <si>
    <t>0014 00052089</t>
  </si>
  <si>
    <t>0014 00052088</t>
  </si>
  <si>
    <t>25-11</t>
  </si>
  <si>
    <t>0005- 00046409</t>
  </si>
  <si>
    <t>B 0014 00012484</t>
  </si>
  <si>
    <t>0005- 00046392</t>
  </si>
  <si>
    <t xml:space="preserve"> 0005- 00046393</t>
  </si>
  <si>
    <t>0005- 00046391</t>
  </si>
  <si>
    <t>0005- 00046388</t>
  </si>
  <si>
    <t>0005- 00046389</t>
  </si>
  <si>
    <t>0005- 00046385</t>
  </si>
  <si>
    <t>0005- 00046386</t>
  </si>
  <si>
    <t>0014 00052045</t>
  </si>
  <si>
    <t>0014 00052046</t>
  </si>
  <si>
    <t>0014 00052047</t>
  </si>
  <si>
    <t>0014 00052048</t>
  </si>
  <si>
    <t>0014 00052049</t>
  </si>
  <si>
    <t>0014 00052050</t>
  </si>
  <si>
    <t>0014 00052110</t>
  </si>
  <si>
    <t>0014 00052111</t>
  </si>
  <si>
    <t>0005- 00046444</t>
  </si>
  <si>
    <t>0005- 00046445</t>
  </si>
  <si>
    <t>0014 00052273</t>
  </si>
  <si>
    <t>0014 00052279</t>
  </si>
  <si>
    <t>0014 00052285</t>
  </si>
  <si>
    <t>0014 00052291</t>
  </si>
  <si>
    <t>0014 00052294</t>
  </si>
  <si>
    <t>0014 00052274</t>
  </si>
  <si>
    <t>27-11</t>
  </si>
  <si>
    <t>0014 00052286</t>
  </si>
  <si>
    <t>0014 00052290</t>
  </si>
  <si>
    <t>0014 00052280</t>
  </si>
  <si>
    <t>0014 00052289</t>
  </si>
  <si>
    <t>0014 00052288</t>
  </si>
  <si>
    <t>0014 00000111</t>
  </si>
  <si>
    <t>0014 00000112</t>
  </si>
  <si>
    <t>0014 00000113</t>
  </si>
  <si>
    <t>0014 00000114</t>
  </si>
  <si>
    <t>0014 00052382</t>
  </si>
  <si>
    <t>0014 00052387</t>
  </si>
  <si>
    <t>0014 00052391</t>
  </si>
  <si>
    <t>0014 00052384</t>
  </si>
  <si>
    <t>0005 - 00000093</t>
  </si>
  <si>
    <t>0005 - 00000094</t>
  </si>
  <si>
    <t>0005 - 00000095</t>
  </si>
  <si>
    <t>0005 - 00000092</t>
  </si>
  <si>
    <t>0005- 00046813</t>
  </si>
  <si>
    <t>0005- 00046800</t>
  </si>
  <si>
    <t>0005- 00046797</t>
  </si>
  <si>
    <t>0005- 00046814</t>
  </si>
  <si>
    <t>0005- 00046799</t>
  </si>
  <si>
    <t>0005- 00046796</t>
  </si>
  <si>
    <t>0005- 00046815</t>
  </si>
  <si>
    <t>0014 00052430</t>
  </si>
  <si>
    <t>0014 00052427</t>
  </si>
  <si>
    <t>0014 00052394</t>
  </si>
  <si>
    <t>0014 00052431</t>
  </si>
  <si>
    <t>0014 00052425</t>
  </si>
  <si>
    <t>0014 00052426</t>
  </si>
  <si>
    <t>sin transf</t>
  </si>
  <si>
    <t>0014 00052429</t>
  </si>
  <si>
    <t>0014 00052443</t>
  </si>
  <si>
    <t>0014 00052444</t>
  </si>
  <si>
    <t>0014 00052445</t>
  </si>
  <si>
    <t>0005- 00046819</t>
  </si>
  <si>
    <t>0005- 00046820</t>
  </si>
  <si>
    <t>0005- 00046821</t>
  </si>
  <si>
    <t>0005- 00046822</t>
  </si>
  <si>
    <t>GRUPO LUMBRERA S.A.S.</t>
  </si>
  <si>
    <t>0014 00052462</t>
  </si>
  <si>
    <t>0014 00052464</t>
  </si>
  <si>
    <t>0014 00052466</t>
  </si>
  <si>
    <t>0014 00052470</t>
  </si>
  <si>
    <t>0014 00052491</t>
  </si>
  <si>
    <t>0014 00052472</t>
  </si>
  <si>
    <t>0014 00052457</t>
  </si>
  <si>
    <t>0014 00052468</t>
  </si>
  <si>
    <t>0014 00052474</t>
  </si>
  <si>
    <t>0014 00052476</t>
  </si>
  <si>
    <t>0014 00052489</t>
  </si>
  <si>
    <t>0014 00052493</t>
  </si>
  <si>
    <t>0005- 00046879</t>
  </si>
  <si>
    <t>0005- 00046881</t>
  </si>
  <si>
    <t>0005- 00046884</t>
  </si>
  <si>
    <t>PAPEXPRESS S. R. L.</t>
  </si>
  <si>
    <t>0014 00052465</t>
  </si>
  <si>
    <t>0014 00052471</t>
  </si>
  <si>
    <t>0005- 00046878</t>
  </si>
  <si>
    <t>0005- 00046882</t>
  </si>
  <si>
    <t>AIDI S.A.</t>
  </si>
  <si>
    <t>0014 00052458</t>
  </si>
  <si>
    <t>0014 00052467</t>
  </si>
  <si>
    <t>0014 00052473</t>
  </si>
  <si>
    <t>0014 00052499</t>
  </si>
  <si>
    <t>0014 00052512</t>
  </si>
  <si>
    <t>0014 00052513</t>
  </si>
  <si>
    <t>OVNIPLAST SA</t>
  </si>
  <si>
    <t>0014 00000115</t>
  </si>
  <si>
    <t>0014 00000116</t>
  </si>
  <si>
    <t>0014 00000120</t>
  </si>
  <si>
    <t>0014 00000121</t>
  </si>
  <si>
    <t>0014 00000122</t>
  </si>
  <si>
    <t>0014 00000123</t>
  </si>
  <si>
    <t>0014 00000124</t>
  </si>
  <si>
    <t>0014 00000125</t>
  </si>
  <si>
    <t>0014 00000118</t>
  </si>
  <si>
    <t>0014 00000119</t>
  </si>
  <si>
    <t>0014 00000117</t>
  </si>
  <si>
    <t>0014 00052567</t>
  </si>
  <si>
    <t>0014 00052569</t>
  </si>
  <si>
    <t>0014 00052571</t>
  </si>
  <si>
    <t>0014 00052566</t>
  </si>
  <si>
    <t>0014 00052575</t>
  </si>
  <si>
    <t>0014 00052573</t>
  </si>
  <si>
    <t>0014 00052577</t>
  </si>
  <si>
    <t>0014 00052578</t>
  </si>
  <si>
    <t>0014 00052580</t>
  </si>
  <si>
    <t>0014 00052568</t>
  </si>
  <si>
    <t>0014 00052572</t>
  </si>
  <si>
    <t>0014 00052576</t>
  </si>
  <si>
    <t>CESAR PONCE REBERTE</t>
  </si>
  <si>
    <t>0003-00030951</t>
  </si>
  <si>
    <t>MENSAJERIA TOA TOA</t>
  </si>
  <si>
    <t>0003-00030952</t>
  </si>
  <si>
    <t>TRAVEL LOG S.R.L.</t>
  </si>
  <si>
    <t>0003-00030950</t>
  </si>
  <si>
    <t>0014 00052611</t>
  </si>
  <si>
    <t>0014 00052612</t>
  </si>
  <si>
    <t>0014 00052613</t>
  </si>
  <si>
    <t>0014 00052614</t>
  </si>
  <si>
    <t>0005- 00047036</t>
  </si>
  <si>
    <t>0005- 00047037</t>
  </si>
  <si>
    <t>0005- 00047038</t>
  </si>
  <si>
    <t>0005- 00047039</t>
  </si>
  <si>
    <t>00006-00000230</t>
  </si>
  <si>
    <t>00006-00000232</t>
  </si>
  <si>
    <t>00006-00000233</t>
  </si>
  <si>
    <t>00006-00000234</t>
  </si>
  <si>
    <t>00006-00000231</t>
  </si>
  <si>
    <t>FERNANDEZ GRIJALVA. JOAQUIN PATRICIO</t>
  </si>
  <si>
    <t>0002-00036000</t>
  </si>
  <si>
    <t>0002-00036082</t>
  </si>
  <si>
    <t>0002-00036001</t>
  </si>
  <si>
    <t>0002-00036032</t>
  </si>
  <si>
    <t>0014 00052721</t>
  </si>
  <si>
    <t>0005- 00047087</t>
  </si>
  <si>
    <t>B0005 - 00039972</t>
  </si>
  <si>
    <t>B0005 - 00039973</t>
  </si>
  <si>
    <t>0014 00052745</t>
  </si>
  <si>
    <t>0014 00052746</t>
  </si>
  <si>
    <t>0014 00052747</t>
  </si>
  <si>
    <t>0005- 00047124</t>
  </si>
  <si>
    <t>0005- 00047123</t>
  </si>
  <si>
    <t>0005- 00047125</t>
  </si>
  <si>
    <t>0005- 00047090</t>
  </si>
  <si>
    <t>17-18-19</t>
  </si>
  <si>
    <t>0005- 00047088</t>
  </si>
  <si>
    <t>0005- 00047089</t>
  </si>
  <si>
    <t>00005-00000120</t>
  </si>
  <si>
    <t>0014 00052886</t>
  </si>
  <si>
    <t>0014 00052889</t>
  </si>
  <si>
    <t>0005- 00047193</t>
  </si>
  <si>
    <t>0005- 00047197</t>
  </si>
  <si>
    <t>0005- 00047194</t>
  </si>
  <si>
    <t>0005- 00047195</t>
  </si>
  <si>
    <t>0005- 00047196</t>
  </si>
  <si>
    <t>0014 00052887</t>
  </si>
  <si>
    <t>0014 00052888</t>
  </si>
  <si>
    <t>0005- 00047220</t>
  </si>
  <si>
    <t>0005- 00047221</t>
  </si>
  <si>
    <t>0005- 00047218</t>
  </si>
  <si>
    <t>0005- 00047219</t>
  </si>
  <si>
    <t>0014 00052892</t>
  </si>
  <si>
    <t>0014 00052893</t>
  </si>
  <si>
    <t>0014 00052894</t>
  </si>
  <si>
    <t>0014 00052895</t>
  </si>
  <si>
    <t>0014 00052966</t>
  </si>
  <si>
    <t>0014 00052967</t>
  </si>
  <si>
    <t>0014 00052978</t>
  </si>
  <si>
    <t>0014 00052979</t>
  </si>
  <si>
    <t>0005- 00047290</t>
  </si>
  <si>
    <t>0005- 00047291</t>
  </si>
  <si>
    <t>0005- 00047292</t>
  </si>
  <si>
    <t>B0005 - 00039974</t>
  </si>
  <si>
    <t>SIGMA LINE S R L</t>
  </si>
  <si>
    <t>0014 00052975</t>
  </si>
  <si>
    <t>B 0014 00012510</t>
  </si>
  <si>
    <t>0005 - 00000100</t>
  </si>
  <si>
    <t>0005 - 00000101</t>
  </si>
  <si>
    <t>0014 00000126</t>
  </si>
  <si>
    <t>0014 00000127</t>
  </si>
  <si>
    <t>PANUNCIO CARLOS DANILO</t>
  </si>
  <si>
    <t>0005- 00047469</t>
  </si>
  <si>
    <t>0005- 00047509</t>
  </si>
  <si>
    <t>0005- 00047580</t>
  </si>
  <si>
    <t>0005- 00047581</t>
  </si>
  <si>
    <t>0005- 00047582</t>
  </si>
  <si>
    <t>ALIMENTARIA SUSTENTABLE S.R.L</t>
  </si>
  <si>
    <t>0005- 00047683</t>
  </si>
  <si>
    <t>0005- 00047684</t>
  </si>
  <si>
    <t>0005- 00047685</t>
  </si>
  <si>
    <t>0005- 00047686</t>
  </si>
  <si>
    <t>0005- 00047687</t>
  </si>
  <si>
    <t>0005- 00047866</t>
  </si>
  <si>
    <t>0005- 00047859</t>
  </si>
  <si>
    <t>0014 00053493</t>
  </si>
  <si>
    <t>0005- 00047865</t>
  </si>
  <si>
    <t>0014 00053496</t>
  </si>
  <si>
    <t>0005- 00047864</t>
  </si>
  <si>
    <t>0014 00053495</t>
  </si>
  <si>
    <t>0014 00053497</t>
  </si>
  <si>
    <t>0005- 00047863</t>
  </si>
  <si>
    <t>0005- 00047862</t>
  </si>
  <si>
    <t>0014 00053500</t>
  </si>
  <si>
    <t>0005- 00047861</t>
  </si>
  <si>
    <t>0014 00053498</t>
  </si>
  <si>
    <t>0005- 00047860</t>
  </si>
  <si>
    <t>0014 00053499</t>
  </si>
  <si>
    <t>0005- 00047858</t>
  </si>
  <si>
    <t>0014 00053492</t>
  </si>
  <si>
    <t>0014 00053587</t>
  </si>
  <si>
    <t>0014 00053591</t>
  </si>
  <si>
    <t>0014 00053586</t>
  </si>
  <si>
    <t>0014 00053590</t>
  </si>
  <si>
    <t>0014 00053588</t>
  </si>
  <si>
    <t>0014 00053593</t>
  </si>
  <si>
    <t>0014 00053595</t>
  </si>
  <si>
    <t>0014 00053646</t>
  </si>
  <si>
    <t>0005- 00047965</t>
  </si>
  <si>
    <t>0014 00053647</t>
  </si>
  <si>
    <t>0005- 00048053</t>
  </si>
  <si>
    <t>0005- 00048055</t>
  </si>
  <si>
    <t>0014 00053695</t>
  </si>
  <si>
    <t>0014 00053721</t>
  </si>
  <si>
    <t>0014 00053696</t>
  </si>
  <si>
    <t>0005- 00048054</t>
  </si>
  <si>
    <t>GESTION CITERA SOCIEDAD DE</t>
  </si>
  <si>
    <t>0005- 00048052</t>
  </si>
  <si>
    <t>0014 00053697</t>
  </si>
  <si>
    <t>WEDOIT S.R.L.</t>
  </si>
  <si>
    <t>0014 00053706</t>
  </si>
  <si>
    <t>0014 00000129</t>
  </si>
  <si>
    <t>0014 00000130</t>
  </si>
  <si>
    <t>0005 - 00000102</t>
  </si>
  <si>
    <t>0005 - 00000103</t>
  </si>
  <si>
    <t>MOVIMI S. R. L.</t>
  </si>
  <si>
    <t>0005- 00048092</t>
  </si>
  <si>
    <t>0014 00053763</t>
  </si>
  <si>
    <t>0014 00053765</t>
  </si>
  <si>
    <t>0014 00053764</t>
  </si>
  <si>
    <t>DAILY MEALS S.R.L.</t>
  </si>
  <si>
    <t>0005- 00048187</t>
  </si>
  <si>
    <t>0014 00053836</t>
  </si>
  <si>
    <t>0014 00053838</t>
  </si>
  <si>
    <t>0014 00053950</t>
  </si>
  <si>
    <t>0014 00053951</t>
  </si>
  <si>
    <t>0014 00053975</t>
  </si>
  <si>
    <t>0014 00053971</t>
  </si>
  <si>
    <t>0014 00053973</t>
  </si>
  <si>
    <t>0014 00053977</t>
  </si>
  <si>
    <t>0014 00053979</t>
  </si>
  <si>
    <t>KUMITATE S. A.</t>
  </si>
  <si>
    <t>0014 00053966</t>
  </si>
  <si>
    <t>0014 00053972</t>
  </si>
  <si>
    <t>0014 00053976</t>
  </si>
  <si>
    <t>0014 00053978</t>
  </si>
  <si>
    <t>0014 00053974</t>
  </si>
  <si>
    <t>0005- 00048293</t>
  </si>
  <si>
    <t>0005- 00048311</t>
  </si>
  <si>
    <t>0005- 00048313</t>
  </si>
  <si>
    <t>0014 00053997</t>
  </si>
  <si>
    <t>0014 00054000</t>
  </si>
  <si>
    <t>NUNO S.R.L.</t>
  </si>
  <si>
    <t>0014 00053996</t>
  </si>
  <si>
    <t>0014 00053999</t>
  </si>
  <si>
    <t>0014 00054004</t>
  </si>
  <si>
    <t>0005- 00048314</t>
  </si>
  <si>
    <t>0005- 00048312</t>
  </si>
  <si>
    <t>0005 - 00000105</t>
  </si>
  <si>
    <t>0005 - 00000107</t>
  </si>
  <si>
    <t>0005 - 00000109</t>
  </si>
  <si>
    <t>0005 - 00000110</t>
  </si>
  <si>
    <t>0005 - 00000112</t>
  </si>
  <si>
    <t>0005 - 00000113</t>
  </si>
  <si>
    <t>0005 - 00000106</t>
  </si>
  <si>
    <t>0005 - 00000108</t>
  </si>
  <si>
    <t>0005 - 00000111</t>
  </si>
  <si>
    <t>0005- 00048438</t>
  </si>
  <si>
    <t>0005- 00048435</t>
  </si>
  <si>
    <t>0005- 00048436</t>
  </si>
  <si>
    <t>0005- 00048439</t>
  </si>
  <si>
    <t>0005- 00048437</t>
  </si>
  <si>
    <t>0005- 00048440</t>
  </si>
  <si>
    <t>0005- 00048463</t>
  </si>
  <si>
    <t>ANDES GROUP ARGENTINA S.A.</t>
  </si>
  <si>
    <t>0005- 00048464</t>
  </si>
  <si>
    <t>JBMI S.R.L.</t>
  </si>
  <si>
    <t>0014 00054134</t>
  </si>
  <si>
    <t>0014 00054135</t>
  </si>
  <si>
    <t>0014 00054161</t>
  </si>
  <si>
    <t>0014 00054169</t>
  </si>
  <si>
    <t>0014 00054167</t>
  </si>
  <si>
    <t>0014 00054166</t>
  </si>
  <si>
    <t>0014 00054170</t>
  </si>
  <si>
    <t>0014 00054172</t>
  </si>
  <si>
    <t>0014 00054173</t>
  </si>
  <si>
    <t>0014 00054176</t>
  </si>
  <si>
    <t>0014 00054190</t>
  </si>
  <si>
    <t>0014 00054201</t>
  </si>
  <si>
    <t>0014 00054199</t>
  </si>
  <si>
    <t>0014 00054200</t>
  </si>
  <si>
    <t>0014 00054270</t>
  </si>
  <si>
    <t>0014 00054274</t>
  </si>
  <si>
    <t>ETRA S A I C Y F</t>
  </si>
  <si>
    <t>0014 00054279</t>
  </si>
  <si>
    <t>0014 00054288</t>
  </si>
  <si>
    <t>0014 00054283</t>
  </si>
  <si>
    <t>0014 00054278</t>
  </si>
  <si>
    <t>SOCIEDAD ALMAGRO SRL</t>
  </si>
  <si>
    <t>0014 00054280</t>
  </si>
  <si>
    <t>0014 00054289</t>
  </si>
  <si>
    <t>0014 00054286</t>
  </si>
  <si>
    <t>SOCIEDAD SAAVEDRA S.R.L.</t>
  </si>
  <si>
    <t>0014 00054281</t>
  </si>
  <si>
    <t>0014 00054287</t>
  </si>
  <si>
    <t>0014 00054290</t>
  </si>
  <si>
    <t>SOCIEDAD QUESADA S.R.L.</t>
  </si>
  <si>
    <t>0014 00054284</t>
  </si>
  <si>
    <t>0014 00054379</t>
  </si>
  <si>
    <t>0014 00054377</t>
  </si>
  <si>
    <t>0014 00054370</t>
  </si>
  <si>
    <t>0014 00054361</t>
  </si>
  <si>
    <t>0014 00054356</t>
  </si>
  <si>
    <t>0014 00054363</t>
  </si>
  <si>
    <t>0014 00054359</t>
  </si>
  <si>
    <t>0014 00054365</t>
  </si>
  <si>
    <t>0014 00054405</t>
  </si>
  <si>
    <t>0014 00054403</t>
  </si>
  <si>
    <t>0014 00054401</t>
  </si>
  <si>
    <t>0014 00054399</t>
  </si>
  <si>
    <t>0014 00054397</t>
  </si>
  <si>
    <t>0014 00054417</t>
  </si>
  <si>
    <t>0014 00054415</t>
  </si>
  <si>
    <t>0014 00054413</t>
  </si>
  <si>
    <t>0014 00054411</t>
  </si>
  <si>
    <t>0014 00054409</t>
  </si>
  <si>
    <t>0014 00054407</t>
  </si>
  <si>
    <t>BECHEM SUDAMERIKA S A</t>
  </si>
  <si>
    <t>0014 00054412</t>
  </si>
  <si>
    <t>0014 00054410</t>
  </si>
  <si>
    <t>0014 00054402</t>
  </si>
  <si>
    <t>ADFLUENCE MEDIA</t>
  </si>
  <si>
    <t>0014 00054414</t>
  </si>
  <si>
    <t>0014 00054408</t>
  </si>
  <si>
    <t>0014 00054404</t>
  </si>
  <si>
    <t>0014 00054398</t>
  </si>
  <si>
    <t>0014 00054406</t>
  </si>
  <si>
    <t>0014 00054400</t>
  </si>
  <si>
    <t>0014 00054421</t>
  </si>
  <si>
    <t>0014 00054419</t>
  </si>
  <si>
    <t>00006-00000035</t>
  </si>
  <si>
    <t>00006-00000036</t>
  </si>
  <si>
    <t>00006-00000037</t>
  </si>
  <si>
    <t>NOVOMEDICAL S.R.L.</t>
  </si>
  <si>
    <t>00006-00000038</t>
  </si>
  <si>
    <t>00006-00000039</t>
  </si>
  <si>
    <t>NEW GATE</t>
  </si>
  <si>
    <t>00006-00000040</t>
  </si>
  <si>
    <t>SARTA S.R.L.</t>
  </si>
  <si>
    <t>00006-00000041</t>
  </si>
  <si>
    <t>0005- 00048721</t>
  </si>
  <si>
    <t>0005- 00048714</t>
  </si>
  <si>
    <t>0005- 00048716</t>
  </si>
  <si>
    <t>0014 00054456</t>
  </si>
  <si>
    <t>0005- 00048718</t>
  </si>
  <si>
    <t>0014 00054457</t>
  </si>
  <si>
    <t>0014 00054458</t>
  </si>
  <si>
    <t>0014 00054459</t>
  </si>
  <si>
    <t>0005- 00048715</t>
  </si>
  <si>
    <t>0005- 00048722</t>
  </si>
  <si>
    <t>0005- 00048717</t>
  </si>
  <si>
    <t>0005- 00048719</t>
  </si>
  <si>
    <t>0005- 00048713</t>
  </si>
  <si>
    <t>MOHALEM MARIA LUZ DE LOS MIL</t>
  </si>
  <si>
    <t>00005-00000121</t>
  </si>
  <si>
    <t>0014 00000131</t>
  </si>
  <si>
    <t>0005 - 00000114</t>
  </si>
  <si>
    <t>0014 00054591</t>
  </si>
  <si>
    <t>0014 00054679</t>
  </si>
  <si>
    <t>0014 00054680</t>
  </si>
  <si>
    <t>0014 00054681</t>
  </si>
  <si>
    <t>0005- 00048930</t>
  </si>
  <si>
    <t>0005- 00048927</t>
  </si>
  <si>
    <t>0005- 00048929</t>
  </si>
  <si>
    <t>0005- 00048928</t>
  </si>
  <si>
    <t>0005- 00048944</t>
  </si>
  <si>
    <t>0005- 00048947</t>
  </si>
  <si>
    <t>0014 00054720</t>
  </si>
  <si>
    <t>0005- 00048943</t>
  </si>
  <si>
    <t>19-20-21</t>
  </si>
  <si>
    <t>0005- 00048946</t>
  </si>
  <si>
    <t>0014 00054718</t>
  </si>
  <si>
    <t>14-15</t>
  </si>
  <si>
    <t>0014 00054717</t>
  </si>
  <si>
    <t>0014 00054719</t>
  </si>
  <si>
    <t>0014 00054721</t>
  </si>
  <si>
    <t>0005- 00048945</t>
  </si>
  <si>
    <t>0005- 00048948</t>
  </si>
  <si>
    <t>0005- 00049001</t>
  </si>
  <si>
    <t>0014 00054805</t>
  </si>
  <si>
    <t>0014 00054806</t>
  </si>
  <si>
    <t>0014 00054880</t>
  </si>
  <si>
    <t>0014 00054881</t>
  </si>
  <si>
    <t>0014 00054884</t>
  </si>
  <si>
    <t>0014 00054882</t>
  </si>
  <si>
    <t>0014 00054883</t>
  </si>
  <si>
    <t>0014 00054885</t>
  </si>
  <si>
    <t>0005- 00049223</t>
  </si>
  <si>
    <t>0014 00054973</t>
  </si>
  <si>
    <t>0014 00054971</t>
  </si>
  <si>
    <t>0014 00054972</t>
  </si>
  <si>
    <t>0014 00054974</t>
  </si>
  <si>
    <t>0005- 00049221</t>
  </si>
  <si>
    <t>0005- 00049222</t>
  </si>
  <si>
    <t>0005- 00049224</t>
  </si>
  <si>
    <t>0005- 00049225</t>
  </si>
  <si>
    <t>0005- 00049226</t>
  </si>
  <si>
    <t>B0005 - 00039986</t>
  </si>
  <si>
    <t>B0005 - 00039987</t>
  </si>
  <si>
    <t>ALEJANDRO NEGRO</t>
  </si>
  <si>
    <t>0009-220</t>
  </si>
  <si>
    <t>/</t>
  </si>
  <si>
    <t>0005- 00049319</t>
  </si>
  <si>
    <t>0014 00055129</t>
  </si>
  <si>
    <t>0005- 00049314</t>
  </si>
  <si>
    <t>0005- 00049322</t>
  </si>
  <si>
    <t>0005- 00049315</t>
  </si>
  <si>
    <t>0014 00055125</t>
  </si>
  <si>
    <t>0005- 00049316</t>
  </si>
  <si>
    <t>0014 00055126</t>
  </si>
  <si>
    <t>0005- 00049317</t>
  </si>
  <si>
    <t>0014 00055127</t>
  </si>
  <si>
    <t>0005- 00049318</t>
  </si>
  <si>
    <t>0014 00055128</t>
  </si>
  <si>
    <t>0005- 00049320</t>
  </si>
  <si>
    <t>0014 00055130</t>
  </si>
  <si>
    <t>0005- 00049321</t>
  </si>
  <si>
    <t>0014 00055131</t>
  </si>
  <si>
    <t>0005- 00049346</t>
  </si>
  <si>
    <t>0014 00055250</t>
  </si>
  <si>
    <t>0005- 00049462</t>
  </si>
  <si>
    <t>0005- 00049463</t>
  </si>
  <si>
    <t>0005- 00049464</t>
  </si>
  <si>
    <t>0005- 00049465</t>
  </si>
  <si>
    <t>0005- 00049466</t>
  </si>
  <si>
    <t>0014 00055251</t>
  </si>
  <si>
    <t>0014 00055252</t>
  </si>
  <si>
    <t>0014 00055253</t>
  </si>
  <si>
    <t>0014 00055255</t>
  </si>
  <si>
    <t>0014 00055256</t>
  </si>
  <si>
    <t>0003-00035118</t>
  </si>
  <si>
    <t>0003-00035119</t>
  </si>
  <si>
    <t>0003-00035120</t>
  </si>
  <si>
    <t>0003-00035121</t>
  </si>
  <si>
    <t>Primeros Productos Pehuenia S.A.</t>
  </si>
  <si>
    <t>0003-00105523</t>
  </si>
  <si>
    <t>0003-00105524</t>
  </si>
  <si>
    <t>0005- 00049517</t>
  </si>
  <si>
    <t>0014 00055340</t>
  </si>
  <si>
    <t>0014 00055339</t>
  </si>
  <si>
    <t>0005- 00049516</t>
  </si>
  <si>
    <t>0014 00055342</t>
  </si>
  <si>
    <t>0014 00055341</t>
  </si>
  <si>
    <t>0005- 00049535</t>
  </si>
  <si>
    <t>0005- 00049537</t>
  </si>
  <si>
    <t>0005- 00049538</t>
  </si>
  <si>
    <t>0005- 00049536</t>
  </si>
  <si>
    <t>0005- 00049605</t>
  </si>
  <si>
    <t>0005- 00049614</t>
  </si>
  <si>
    <t>0005- 00049615</t>
  </si>
  <si>
    <t>0005- 00049616</t>
  </si>
  <si>
    <t>0005- 00049608</t>
  </si>
  <si>
    <t>0005- 00049610</t>
  </si>
  <si>
    <t>0005- 00049612</t>
  </si>
  <si>
    <t>0005- 00049606</t>
  </si>
  <si>
    <t>0014 00055435</t>
  </si>
  <si>
    <t>0014 00055438</t>
  </si>
  <si>
    <t>0005- 00049675</t>
  </si>
  <si>
    <t>0005- 00049676</t>
  </si>
  <si>
    <t>0014 00055516</t>
  </si>
  <si>
    <t>0014 00055517</t>
  </si>
  <si>
    <t>0003-00035500</t>
  </si>
  <si>
    <t>0003-00035501</t>
  </si>
  <si>
    <t>0003-00035502</t>
  </si>
  <si>
    <t>0003-00035503</t>
  </si>
  <si>
    <t>0003-00035504</t>
  </si>
  <si>
    <t>0003-00035508</t>
  </si>
  <si>
    <t>0003-00035498</t>
  </si>
  <si>
    <t>0003-00035499</t>
  </si>
  <si>
    <t>0003-00107403</t>
  </si>
  <si>
    <t>0003-00107404</t>
  </si>
  <si>
    <t>0005- 00049773</t>
  </si>
  <si>
    <t>0005- 00049925</t>
  </si>
  <si>
    <t>OPTICAL DESIGN S.R.L.</t>
  </si>
  <si>
    <t>0005- 00049924</t>
  </si>
  <si>
    <t>0005- 00049926</t>
  </si>
  <si>
    <t>0005- 00049928</t>
  </si>
  <si>
    <t>0005- 00049990</t>
  </si>
  <si>
    <t>0005- 00049984</t>
  </si>
  <si>
    <t>0005- 00049986</t>
  </si>
  <si>
    <t>0005- 00049988</t>
  </si>
  <si>
    <t>0014 00055825</t>
  </si>
  <si>
    <t>0014 00055827</t>
  </si>
  <si>
    <t>0014 00055859</t>
  </si>
  <si>
    <t>0014 00055860</t>
  </si>
  <si>
    <t>0014 00055826</t>
  </si>
  <si>
    <t>0014 00055828</t>
  </si>
  <si>
    <t>0005- 00049985</t>
  </si>
  <si>
    <t>0005- 00049987</t>
  </si>
  <si>
    <t>0005- 00049989</t>
  </si>
  <si>
    <t>ADMINISTRACION HOTELERA CONO S</t>
  </si>
  <si>
    <t>0014 00055869</t>
  </si>
  <si>
    <t>B 0014 00012583</t>
  </si>
  <si>
    <t>B 0014 00012582</t>
  </si>
  <si>
    <t>0005 - 00000117</t>
  </si>
  <si>
    <t>0005 - 00000116</t>
  </si>
  <si>
    <t>0005 - 00000118</t>
  </si>
  <si>
    <t>0005 - 00000119</t>
  </si>
  <si>
    <t>0005 - 00000120</t>
  </si>
  <si>
    <t>0014 00000132</t>
  </si>
  <si>
    <t>0014 00000134</t>
  </si>
  <si>
    <t>0014 00000135</t>
  </si>
  <si>
    <t>0014 00000136</t>
  </si>
  <si>
    <t>0014 00000137</t>
  </si>
  <si>
    <t>0014 00000138</t>
  </si>
  <si>
    <t>0014 00000139</t>
  </si>
  <si>
    <t>0014 00000140</t>
  </si>
  <si>
    <t>0014 00000141</t>
  </si>
  <si>
    <t>0014 00000142</t>
  </si>
  <si>
    <t>0014 00000143</t>
  </si>
  <si>
    <t>0014 00000133</t>
  </si>
  <si>
    <t xml:space="preserve">ELEBES S.A </t>
  </si>
  <si>
    <t>0001-00024019</t>
  </si>
  <si>
    <t>0001-00024018</t>
  </si>
  <si>
    <t>0001-00024020</t>
  </si>
  <si>
    <t>0014 00055931</t>
  </si>
  <si>
    <t>0014 00055967</t>
  </si>
  <si>
    <t>0014 00055961</t>
  </si>
  <si>
    <t>0014 00055959</t>
  </si>
  <si>
    <t>0014 00055957</t>
  </si>
  <si>
    <t>0014 00055963</t>
  </si>
  <si>
    <t>0014 00055966</t>
  </si>
  <si>
    <t>0014 00055962</t>
  </si>
  <si>
    <t>0014 00055965</t>
  </si>
  <si>
    <t>0014 00055960</t>
  </si>
  <si>
    <t>0014 00055958</t>
  </si>
  <si>
    <t>0014 00055964</t>
  </si>
  <si>
    <t>0005- 00050100</t>
  </si>
  <si>
    <t>0005- 00050103</t>
  </si>
  <si>
    <t>0005- 00050109</t>
  </si>
  <si>
    <t>0014 00055996</t>
  </si>
  <si>
    <t>20-3 Y 25-3</t>
  </si>
  <si>
    <t>0014 00055998</t>
  </si>
  <si>
    <t>0014 00056000</t>
  </si>
  <si>
    <t>0014 00056011</t>
  </si>
  <si>
    <t>0014 00056002</t>
  </si>
  <si>
    <t>0014 00056004</t>
  </si>
  <si>
    <t>0014 00056013</t>
  </si>
  <si>
    <t>0014 00056015</t>
  </si>
  <si>
    <t>0014 00056016</t>
  </si>
  <si>
    <t>0014 00056017</t>
  </si>
  <si>
    <t>0014 00056026</t>
  </si>
  <si>
    <t>0005- 00050118</t>
  </si>
  <si>
    <t>0014 00056057</t>
  </si>
  <si>
    <t>0014 00056058</t>
  </si>
  <si>
    <t>0003-00035995</t>
  </si>
  <si>
    <t>0003-00035994</t>
  </si>
  <si>
    <t>0003-00035993</t>
  </si>
  <si>
    <t>0003-00035992</t>
  </si>
  <si>
    <t>0003-00035991</t>
  </si>
  <si>
    <t>0003-00109852</t>
  </si>
  <si>
    <t>0003-00109851</t>
  </si>
  <si>
    <t>0003-00035997</t>
  </si>
  <si>
    <t>0003-00035996</t>
  </si>
  <si>
    <t>DI GIANNI LUCIANO MARTIN</t>
  </si>
  <si>
    <t>00002-00000026</t>
  </si>
  <si>
    <t>00002-00000027</t>
  </si>
  <si>
    <t>PONCE REBERTE CESAR</t>
  </si>
  <si>
    <t>00002-00000037</t>
  </si>
  <si>
    <t>0003-00036005</t>
  </si>
  <si>
    <t>0003-00036006</t>
  </si>
  <si>
    <t>0003-00036007</t>
  </si>
  <si>
    <t>LOGISTICAL S. A.</t>
  </si>
  <si>
    <t>0014 00056087</t>
  </si>
  <si>
    <t>0014 00056093</t>
  </si>
  <si>
    <t>0014 00056086</t>
  </si>
  <si>
    <t>0014 00056092</t>
  </si>
  <si>
    <t>0014 00056085</t>
  </si>
  <si>
    <t>0014 00056091</t>
  </si>
  <si>
    <t>0014 00056084</t>
  </si>
  <si>
    <t>0014 00056090</t>
  </si>
  <si>
    <t>MELIGENI ANTONIO PASCUAL</t>
  </si>
  <si>
    <t>0014 00056083</t>
  </si>
  <si>
    <t>WIRKSAM GROUP</t>
  </si>
  <si>
    <t>0014 00056088</t>
  </si>
  <si>
    <t>0014 00056094</t>
  </si>
  <si>
    <t>FYF &amp; ASOCIADOS</t>
  </si>
  <si>
    <t>0014 00056089</t>
  </si>
  <si>
    <t>0005- 00050161</t>
  </si>
  <si>
    <t>0005- 00050162</t>
  </si>
  <si>
    <t>SINDICATO UNICO DE TRABAJADO</t>
  </si>
  <si>
    <t>B0014 00012592</t>
  </si>
  <si>
    <t>B0014 00012593</t>
  </si>
  <si>
    <t>MOHALEM MARIA LUZ DE LOS</t>
  </si>
  <si>
    <t>00009-00000005</t>
  </si>
  <si>
    <t>00006-00000042</t>
  </si>
  <si>
    <t>0005- 00050327</t>
  </si>
  <si>
    <t>0005- 00050326</t>
  </si>
  <si>
    <t>0014 00056309</t>
  </si>
  <si>
    <t>0014 00056308</t>
  </si>
  <si>
    <t>00006-00000046</t>
  </si>
  <si>
    <t>00006-00000047</t>
  </si>
  <si>
    <t>TEYLEM S. A.</t>
  </si>
  <si>
    <t>00006-00000049</t>
  </si>
  <si>
    <t>EQUIS QUINCE S. A.</t>
  </si>
  <si>
    <t>00006-00000050</t>
  </si>
  <si>
    <t>00006-00000051</t>
  </si>
  <si>
    <t>BLUE CATERING S.</t>
  </si>
  <si>
    <t>00006-00000052</t>
  </si>
  <si>
    <t>00006-00000053</t>
  </si>
  <si>
    <t>00006-00000054</t>
  </si>
  <si>
    <t>FIDEICOMISO STAY HOME FIDEICOMISO</t>
  </si>
  <si>
    <t>00006-00000061</t>
  </si>
  <si>
    <t>00006-00000062</t>
  </si>
  <si>
    <t>00006-00000063</t>
  </si>
  <si>
    <t>00006-00000064</t>
  </si>
  <si>
    <t>BETAJ S.R.L.</t>
  </si>
  <si>
    <t>00002-00000038</t>
  </si>
  <si>
    <t>00002-00000039</t>
  </si>
  <si>
    <t>00002-00000040</t>
  </si>
  <si>
    <t>00002-00000041</t>
  </si>
  <si>
    <t>00006-00000065</t>
  </si>
  <si>
    <t>0014 00056506</t>
  </si>
  <si>
    <t>0014 00056505</t>
  </si>
  <si>
    <t>0014 00056504</t>
  </si>
  <si>
    <t>11 y 13</t>
  </si>
  <si>
    <t>0014 00056503</t>
  </si>
  <si>
    <t>0014 00000145</t>
  </si>
  <si>
    <t>0014 00000144</t>
  </si>
  <si>
    <t>0005- 00050427</t>
  </si>
  <si>
    <t>0005- 00050426</t>
  </si>
  <si>
    <t>0005- 00050425</t>
  </si>
  <si>
    <t>0005- 00050429</t>
  </si>
  <si>
    <t>0005- 00050428</t>
  </si>
  <si>
    <t>0005 - 00000122</t>
  </si>
  <si>
    <t>0005 - 00000121</t>
  </si>
  <si>
    <t>B0005 - 00039993</t>
  </si>
  <si>
    <t>B0005 - 00039994</t>
  </si>
  <si>
    <t>0005- 00050532</t>
  </si>
  <si>
    <t>0005- 00050534</t>
  </si>
  <si>
    <t>0005- 00050536</t>
  </si>
  <si>
    <t>0005- 00050538</t>
  </si>
  <si>
    <t>0014 00056626</t>
  </si>
  <si>
    <t>0014 00056631</t>
  </si>
  <si>
    <t>0014 00056641</t>
  </si>
  <si>
    <t>0005- 00050562</t>
  </si>
  <si>
    <t>0005- 00050556</t>
  </si>
  <si>
    <t>0014 00056627</t>
  </si>
  <si>
    <t>0014 00056632</t>
  </si>
  <si>
    <t>0014 00056642</t>
  </si>
  <si>
    <t>0005- 00050563</t>
  </si>
  <si>
    <t>0005- 00050557</t>
  </si>
  <si>
    <t>0014 00056628</t>
  </si>
  <si>
    <t>0014 00056635</t>
  </si>
  <si>
    <t>0014 00056643</t>
  </si>
  <si>
    <t>0005- 00050564</t>
  </si>
  <si>
    <t>0005- 00050558</t>
  </si>
  <si>
    <t>0014 00056629</t>
  </si>
  <si>
    <t>0014 00056636</t>
  </si>
  <si>
    <t>0014 00056644</t>
  </si>
  <si>
    <t>0005- 00050565</t>
  </si>
  <si>
    <t>0005- 00050559</t>
  </si>
  <si>
    <t>0014 00056640</t>
  </si>
  <si>
    <t>0014 00056630</t>
  </si>
  <si>
    <t>0014 00056645</t>
  </si>
  <si>
    <t>0005- 00050560</t>
  </si>
  <si>
    <t>0005- 00050566</t>
  </si>
  <si>
    <t>0005- 00050561</t>
  </si>
  <si>
    <t>0005- 00050657</t>
  </si>
  <si>
    <t>0005- 00050656</t>
  </si>
  <si>
    <t>0005- 00050655</t>
  </si>
  <si>
    <t>HASAR SERVICIOS SOCIEDAD</t>
  </si>
  <si>
    <t>0005- 00050675</t>
  </si>
  <si>
    <t>0005- 00050676</t>
  </si>
  <si>
    <t>0014 00056917</t>
  </si>
  <si>
    <t>0014 00056919</t>
  </si>
  <si>
    <t>0014 00056921</t>
  </si>
  <si>
    <t>0014 00056918</t>
  </si>
  <si>
    <t>0005- 00050703</t>
  </si>
  <si>
    <t>0005- 00050705</t>
  </si>
  <si>
    <t>0005- 00050701</t>
  </si>
  <si>
    <t>0014 00056843</t>
  </si>
  <si>
    <t>0014 00056986</t>
  </si>
  <si>
    <t>0014 00056984</t>
  </si>
  <si>
    <t>0014 00056982</t>
  </si>
  <si>
    <t>0005- 00050751</t>
  </si>
  <si>
    <t>0005- 00050748</t>
  </si>
  <si>
    <t>0005- 00050753</t>
  </si>
  <si>
    <t>ENCALADA GOURMET S. R. L.</t>
  </si>
  <si>
    <t>0005- 00050750</t>
  </si>
  <si>
    <t>0005- 00050754</t>
  </si>
  <si>
    <t>0005 - 00000124</t>
  </si>
  <si>
    <t>0005 - 00000125</t>
  </si>
  <si>
    <t>0005 - 00000126</t>
  </si>
  <si>
    <t>0005 - 00000127</t>
  </si>
  <si>
    <t>0005 - 00000128</t>
  </si>
  <si>
    <t>0005 - 00000123</t>
  </si>
  <si>
    <t>0014 00000146</t>
  </si>
  <si>
    <t>0014 00000147</t>
  </si>
  <si>
    <t>0014 00000148</t>
  </si>
  <si>
    <t>0014 00000149</t>
  </si>
  <si>
    <t>0014 00000150</t>
  </si>
  <si>
    <t>0014 00000151</t>
  </si>
  <si>
    <t>0014 00000152</t>
  </si>
  <si>
    <t>0014 00000153</t>
  </si>
  <si>
    <t>0014 00000154</t>
  </si>
  <si>
    <t>0014 00057184</t>
  </si>
  <si>
    <t>0014 00057185</t>
  </si>
  <si>
    <t>0014 00057186</t>
  </si>
  <si>
    <t>0014 00057187</t>
  </si>
  <si>
    <t>0014 00057189</t>
  </si>
  <si>
    <t>0014 00057190</t>
  </si>
  <si>
    <t>0014 00057191</t>
  </si>
  <si>
    <t>0014 00057192</t>
  </si>
  <si>
    <t>0014 00057194</t>
  </si>
  <si>
    <t>0014 00057198</t>
  </si>
  <si>
    <t>0014 00057199</t>
  </si>
  <si>
    <t>0014 00057200</t>
  </si>
  <si>
    <t>0014 00057206</t>
  </si>
  <si>
    <t>0014 00057207</t>
  </si>
  <si>
    <t>0014 00057208</t>
  </si>
  <si>
    <t>0005- 00050891</t>
  </si>
  <si>
    <t>0005- 00050892</t>
  </si>
  <si>
    <t>0014 00057322</t>
  </si>
  <si>
    <t>0014 00057321</t>
  </si>
  <si>
    <t>0014 00057320</t>
  </si>
  <si>
    <t>0014 00057323</t>
  </si>
  <si>
    <t>0014 00057324</t>
  </si>
  <si>
    <t>0014 00012671</t>
  </si>
  <si>
    <t>0014 00057453</t>
  </si>
  <si>
    <t>0003-00037466</t>
  </si>
  <si>
    <t>0003-00037467</t>
  </si>
  <si>
    <t>0003-00037468</t>
  </si>
  <si>
    <t>0003-00037469</t>
  </si>
  <si>
    <t>0003-00037470</t>
  </si>
  <si>
    <t>0003-00037471</t>
  </si>
  <si>
    <t>00002-00000043</t>
  </si>
  <si>
    <t>00002-00000044</t>
  </si>
  <si>
    <t>00002-00000045</t>
  </si>
  <si>
    <t>00002-00000046</t>
  </si>
  <si>
    <t>00002-00000047</t>
  </si>
  <si>
    <t>00002-00000048</t>
  </si>
  <si>
    <t>ELEBES SA</t>
  </si>
  <si>
    <t>0001-00025291</t>
  </si>
  <si>
    <t>0001-00025292</t>
  </si>
  <si>
    <t>0014 00057525</t>
  </si>
  <si>
    <t>0005- 00051099</t>
  </si>
  <si>
    <t>0014 00057573</t>
  </si>
  <si>
    <t>0014 00057577</t>
  </si>
  <si>
    <t>0014 00057581</t>
  </si>
  <si>
    <t>0014 00057586</t>
  </si>
  <si>
    <t>0014 00057590</t>
  </si>
  <si>
    <t>0003-00037598</t>
  </si>
  <si>
    <t>0003-00037599</t>
  </si>
  <si>
    <t>0003-00037600</t>
  </si>
  <si>
    <t>0003-00037601</t>
  </si>
  <si>
    <t>0003-00037595</t>
  </si>
  <si>
    <t>0003-00037596</t>
  </si>
  <si>
    <t>0003-00037597</t>
  </si>
  <si>
    <t>Rambla de los Lobos S.A.</t>
  </si>
  <si>
    <t>0002-00013942</t>
  </si>
  <si>
    <t>0014 00057718</t>
  </si>
  <si>
    <t>0014 00057722</t>
  </si>
  <si>
    <t>0014 00057726</t>
  </si>
  <si>
    <t>0014 00057728</t>
  </si>
  <si>
    <t>0014 00057734</t>
  </si>
  <si>
    <t>0014 00057725</t>
  </si>
  <si>
    <t>0014 00057750</t>
  </si>
  <si>
    <t>0014 00057756</t>
  </si>
  <si>
    <t>0014 00057770</t>
  </si>
  <si>
    <t>0014 00057764</t>
  </si>
  <si>
    <t>0014 00057751</t>
  </si>
  <si>
    <t>0014 00057771</t>
  </si>
  <si>
    <t>0014 00057765</t>
  </si>
  <si>
    <t>0014 00057757</t>
  </si>
  <si>
    <t>0014 00057754</t>
  </si>
  <si>
    <t>0014 00057768</t>
  </si>
  <si>
    <t>0014 00057760</t>
  </si>
  <si>
    <t>0014 00057774</t>
  </si>
  <si>
    <t>0014 00057724</t>
  </si>
  <si>
    <t>0014 00057720</t>
  </si>
  <si>
    <t>0014 00057733</t>
  </si>
  <si>
    <t>0014 00057727</t>
  </si>
  <si>
    <t>0014 00057735</t>
  </si>
  <si>
    <t>0014 00057737</t>
  </si>
  <si>
    <t>0014 00057739</t>
  </si>
  <si>
    <t>0014 00057741</t>
  </si>
  <si>
    <t>0014 00057743</t>
  </si>
  <si>
    <t>0014 00057745</t>
  </si>
  <si>
    <t>0014 00057755</t>
  </si>
  <si>
    <t>0014 00057769</t>
  </si>
  <si>
    <t>0014 00057763</t>
  </si>
  <si>
    <t>0014 00057775</t>
  </si>
  <si>
    <t>FIDEICOMISO STAY HOME FIDEICOM</t>
  </si>
  <si>
    <t>0014 00057721</t>
  </si>
  <si>
    <t>0014 00057742</t>
  </si>
  <si>
    <t>0014 00057723</t>
  </si>
  <si>
    <t>0014 00057719</t>
  </si>
  <si>
    <t>EAT &amp; DRINK S.A.</t>
  </si>
  <si>
    <t>0005- 00051238</t>
  </si>
  <si>
    <t>0005- 00051239</t>
  </si>
  <si>
    <t>0005- 00051245</t>
  </si>
  <si>
    <t>0005- 00051251</t>
  </si>
  <si>
    <t>0005- 00051257</t>
  </si>
  <si>
    <t>0005- 00051240</t>
  </si>
  <si>
    <t>0005- 00051246</t>
  </si>
  <si>
    <t>0005- 00051252</t>
  </si>
  <si>
    <t>0005- 00051258</t>
  </si>
  <si>
    <t>0005- 00051241</t>
  </si>
  <si>
    <t>0005- 00051247</t>
  </si>
  <si>
    <t>0005- 00051253</t>
  </si>
  <si>
    <t>0005- 00051259</t>
  </si>
  <si>
    <t>0005- 00051242</t>
  </si>
  <si>
    <t>0005- 00051248</t>
  </si>
  <si>
    <t>0005- 00051260</t>
  </si>
  <si>
    <t>0005- 00051255</t>
  </si>
  <si>
    <t>0005- 00051243</t>
  </si>
  <si>
    <t>0005- 00051249</t>
  </si>
  <si>
    <t>0005- 00051261</t>
  </si>
  <si>
    <t>0005- 00051256</t>
  </si>
  <si>
    <t>0005- 00051237</t>
  </si>
  <si>
    <t>0005- 00051244</t>
  </si>
  <si>
    <t>0005- 00051250</t>
  </si>
  <si>
    <t>0014 00057810</t>
  </si>
  <si>
    <t>0005- 00051277</t>
  </si>
  <si>
    <t>0014 00057811</t>
  </si>
  <si>
    <t>0005- 00051276</t>
  </si>
  <si>
    <t>0014 00057752</t>
  </si>
  <si>
    <t>0014 00057766</t>
  </si>
  <si>
    <t>0014 00057758</t>
  </si>
  <si>
    <t>0014 00057772</t>
  </si>
  <si>
    <t>0014 00057753</t>
  </si>
  <si>
    <t>0014 00057767</t>
  </si>
  <si>
    <t>0014 00057759</t>
  </si>
  <si>
    <t>0014 00057773</t>
  </si>
  <si>
    <t>0014 00057827</t>
  </si>
  <si>
    <t>0014 00057834</t>
  </si>
  <si>
    <t>0014 00057829</t>
  </si>
  <si>
    <t>0014 00057830</t>
  </si>
  <si>
    <t>0014 00057831</t>
  </si>
  <si>
    <t>0014 00057833</t>
  </si>
  <si>
    <t>0014 00057835</t>
  </si>
  <si>
    <t>0014 00057824</t>
  </si>
  <si>
    <t>0014 00057817</t>
  </si>
  <si>
    <t>0014 00057818</t>
  </si>
  <si>
    <t>0014 00057819</t>
  </si>
  <si>
    <t>0014 00057820</t>
  </si>
  <si>
    <t>STAR MEDICAL SA</t>
  </si>
  <si>
    <t>0014 00057826</t>
  </si>
  <si>
    <t>NUTRISIMA S.A.</t>
  </si>
  <si>
    <t>0014 00057825</t>
  </si>
  <si>
    <t>0014 00057823</t>
  </si>
  <si>
    <t>B001400012711</t>
  </si>
  <si>
    <t>AEQUALIS S A</t>
  </si>
  <si>
    <t>0014 00012712</t>
  </si>
  <si>
    <t>0014 00012713</t>
  </si>
  <si>
    <t>0014 00012714</t>
  </si>
  <si>
    <t>0014 00012716</t>
  </si>
  <si>
    <t>PRIMEROS PRODUCTOS PEHUENIA</t>
  </si>
  <si>
    <t>0003-00119632</t>
  </si>
  <si>
    <t>0003-00119633</t>
  </si>
  <si>
    <t>0003-00119634</t>
  </si>
  <si>
    <t>0003-00037465</t>
  </si>
  <si>
    <t>0002-00013941</t>
  </si>
  <si>
    <t>0005- 00051422</t>
  </si>
  <si>
    <t>0005- 00051423</t>
  </si>
  <si>
    <t xml:space="preserve"> 0014 00057988</t>
  </si>
  <si>
    <t>0005- 00051506</t>
  </si>
  <si>
    <t>se pago todo con 8-4</t>
  </si>
  <si>
    <t>0014 00058054</t>
  </si>
  <si>
    <t>0005- 00051508</t>
  </si>
  <si>
    <t>0014 00058064</t>
  </si>
  <si>
    <t>0005- 00051510</t>
  </si>
  <si>
    <t>0014 00058066</t>
  </si>
  <si>
    <t>0014 00058071</t>
  </si>
  <si>
    <t>0014 00058068</t>
  </si>
  <si>
    <t>0005- 00051537</t>
  </si>
  <si>
    <t>0014 00058098</t>
  </si>
  <si>
    <t>REAL COLOR SRL</t>
  </si>
  <si>
    <t>0019-00001369</t>
  </si>
  <si>
    <t>0019-00001381</t>
  </si>
  <si>
    <t>0019-00001380</t>
  </si>
  <si>
    <t>0019-00001379</t>
  </si>
  <si>
    <t>0019-00001378</t>
  </si>
  <si>
    <t>0019-00001377</t>
  </si>
  <si>
    <t>0019-00001376</t>
  </si>
  <si>
    <t>0019-00001375</t>
  </si>
  <si>
    <t>0019-00001374</t>
  </si>
  <si>
    <t>0019-00001372</t>
  </si>
  <si>
    <t>0019-00001371</t>
  </si>
  <si>
    <t>0019-00001370</t>
  </si>
  <si>
    <t>0005- 00051587</t>
  </si>
  <si>
    <t>0005- 00051585</t>
  </si>
  <si>
    <t>0005- 00051589</t>
  </si>
  <si>
    <t>0005- 00051591</t>
  </si>
  <si>
    <t>0005- 00051593</t>
  </si>
  <si>
    <t>0005- 00051595</t>
  </si>
  <si>
    <t>0005- 00051597</t>
  </si>
  <si>
    <t>0005- 00051600</t>
  </si>
  <si>
    <t>0005- 00051604</t>
  </si>
  <si>
    <t>0005- 00051618</t>
  </si>
  <si>
    <t>0005- 00051586</t>
  </si>
  <si>
    <t>0005- 00051588</t>
  </si>
  <si>
    <t>0005- 00051592</t>
  </si>
  <si>
    <t>0005- 00051594</t>
  </si>
  <si>
    <t>0005- 00051601</t>
  </si>
  <si>
    <t>0005- 00051617</t>
  </si>
  <si>
    <t>0005- 00051598</t>
  </si>
  <si>
    <t>19-3 23-3</t>
  </si>
  <si>
    <t>0005- 00051603</t>
  </si>
  <si>
    <t>0005- 00051615</t>
  </si>
  <si>
    <t>0005- 00051599</t>
  </si>
  <si>
    <t>0005- 00051596</t>
  </si>
  <si>
    <t>0005- 00051616</t>
  </si>
  <si>
    <t>0005- 00051590</t>
  </si>
  <si>
    <t>0005- 00051602</t>
  </si>
  <si>
    <t>0014 00058157</t>
  </si>
  <si>
    <t>0014 00058172</t>
  </si>
  <si>
    <t>0014 00058162</t>
  </si>
  <si>
    <t>0014 00058158</t>
  </si>
  <si>
    <t>0014 00058166</t>
  </si>
  <si>
    <t>0014 00058164</t>
  </si>
  <si>
    <t>0014 00058159</t>
  </si>
  <si>
    <t>0014 00058161</t>
  </si>
  <si>
    <t>0014 00058163</t>
  </si>
  <si>
    <t>0014 00058165</t>
  </si>
  <si>
    <t>0014 00058167</t>
  </si>
  <si>
    <t>0014 00058171</t>
  </si>
  <si>
    <t>0014 00058173</t>
  </si>
  <si>
    <t>0014 00058174</t>
  </si>
  <si>
    <t>0014 00058179</t>
  </si>
  <si>
    <t>0014 00058180</t>
  </si>
  <si>
    <t>0014 00058181</t>
  </si>
  <si>
    <t>0003-00038351</t>
  </si>
  <si>
    <t>0003-00038352</t>
  </si>
  <si>
    <t>0003-00038353</t>
  </si>
  <si>
    <t>0003-00038354</t>
  </si>
  <si>
    <t>0003-00038355</t>
  </si>
  <si>
    <t>0003-00038356</t>
  </si>
  <si>
    <t>0003-00038350</t>
  </si>
  <si>
    <t>silva angela mercedes</t>
  </si>
  <si>
    <t>el barby</t>
  </si>
  <si>
    <t>mensajeria toa toa srl</t>
  </si>
  <si>
    <t xml:space="preserve">servicios verdes </t>
  </si>
  <si>
    <t xml:space="preserve">cesar ponce </t>
  </si>
  <si>
    <t>traVEL LOG S.R.L.</t>
  </si>
  <si>
    <t xml:space="preserve">digeronimo </t>
  </si>
  <si>
    <t>00002-00000054</t>
  </si>
  <si>
    <t>00002-00000055</t>
  </si>
  <si>
    <t>00002-00000056</t>
  </si>
  <si>
    <t>00002-00000057</t>
  </si>
  <si>
    <t>00002-00000058</t>
  </si>
  <si>
    <t>0014 00000156</t>
  </si>
  <si>
    <t>0014 00000155</t>
  </si>
  <si>
    <t>0005 - 00000129</t>
  </si>
  <si>
    <t>0005 - 00000130</t>
  </si>
  <si>
    <t>B0005 - 00040001</t>
  </si>
  <si>
    <t>B0005 - 00040002</t>
  </si>
  <si>
    <t>0014 00058379</t>
  </si>
  <si>
    <t>0005- 00051924</t>
  </si>
  <si>
    <t>ACTIVASALUD S.R.L.</t>
  </si>
  <si>
    <t>0005- 00051926</t>
  </si>
  <si>
    <t>0005- 00051921</t>
  </si>
  <si>
    <t>0014 00058564</t>
  </si>
  <si>
    <t>0014 00058566</t>
  </si>
  <si>
    <t>0014 00058568</t>
  </si>
  <si>
    <t>0005- 00051928</t>
  </si>
  <si>
    <t>0014 00058570</t>
  </si>
  <si>
    <t>0014 00058563</t>
  </si>
  <si>
    <t>0014 00058565</t>
  </si>
  <si>
    <t>0014 00058567</t>
  </si>
  <si>
    <t>0014 00058569</t>
  </si>
  <si>
    <t>0014 00058571</t>
  </si>
  <si>
    <t>0005- 00051920</t>
  </si>
  <si>
    <t>0005- 00051922</t>
  </si>
  <si>
    <t>0005- 00051925</t>
  </si>
  <si>
    <t>0005- 00051927</t>
  </si>
  <si>
    <t>0005- 00051929</t>
  </si>
  <si>
    <t>0005- 00051932</t>
  </si>
  <si>
    <t>0005- 00051933</t>
  </si>
  <si>
    <t>0005- 00051934</t>
  </si>
  <si>
    <t>0005- 00051935</t>
  </si>
  <si>
    <t>0005- 00051936</t>
  </si>
  <si>
    <t>0005- 00051937</t>
  </si>
  <si>
    <t>0005- 00051938</t>
  </si>
  <si>
    <t>0005- 00051939</t>
  </si>
  <si>
    <t>0014 00058575</t>
  </si>
  <si>
    <t>0014 00058576</t>
  </si>
  <si>
    <t>0014 00058577</t>
  </si>
  <si>
    <t>0014 00058578</t>
  </si>
  <si>
    <t>0014 00058579</t>
  </si>
  <si>
    <t>0014 00058580</t>
  </si>
  <si>
    <t>0014 00058581</t>
  </si>
  <si>
    <t>0005- 00051957</t>
  </si>
  <si>
    <t>0005- 00051958</t>
  </si>
  <si>
    <t>0014 00058598</t>
  </si>
  <si>
    <t>0005 - 00000131</t>
  </si>
  <si>
    <t>0005 - 00000132</t>
  </si>
  <si>
    <t>0005 - 00000133</t>
  </si>
  <si>
    <t>0005 - 00000134</t>
  </si>
  <si>
    <t>0005 - 00000135</t>
  </si>
  <si>
    <t>0005 - 00000136</t>
  </si>
  <si>
    <t>0005 - 00000137</t>
  </si>
  <si>
    <t>0014 00000157</t>
  </si>
  <si>
    <t>0014 00000158</t>
  </si>
  <si>
    <t>0014 00000159</t>
  </si>
  <si>
    <t>0014 00000160</t>
  </si>
  <si>
    <t>0014 00000161</t>
  </si>
  <si>
    <t>0014 00000162</t>
  </si>
  <si>
    <t>0014 00000163</t>
  </si>
  <si>
    <t>0014 00000164</t>
  </si>
  <si>
    <t>0014 00000165</t>
  </si>
  <si>
    <t>0014 00000166</t>
  </si>
  <si>
    <t>0005 - 00000138</t>
  </si>
  <si>
    <t>0005 - 00000139</t>
  </si>
  <si>
    <t>0005 - 00000140</t>
  </si>
  <si>
    <t>0005 - 00000141</t>
  </si>
  <si>
    <t>0019-00001373</t>
  </si>
  <si>
    <t>GRUPO LUMBRERA S.A.S</t>
  </si>
  <si>
    <t>0002-00014917</t>
  </si>
  <si>
    <t>0002-00014916</t>
  </si>
  <si>
    <t>00002-00000062</t>
  </si>
  <si>
    <t>0014 00058807</t>
  </si>
  <si>
    <t>0014 00058809</t>
  </si>
  <si>
    <t>0014 00058806</t>
  </si>
  <si>
    <t>0014 00058808</t>
  </si>
  <si>
    <t>ALEJANDRO NEGRO SRL</t>
  </si>
  <si>
    <t>0009-00000233</t>
  </si>
  <si>
    <t>0009-00000236</t>
  </si>
  <si>
    <t>0014 00059046</t>
  </si>
  <si>
    <t>27-28 / 3</t>
  </si>
  <si>
    <t>0014 00059048</t>
  </si>
  <si>
    <t>0014 00059050</t>
  </si>
  <si>
    <t>OBRA SOCIAL DEL PERSONAL AUXILIAR</t>
  </si>
  <si>
    <t>B 0002 - 00011898</t>
  </si>
  <si>
    <t>0005- 00052505</t>
  </si>
  <si>
    <t>0005- 00052500</t>
  </si>
  <si>
    <t>0014 00059170</t>
  </si>
  <si>
    <t>0014 00059175</t>
  </si>
  <si>
    <t>0005- 00052501</t>
  </si>
  <si>
    <t>0005- 00052506</t>
  </si>
  <si>
    <t>0014 00059171</t>
  </si>
  <si>
    <t>0014 00059176</t>
  </si>
  <si>
    <t>0014 00059172</t>
  </si>
  <si>
    <t>0014 00059177</t>
  </si>
  <si>
    <t>0005- 00052502</t>
  </si>
  <si>
    <t>0005- 00052507</t>
  </si>
  <si>
    <t xml:space="preserve"> 0005- 00052503</t>
  </si>
  <si>
    <t>0005- 00052508</t>
  </si>
  <si>
    <t>0014 00059173</t>
  </si>
  <si>
    <t>0014 00059178</t>
  </si>
  <si>
    <t>0014 00059174</t>
  </si>
  <si>
    <t>0014 00059179</t>
  </si>
  <si>
    <t>0005- 00052504</t>
  </si>
  <si>
    <t>0005- 00052509</t>
  </si>
  <si>
    <t>0005- 00052565</t>
  </si>
  <si>
    <t>0005- 00052566</t>
  </si>
  <si>
    <t>0005- 00052567</t>
  </si>
  <si>
    <t>0005- 00052568</t>
  </si>
  <si>
    <t>0005- 00052569</t>
  </si>
  <si>
    <t>0005- 00052570</t>
  </si>
  <si>
    <t>0005- 00052571</t>
  </si>
  <si>
    <t>0014 00059262</t>
  </si>
  <si>
    <t>0014 00059263</t>
  </si>
  <si>
    <t>0014 00059265</t>
  </si>
  <si>
    <t>0014 00059272</t>
  </si>
  <si>
    <t>0014 00059267</t>
  </si>
  <si>
    <t>0014 00059269</t>
  </si>
  <si>
    <t>0014 00059274</t>
  </si>
  <si>
    <t>0014 00059331</t>
  </si>
  <si>
    <t>0014 00059332</t>
  </si>
  <si>
    <t>0014 00059333</t>
  </si>
  <si>
    <t>ELEBES S.A</t>
  </si>
  <si>
    <t>0001-00026914</t>
  </si>
  <si>
    <t>0001-00026913</t>
  </si>
  <si>
    <t>0005- 00052619</t>
  </si>
  <si>
    <t>0005- 00052612</t>
  </si>
  <si>
    <t>0005- 00052614</t>
  </si>
  <si>
    <t>0005- 00052621</t>
  </si>
  <si>
    <t>0014 00059342</t>
  </si>
  <si>
    <t>0014 00059344</t>
  </si>
  <si>
    <t>0014 00059359</t>
  </si>
  <si>
    <t>0014 00059360</t>
  </si>
  <si>
    <t>0005- 00052620</t>
  </si>
  <si>
    <t>0005- 00052611</t>
  </si>
  <si>
    <t>0005- 00052613</t>
  </si>
  <si>
    <t>0005- 00052618</t>
  </si>
  <si>
    <t>SC PILAR S.A.</t>
  </si>
  <si>
    <t>0005- 00052637</t>
  </si>
  <si>
    <t>0005- 00052652</t>
  </si>
  <si>
    <t>0005- 00052641</t>
  </si>
  <si>
    <t>0005- 00052647</t>
  </si>
  <si>
    <t>0005- 00052644</t>
  </si>
  <si>
    <t>0005- 00052655</t>
  </si>
  <si>
    <t>MAMARIAN EUGENIO DAVID</t>
  </si>
  <si>
    <t>0005- 00052639</t>
  </si>
  <si>
    <t>0005- 00052651</t>
  </si>
  <si>
    <t>0005- 00052645</t>
  </si>
  <si>
    <t>0005- 00052648</t>
  </si>
  <si>
    <t>0005- 00052654</t>
  </si>
  <si>
    <t>0005- 00052642</t>
  </si>
  <si>
    <t>0005- 00052638</t>
  </si>
  <si>
    <t>0005- 00052656</t>
  </si>
  <si>
    <t>0005- 00052646</t>
  </si>
  <si>
    <t>0005- 00052653</t>
  </si>
  <si>
    <t>0005- 00052643</t>
  </si>
  <si>
    <t>0005- 00052640</t>
  </si>
  <si>
    <t>0005- 00052636</t>
  </si>
  <si>
    <t>0005- 00052649</t>
  </si>
  <si>
    <t>0014 00059405</t>
  </si>
  <si>
    <t>0002-00015715</t>
  </si>
  <si>
    <t>0002-00015714</t>
  </si>
  <si>
    <t>0002-00015713</t>
  </si>
  <si>
    <t>0002-00015712</t>
  </si>
  <si>
    <t>0005- 00052728</t>
  </si>
  <si>
    <t>GRUPO MONACO S.R.L.</t>
  </si>
  <si>
    <t>00006-00000107</t>
  </si>
  <si>
    <t>0014 00059634</t>
  </si>
  <si>
    <t>0014 00059638</t>
  </si>
  <si>
    <t>0014 00059632</t>
  </si>
  <si>
    <t>0014 00059635</t>
  </si>
  <si>
    <t>0014 00059637</t>
  </si>
  <si>
    <t>0014 00059640</t>
  </si>
  <si>
    <t>0014 00059633</t>
  </si>
  <si>
    <t>0014 00059636</t>
  </si>
  <si>
    <t>0014 00059639</t>
  </si>
  <si>
    <t>0014 00059667</t>
  </si>
  <si>
    <t>0014 00059671</t>
  </si>
  <si>
    <t>0014 00059676</t>
  </si>
  <si>
    <t>0014 00059678</t>
  </si>
  <si>
    <t>0014 00059673</t>
  </si>
  <si>
    <t>0014 00059669</t>
  </si>
  <si>
    <t>0014 00059677</t>
  </si>
  <si>
    <t>0014 00059672</t>
  </si>
  <si>
    <t>0014 00059668</t>
  </si>
  <si>
    <t>00002-00000101</t>
  </si>
  <si>
    <t>00002-00000102</t>
  </si>
  <si>
    <t>00002-00000103</t>
  </si>
  <si>
    <t>00002-00000104</t>
  </si>
  <si>
    <t>00002-00000105</t>
  </si>
  <si>
    <t>00002-00000106</t>
  </si>
  <si>
    <t>00002-00000107</t>
  </si>
  <si>
    <t>CELUMANIA S.R.L.</t>
  </si>
  <si>
    <t>0004 - 00000837</t>
  </si>
  <si>
    <t>0004 - 00000839</t>
  </si>
  <si>
    <t>0004 - 00000835</t>
  </si>
  <si>
    <t>0004 - 00000836</t>
  </si>
  <si>
    <t>0004 - 00000838</t>
  </si>
  <si>
    <t>0014 00059854</t>
  </si>
  <si>
    <t>00005-00000123</t>
  </si>
  <si>
    <t>00005-00000124</t>
  </si>
  <si>
    <t>0005- 00052926</t>
  </si>
  <si>
    <t>B 0014 00012858</t>
  </si>
  <si>
    <t>B0005 - 00040011</t>
  </si>
  <si>
    <t>0005 - 00000142</t>
  </si>
  <si>
    <t>0005 - 00000143</t>
  </si>
  <si>
    <t>0005 - 00000144</t>
  </si>
  <si>
    <t>0014 00000167</t>
  </si>
  <si>
    <t>0014 00000168</t>
  </si>
  <si>
    <t>0014 00000169</t>
  </si>
  <si>
    <t>0005- 00053014</t>
  </si>
  <si>
    <t>0005- 00053016</t>
  </si>
  <si>
    <t>0005- 00053018</t>
  </si>
  <si>
    <t>0005- 00053020</t>
  </si>
  <si>
    <t>0005- 00053022</t>
  </si>
  <si>
    <t>PILAR S.A.</t>
  </si>
  <si>
    <t>0005- 00053013</t>
  </si>
  <si>
    <t>0005- 00053015</t>
  </si>
  <si>
    <t>0005- 00053017</t>
  </si>
  <si>
    <t>0005- 00053019</t>
  </si>
  <si>
    <t>0005- 00053021</t>
  </si>
  <si>
    <t>0005- 00053105</t>
  </si>
  <si>
    <t>0005- 00053103</t>
  </si>
  <si>
    <t>0005- 00053107</t>
  </si>
  <si>
    <t>0005- 00053110</t>
  </si>
  <si>
    <t>0005- 00053112</t>
  </si>
  <si>
    <t>0005- 00053113</t>
  </si>
  <si>
    <t>0005- 00053115</t>
  </si>
  <si>
    <t>0014 00060018</t>
  </si>
  <si>
    <t>0014 00060023</t>
  </si>
  <si>
    <t>0014 00060026</t>
  </si>
  <si>
    <t>0014 00060019</t>
  </si>
  <si>
    <t>0014 00060020</t>
  </si>
  <si>
    <t>0014 00060022</t>
  </si>
  <si>
    <t>0014 00060025</t>
  </si>
  <si>
    <t>0014 00060028</t>
  </si>
  <si>
    <t>0005- 00053106</t>
  </si>
  <si>
    <t>0005- 00053114</t>
  </si>
  <si>
    <t>0014 00060027</t>
  </si>
  <si>
    <t>0005- 00053109</t>
  </si>
  <si>
    <t>0014 00060021</t>
  </si>
  <si>
    <t>0014 00060024</t>
  </si>
  <si>
    <t>IDEFI DESARROLLOS S.A.</t>
  </si>
  <si>
    <t>0005- 00053104</t>
  </si>
  <si>
    <t>0005- 00053108</t>
  </si>
  <si>
    <t>0005- 00053111</t>
  </si>
  <si>
    <t>B 0014 00012864</t>
  </si>
  <si>
    <t>0014 00060112</t>
  </si>
  <si>
    <t>0014 00060122</t>
  </si>
  <si>
    <t>0014 00060135</t>
  </si>
  <si>
    <t>0014 00060139</t>
  </si>
  <si>
    <t>0014 00060111</t>
  </si>
  <si>
    <t>0014 00060121</t>
  </si>
  <si>
    <t>0014 00060124</t>
  </si>
  <si>
    <t>0014 00060138</t>
  </si>
  <si>
    <t>0014 00060114</t>
  </si>
  <si>
    <t>0014 00060123</t>
  </si>
  <si>
    <t>0014 00060136</t>
  </si>
  <si>
    <t>0014 00060149</t>
  </si>
  <si>
    <t>0014 00060137</t>
  </si>
  <si>
    <t>0014 00060108</t>
  </si>
  <si>
    <t>0014 00060150</t>
  </si>
  <si>
    <t>0014 00060151</t>
  </si>
  <si>
    <t>0014 00060152</t>
  </si>
  <si>
    <t>0014 00060153</t>
  </si>
  <si>
    <t>0005- 00053192</t>
  </si>
  <si>
    <t>0014 00060181</t>
  </si>
  <si>
    <t>0005- 00053267</t>
  </si>
  <si>
    <t>0005- 00053262</t>
  </si>
  <si>
    <t>0005- 00053257</t>
  </si>
  <si>
    <t>0005- 00053268</t>
  </si>
  <si>
    <t>0005- 00053263</t>
  </si>
  <si>
    <t>0005- 00053258</t>
  </si>
  <si>
    <t>0005- 00053266</t>
  </si>
  <si>
    <t>0005- 00053261</t>
  </si>
  <si>
    <t>0005- 00053256</t>
  </si>
  <si>
    <t>0005- 00053264</t>
  </si>
  <si>
    <t>0005- 00053259</t>
  </si>
  <si>
    <t>0005- 00053270</t>
  </si>
  <si>
    <t>0005- 00053269</t>
  </si>
  <si>
    <t>0005- 00053260</t>
  </si>
  <si>
    <t>0005- 00053265</t>
  </si>
  <si>
    <t>0005- 00053396</t>
  </si>
  <si>
    <t>0005- 00053397</t>
  </si>
  <si>
    <t>0005- 00053399</t>
  </si>
  <si>
    <t>0005- 00053400</t>
  </si>
  <si>
    <t>0005- 00053401</t>
  </si>
  <si>
    <t>0005- 00053402</t>
  </si>
  <si>
    <t>0005- 00053403</t>
  </si>
  <si>
    <t>0014 00060241</t>
  </si>
  <si>
    <t>0014 00060242</t>
  </si>
  <si>
    <t>0014 00060244</t>
  </si>
  <si>
    <t>0014 00060246</t>
  </si>
  <si>
    <t>0014 00060248</t>
  </si>
  <si>
    <t>0014 00060247</t>
  </si>
  <si>
    <t>0014 00060249</t>
  </si>
  <si>
    <t>0014 00060243</t>
  </si>
  <si>
    <t>0014 00060245</t>
  </si>
  <si>
    <t>0005- 00053398</t>
  </si>
  <si>
    <t>0014 00060289</t>
  </si>
  <si>
    <t>0014 00060281</t>
  </si>
  <si>
    <t>0014 00060282</t>
  </si>
  <si>
    <t>0014 00060308</t>
  </si>
  <si>
    <t>0005- 00053560</t>
  </si>
  <si>
    <t>0014 00060372</t>
  </si>
  <si>
    <t>0014 00060416</t>
  </si>
  <si>
    <t>0005- 00053621</t>
  </si>
  <si>
    <t>0005- 00053684</t>
  </si>
  <si>
    <t>0014 00060486</t>
  </si>
  <si>
    <t>0014 00060495</t>
  </si>
  <si>
    <t>0005- 00053694</t>
  </si>
  <si>
    <t>0005- 00053696</t>
  </si>
  <si>
    <t>0014 00060550</t>
  </si>
  <si>
    <t>0014 00060556</t>
  </si>
  <si>
    <t>0005- 00053736</t>
  </si>
  <si>
    <t>0005- 00053742</t>
  </si>
  <si>
    <t>ACMED S</t>
  </si>
  <si>
    <t>0014 00060546</t>
  </si>
  <si>
    <t>0014 00060552</t>
  </si>
  <si>
    <t>0005- 00053738</t>
  </si>
  <si>
    <t>0005- 00053732</t>
  </si>
  <si>
    <t>0014 00060547</t>
  </si>
  <si>
    <t>0014 00060553</t>
  </si>
  <si>
    <t>0005- 00053739</t>
  </si>
  <si>
    <t>0005- 00053733</t>
  </si>
  <si>
    <t>0014 00060548</t>
  </si>
  <si>
    <t>0014 00060554</t>
  </si>
  <si>
    <t>0005- 00053734</t>
  </si>
  <si>
    <t>0005- 00053740</t>
  </si>
  <si>
    <t>0014 00060551</t>
  </si>
  <si>
    <t>0014 00060557</t>
  </si>
  <si>
    <t>0005- 00053737</t>
  </si>
  <si>
    <t>0005- 00053743</t>
  </si>
  <si>
    <t>0014 00060549</t>
  </si>
  <si>
    <t>0014 00060555</t>
  </si>
  <si>
    <t>0005- 00053735</t>
  </si>
  <si>
    <t>0005- 00053741</t>
  </si>
  <si>
    <t>0005- 00053876</t>
  </si>
  <si>
    <t>0005- 00053877</t>
  </si>
  <si>
    <t>GESTION CITERA SOCIEDAD</t>
  </si>
  <si>
    <t>0005- 00053959</t>
  </si>
  <si>
    <t>ADARA RS</t>
  </si>
  <si>
    <t>0014 00060732</t>
  </si>
  <si>
    <t>0014 00060733</t>
  </si>
  <si>
    <t>0014 00060734</t>
  </si>
  <si>
    <t>0005- 00053960</t>
  </si>
  <si>
    <t>0005- 00053961</t>
  </si>
  <si>
    <t>0005- 00053962</t>
  </si>
  <si>
    <t>0014 00060743</t>
  </si>
  <si>
    <t>0014 00060744</t>
  </si>
  <si>
    <t>0014 00060745</t>
  </si>
  <si>
    <t>0005- 00054013</t>
  </si>
  <si>
    <t>0005- 00054020</t>
  </si>
  <si>
    <t>0005- 00054023</t>
  </si>
  <si>
    <t>0005- 00054012</t>
  </si>
  <si>
    <t>0005- 00054016</t>
  </si>
  <si>
    <t>0005- 00054021</t>
  </si>
  <si>
    <t>0005- 00054015</t>
  </si>
  <si>
    <t>0005- 00054018</t>
  </si>
  <si>
    <t>0005- 00054024</t>
  </si>
  <si>
    <t>GUSTAVO QUIROGA E. P. M. SA</t>
  </si>
  <si>
    <t>0005- 00054011</t>
  </si>
  <si>
    <t>0014 00060795</t>
  </si>
  <si>
    <t>0014 00060797</t>
  </si>
  <si>
    <t>0005- 00054014</t>
  </si>
  <si>
    <t>0014 00060798</t>
  </si>
  <si>
    <t>0005- 00054017</t>
  </si>
  <si>
    <t>0005- 00054022</t>
  </si>
  <si>
    <t>0005- 00054019</t>
  </si>
  <si>
    <t>0014 00060800</t>
  </si>
  <si>
    <t>0014 00060796</t>
  </si>
  <si>
    <t>0014 00060799</t>
  </si>
  <si>
    <t>ALPHA OMEGA GROUP SRL</t>
  </si>
  <si>
    <t>0005- 00054034</t>
  </si>
  <si>
    <t>GEDREZ RECUPERO</t>
  </si>
  <si>
    <t>0005- 00054095</t>
  </si>
  <si>
    <t>DINAMO SLOTS S.A</t>
  </si>
  <si>
    <t>0005- 00054097</t>
  </si>
  <si>
    <t>0005- 00054093</t>
  </si>
  <si>
    <t>0005- 00054094</t>
  </si>
  <si>
    <t>0005- 00054096</t>
  </si>
  <si>
    <t>0014 00060866</t>
  </si>
  <si>
    <t>MEGAN TECH</t>
  </si>
  <si>
    <t>0004 - 00000852</t>
  </si>
  <si>
    <t>MELEJ</t>
  </si>
  <si>
    <t>BEKIRI SRL</t>
  </si>
  <si>
    <t>A00017-00001770</t>
  </si>
  <si>
    <t>0014 00060968</t>
  </si>
  <si>
    <t>0014 00060969</t>
  </si>
  <si>
    <t>0014 00060967</t>
  </si>
  <si>
    <t>A00017-00001775</t>
  </si>
  <si>
    <t>0014 00061069</t>
  </si>
  <si>
    <t>0014 00061072</t>
  </si>
  <si>
    <t>0014 00061074</t>
  </si>
  <si>
    <t>0014 00061070</t>
  </si>
  <si>
    <t>0001-00028805</t>
  </si>
  <si>
    <t>0001-00028806</t>
  </si>
  <si>
    <t>0001-00028807</t>
  </si>
  <si>
    <t>0014 00061164</t>
  </si>
  <si>
    <t>0014 00061166</t>
  </si>
  <si>
    <t>0014 00061168</t>
  </si>
  <si>
    <t>0014 00061170</t>
  </si>
  <si>
    <t>0005 - 00000145</t>
  </si>
  <si>
    <t>0005 - 00000146</t>
  </si>
  <si>
    <t>0005 - 00000147</t>
  </si>
  <si>
    <t>0005 - 00000148</t>
  </si>
  <si>
    <t>NURMAGOMEDOV S.R.L.</t>
  </si>
  <si>
    <t>00001-00000450</t>
  </si>
  <si>
    <t>00001-00000449</t>
  </si>
  <si>
    <t>0005- 00054537</t>
  </si>
  <si>
    <t>0005- 00054538</t>
  </si>
  <si>
    <t>0005- 00054536</t>
  </si>
  <si>
    <t>0005- 00054534</t>
  </si>
  <si>
    <t>0005- 00054539</t>
  </si>
  <si>
    <t>0005- 00054541</t>
  </si>
  <si>
    <t>0014 00061244</t>
  </si>
  <si>
    <t>0014 00061246</t>
  </si>
  <si>
    <t>0014 00061243</t>
  </si>
  <si>
    <t>0014 00061245</t>
  </si>
  <si>
    <t>0014 00061247</t>
  </si>
  <si>
    <t>00006-00000071</t>
  </si>
  <si>
    <t>00006-00000072</t>
  </si>
  <si>
    <t>00006-00000073</t>
  </si>
  <si>
    <t>00006-00000074</t>
  </si>
  <si>
    <t>00006-00000075</t>
  </si>
  <si>
    <t>00006-00000076</t>
  </si>
  <si>
    <t>00006-00000077</t>
  </si>
  <si>
    <t>00006-00000078</t>
  </si>
  <si>
    <t>00006-00000079</t>
  </si>
  <si>
    <t>00001-00000455</t>
  </si>
  <si>
    <t>00001-00000454</t>
  </si>
  <si>
    <t>LAGO PUELO SA</t>
  </si>
  <si>
    <t>0001-00321721</t>
  </si>
  <si>
    <t>0001-00321720</t>
  </si>
  <si>
    <t>0001-00321722</t>
  </si>
  <si>
    <t>0003-00142960</t>
  </si>
  <si>
    <t>0003-00142961</t>
  </si>
  <si>
    <t>0003-00042449</t>
  </si>
  <si>
    <t>0003-00042450</t>
  </si>
  <si>
    <t>0003-00042451</t>
  </si>
  <si>
    <t>0003-00042452</t>
  </si>
  <si>
    <t>0001-00028970</t>
  </si>
  <si>
    <t>0001-00028971</t>
  </si>
  <si>
    <t>00001-00000457</t>
  </si>
  <si>
    <t>00001-00000456</t>
  </si>
  <si>
    <t>0014 00061345</t>
  </si>
  <si>
    <t>0014 00061346</t>
  </si>
  <si>
    <t>0005- 00054651</t>
  </si>
  <si>
    <t>0005- 00054649</t>
  </si>
  <si>
    <t>0005- 00054650</t>
  </si>
  <si>
    <t>0005- 00054652</t>
  </si>
  <si>
    <t>0005- 00054653</t>
  </si>
  <si>
    <t>0005- 00054700</t>
  </si>
  <si>
    <t>0005- 00054698</t>
  </si>
  <si>
    <t>0005- 00054702</t>
  </si>
  <si>
    <t>0005- 00054704</t>
  </si>
  <si>
    <t>0014 00061388</t>
  </si>
  <si>
    <t>0014 00061389</t>
  </si>
  <si>
    <t>0014 00061391</t>
  </si>
  <si>
    <t>0014 00061401</t>
  </si>
  <si>
    <t>0014 00061402</t>
  </si>
  <si>
    <t>0014 00061392</t>
  </si>
  <si>
    <t>0014 00061393</t>
  </si>
  <si>
    <t>0014 00061395</t>
  </si>
  <si>
    <t>0014 00061396</t>
  </si>
  <si>
    <t>0014 00061404</t>
  </si>
  <si>
    <t>0014 00061399</t>
  </si>
  <si>
    <t>0014 00061405</t>
  </si>
  <si>
    <t>0014 00061406</t>
  </si>
  <si>
    <t>0014 00061390</t>
  </si>
  <si>
    <t>0014 00061394</t>
  </si>
  <si>
    <t>0014 00061400</t>
  </si>
  <si>
    <t>0014 00061403</t>
  </si>
  <si>
    <t>0005- 00054699</t>
  </si>
  <si>
    <t>0005- 00054701</t>
  </si>
  <si>
    <t>0005- 00054703</t>
  </si>
  <si>
    <t>B0005 - 00040016</t>
  </si>
  <si>
    <t>B0005 - 00040017</t>
  </si>
  <si>
    <t>00001-00000464</t>
  </si>
  <si>
    <t>0005 - 00000149</t>
  </si>
  <si>
    <t>0005 - 00000150</t>
  </si>
  <si>
    <t>0005 - 00000151</t>
  </si>
  <si>
    <t>00002-00000146</t>
  </si>
  <si>
    <t>00002-00000147</t>
  </si>
  <si>
    <t>00002-00000148</t>
  </si>
  <si>
    <t>00002-00000149</t>
  </si>
  <si>
    <t>0005- 00054853</t>
  </si>
  <si>
    <t>0005- 00054854</t>
  </si>
  <si>
    <t>0005- 00054856</t>
  </si>
  <si>
    <t>0005- 00054855</t>
  </si>
  <si>
    <t>0005- 00054859</t>
  </si>
  <si>
    <t>0005- 00054860</t>
  </si>
  <si>
    <t>0014 00061629</t>
  </si>
  <si>
    <t>0014 00061631</t>
  </si>
  <si>
    <t>0014 00061625</t>
  </si>
  <si>
    <t>0014 00061627</t>
  </si>
  <si>
    <t>0014 00061633</t>
  </si>
  <si>
    <t>0014 00061626</t>
  </si>
  <si>
    <t>0014 00061634</t>
  </si>
  <si>
    <t>0014 00000172</t>
  </si>
  <si>
    <t>0014 00000170</t>
  </si>
  <si>
    <t>0014 00000171</t>
  </si>
  <si>
    <t>0014 00061628</t>
  </si>
  <si>
    <t>0014 00061630</t>
  </si>
  <si>
    <t>0014 00061624</t>
  </si>
  <si>
    <t>0014 00061632</t>
  </si>
  <si>
    <t>0014 00061801</t>
  </si>
  <si>
    <t>0014 00061803</t>
  </si>
  <si>
    <t>0014 00061802</t>
  </si>
  <si>
    <t>0005- 00055086</t>
  </si>
  <si>
    <t>0005- 00055087</t>
  </si>
  <si>
    <t>0005- 00055088</t>
  </si>
  <si>
    <t>0005- 00055089</t>
  </si>
  <si>
    <t>0005- 00055102</t>
  </si>
  <si>
    <t>0005- 00055103</t>
  </si>
  <si>
    <t>0005- 00055104</t>
  </si>
  <si>
    <t>0005- 00055105</t>
  </si>
  <si>
    <t>0005- 00055106</t>
  </si>
  <si>
    <t>0005- 00055107</t>
  </si>
  <si>
    <t>0005- 00055247</t>
  </si>
  <si>
    <t>0005- 00055246</t>
  </si>
  <si>
    <t>0014 00061940</t>
  </si>
  <si>
    <t>0014 00061942</t>
  </si>
  <si>
    <t>0014 00061943</t>
  </si>
  <si>
    <t>0014 00061945</t>
  </si>
  <si>
    <t>0005- 00055264</t>
  </si>
  <si>
    <t>0005- 00055265</t>
  </si>
  <si>
    <t>0005 - 00000158</t>
  </si>
  <si>
    <t>0005 - 00000159</t>
  </si>
  <si>
    <t>0005 - 00000152</t>
  </si>
  <si>
    <t>0005 - 00000153</t>
  </si>
  <si>
    <t>0005 - 00000154</t>
  </si>
  <si>
    <t>0005 - 00000155</t>
  </si>
  <si>
    <t>0005 - 00000156</t>
  </si>
  <si>
    <t>0005 - 00000157</t>
  </si>
  <si>
    <t>0005- 00055324</t>
  </si>
  <si>
    <t>0005- 00055325</t>
  </si>
  <si>
    <t>0005- 00055326</t>
  </si>
  <si>
    <t>0005- 00055327</t>
  </si>
  <si>
    <t>0005- 00055298</t>
  </si>
  <si>
    <t xml:space="preserve"> VEGA Y CAMJI S A I C</t>
  </si>
  <si>
    <t>0005- 00055355</t>
  </si>
  <si>
    <t>0014 00062086</t>
  </si>
  <si>
    <t>0005- 00055437</t>
  </si>
  <si>
    <t>0014 00062122</t>
  </si>
  <si>
    <t>MELEJ SRL</t>
  </si>
  <si>
    <t>00017-00001807</t>
  </si>
  <si>
    <t>0005- 00055495</t>
  </si>
  <si>
    <t>0005- 00055496</t>
  </si>
  <si>
    <t>0005- 00055573</t>
  </si>
  <si>
    <t>0005- 00055581</t>
  </si>
  <si>
    <t>0005- 00055576</t>
  </si>
  <si>
    <t>0005- 00055579</t>
  </si>
  <si>
    <t>0005- 00055575</t>
  </si>
  <si>
    <t>0005- 00055574</t>
  </si>
  <si>
    <t>0005- 00055577</t>
  </si>
  <si>
    <t>0014 00062184</t>
  </si>
  <si>
    <t>0014 00062183</t>
  </si>
  <si>
    <t>0014 00062240</t>
  </si>
  <si>
    <t>0014 00062248</t>
  </si>
  <si>
    <t>0014 00062245</t>
  </si>
  <si>
    <t>0014 00062242</t>
  </si>
  <si>
    <t>0014 00062243</t>
  </si>
  <si>
    <t>0014 00062246</t>
  </si>
  <si>
    <t>0014 00062244</t>
  </si>
  <si>
    <t>0009-00000241</t>
  </si>
  <si>
    <t>0009-00000238</t>
  </si>
  <si>
    <t>0005 - 00000160</t>
  </si>
  <si>
    <t>0005 - 00000161</t>
  </si>
  <si>
    <t>0005 - 00000162</t>
  </si>
  <si>
    <t>0005 - 00000163</t>
  </si>
  <si>
    <t>0005 - 00000164</t>
  </si>
  <si>
    <t>0005 - 00000165</t>
  </si>
  <si>
    <t>0005 - 00000166</t>
  </si>
  <si>
    <t>0005 - 00000167</t>
  </si>
  <si>
    <t>0005 - 00000168</t>
  </si>
  <si>
    <t>0014 00000173</t>
  </si>
  <si>
    <t>0014 00000174</t>
  </si>
  <si>
    <t>0014 00000179</t>
  </si>
  <si>
    <t>0014 00000175</t>
  </si>
  <si>
    <t>0014 00000176</t>
  </si>
  <si>
    <t>0014 00000177</t>
  </si>
  <si>
    <t>0014 00000178</t>
  </si>
  <si>
    <t>0014 00000180</t>
  </si>
  <si>
    <t>0014 00000181</t>
  </si>
  <si>
    <t>0014 00062345</t>
  </si>
  <si>
    <t>0005- 00055680</t>
  </si>
  <si>
    <t>0005- 00055675</t>
  </si>
  <si>
    <t>0005- 00055678</t>
  </si>
  <si>
    <t>0005- 00055674</t>
  </si>
  <si>
    <t>0005- 00055681</t>
  </si>
  <si>
    <t>0005- 00055684</t>
  </si>
  <si>
    <t>SAN JORGE SERVICIO INTEGRAL DE</t>
  </si>
  <si>
    <t>0005- 00055795</t>
  </si>
  <si>
    <t>ONLINE MARKET S.R.L.</t>
  </si>
  <si>
    <t>EL BARBY SRL</t>
  </si>
  <si>
    <t>0004 - 00000876</t>
  </si>
  <si>
    <t>SINDICATO UNICO DE TRABAJADORES</t>
  </si>
  <si>
    <t>B00017-00000021</t>
  </si>
  <si>
    <t>0005- 00055961</t>
  </si>
  <si>
    <t>0005- 00055963</t>
  </si>
  <si>
    <t>0005- 00055965</t>
  </si>
  <si>
    <t>0005- 00055968</t>
  </si>
  <si>
    <t>0005- 00055972</t>
  </si>
  <si>
    <t>0005- 00055974</t>
  </si>
  <si>
    <t>0005- 00055976</t>
  </si>
  <si>
    <t>0005- 00055969</t>
  </si>
  <si>
    <t>0005- 00055977</t>
  </si>
  <si>
    <t>MAYAMA GERMAN AUGUSTO</t>
  </si>
  <si>
    <t>0005- 00055962</t>
  </si>
  <si>
    <t>0005- 00055966</t>
  </si>
  <si>
    <t>0005- 00055973</t>
  </si>
  <si>
    <t>0005- 00055971</t>
  </si>
  <si>
    <t>0014 00062680</t>
  </si>
  <si>
    <t>0014 00062685</t>
  </si>
  <si>
    <t>0014 00062689</t>
  </si>
  <si>
    <t>ITPA S.A.</t>
  </si>
  <si>
    <t>B0005 - 00040025</t>
  </si>
  <si>
    <t>YOSHIDA PAOLA VICTORIA</t>
  </si>
  <si>
    <t>0005- 00055964</t>
  </si>
  <si>
    <t>0005- 00055967</t>
  </si>
  <si>
    <t>0005- 00055970</t>
  </si>
  <si>
    <t>0005- 00055975</t>
  </si>
  <si>
    <t>0014 00062687</t>
  </si>
  <si>
    <t>0014 00062684</t>
  </si>
  <si>
    <t>ROSATTO DOMINGO SERGIO</t>
  </si>
  <si>
    <t>0014 00062681</t>
  </si>
  <si>
    <t>0014 00062683</t>
  </si>
  <si>
    <t>0014 00062686</t>
  </si>
  <si>
    <t>0014 00062690</t>
  </si>
  <si>
    <t>0014 00062682</t>
  </si>
  <si>
    <t>0014 00062688</t>
  </si>
  <si>
    <t>B 0014 00013067</t>
  </si>
  <si>
    <t>0005- 00056064</t>
  </si>
  <si>
    <t>0005- 00056062</t>
  </si>
  <si>
    <t>0005- 00056075</t>
  </si>
  <si>
    <t>0005- 00056071</t>
  </si>
  <si>
    <t>0005- 00056069</t>
  </si>
  <si>
    <t>0005- 00056067</t>
  </si>
  <si>
    <t>PRESTACIONES MEDICAS INTEGRALES</t>
  </si>
  <si>
    <t>0005- 00056073</t>
  </si>
  <si>
    <t>0005- 00056063</t>
  </si>
  <si>
    <t>0005- 00056091</t>
  </si>
  <si>
    <t>0005- 00056087</t>
  </si>
  <si>
    <t>0005- 00056088</t>
  </si>
  <si>
    <t>0005- 00056090</t>
  </si>
  <si>
    <t>CHURRINCHES S. A.</t>
  </si>
  <si>
    <t>0005- 00056089</t>
  </si>
  <si>
    <t>0014 00062777</t>
  </si>
  <si>
    <t>0014 00062780</t>
  </si>
  <si>
    <t>0014 00062782</t>
  </si>
  <si>
    <t>0014 00062785</t>
  </si>
  <si>
    <t>0014 00062779</t>
  </si>
  <si>
    <t>WAYNA S.A.</t>
  </si>
  <si>
    <t>0014 00062776</t>
  </si>
  <si>
    <t>0014 00062778</t>
  </si>
  <si>
    <t>0014 00062781</t>
  </si>
  <si>
    <t>GRUPO SASHIMI S.R.L.</t>
  </si>
  <si>
    <t>0014 00062843</t>
  </si>
  <si>
    <t>00004-00000107</t>
  </si>
  <si>
    <t>00004-00000108</t>
  </si>
  <si>
    <t>INTERCONSULTORA SA</t>
  </si>
  <si>
    <t>00004-00000109</t>
  </si>
  <si>
    <t>PROMORED ARGENTINA S. A.</t>
  </si>
  <si>
    <t>00004-00000110</t>
  </si>
  <si>
    <t>MARINELLI PAOLA GISELLA</t>
  </si>
  <si>
    <t>00004-00000111</t>
  </si>
  <si>
    <t>LENTINI GASTON ARIEL</t>
  </si>
  <si>
    <t>00004-00000112</t>
  </si>
  <si>
    <t>CLAN EST SACIFICA</t>
  </si>
  <si>
    <t>00004-00000113</t>
  </si>
  <si>
    <t>GIMNASIO NEP S.R.L.</t>
  </si>
  <si>
    <t>00004-00000114</t>
  </si>
  <si>
    <t>DMARG S.R.L.</t>
  </si>
  <si>
    <t>00004-00000115</t>
  </si>
  <si>
    <t>DANLUK S.R.L</t>
  </si>
  <si>
    <t>00004-00000116</t>
  </si>
  <si>
    <t>REDFIT11 S.R.L.</t>
  </si>
  <si>
    <t>00004-00000117</t>
  </si>
  <si>
    <t>JJ SPORTS S.R.L.</t>
  </si>
  <si>
    <t>00004-00000118</t>
  </si>
  <si>
    <t>NFL SPORTS S.R.L.</t>
  </si>
  <si>
    <t>00004-00000119</t>
  </si>
  <si>
    <t>0005- 00056105</t>
  </si>
  <si>
    <t>0005- 00056107</t>
  </si>
  <si>
    <t>0005- 00056106</t>
  </si>
  <si>
    <t>0005- 00056108</t>
  </si>
  <si>
    <t>0005- 00056109</t>
  </si>
  <si>
    <t>0014 00062885</t>
  </si>
  <si>
    <t>0014 00062881</t>
  </si>
  <si>
    <t>0014 00062891</t>
  </si>
  <si>
    <t>VISUAL GROUP SRL</t>
  </si>
  <si>
    <t>0014 00062883</t>
  </si>
  <si>
    <t>0014 00062887</t>
  </si>
  <si>
    <t>SAQUETA MELO WALTER GERARDO</t>
  </si>
  <si>
    <t>0014 00062884</t>
  </si>
  <si>
    <t>0014 00062889</t>
  </si>
  <si>
    <t>0014 00062886</t>
  </si>
  <si>
    <t>0014 00062888</t>
  </si>
  <si>
    <t>FASHION COOK S.A.</t>
  </si>
  <si>
    <t>00002-00000049</t>
  </si>
  <si>
    <t>00002-00000050</t>
  </si>
  <si>
    <t>00006-00000084</t>
  </si>
  <si>
    <t>00006-00000085</t>
  </si>
  <si>
    <t>00004-00000120</t>
  </si>
  <si>
    <t>00002-00000051</t>
  </si>
  <si>
    <t>00002-00000008</t>
  </si>
  <si>
    <t>00033-00000016</t>
  </si>
  <si>
    <t>B00033-00000001</t>
  </si>
  <si>
    <t>B0005 - 00040028</t>
  </si>
  <si>
    <t>B0005 - 00040029</t>
  </si>
  <si>
    <t>0005- 00056239</t>
  </si>
  <si>
    <t>0014 00063038</t>
  </si>
  <si>
    <t>0014 00063039</t>
  </si>
  <si>
    <t>0005- 00056274</t>
  </si>
  <si>
    <t>0005- 00056276</t>
  </si>
  <si>
    <t>0005- 00056278</t>
  </si>
  <si>
    <t>0005- 00056280</t>
  </si>
  <si>
    <t>0005- 00056282</t>
  </si>
  <si>
    <t>0005- 00056284</t>
  </si>
  <si>
    <t>0005- 00056285</t>
  </si>
  <si>
    <t>0005- 00056286</t>
  </si>
  <si>
    <t>0005- 00056287</t>
  </si>
  <si>
    <t>0014 00063094</t>
  </si>
  <si>
    <t>0014 00063096</t>
  </si>
  <si>
    <t>0014 00063098</t>
  </si>
  <si>
    <t>0014 00063100</t>
  </si>
  <si>
    <t>0014 00063089</t>
  </si>
  <si>
    <t>0014 00063091</t>
  </si>
  <si>
    <t>0014 00063092</t>
  </si>
  <si>
    <t>0014 00063088</t>
  </si>
  <si>
    <t>0014 00063095</t>
  </si>
  <si>
    <t>0014 00063090</t>
  </si>
  <si>
    <t>0014 00063093</t>
  </si>
  <si>
    <t>0005- 00056283</t>
  </si>
  <si>
    <t>0005- 00056275</t>
  </si>
  <si>
    <t>0005- 00056277</t>
  </si>
  <si>
    <t>0005- 00056279</t>
  </si>
  <si>
    <t>0005- 00056281</t>
  </si>
  <si>
    <t>0014 00063097</t>
  </si>
  <si>
    <t>0014 00063099</t>
  </si>
  <si>
    <t>00004-00000121</t>
  </si>
  <si>
    <t>00004-00000122</t>
  </si>
  <si>
    <t>00006-00000088</t>
  </si>
  <si>
    <t>00006-00000089</t>
  </si>
  <si>
    <t>00006-00000090</t>
  </si>
  <si>
    <t>0014 00063168</t>
  </si>
  <si>
    <t>0014 00063169</t>
  </si>
  <si>
    <t>0014 00063170</t>
  </si>
  <si>
    <t>0005- 00056384</t>
  </si>
  <si>
    <t>0005- 00056385</t>
  </si>
  <si>
    <t>0005- 00056386</t>
  </si>
  <si>
    <t>00004-00000123</t>
  </si>
  <si>
    <t>CENTRO MEDICO AMENABAR S. R.</t>
  </si>
  <si>
    <t>00006-00000095</t>
  </si>
  <si>
    <t>00006-00000096</t>
  </si>
  <si>
    <t>SYSPOINT SA</t>
  </si>
  <si>
    <t>0014 00063234</t>
  </si>
  <si>
    <t>0005- 00056469</t>
  </si>
  <si>
    <t>0005- 00056470</t>
  </si>
  <si>
    <t>0005- 00056471</t>
  </si>
  <si>
    <t>0005- 00056472</t>
  </si>
  <si>
    <t>0005- 00056473</t>
  </si>
  <si>
    <t>0005- 00056589</t>
  </si>
  <si>
    <t>0005- 00056590</t>
  </si>
  <si>
    <t>0005- 00056592</t>
  </si>
  <si>
    <t>0014 00000182</t>
  </si>
  <si>
    <t>0014 00000183</t>
  </si>
  <si>
    <t>0014 00000184</t>
  </si>
  <si>
    <t>0005 - 00000169</t>
  </si>
  <si>
    <t>0005 - 00000170</t>
  </si>
  <si>
    <t>0005 - 00000171</t>
  </si>
  <si>
    <t>0004 - 00000897</t>
  </si>
  <si>
    <t>0004 - 00000895</t>
  </si>
  <si>
    <t>0004 - 00000894</t>
  </si>
  <si>
    <t>0004 - 00000896</t>
  </si>
  <si>
    <t>0014 00063542</t>
  </si>
  <si>
    <t>0014 00063543</t>
  </si>
  <si>
    <t>0005- 00056739</t>
  </si>
  <si>
    <t>0005- 00056740</t>
  </si>
  <si>
    <t>LA MANTOVANA DE SERVICIOS</t>
  </si>
  <si>
    <t>0005 - 00000179</t>
  </si>
  <si>
    <t>0005 - 00000178</t>
  </si>
  <si>
    <t>0005 - 00000177</t>
  </si>
  <si>
    <t>0005 - 00000176</t>
  </si>
  <si>
    <t>0005 - 00000175</t>
  </si>
  <si>
    <t>0005 - 00000174</t>
  </si>
  <si>
    <t>0005 - 00000173</t>
  </si>
  <si>
    <t>0005 - 00000172</t>
  </si>
  <si>
    <t>0005- 00056759</t>
  </si>
  <si>
    <t>0005- 00056760</t>
  </si>
  <si>
    <t>0005- 00056761</t>
  </si>
  <si>
    <t>0014 00063596</t>
  </si>
  <si>
    <t>0014 00063597</t>
  </si>
  <si>
    <t>0014 00063599</t>
  </si>
  <si>
    <t>0014 00063600</t>
  </si>
  <si>
    <t>0014 00063598</t>
  </si>
  <si>
    <t>0005- 00056795</t>
  </si>
  <si>
    <t>0014 00063642</t>
  </si>
  <si>
    <t>0014 00063643</t>
  </si>
  <si>
    <t>0014 00063640</t>
  </si>
  <si>
    <t>0014 00063644</t>
  </si>
  <si>
    <t>0014 00063645</t>
  </si>
  <si>
    <t>0014 00063646</t>
  </si>
  <si>
    <t>0005- 00056854</t>
  </si>
  <si>
    <t>0005- 00056855</t>
  </si>
  <si>
    <t>B 0014 00013118</t>
  </si>
  <si>
    <t>B 0014 00013119</t>
  </si>
  <si>
    <t>CEIBO DIGITAL S. A.</t>
  </si>
  <si>
    <t>0014 00063734</t>
  </si>
  <si>
    <t>0014 00063894</t>
  </si>
  <si>
    <t>0005- 00057007</t>
  </si>
  <si>
    <t>0005- 00057008</t>
  </si>
  <si>
    <t>B0005 - 00040036</t>
  </si>
  <si>
    <t>B0005 - 00040037</t>
  </si>
  <si>
    <t>0014 00063945</t>
  </si>
  <si>
    <t>0014 00063949</t>
  </si>
  <si>
    <t>0014 00063943</t>
  </si>
  <si>
    <t>0014 00063944</t>
  </si>
  <si>
    <t>0014 00063946</t>
  </si>
  <si>
    <t>0014 00063947</t>
  </si>
  <si>
    <t>0014 00063950</t>
  </si>
  <si>
    <t>0014 00063954</t>
  </si>
  <si>
    <t>0014 00063955</t>
  </si>
  <si>
    <t>0014 00063986</t>
  </si>
  <si>
    <t>0014 00063987</t>
  </si>
  <si>
    <t>0014 00063985</t>
  </si>
  <si>
    <t>FUNDACION SOLDADOS FUNDASOL</t>
  </si>
  <si>
    <t>B001400013134</t>
  </si>
  <si>
    <t>0014 00063989</t>
  </si>
  <si>
    <t>0014 00063990</t>
  </si>
  <si>
    <t>0014 00000188</t>
  </si>
  <si>
    <t>0014 00000185</t>
  </si>
  <si>
    <t>0014 00000186</t>
  </si>
  <si>
    <t>0014 00000187</t>
  </si>
  <si>
    <t>0005 - 00000180</t>
  </si>
  <si>
    <t>0005 - 00000181</t>
  </si>
  <si>
    <t>0005 - 00000182</t>
  </si>
  <si>
    <t>0005 - 00000183</t>
  </si>
  <si>
    <t>0014 00064033</t>
  </si>
  <si>
    <t>0014 00064024</t>
  </si>
  <si>
    <t>0014 00064025</t>
  </si>
  <si>
    <t>0005- 00057205</t>
  </si>
  <si>
    <t>0014 00064121</t>
  </si>
  <si>
    <t>0005- 00057286</t>
  </si>
  <si>
    <t>0005- 00057281</t>
  </si>
  <si>
    <t>0005- 00057290</t>
  </si>
  <si>
    <t>0005- 00057284</t>
  </si>
  <si>
    <t>0005- 00057289</t>
  </si>
  <si>
    <t>0005- 00057285</t>
  </si>
  <si>
    <t>0005- 00057280</t>
  </si>
  <si>
    <t>0005- 00057288</t>
  </si>
  <si>
    <t>0005- 00057283</t>
  </si>
  <si>
    <t>0005- 00057287</t>
  </si>
  <si>
    <t>0005- 00057282</t>
  </si>
  <si>
    <t>0014 00064200</t>
  </si>
  <si>
    <t>0005- 00057366</t>
  </si>
  <si>
    <t>0014 00064346</t>
  </si>
  <si>
    <t>0005- 00057424</t>
  </si>
  <si>
    <t>0005- 00057426</t>
  </si>
  <si>
    <t>0005- 00057428</t>
  </si>
  <si>
    <t>0014 00064417</t>
  </si>
  <si>
    <t>0014 00064407</t>
  </si>
  <si>
    <t>0014 00064410</t>
  </si>
  <si>
    <t>0014 00064404</t>
  </si>
  <si>
    <t>0014 00064406</t>
  </si>
  <si>
    <t>0014 00064408</t>
  </si>
  <si>
    <t>0014 00064409</t>
  </si>
  <si>
    <t>0014 00064411</t>
  </si>
  <si>
    <t>0014 00064412</t>
  </si>
  <si>
    <t>0014 00064414</t>
  </si>
  <si>
    <t>0014 00064415</t>
  </si>
  <si>
    <t>0014 00064418</t>
  </si>
  <si>
    <t>0014 00064419</t>
  </si>
  <si>
    <t>0014 00000189</t>
  </si>
  <si>
    <t>0014 00000196</t>
  </si>
  <si>
    <t>0014 00000190</t>
  </si>
  <si>
    <t>0014 00000191</t>
  </si>
  <si>
    <t>0014 00000192</t>
  </si>
  <si>
    <t>0014 00000193</t>
  </si>
  <si>
    <t>0014 00000194</t>
  </si>
  <si>
    <t>0014 00000195</t>
  </si>
  <si>
    <t>0014 00000197</t>
  </si>
  <si>
    <t>0014 00000198</t>
  </si>
  <si>
    <t>0014 00000199</t>
  </si>
  <si>
    <t>0014 00000200</t>
  </si>
  <si>
    <t>0014 00000201</t>
  </si>
  <si>
    <t>0005 - 00000184</t>
  </si>
  <si>
    <t>0005 - 00000185</t>
  </si>
  <si>
    <t>0005 - 00000186</t>
  </si>
  <si>
    <t>0005 - 00000187</t>
  </si>
  <si>
    <t>0005 - 00000188</t>
  </si>
  <si>
    <t>0005 - 00000189</t>
  </si>
  <si>
    <t>0005 - 00000190</t>
  </si>
  <si>
    <t>0014 00064405</t>
  </si>
  <si>
    <t>0014 00064413</t>
  </si>
  <si>
    <t>0005- 00057429</t>
  </si>
  <si>
    <t>0005- 00057430</t>
  </si>
  <si>
    <t>0005- 00057431</t>
  </si>
  <si>
    <t>0005- 00057432</t>
  </si>
  <si>
    <t>0005- 00057433</t>
  </si>
  <si>
    <t>0005- 00057434</t>
  </si>
  <si>
    <t>0005- 00057425</t>
  </si>
  <si>
    <t>0005- 00057427</t>
  </si>
  <si>
    <t>0014 00064486</t>
  </si>
  <si>
    <t>0014 00064485</t>
  </si>
  <si>
    <t>0014 00064484</t>
  </si>
  <si>
    <t>0014 00064483</t>
  </si>
  <si>
    <t>0014 00064482</t>
  </si>
  <si>
    <t xml:space="preserve"> 0014 00064481</t>
  </si>
  <si>
    <t>0014 00001517</t>
  </si>
  <si>
    <t>0014 00001516</t>
  </si>
  <si>
    <t>0014 00001515</t>
  </si>
  <si>
    <t>0014 00001514</t>
  </si>
  <si>
    <t>0014 00001519</t>
  </si>
  <si>
    <t>0014 00001518</t>
  </si>
  <si>
    <t>0005- 00057513</t>
  </si>
  <si>
    <t>0005- 00057514</t>
  </si>
  <si>
    <t>0005- 00057515</t>
  </si>
  <si>
    <t>0005- 00057516</t>
  </si>
  <si>
    <t>0005- 00057517</t>
  </si>
  <si>
    <t>0005- 00057518</t>
  </si>
  <si>
    <t>0005- 00057519</t>
  </si>
  <si>
    <t>0005- 00057520</t>
  </si>
  <si>
    <t>0005- 00057521</t>
  </si>
  <si>
    <t>0014 00064517</t>
  </si>
  <si>
    <t>0014 00064518</t>
  </si>
  <si>
    <t>0014 00064519</t>
  </si>
  <si>
    <t>0014 00064521</t>
  </si>
  <si>
    <t>0014 00064523</t>
  </si>
  <si>
    <t>0014 00064525</t>
  </si>
  <si>
    <t>0014 00064527</t>
  </si>
  <si>
    <t>0014 00064529</t>
  </si>
  <si>
    <t>0005- 00057522</t>
  </si>
  <si>
    <t>0005- 00057572</t>
  </si>
  <si>
    <t>0005- 00057569</t>
  </si>
  <si>
    <t>0014 00064606</t>
  </si>
  <si>
    <t>0014 00064603</t>
  </si>
  <si>
    <t>0014 00064604</t>
  </si>
  <si>
    <t>0005- 00057570</t>
  </si>
  <si>
    <t>0005- 00057571</t>
  </si>
  <si>
    <t>0014 00064605</t>
  </si>
  <si>
    <t>0014 00064602</t>
  </si>
  <si>
    <t>0005- 00057706</t>
  </si>
  <si>
    <t>TECNOLI S.R.L.</t>
  </si>
  <si>
    <t>0004 - 00000901</t>
  </si>
  <si>
    <t>0004 - 00000902</t>
  </si>
  <si>
    <t>GERBAUDO PATRICIO JAVIER</t>
  </si>
  <si>
    <t>00004-00000127</t>
  </si>
  <si>
    <t>00004-00000128</t>
  </si>
  <si>
    <t>00004-00000129</t>
  </si>
  <si>
    <t>00004-00000130</t>
  </si>
  <si>
    <t>0014 00064819</t>
  </si>
  <si>
    <t>0014 00064820</t>
  </si>
  <si>
    <t>0014 00064818</t>
  </si>
  <si>
    <t>0014 00064816</t>
  </si>
  <si>
    <t>0014 00064817</t>
  </si>
  <si>
    <t>MACRI JAVIER HERNAN</t>
  </si>
  <si>
    <t>00001-00000001</t>
  </si>
  <si>
    <t>00001-00000003</t>
  </si>
  <si>
    <t>INDX S.A.S.</t>
  </si>
  <si>
    <t>00001-00000004</t>
  </si>
  <si>
    <t>00001-00000005</t>
  </si>
  <si>
    <t>WONDER ARGENTINA S.R.L.</t>
  </si>
  <si>
    <t>00001-00000006</t>
  </si>
  <si>
    <t>00001-00000007</t>
  </si>
  <si>
    <t>00001-00000008</t>
  </si>
  <si>
    <t>00001-00000009</t>
  </si>
  <si>
    <t>00001-00000010</t>
  </si>
  <si>
    <t>00001-00000011</t>
  </si>
  <si>
    <t>00001-00000012</t>
  </si>
  <si>
    <t>00001-00000013</t>
  </si>
  <si>
    <t>00001-00000014</t>
  </si>
  <si>
    <t>00001-00000015</t>
  </si>
  <si>
    <t>00001-00000016</t>
  </si>
  <si>
    <t>0005- 00057794</t>
  </si>
  <si>
    <t>0014 00064896</t>
  </si>
  <si>
    <t>0014 00064897</t>
  </si>
  <si>
    <t>0014 00064979</t>
  </si>
  <si>
    <t>0014 00064980</t>
  </si>
  <si>
    <t>0014 00064968</t>
  </si>
  <si>
    <t>0014 00064969</t>
  </si>
  <si>
    <t>0014 00064970</t>
  </si>
  <si>
    <t>0014 00064971</t>
  </si>
  <si>
    <t>0014 00064973</t>
  </si>
  <si>
    <t>0014 00064974</t>
  </si>
  <si>
    <t>0014 00064975</t>
  </si>
  <si>
    <t>0014 00064976</t>
  </si>
  <si>
    <t>0014 00064972</t>
  </si>
  <si>
    <t>00001-00000017</t>
  </si>
  <si>
    <t>00001-00000018</t>
  </si>
  <si>
    <t>0005- 00057859</t>
  </si>
  <si>
    <t>0005- 00057860</t>
  </si>
  <si>
    <t>0005- 00057861</t>
  </si>
  <si>
    <t>0005- 00057862</t>
  </si>
  <si>
    <t>0005- 00057863</t>
  </si>
  <si>
    <t>0005- 00057864</t>
  </si>
  <si>
    <t>0005- 00057865</t>
  </si>
  <si>
    <t>0014 00065144</t>
  </si>
  <si>
    <t>0014 00065157</t>
  </si>
  <si>
    <t>0014 00065146</t>
  </si>
  <si>
    <t>0014 00065148</t>
  </si>
  <si>
    <t>0014 00065150</t>
  </si>
  <si>
    <t>0014 00065160</t>
  </si>
  <si>
    <t>0014 00065169</t>
  </si>
  <si>
    <t>0014 00065162</t>
  </si>
  <si>
    <t>0014 00065164</t>
  </si>
  <si>
    <t>0014 00065166</t>
  </si>
  <si>
    <t>0014 00065145</t>
  </si>
  <si>
    <t>0014 00065151</t>
  </si>
  <si>
    <t>0014 00065149</t>
  </si>
  <si>
    <t>0014 00065159</t>
  </si>
  <si>
    <t>0014 00065163</t>
  </si>
  <si>
    <t>0014 00065167</t>
  </si>
  <si>
    <t>B 0014 00013182</t>
  </si>
  <si>
    <t>0014 00065156</t>
  </si>
  <si>
    <t>0014 00065161</t>
  </si>
  <si>
    <t>0014 00065165</t>
  </si>
  <si>
    <t>0014 00065168</t>
  </si>
  <si>
    <t xml:space="preserve"> 0014 00065147</t>
  </si>
  <si>
    <t>0005- 00057968</t>
  </si>
  <si>
    <t>0005- 00057963</t>
  </si>
  <si>
    <t>0005- 00057967</t>
  </si>
  <si>
    <t>0005- 00057966</t>
  </si>
  <si>
    <t>0005- 00057965</t>
  </si>
  <si>
    <t>0005- 00057964</t>
  </si>
  <si>
    <t>B001400013181</t>
  </si>
  <si>
    <t>0014 00065275</t>
  </si>
  <si>
    <t>0014 00065276</t>
  </si>
  <si>
    <t>0014 00065277</t>
  </si>
  <si>
    <t>0014 00065279</t>
  </si>
  <si>
    <t>0014 00065280</t>
  </si>
  <si>
    <t>0014 00065282</t>
  </si>
  <si>
    <t>0014 00065283</t>
  </si>
  <si>
    <t>0014 00065285</t>
  </si>
  <si>
    <t>0014 00065287</t>
  </si>
  <si>
    <t>0014 00065288</t>
  </si>
  <si>
    <t>0014 00065290</t>
  </si>
  <si>
    <t>0014 00065291</t>
  </si>
  <si>
    <t>0014 00065293</t>
  </si>
  <si>
    <t>0014 00065284</t>
  </si>
  <si>
    <t>0014 00065286</t>
  </si>
  <si>
    <t>0014 00065289</t>
  </si>
  <si>
    <t>0014 00065292</t>
  </si>
  <si>
    <t>0014 00065278</t>
  </si>
  <si>
    <t>0014 00065281</t>
  </si>
  <si>
    <t>0005- 00058042</t>
  </si>
  <si>
    <t>0005- 00058043</t>
  </si>
  <si>
    <t>0005- 00058044</t>
  </si>
  <si>
    <t>0005- 00058045</t>
  </si>
  <si>
    <t>0005- 00058033</t>
  </si>
  <si>
    <t>0005- 00058034</t>
  </si>
  <si>
    <t>0005- 00058035</t>
  </si>
  <si>
    <t>0005- 00058037</t>
  </si>
  <si>
    <t>0005- 00058038</t>
  </si>
  <si>
    <t>0005- 00058040</t>
  </si>
  <si>
    <t>0005- 00058036</t>
  </si>
  <si>
    <t>0005- 00058039</t>
  </si>
  <si>
    <t>0014 00001545</t>
  </si>
  <si>
    <t>0014 00001544</t>
  </si>
  <si>
    <t>0014 00001543</t>
  </si>
  <si>
    <t>0014 00001541</t>
  </si>
  <si>
    <t>0014 00000206</t>
  </si>
  <si>
    <t>0014 00000207</t>
  </si>
  <si>
    <t>0014 00000204</t>
  </si>
  <si>
    <t>0014 00000205</t>
  </si>
  <si>
    <t>0005 - 00000191</t>
  </si>
  <si>
    <t>0005 - 00000192</t>
  </si>
  <si>
    <t>0005 - 00000193</t>
  </si>
  <si>
    <t>0005 - 00000194</t>
  </si>
  <si>
    <t>B0005 - 00040038</t>
  </si>
  <si>
    <t>0014 00065391</t>
  </si>
  <si>
    <t>B 0014 00013194</t>
  </si>
  <si>
    <t>B 001400013193</t>
  </si>
  <si>
    <t>B 001400013192</t>
  </si>
  <si>
    <t>0014 00065600</t>
  </si>
  <si>
    <t>0014 00065601</t>
  </si>
  <si>
    <t>0014 00065602</t>
  </si>
  <si>
    <t>0014 00065599</t>
  </si>
  <si>
    <t>0014 00065783</t>
  </si>
  <si>
    <t>0014 00065768</t>
  </si>
  <si>
    <t>0014 00065781</t>
  </si>
  <si>
    <t>0014 00065782</t>
  </si>
  <si>
    <t>0005- 00058320</t>
  </si>
  <si>
    <t>0005- 00058319</t>
  </si>
  <si>
    <t>0005- 00058318</t>
  </si>
  <si>
    <t>0005- 00058382</t>
  </si>
  <si>
    <t>0005- 00058381</t>
  </si>
  <si>
    <t>0005- 00058380</t>
  </si>
  <si>
    <t>0005- 00058379</t>
  </si>
  <si>
    <t>0005- 00058383</t>
  </si>
  <si>
    <t>0014 00065983</t>
  </si>
  <si>
    <t>0014 00065982</t>
  </si>
  <si>
    <t>0014 00065984</t>
  </si>
  <si>
    <t>0014 00065986</t>
  </si>
  <si>
    <t>0014 00065988</t>
  </si>
  <si>
    <t>0014 00065990</t>
  </si>
  <si>
    <t>0014 00065993</t>
  </si>
  <si>
    <t>0005- 00058442</t>
  </si>
  <si>
    <t>0005- 00058441</t>
  </si>
  <si>
    <t>0005- 00058443</t>
  </si>
  <si>
    <t>0005- 00058444</t>
  </si>
  <si>
    <t>0014 00065987</t>
  </si>
  <si>
    <t>0014 00065989</t>
  </si>
  <si>
    <t>0014 00065991</t>
  </si>
  <si>
    <t>0014 00065992</t>
  </si>
  <si>
    <t>0014 00065985</t>
  </si>
  <si>
    <t>0014 00000212</t>
  </si>
  <si>
    <t>0014 00000213</t>
  </si>
  <si>
    <t>0014 00000209</t>
  </si>
  <si>
    <t>0014 00000210</t>
  </si>
  <si>
    <t>0014 00000211</t>
  </si>
  <si>
    <t>0014 00000208</t>
  </si>
  <si>
    <t>0014 00000214</t>
  </si>
  <si>
    <t>0014 00000215</t>
  </si>
  <si>
    <t>0014 00000216</t>
  </si>
  <si>
    <t>0005 - 00000195</t>
  </si>
  <si>
    <t>0005 - 00000196</t>
  </si>
  <si>
    <t>0005 - 00000197</t>
  </si>
  <si>
    <t>0005 - 00000198</t>
  </si>
  <si>
    <t>0005 - 00000199</t>
  </si>
  <si>
    <t>0005- 00058565</t>
  </si>
  <si>
    <t>0005- 00058566</t>
  </si>
  <si>
    <t>0005- 00058567</t>
  </si>
  <si>
    <t>0005- 00058568</t>
  </si>
  <si>
    <t>0005- 00058569</t>
  </si>
  <si>
    <t>0005- 00058570</t>
  </si>
  <si>
    <t>MIA PRODUCCIONES Y CONTENIDOS</t>
  </si>
  <si>
    <t>0005- 00058618</t>
  </si>
  <si>
    <t>0005- 00058619</t>
  </si>
  <si>
    <t>0014 00066302</t>
  </si>
  <si>
    <t>COCINA Y PATAGONIA</t>
  </si>
  <si>
    <t>0005- 00058758</t>
  </si>
  <si>
    <t>0005- 00058757</t>
  </si>
  <si>
    <t>0005- 00058759</t>
  </si>
  <si>
    <t>0005- 00058787</t>
  </si>
  <si>
    <t>0005- 00058788</t>
  </si>
  <si>
    <t>0005- 00058789</t>
  </si>
  <si>
    <t>0014 00066480</t>
  </si>
  <si>
    <t>0014 00066478</t>
  </si>
  <si>
    <t>0014 00066479</t>
  </si>
  <si>
    <t>0014 00066483</t>
  </si>
  <si>
    <t>0014 00066477</t>
  </si>
  <si>
    <t>0014 00066481</t>
  </si>
  <si>
    <t>0014 00066700</t>
  </si>
  <si>
    <t>0014 00066674</t>
  </si>
  <si>
    <t>0014 00066675</t>
  </si>
  <si>
    <t>0014 00066676</t>
  </si>
  <si>
    <t>0014 00066677</t>
  </si>
  <si>
    <t>0014 00066678</t>
  </si>
  <si>
    <t>0014 00066860</t>
  </si>
  <si>
    <t>0014 00066858</t>
  </si>
  <si>
    <t>0014 00066862</t>
  </si>
  <si>
    <t>0014 00066856</t>
  </si>
  <si>
    <t>CNH SA</t>
  </si>
  <si>
    <t xml:space="preserve">BEKIR I SRL </t>
  </si>
  <si>
    <t>00017-00001919</t>
  </si>
  <si>
    <t>BAZAR CHEF SRL</t>
  </si>
  <si>
    <t>00027-00001610</t>
  </si>
  <si>
    <t>00017-00001923</t>
  </si>
  <si>
    <t>00027-00001611</t>
  </si>
  <si>
    <t>00017-00001927</t>
  </si>
  <si>
    <t>00027-00001612</t>
  </si>
  <si>
    <t>00017-00001933</t>
  </si>
  <si>
    <t xml:space="preserve">0004 - 00000913 </t>
  </si>
  <si>
    <t xml:space="preserve">0004 - 00000912 </t>
  </si>
  <si>
    <t>0004 - 00000911</t>
  </si>
  <si>
    <t>0004 - 00000910</t>
  </si>
  <si>
    <t>0014 00066962</t>
  </si>
  <si>
    <t>0014 00066965</t>
  </si>
  <si>
    <t>0014 00066967</t>
  </si>
  <si>
    <t>0014 00067000</t>
  </si>
  <si>
    <t>0014 00067002</t>
  </si>
  <si>
    <t>0014 00066969</t>
  </si>
  <si>
    <t>0014 00066963</t>
  </si>
  <si>
    <t>0014 00066966</t>
  </si>
  <si>
    <t>0014 00066968</t>
  </si>
  <si>
    <t>0014 00067001</t>
  </si>
  <si>
    <t>00006-00000100</t>
  </si>
  <si>
    <t>00006-00000101</t>
  </si>
  <si>
    <t>00006-00000102</t>
  </si>
  <si>
    <t>00006-00000103</t>
  </si>
  <si>
    <t>00006-00000104</t>
  </si>
  <si>
    <t>AUFBAUEN S.R.L.</t>
  </si>
  <si>
    <t>00006-00000105</t>
  </si>
  <si>
    <t>00006-00000106</t>
  </si>
  <si>
    <t>00006-00000108</t>
  </si>
  <si>
    <t>00002-00000053</t>
  </si>
  <si>
    <t>00001-00000019</t>
  </si>
  <si>
    <t>00001-00000020</t>
  </si>
  <si>
    <t>00001-00000021</t>
  </si>
  <si>
    <t>00001-00000022</t>
  </si>
  <si>
    <t>00001-00000023</t>
  </si>
  <si>
    <t>00001-00000024</t>
  </si>
  <si>
    <t>0005- 00059294</t>
  </si>
  <si>
    <t>Agos-26</t>
  </si>
  <si>
    <t>0014 00067080</t>
  </si>
  <si>
    <t>0014 00067108</t>
  </si>
  <si>
    <t>0014 00067078</t>
  </si>
  <si>
    <t>0014 00067079</t>
  </si>
  <si>
    <t>0014 00067110</t>
  </si>
  <si>
    <t>0014 00067107</t>
  </si>
  <si>
    <t>0014 00067109</t>
  </si>
  <si>
    <t>0014 00067106</t>
  </si>
  <si>
    <t>0005- 00059353</t>
  </si>
  <si>
    <t>0005- 00059354</t>
  </si>
  <si>
    <t>0014 00067283</t>
  </si>
  <si>
    <t>0014 00067287</t>
  </si>
  <si>
    <t>0014 00067284</t>
  </si>
  <si>
    <t>ROCA NIKKEI S.A.</t>
  </si>
  <si>
    <t>0014 00067286</t>
  </si>
  <si>
    <t>0014 00067288</t>
  </si>
  <si>
    <t>0014 00067389</t>
  </si>
  <si>
    <t>0014 00067388</t>
  </si>
  <si>
    <t>0014 00067387</t>
  </si>
  <si>
    <t>0014 00067386</t>
  </si>
  <si>
    <t>0014 00067385</t>
  </si>
  <si>
    <t>B 0014 00013270</t>
  </si>
  <si>
    <t>B 0014 00013269</t>
  </si>
  <si>
    <t>0014 00000220</t>
  </si>
  <si>
    <t>0014 00000219</t>
  </si>
  <si>
    <t>0014 00000218</t>
  </si>
  <si>
    <t>0014 00000217</t>
  </si>
  <si>
    <t>0005 - 00000200</t>
  </si>
  <si>
    <t>0005 - 00000201</t>
  </si>
  <si>
    <t>0005 - 00000202</t>
  </si>
  <si>
    <t>0005 - 00000203</t>
  </si>
  <si>
    <t>0005- 00059433</t>
  </si>
  <si>
    <t>HT CONTENIDOS S. A.</t>
  </si>
  <si>
    <t>00001-00000026</t>
  </si>
  <si>
    <t>00001-00000027</t>
  </si>
  <si>
    <t>0014-00001592</t>
  </si>
  <si>
    <t>0014 00067493</t>
  </si>
  <si>
    <t>0014 00067498</t>
  </si>
  <si>
    <t>0014 00067496</t>
  </si>
  <si>
    <t>0014 00067492</t>
  </si>
  <si>
    <t>0014 00067490</t>
  </si>
  <si>
    <t>0014 00067494</t>
  </si>
  <si>
    <t>0014 00067491</t>
  </si>
  <si>
    <t>B 0014 00013275</t>
  </si>
  <si>
    <t>KIOTO GROUP S.A.</t>
  </si>
  <si>
    <t>0014 00067495</t>
  </si>
  <si>
    <t>SUSHINOR S.A.</t>
  </si>
  <si>
    <t>0014 00067497</t>
  </si>
  <si>
    <t>AQUALIS S.R.L.</t>
  </si>
  <si>
    <t>0005- 00059500</t>
  </si>
  <si>
    <t>0005- 00059501</t>
  </si>
  <si>
    <t>0005- 00059502</t>
  </si>
  <si>
    <t>0005- 00059503</t>
  </si>
  <si>
    <t>B001400013275</t>
  </si>
  <si>
    <t>0014 00067614</t>
  </si>
  <si>
    <t>0014 00067615</t>
  </si>
  <si>
    <t>0014 00067616</t>
  </si>
  <si>
    <t>0005- 00059596</t>
  </si>
  <si>
    <t xml:space="preserve"> 0005- 00059597</t>
  </si>
  <si>
    <t>0014 00067613</t>
  </si>
  <si>
    <t>0005- 00059710</t>
  </si>
  <si>
    <t>0005- 00059716</t>
  </si>
  <si>
    <t>0005- 00059712</t>
  </si>
  <si>
    <t>0005- 00059711</t>
  </si>
  <si>
    <t>0005- 00059724</t>
  </si>
  <si>
    <t>0005- 00059725</t>
  </si>
  <si>
    <t>0005- 00059718</t>
  </si>
  <si>
    <t>0005- 00059720</t>
  </si>
  <si>
    <t>0005- 00059722</t>
  </si>
  <si>
    <t>0005- 00059714</t>
  </si>
  <si>
    <t>0005- 00059715</t>
  </si>
  <si>
    <t>0005- 00059717</t>
  </si>
  <si>
    <t>0005- 00059723</t>
  </si>
  <si>
    <t>0005- 00059719</t>
  </si>
  <si>
    <t>0005- 00059721</t>
  </si>
  <si>
    <t>0014 00067779</t>
  </si>
  <si>
    <t>0014 00067780</t>
  </si>
  <si>
    <t>0014 00067782</t>
  </si>
  <si>
    <t>0014 00067783</t>
  </si>
  <si>
    <t>0014 00067784</t>
  </si>
  <si>
    <t>0014 00067786</t>
  </si>
  <si>
    <t>0014 00067787</t>
  </si>
  <si>
    <t>0014 00067789</t>
  </si>
  <si>
    <t>0014 00067791</t>
  </si>
  <si>
    <t>0014 00067792</t>
  </si>
  <si>
    <t>0014 00067794</t>
  </si>
  <si>
    <t>0014 00067795</t>
  </si>
  <si>
    <t>0014 00067797</t>
  </si>
  <si>
    <t>0014 00067788</t>
  </si>
  <si>
    <t>0014 00067790</t>
  </si>
  <si>
    <t>0014 00067793</t>
  </si>
  <si>
    <t>0014 00067796</t>
  </si>
  <si>
    <t>0014 00067781</t>
  </si>
  <si>
    <t>0014 00067785</t>
  </si>
  <si>
    <t>0014 00067939</t>
  </si>
  <si>
    <t>0014 00067938</t>
  </si>
  <si>
    <t>0014 00067940</t>
  </si>
  <si>
    <t>0005- 00059827</t>
  </si>
  <si>
    <t>0005- 00059829</t>
  </si>
  <si>
    <t>0005- 00059830</t>
  </si>
  <si>
    <t>0005- 00059828</t>
  </si>
  <si>
    <t xml:space="preserve"> 0014 00067988</t>
  </si>
  <si>
    <t>0014 00067989</t>
  </si>
  <si>
    <t>0014 00067990</t>
  </si>
  <si>
    <t>0014 00067991</t>
  </si>
  <si>
    <t>0014 00067992</t>
  </si>
  <si>
    <t>0014 00067993</t>
  </si>
  <si>
    <t>0005- 00059871</t>
  </si>
  <si>
    <t>0005- 00059872</t>
  </si>
  <si>
    <t>0005- 00059873</t>
  </si>
  <si>
    <t>0005- 00059910</t>
  </si>
  <si>
    <t>0005- 00059912</t>
  </si>
  <si>
    <t>0005- 00059914</t>
  </si>
  <si>
    <t>0005- 00059916</t>
  </si>
  <si>
    <t>0014 00068238</t>
  </si>
  <si>
    <t>BAHIA SERVICIOS INDUSTRIALES</t>
  </si>
  <si>
    <t>0014 00068237</t>
  </si>
  <si>
    <t>0014 00068239</t>
  </si>
  <si>
    <t>0014 00068240</t>
  </si>
  <si>
    <t>0005- 00059946</t>
  </si>
  <si>
    <t>0005- 00059947</t>
  </si>
  <si>
    <t>0014 00068242</t>
  </si>
  <si>
    <t>0014 00068243</t>
  </si>
  <si>
    <t>0014 00068292</t>
  </si>
  <si>
    <t>0014 00068270</t>
  </si>
  <si>
    <t>0014 00068279</t>
  </si>
  <si>
    <t>0014 00068291</t>
  </si>
  <si>
    <t>0014 00068278</t>
  </si>
  <si>
    <t>0014 00068293</t>
  </si>
  <si>
    <t>0014 00068557</t>
  </si>
  <si>
    <t>0005- 00060206</t>
  </si>
  <si>
    <t>0005- 00060210</t>
  </si>
  <si>
    <t>0005- 00060212</t>
  </si>
  <si>
    <t>0005- 00060222</t>
  </si>
  <si>
    <t>0005- 00060209</t>
  </si>
  <si>
    <t>0005- 00060211</t>
  </si>
  <si>
    <t>0005- 00060221</t>
  </si>
  <si>
    <t>0005- 00060281</t>
  </si>
  <si>
    <t>0005- 00060282</t>
  </si>
  <si>
    <t>0005- 00060283</t>
  </si>
  <si>
    <t>0005- 00060284</t>
  </si>
  <si>
    <t>0014 00068766</t>
  </si>
  <si>
    <t>0014 00068771</t>
  </si>
  <si>
    <t>0014 00068768</t>
  </si>
  <si>
    <t>0014 00068769</t>
  </si>
  <si>
    <t>0014 00068770</t>
  </si>
  <si>
    <t>0014 00068764</t>
  </si>
  <si>
    <t>0014 00068767</t>
  </si>
  <si>
    <t>0014 00068761</t>
  </si>
  <si>
    <t>0014 00068763</t>
  </si>
  <si>
    <t>0014 00068760</t>
  </si>
  <si>
    <t>RESBADI S.A.</t>
  </si>
  <si>
    <t>0014 00068762</t>
  </si>
  <si>
    <t>0014 00000221</t>
  </si>
  <si>
    <t>0014 00000222</t>
  </si>
  <si>
    <t>0014 00000223</t>
  </si>
  <si>
    <t>0014 00000224</t>
  </si>
  <si>
    <t>0014 00000225</t>
  </si>
  <si>
    <t>0014 00000226</t>
  </si>
  <si>
    <t>0014 00000227</t>
  </si>
  <si>
    <t>0014 00000228</t>
  </si>
  <si>
    <t>0014 00000229</t>
  </si>
  <si>
    <t>0014 00000230</t>
  </si>
  <si>
    <t>0014 00000231</t>
  </si>
  <si>
    <t>0014 00000232</t>
  </si>
  <si>
    <t>0014 00000233</t>
  </si>
  <si>
    <t>0014 00000234</t>
  </si>
  <si>
    <t>0005 - 00000206</t>
  </si>
  <si>
    <t>0005 - 00000207</t>
  </si>
  <si>
    <t>0005 - 00000208</t>
  </si>
  <si>
    <t>0005 - 00000209</t>
  </si>
  <si>
    <t>0005 - 00000210</t>
  </si>
  <si>
    <t>0005 - 00000211</t>
  </si>
  <si>
    <t>0005 - 00000204</t>
  </si>
  <si>
    <t>0005 - 00000205</t>
  </si>
  <si>
    <t>0005- 00060330</t>
  </si>
  <si>
    <t>0005- 00060336</t>
  </si>
  <si>
    <t>0005- 00060337</t>
  </si>
  <si>
    <t>0005- 00060331</t>
  </si>
  <si>
    <t>0005- 00060333</t>
  </si>
  <si>
    <t>0005- 00060334</t>
  </si>
  <si>
    <t>0005- 00060327</t>
  </si>
  <si>
    <t>0005- 00060328</t>
  </si>
  <si>
    <t>BIO-LAP S.A.</t>
  </si>
  <si>
    <t>0005- 00060335</t>
  </si>
  <si>
    <t>0014 00068819</t>
  </si>
  <si>
    <t>0014 00068817</t>
  </si>
  <si>
    <t>0014 00068821</t>
  </si>
  <si>
    <t>0014 00068822</t>
  </si>
  <si>
    <t>0014 00068826</t>
  </si>
  <si>
    <t>B0014 00013313</t>
  </si>
  <si>
    <t>0005- 00060479</t>
  </si>
  <si>
    <t>0005- 00060480</t>
  </si>
  <si>
    <t>0005- 00060481</t>
  </si>
  <si>
    <t>0005- 00060482</t>
  </si>
  <si>
    <t>0005- 00060483</t>
  </si>
  <si>
    <t>0005- 00060484</t>
  </si>
  <si>
    <t>0005- 00060485</t>
  </si>
  <si>
    <t>0005- 00060486</t>
  </si>
  <si>
    <t>0014 00068968</t>
  </si>
  <si>
    <t>0014 00069042</t>
  </si>
  <si>
    <t>0014 00069041</t>
  </si>
  <si>
    <t>0014 00069040</t>
  </si>
  <si>
    <t>RED EMPRENDIMIENTOS DIGITALES</t>
  </si>
  <si>
    <t xml:space="preserve"> 0014 00069012</t>
  </si>
  <si>
    <t>0014 00069148</t>
  </si>
  <si>
    <t>0005- 00060546</t>
  </si>
  <si>
    <t>0005- 00060547</t>
  </si>
  <si>
    <t>0014 00069110</t>
  </si>
  <si>
    <t>0014 00069111</t>
  </si>
  <si>
    <t>0014 00069043</t>
  </si>
  <si>
    <t>0014 00069044</t>
  </si>
  <si>
    <t>0014 00069123</t>
  </si>
  <si>
    <t>0014 00069124</t>
  </si>
  <si>
    <t>0014 00069125</t>
  </si>
  <si>
    <t>0014 00069126</t>
  </si>
  <si>
    <t>0014 00069133</t>
  </si>
  <si>
    <t>0014 00069134</t>
  </si>
  <si>
    <t>0014 00069135</t>
  </si>
  <si>
    <t>0014 00069136</t>
  </si>
  <si>
    <t>0014 00069137</t>
  </si>
  <si>
    <t>0014 00069138</t>
  </si>
  <si>
    <t>0014 00069127</t>
  </si>
  <si>
    <t>0014 00069128</t>
  </si>
  <si>
    <t>0014 00069129</t>
  </si>
  <si>
    <t>0014 00069130</t>
  </si>
  <si>
    <t>0005- 00060526</t>
  </si>
  <si>
    <t>0005- 00060527</t>
  </si>
  <si>
    <t>0005- 00060528</t>
  </si>
  <si>
    <t>0005- 00060529</t>
  </si>
  <si>
    <t>0005- 00060530</t>
  </si>
  <si>
    <t>0005- 00060531</t>
  </si>
  <si>
    <t>0005- 00060532</t>
  </si>
  <si>
    <t>0005- 00060533</t>
  </si>
  <si>
    <t>0005- 00060534</t>
  </si>
  <si>
    <t>0005- 00060538</t>
  </si>
  <si>
    <t>0005- 00060539</t>
  </si>
  <si>
    <t>0005- 00060540</t>
  </si>
  <si>
    <t>0005- 00060541</t>
  </si>
  <si>
    <t>0005- 00060535</t>
  </si>
  <si>
    <t>0005- 00060536</t>
  </si>
  <si>
    <t>0005- 00060537</t>
  </si>
  <si>
    <t>0005- 00011314</t>
  </si>
  <si>
    <t>0005- 00060585</t>
  </si>
  <si>
    <t>0005- 00060586</t>
  </si>
  <si>
    <t>0005- 00060587</t>
  </si>
  <si>
    <t>0014 00069192</t>
  </si>
  <si>
    <t>0014 00069193</t>
  </si>
  <si>
    <t>0014 00069194</t>
  </si>
  <si>
    <t>0014 00069195</t>
  </si>
  <si>
    <t>0014 00069196</t>
  </si>
  <si>
    <t>0014 00069197</t>
  </si>
  <si>
    <t>0014 00069236</t>
  </si>
  <si>
    <t>0014 00069237</t>
  </si>
  <si>
    <t>0014 00069238</t>
  </si>
  <si>
    <t>0014 00069239</t>
  </si>
  <si>
    <t>00006-00000112</t>
  </si>
  <si>
    <t>00006-00000113</t>
  </si>
  <si>
    <t>00006-00000114</t>
  </si>
  <si>
    <t>00006-00000115</t>
  </si>
  <si>
    <t>00006-00000116</t>
  </si>
  <si>
    <t>00006-00000117</t>
  </si>
  <si>
    <t>00006-00000118</t>
  </si>
  <si>
    <t>00006-00000119</t>
  </si>
  <si>
    <t>00006-00000120</t>
  </si>
  <si>
    <t>00006-00000122</t>
  </si>
  <si>
    <t>00006-00000123</t>
  </si>
  <si>
    <t>00006-00000124</t>
  </si>
  <si>
    <t>00006-00000126</t>
  </si>
  <si>
    <t>0014 00069283</t>
  </si>
  <si>
    <t>0014 00069280</t>
  </si>
  <si>
    <t>0014 00069285</t>
  </si>
  <si>
    <t>0014 00069281</t>
  </si>
  <si>
    <t>0014 00069282</t>
  </si>
  <si>
    <t>0014 00069284</t>
  </si>
  <si>
    <t>0014 00069278</t>
  </si>
  <si>
    <t>0014 00069279</t>
  </si>
  <si>
    <t>00002-00000012</t>
  </si>
  <si>
    <t>00002-00000059</t>
  </si>
  <si>
    <t>00002-00000060</t>
  </si>
  <si>
    <t>00002-00000061</t>
  </si>
  <si>
    <t>00002-00000013</t>
  </si>
  <si>
    <t>00002-00000014</t>
  </si>
  <si>
    <t>00006-00000127</t>
  </si>
  <si>
    <t>00006-00000128</t>
  </si>
  <si>
    <t>00006-00000129</t>
  </si>
  <si>
    <t>00006-00000130</t>
  </si>
  <si>
    <t>00006-00000131</t>
  </si>
  <si>
    <t>00006-00000003</t>
  </si>
  <si>
    <t>00006-00000004</t>
  </si>
  <si>
    <t>00006-00000005</t>
  </si>
  <si>
    <t>00006-00000006</t>
  </si>
  <si>
    <t>00006-00000132</t>
  </si>
  <si>
    <t>00006-00000133</t>
  </si>
  <si>
    <t>0005 - 00000214</t>
  </si>
  <si>
    <t>0005 - 00000213</t>
  </si>
  <si>
    <t>0005 - 00000216</t>
  </si>
  <si>
    <t>0005 - 00000215</t>
  </si>
  <si>
    <t>0014 00000235</t>
  </si>
  <si>
    <t>0014 00000236</t>
  </si>
  <si>
    <t>0014 00000237</t>
  </si>
  <si>
    <t>0014 00000238</t>
  </si>
  <si>
    <t>00006-00000134</t>
  </si>
  <si>
    <t>MEDPHARMA S.A.</t>
  </si>
  <si>
    <t>00006-00000135</t>
  </si>
  <si>
    <t>00006-00000136</t>
  </si>
  <si>
    <t>00006-00000137</t>
  </si>
  <si>
    <t>00006-00000138</t>
  </si>
  <si>
    <t>00006-00000139</t>
  </si>
  <si>
    <t>00006-00000140</t>
  </si>
  <si>
    <t>00006-00000141</t>
  </si>
  <si>
    <t>00006-00000142</t>
  </si>
  <si>
    <t>00006-00000144</t>
  </si>
  <si>
    <t>SUAREZ VERONICA MARIELA</t>
  </si>
  <si>
    <t>00006-00000145</t>
  </si>
  <si>
    <t>00006-00000147</t>
  </si>
  <si>
    <t>00006-00000148</t>
  </si>
  <si>
    <t>00002-00000063</t>
  </si>
  <si>
    <t>00002-00000064</t>
  </si>
  <si>
    <t>00006-00000149</t>
  </si>
  <si>
    <t>00006-00000150</t>
  </si>
  <si>
    <t>00006-00000151</t>
  </si>
  <si>
    <t>00002-00000065</t>
  </si>
  <si>
    <t>00006-00000152</t>
  </si>
  <si>
    <t>00006-00000153</t>
  </si>
  <si>
    <t>00006-00000154</t>
  </si>
  <si>
    <t>00001-00000029</t>
  </si>
  <si>
    <t>00006-00000155</t>
  </si>
  <si>
    <t>00006-00000156</t>
  </si>
  <si>
    <t>00006-00000157</t>
  </si>
  <si>
    <t>0014 00069471</t>
  </si>
  <si>
    <t>0005- 00060757</t>
  </si>
  <si>
    <t>DAUMAS MOTOFLEX S.R.L.</t>
  </si>
  <si>
    <t>00006-00000158</t>
  </si>
  <si>
    <t>00006-00000159</t>
  </si>
  <si>
    <t>BI MEDIA S.R.L.</t>
  </si>
  <si>
    <t>00006-00000160</t>
  </si>
  <si>
    <t>DATAREF</t>
  </si>
  <si>
    <t>00006-00000161</t>
  </si>
  <si>
    <t>0005- 00060709</t>
  </si>
  <si>
    <t>0005- 00060833</t>
  </si>
  <si>
    <t>0005- 00060822</t>
  </si>
  <si>
    <t>0005- 00060824</t>
  </si>
  <si>
    <t>0005- 00060835</t>
  </si>
  <si>
    <t>0005- 00060834</t>
  </si>
  <si>
    <t>0005- 00060836</t>
  </si>
  <si>
    <t>0014 00069611</t>
  </si>
  <si>
    <t>0014 00069606</t>
  </si>
  <si>
    <t>0014 00069607</t>
  </si>
  <si>
    <t>TRANS BOX S. R. L.</t>
  </si>
  <si>
    <t>0005 - 00000218</t>
  </si>
  <si>
    <t>00004-00000131</t>
  </si>
  <si>
    <t>00004-00000132</t>
  </si>
  <si>
    <t>00004-00000133</t>
  </si>
  <si>
    <t>00004-00000134</t>
  </si>
  <si>
    <t>0014 00000239</t>
  </si>
  <si>
    <t>0005- 00060968</t>
  </si>
  <si>
    <t>0005- 00060966</t>
  </si>
  <si>
    <t>0005- 00060969</t>
  </si>
  <si>
    <t>0005- 00060962</t>
  </si>
  <si>
    <t>0005- 00060963</t>
  </si>
  <si>
    <t>0005- 00060965</t>
  </si>
  <si>
    <t>0005- 00060956</t>
  </si>
  <si>
    <t>0005- 00060957</t>
  </si>
  <si>
    <t>0014 00069804</t>
  </si>
  <si>
    <t>0014 00069805</t>
  </si>
  <si>
    <t>0014 00069807</t>
  </si>
  <si>
    <t>0014 00069808</t>
  </si>
  <si>
    <t>0014 00069810</t>
  </si>
  <si>
    <t>0014 00069811</t>
  </si>
  <si>
    <t>0014 00069813</t>
  </si>
  <si>
    <t>0014 00069814</t>
  </si>
  <si>
    <t>0014 00069816</t>
  </si>
  <si>
    <t>0014 00069817</t>
  </si>
  <si>
    <t>0014 00069819</t>
  </si>
  <si>
    <t>0014 00069820</t>
  </si>
  <si>
    <t>0014 00069822</t>
  </si>
  <si>
    <t>0014 00069812</t>
  </si>
  <si>
    <t>0014 00069815</t>
  </si>
  <si>
    <t>0014 00069818</t>
  </si>
  <si>
    <t>0014 00069821</t>
  </si>
  <si>
    <t>0014 00069806</t>
  </si>
  <si>
    <t>0014 00069809</t>
  </si>
  <si>
    <t>0005- 00060967</t>
  </si>
  <si>
    <t>0005- 00060961</t>
  </si>
  <si>
    <t>0005- 00060964</t>
  </si>
  <si>
    <t>B 0014 00013345</t>
  </si>
  <si>
    <t>B001400013344</t>
  </si>
  <si>
    <t>DAUMAS MOTOFLEX</t>
  </si>
  <si>
    <t>0003-00054431</t>
  </si>
  <si>
    <t>0003-00054432</t>
  </si>
  <si>
    <t>0003-00054433</t>
  </si>
  <si>
    <t>0003-00054434</t>
  </si>
  <si>
    <t>0003-00054435</t>
  </si>
  <si>
    <t>DROGUERIA VARADERO</t>
  </si>
  <si>
    <t>0003-00053667</t>
  </si>
  <si>
    <t>0003-00053668</t>
  </si>
  <si>
    <t>0003-00178057</t>
  </si>
  <si>
    <t>0003-00178058</t>
  </si>
  <si>
    <t>0003-00178059</t>
  </si>
  <si>
    <t>0003-00178060</t>
  </si>
  <si>
    <t>LAGOPUELO SA</t>
  </si>
  <si>
    <t>0001-00337934</t>
  </si>
  <si>
    <t>0001-00337935</t>
  </si>
  <si>
    <t>0001-00337936</t>
  </si>
  <si>
    <t>0005- 00061018</t>
  </si>
  <si>
    <t>0005- 00061017</t>
  </si>
  <si>
    <t>0005- 00061016</t>
  </si>
  <si>
    <t>0005- 00061015</t>
  </si>
  <si>
    <t>FORMAS ARGENTINAS SR</t>
  </si>
  <si>
    <t>0014 00069908</t>
  </si>
  <si>
    <t>0005- 00061080</t>
  </si>
  <si>
    <t>0014 00070047</t>
  </si>
  <si>
    <t>0014 00070048</t>
  </si>
  <si>
    <t>0014 00070050</t>
  </si>
  <si>
    <t>0014 00070051</t>
  </si>
  <si>
    <t>0014 00070052</t>
  </si>
  <si>
    <t>0014 00070053</t>
  </si>
  <si>
    <t>0014 00070054</t>
  </si>
  <si>
    <t>0014 00070055</t>
  </si>
  <si>
    <t>0014 00070056</t>
  </si>
  <si>
    <t>0014 00070057</t>
  </si>
  <si>
    <t>0005- 00061087</t>
  </si>
  <si>
    <t>0005- 00061088</t>
  </si>
  <si>
    <t>0005- 00061089</t>
  </si>
  <si>
    <t>0005- 00061090</t>
  </si>
  <si>
    <t>0005- 00061091</t>
  </si>
  <si>
    <t>0005- 00061092</t>
  </si>
  <si>
    <t>0005- 00061093</t>
  </si>
  <si>
    <t>0005- 00061094</t>
  </si>
  <si>
    <t>0005- 00061187</t>
  </si>
  <si>
    <t>0005- 00061188</t>
  </si>
  <si>
    <t>0005- 00061189</t>
  </si>
  <si>
    <t>0005- 00061190</t>
  </si>
  <si>
    <t>0005- 00061191</t>
  </si>
  <si>
    <t>0005- 00061192</t>
  </si>
  <si>
    <t>0014 00070205</t>
  </si>
  <si>
    <t>0014 00070207</t>
  </si>
  <si>
    <t>0014 00070209</t>
  </si>
  <si>
    <t>0014 00070206</t>
  </si>
  <si>
    <t>0014 00070208</t>
  </si>
  <si>
    <t>0014 00070210</t>
  </si>
  <si>
    <t>0014 00070219</t>
  </si>
  <si>
    <t>0014 00070220</t>
  </si>
  <si>
    <t>0014 00000245</t>
  </si>
  <si>
    <t>0014 00000247</t>
  </si>
  <si>
    <t>0014 00000246</t>
  </si>
  <si>
    <t>0014 00070271</t>
  </si>
  <si>
    <t>0014 00070270</t>
  </si>
  <si>
    <t>0014 00070274</t>
  </si>
  <si>
    <t>0014 00070275</t>
  </si>
  <si>
    <t>0014 00070276</t>
  </si>
  <si>
    <t>0014 00070266</t>
  </si>
  <si>
    <t>0014 00070272</t>
  </si>
  <si>
    <t>0014 00070279</t>
  </si>
  <si>
    <t>0014 00070281</t>
  </si>
  <si>
    <t>0014 00070283</t>
  </si>
  <si>
    <t>0014 00070284</t>
  </si>
  <si>
    <t>0014 00070285</t>
  </si>
  <si>
    <t>0014 00070286</t>
  </si>
  <si>
    <t>0014 00070287</t>
  </si>
  <si>
    <t>0014 00070288</t>
  </si>
  <si>
    <t>0014 00070328</t>
  </si>
  <si>
    <t>0005- 00061218</t>
  </si>
  <si>
    <t>LABORATORIOS JAYOR S.R.L.</t>
  </si>
  <si>
    <t>0004 01104069</t>
  </si>
  <si>
    <t>0004 01104071</t>
  </si>
  <si>
    <t>0004 01104070</t>
  </si>
  <si>
    <t xml:space="preserve"> B 0002 - 00011901</t>
  </si>
  <si>
    <t>TRANSPORTE TRACCION S.R.L.</t>
  </si>
  <si>
    <t>0005- 00061318</t>
  </si>
  <si>
    <t>0014 00070508</t>
  </si>
  <si>
    <t>0014 00070509</t>
  </si>
  <si>
    <t>0014 00070501</t>
  </si>
  <si>
    <t>0014 00070338</t>
  </si>
  <si>
    <t>0014 00070339</t>
  </si>
  <si>
    <t>0014 00070340</t>
  </si>
  <si>
    <t>0005- 00061440</t>
  </si>
  <si>
    <t>0005- 00061441</t>
  </si>
  <si>
    <t>0005- 00061439</t>
  </si>
  <si>
    <t>0005- 00061448</t>
  </si>
  <si>
    <t>0005- 00061455</t>
  </si>
  <si>
    <t>0005- 00061447</t>
  </si>
  <si>
    <t>0005- 00061449</t>
  </si>
  <si>
    <t>0005- 00061454</t>
  </si>
  <si>
    <t>0005- 00061456</t>
  </si>
  <si>
    <t>0005- 00061453</t>
  </si>
  <si>
    <t>0005- 00061457</t>
  </si>
  <si>
    <t>0005- 00061458</t>
  </si>
  <si>
    <t>ZELENAY BRUNO</t>
  </si>
  <si>
    <t>0014 00070704</t>
  </si>
  <si>
    <t>0005- 00061469</t>
  </si>
  <si>
    <t>HASAR SERVICIOS SOCIEDAD DE</t>
  </si>
  <si>
    <t>0005- 00061471</t>
  </si>
  <si>
    <t>0005- 00061472</t>
  </si>
  <si>
    <t>0005- 00061467</t>
  </si>
  <si>
    <t>0005- 00061468</t>
  </si>
  <si>
    <t>0005- 00061470</t>
  </si>
  <si>
    <t>ELIPA SAS</t>
  </si>
  <si>
    <t>B0005 - 00040052</t>
  </si>
  <si>
    <t>0014 00000248</t>
  </si>
  <si>
    <t>0014 00000252</t>
  </si>
  <si>
    <t>0014 00000253</t>
  </si>
  <si>
    <t>0014 00000249</t>
  </si>
  <si>
    <t>0014 00000250</t>
  </si>
  <si>
    <t>0014 00000251</t>
  </si>
  <si>
    <t>0014 00000254</t>
  </si>
  <si>
    <t>0014 00000255</t>
  </si>
  <si>
    <t>0014 00000256</t>
  </si>
  <si>
    <t>0014 00000257</t>
  </si>
  <si>
    <t>0014 00000258</t>
  </si>
  <si>
    <t>0014 00000259</t>
  </si>
  <si>
    <t>0014 00000260</t>
  </si>
  <si>
    <t>0014 00000261</t>
  </si>
  <si>
    <t>0014 00000262</t>
  </si>
  <si>
    <t>0014 00070813</t>
  </si>
  <si>
    <t>0014 00070811</t>
  </si>
  <si>
    <t>0014 00070809</t>
  </si>
  <si>
    <t>0014 00070807</t>
  </si>
  <si>
    <t>0014 00070805</t>
  </si>
  <si>
    <t>HEALTH HOME SERVICE S. A.</t>
  </si>
  <si>
    <t>0005- 00061551</t>
  </si>
  <si>
    <t>00001-00000030</t>
  </si>
  <si>
    <t>0005- 00061616</t>
  </si>
  <si>
    <t>0005- 00061618</t>
  </si>
  <si>
    <t>0005- 00061617</t>
  </si>
  <si>
    <t>0003-00183425</t>
  </si>
  <si>
    <t>0014 00070980</t>
  </si>
  <si>
    <t>0014 00070979</t>
  </si>
  <si>
    <t>B 0014 00013386</t>
  </si>
  <si>
    <t>B 0014 00013385</t>
  </si>
  <si>
    <t>0005- 00061661</t>
  </si>
  <si>
    <t>0005- 00061659</t>
  </si>
  <si>
    <t>0005- 00061658</t>
  </si>
  <si>
    <t>0005- 00061660</t>
  </si>
  <si>
    <t>0005- 00061662</t>
  </si>
  <si>
    <t>0005- 00061667</t>
  </si>
  <si>
    <t>0014 00071075</t>
  </si>
  <si>
    <t>0014 00071073</t>
  </si>
  <si>
    <t>0014 00071074</t>
  </si>
  <si>
    <t>0014 00071076</t>
  </si>
  <si>
    <t>0014 00071077</t>
  </si>
  <si>
    <t>0014 00071173</t>
  </si>
  <si>
    <t>0014 00071175</t>
  </si>
  <si>
    <t>0014 00071174</t>
  </si>
  <si>
    <t>0014 00071230</t>
  </si>
  <si>
    <t>0014 00071270</t>
  </si>
  <si>
    <t>0014 00071263</t>
  </si>
  <si>
    <t>0014 00071271</t>
  </si>
  <si>
    <t>0014 00071339</t>
  </si>
  <si>
    <t>0014 00071341</t>
  </si>
  <si>
    <t>0014 00071334</t>
  </si>
  <si>
    <t>0014 00071336</t>
  </si>
  <si>
    <t>0014 00071338</t>
  </si>
  <si>
    <t>RSC S.A. S. A.</t>
  </si>
  <si>
    <t>0014 00071335</t>
  </si>
  <si>
    <t>0014 00071337</t>
  </si>
  <si>
    <t>GEM CONSTRUCCIONES S. A.</t>
  </si>
  <si>
    <t>0014 00071340</t>
  </si>
  <si>
    <t>00001-00000034</t>
  </si>
  <si>
    <t>0005- 00061899</t>
  </si>
  <si>
    <t>0014 00071424</t>
  </si>
  <si>
    <t>0005- 00061900</t>
  </si>
  <si>
    <t>0014 00071426</t>
  </si>
  <si>
    <t>0005- 00061897</t>
  </si>
  <si>
    <t>0005- 00061898</t>
  </si>
  <si>
    <t>0005- 00061895</t>
  </si>
  <si>
    <t>0005- 00061896</t>
  </si>
  <si>
    <t>0014 00071403</t>
  </si>
  <si>
    <t>0014 00071404</t>
  </si>
  <si>
    <t>0014 00071401</t>
  </si>
  <si>
    <t>0014 00071402</t>
  </si>
  <si>
    <t>OUTFIT LAB S.A.S</t>
  </si>
  <si>
    <t>MEGATEX</t>
  </si>
  <si>
    <t>0007 - 00000594</t>
  </si>
  <si>
    <t>0007 - 00000595</t>
  </si>
  <si>
    <t>0007 - 00000596</t>
  </si>
  <si>
    <t>0007 - 00000597</t>
  </si>
  <si>
    <t>0007 - 00000598</t>
  </si>
  <si>
    <t>0007 - 00000599</t>
  </si>
  <si>
    <t>0014 00000263</t>
  </si>
  <si>
    <t>0014 00000264</t>
  </si>
  <si>
    <t>0005- 00061938</t>
  </si>
  <si>
    <t>0005- 00061930</t>
  </si>
  <si>
    <t>0005- 00061937</t>
  </si>
  <si>
    <t>0005- 00061928</t>
  </si>
  <si>
    <t>0005- 00061935</t>
  </si>
  <si>
    <t>0005- 00061942</t>
  </si>
  <si>
    <t>0005- 00061933</t>
  </si>
  <si>
    <t>0005- 00061939</t>
  </si>
  <si>
    <t>0005- 00061925</t>
  </si>
  <si>
    <t>0005- 00061929</t>
  </si>
  <si>
    <t>0005- 00061944</t>
  </si>
  <si>
    <t>0014 00071548</t>
  </si>
  <si>
    <t>0014 00071539</t>
  </si>
  <si>
    <t>0014 00071540</t>
  </si>
  <si>
    <t>0014 00071542</t>
  </si>
  <si>
    <t>0014 00071543</t>
  </si>
  <si>
    <t>0014 00071545</t>
  </si>
  <si>
    <t>0014 00071546</t>
  </si>
  <si>
    <t>0005- 00061924</t>
  </si>
  <si>
    <t>0005- 00061927</t>
  </si>
  <si>
    <t>0005- 00061936</t>
  </si>
  <si>
    <t>0005- 00061943</t>
  </si>
  <si>
    <t>CELUMANIA SRL</t>
  </si>
  <si>
    <t>00004-00000927</t>
  </si>
  <si>
    <t>00004-00000928</t>
  </si>
  <si>
    <t>00004-00000929</t>
  </si>
  <si>
    <t>00004-00000930</t>
  </si>
  <si>
    <t>PLUS NOA SA</t>
  </si>
  <si>
    <t xml:space="preserve">TEXTIL ROYAL SRL </t>
  </si>
  <si>
    <t>00004-00006591</t>
  </si>
  <si>
    <t>BASICS SA</t>
  </si>
  <si>
    <t>JACME TEX SRL</t>
  </si>
  <si>
    <t>00004-00003917</t>
  </si>
  <si>
    <t>00004-00003915</t>
  </si>
  <si>
    <t>00004-00003914</t>
  </si>
  <si>
    <t>00004-00003913</t>
  </si>
  <si>
    <t>00002-00000010</t>
  </si>
  <si>
    <t>00006-00000163</t>
  </si>
  <si>
    <t>00002-00000066</t>
  </si>
  <si>
    <t>00006-00000162</t>
  </si>
  <si>
    <t>00006-00000164</t>
  </si>
  <si>
    <t>00006-00000165</t>
  </si>
  <si>
    <t>00006-00000166</t>
  </si>
  <si>
    <t>00006-00000167</t>
  </si>
  <si>
    <t>00006-00000168</t>
  </si>
  <si>
    <t>00006-00000169</t>
  </si>
  <si>
    <t>00006-00000170</t>
  </si>
  <si>
    <t>00006-00000171</t>
  </si>
  <si>
    <t>00001-00000036</t>
  </si>
  <si>
    <t>00006-00000172</t>
  </si>
  <si>
    <t>00006-00000173</t>
  </si>
  <si>
    <t>00006-00000174</t>
  </si>
  <si>
    <t>00006-00000175</t>
  </si>
  <si>
    <t>00006-00000176</t>
  </si>
  <si>
    <t>00006-00000177</t>
  </si>
  <si>
    <t>00002-00000068</t>
  </si>
  <si>
    <t>00002-00000069</t>
  </si>
  <si>
    <t>00002-00000070</t>
  </si>
  <si>
    <t>00002-00000071</t>
  </si>
  <si>
    <t>0005- 00062024</t>
  </si>
  <si>
    <t>0014 00071662</t>
  </si>
  <si>
    <t>0014 00071663</t>
  </si>
  <si>
    <t>0014 00071664</t>
  </si>
  <si>
    <t>0014 00071660</t>
  </si>
  <si>
    <t>0014 00071661</t>
  </si>
  <si>
    <t>0014 00071659</t>
  </si>
  <si>
    <t>00001-00000037</t>
  </si>
  <si>
    <t>0005- 00062082</t>
  </si>
  <si>
    <t>0003-00185606</t>
  </si>
  <si>
    <t>0003-00185607</t>
  </si>
  <si>
    <t>0003-00185608</t>
  </si>
  <si>
    <t>0003-00185605</t>
  </si>
  <si>
    <t>00001-00000038</t>
  </si>
  <si>
    <t>00001-00000039</t>
  </si>
  <si>
    <t>0014 00071933</t>
  </si>
  <si>
    <t>0014 00071934</t>
  </si>
  <si>
    <t>0014 00071935</t>
  </si>
  <si>
    <t>0014 00071936</t>
  </si>
  <si>
    <t>0014 00071937</t>
  </si>
  <si>
    <t>0014 00071938</t>
  </si>
  <si>
    <t>0014 00071939</t>
  </si>
  <si>
    <t>0014 00071940</t>
  </si>
  <si>
    <t>0014 00071941</t>
  </si>
  <si>
    <t>0014 00071942</t>
  </si>
  <si>
    <t>0014 00071943</t>
  </si>
  <si>
    <t>0014 00071944</t>
  </si>
  <si>
    <t>B 0014 00013415</t>
  </si>
  <si>
    <t>B 0014 00013416</t>
  </si>
  <si>
    <t>CHIAGRAAL S.A.S.</t>
  </si>
  <si>
    <t>00001-00000040</t>
  </si>
  <si>
    <t>0005 - 00000222</t>
  </si>
  <si>
    <t>0005 - 00000219</t>
  </si>
  <si>
    <t>0005 - 00000220</t>
  </si>
  <si>
    <t>0005 - 00000221</t>
  </si>
  <si>
    <t>0014 00000265</t>
  </si>
  <si>
    <t>0014 00000266</t>
  </si>
  <si>
    <t>0014 00000267</t>
  </si>
  <si>
    <t>0014 00000268</t>
  </si>
  <si>
    <t>0005- 00062201</t>
  </si>
  <si>
    <t>0005- 00062200</t>
  </si>
  <si>
    <t>0014 00072015</t>
  </si>
  <si>
    <t>0014 00072017</t>
  </si>
  <si>
    <t>0014 00072019</t>
  </si>
  <si>
    <t>0014 00072021</t>
  </si>
  <si>
    <t>0014 00072023</t>
  </si>
  <si>
    <t xml:space="preserve"> 0014 00072025</t>
  </si>
  <si>
    <t>0014 00072013</t>
  </si>
  <si>
    <t>0014 00072012</t>
  </si>
  <si>
    <t>0014 00072014</t>
  </si>
  <si>
    <t>B 0014 00013422</t>
  </si>
  <si>
    <t>0014 00072016</t>
  </si>
  <si>
    <t>0014 00072018</t>
  </si>
  <si>
    <t>0014 00072020</t>
  </si>
  <si>
    <t>0014 00072022</t>
  </si>
  <si>
    <t>0014 00072024</t>
  </si>
  <si>
    <t>0014 00072031</t>
  </si>
  <si>
    <t>0014 00072032</t>
  </si>
  <si>
    <t>0014 00072033</t>
  </si>
  <si>
    <t xml:space="preserve"> 0005- 0006221</t>
  </si>
  <si>
    <t>00004-00006592</t>
  </si>
  <si>
    <t>00004-00006590</t>
  </si>
  <si>
    <t>00004-00006589</t>
  </si>
  <si>
    <t>00004-00003912</t>
  </si>
  <si>
    <t>00004-00003911</t>
  </si>
  <si>
    <t>00004-00003910</t>
  </si>
  <si>
    <t>00004-00003909</t>
  </si>
  <si>
    <t>00001-00000044</t>
  </si>
  <si>
    <t>0014 00072151</t>
  </si>
  <si>
    <t>0014 00000274</t>
  </si>
  <si>
    <t>0014 00000272</t>
  </si>
  <si>
    <t>0014 00000273</t>
  </si>
  <si>
    <t>0014 00000269</t>
  </si>
  <si>
    <t>0014 00000270</t>
  </si>
  <si>
    <t>0014 00000271</t>
  </si>
  <si>
    <t>0014 00000275</t>
  </si>
  <si>
    <t>0014 00000276</t>
  </si>
  <si>
    <t>0014 00000277</t>
  </si>
  <si>
    <t>0014 00000278</t>
  </si>
  <si>
    <t>0005 - 00000223</t>
  </si>
  <si>
    <t>0005 - 00000224</t>
  </si>
  <si>
    <t>0005 - 00000225</t>
  </si>
  <si>
    <t>0005 - 00000226</t>
  </si>
  <si>
    <t>0005 - 00000227</t>
  </si>
  <si>
    <t>B 0014 00013433</t>
  </si>
  <si>
    <t>0005- 00062407</t>
  </si>
  <si>
    <t>0005- 00062408</t>
  </si>
  <si>
    <t>0005- 00062406</t>
  </si>
  <si>
    <t>0005- 00062404</t>
  </si>
  <si>
    <t>0005- 00062399</t>
  </si>
  <si>
    <t>0014 00072437</t>
  </si>
  <si>
    <t>0014 00072438</t>
  </si>
  <si>
    <t>0014 00072439</t>
  </si>
  <si>
    <t>0014 00072440</t>
  </si>
  <si>
    <t>0005 - 00000228</t>
  </si>
  <si>
    <t>0014 00000281</t>
  </si>
  <si>
    <t>FORAIN S. A.</t>
  </si>
  <si>
    <t>0014 00072601</t>
  </si>
  <si>
    <t>0005- 00062510</t>
  </si>
  <si>
    <t>0014 00072745</t>
  </si>
  <si>
    <t>0014 00072730</t>
  </si>
  <si>
    <t>0014 00072726</t>
  </si>
  <si>
    <t>0014 00072746</t>
  </si>
  <si>
    <t>0014 00072748</t>
  </si>
  <si>
    <t>0014 00072747</t>
  </si>
  <si>
    <t>0014 00072750</t>
  </si>
  <si>
    <t>0014 00072751</t>
  </si>
  <si>
    <t>0014 00072697</t>
  </si>
  <si>
    <t>0014 00072696</t>
  </si>
  <si>
    <t>0014 00072694</t>
  </si>
  <si>
    <t>0014 00072693</t>
  </si>
  <si>
    <t>0014 00072692</t>
  </si>
  <si>
    <t>0014 00072749</t>
  </si>
  <si>
    <t>0005 - 00000232</t>
  </si>
  <si>
    <t>0005 - 00000231</t>
  </si>
  <si>
    <t>0005 - 00000229</t>
  </si>
  <si>
    <t>0005 - 00000230</t>
  </si>
  <si>
    <t>0005 - 00000233</t>
  </si>
  <si>
    <t>0005 - 00000234</t>
  </si>
  <si>
    <t>00002-00000009</t>
  </si>
  <si>
    <t>00002-00000007</t>
  </si>
  <si>
    <t>00002-00000006</t>
  </si>
  <si>
    <t>00002-00000005</t>
  </si>
  <si>
    <t>LUIS ARCEO S. R. L.</t>
  </si>
  <si>
    <t>0005 - 00000239</t>
  </si>
  <si>
    <t>0005 - 00000240</t>
  </si>
  <si>
    <t>0005 - 00000235</t>
  </si>
  <si>
    <t>0005 - 00000236</t>
  </si>
  <si>
    <t>0005 - 00000237</t>
  </si>
  <si>
    <t>0005 - 00000238</t>
  </si>
  <si>
    <t>0005- 00062667</t>
  </si>
  <si>
    <t>0005- 00062671</t>
  </si>
  <si>
    <t>0014 00072823</t>
  </si>
  <si>
    <t>0014 00072825</t>
  </si>
  <si>
    <t>0014 00000282</t>
  </si>
  <si>
    <t>0014 00000283</t>
  </si>
  <si>
    <t>0014 00000284</t>
  </si>
  <si>
    <t>0014 00000285</t>
  </si>
  <si>
    <t>0014 00000286</t>
  </si>
  <si>
    <t>0014 00000287</t>
  </si>
  <si>
    <t>0014 00000288</t>
  </si>
  <si>
    <t>ANDALUX S.A.</t>
  </si>
  <si>
    <t>00001-00000045</t>
  </si>
  <si>
    <t>NEA-ELEC S. A.</t>
  </si>
  <si>
    <t>00001-00000046</t>
  </si>
  <si>
    <t>0014 00072937</t>
  </si>
  <si>
    <t>COMERCIALIZADORA LP SA</t>
  </si>
  <si>
    <t>0003-00058854</t>
  </si>
  <si>
    <t>0014 00073109</t>
  </si>
  <si>
    <t>B0005 - 00040064</t>
  </si>
  <si>
    <t>0014 00073143</t>
  </si>
  <si>
    <t>0014 00073142</t>
  </si>
  <si>
    <t>0014 00073144</t>
  </si>
  <si>
    <t>0005- 00062842</t>
  </si>
  <si>
    <t>0005- 00062844</t>
  </si>
  <si>
    <t>0005- 00062846</t>
  </si>
  <si>
    <t>0005- 00062840</t>
  </si>
  <si>
    <t>NUKE MEDICA S.R.L.</t>
  </si>
  <si>
    <t>0005- 00062827</t>
  </si>
  <si>
    <t>0014 00073241</t>
  </si>
  <si>
    <t>0014 00073240</t>
  </si>
  <si>
    <t>0014 00073242</t>
  </si>
  <si>
    <t>0014 00073238</t>
  </si>
  <si>
    <t>0014 00073239</t>
  </si>
  <si>
    <t>0014 00073236</t>
  </si>
  <si>
    <t>0014 00073233</t>
  </si>
  <si>
    <t>0014 00073231</t>
  </si>
  <si>
    <t>0005- 00062905</t>
  </si>
  <si>
    <t>0005- 00062903</t>
  </si>
  <si>
    <t>0005- 00062901</t>
  </si>
  <si>
    <t>0014 00073229</t>
  </si>
  <si>
    <t>0014 00073227</t>
  </si>
  <si>
    <t>0005- 00062897</t>
  </si>
  <si>
    <t>0005- 00062895</t>
  </si>
  <si>
    <t>0005- 00062891</t>
  </si>
  <si>
    <t>0005- 00062893</t>
  </si>
  <si>
    <t>0014 00073225</t>
  </si>
  <si>
    <t>0014 00073222</t>
  </si>
  <si>
    <t>0014 00073216</t>
  </si>
  <si>
    <t>0014 00073219</t>
  </si>
  <si>
    <t>0014 00073237</t>
  </si>
  <si>
    <t>0014 00073235</t>
  </si>
  <si>
    <t>0014 00073234</t>
  </si>
  <si>
    <t>0014 00073232</t>
  </si>
  <si>
    <t>0014 00073230</t>
  </si>
  <si>
    <t>0014 00073228</t>
  </si>
  <si>
    <t>0014 00073226</t>
  </si>
  <si>
    <t>0014 00073224</t>
  </si>
  <si>
    <t>0014 00073223</t>
  </si>
  <si>
    <t>0014 00073210</t>
  </si>
  <si>
    <t>0014 00073209</t>
  </si>
  <si>
    <t>0014 00073221</t>
  </si>
  <si>
    <t>0014 00073220</t>
  </si>
  <si>
    <t>0014 00073218</t>
  </si>
  <si>
    <t>0014 00073217</t>
  </si>
  <si>
    <t>0005- 00062906</t>
  </si>
  <si>
    <t>0005- 00062904</t>
  </si>
  <si>
    <t>0005- 00062902</t>
  </si>
  <si>
    <t>0005- 00062900</t>
  </si>
  <si>
    <t>0005- 00062896</t>
  </si>
  <si>
    <t>0005- 00062890</t>
  </si>
  <si>
    <t>0005- 00062894</t>
  </si>
  <si>
    <t>0005- 00062892</t>
  </si>
  <si>
    <t>0014 00073243</t>
  </si>
  <si>
    <t>0014 00073244</t>
  </si>
  <si>
    <t>0014 00000289</t>
  </si>
  <si>
    <t>0005 - 00000242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</si>
</sst>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\ * #,##0.00_);_(&quot;$&quot;\ * \(#,##0.00\);_(&quot;$&quot;\ * &quot;-&quot;??_);_(@_)"/>
    <numFmt numFmtId="165" formatCode="D/M/YYYY"/>
    <numFmt numFmtId="166" formatCode="d-m"/>
    <numFmt numFmtId="167" formatCode="mmm-d"/>
    <numFmt numFmtId="168" formatCode="mmmm-d"/>
    <numFmt numFmtId="169" formatCode="m-d"/>
    <numFmt numFmtId="170" formatCode="dd-mm"/>
  </numFmts>
  <fonts count="8">
    <font>
      <sz val="12.0"/>
      <color theme="1"/>
      <name val="Aptos Narrow"/>
      <scheme val="minor"/>
    </font>
    <font>
      <sz val="11.0"/>
      <color rgb="FFFFFFFF"/>
      <name val="Arial"/>
    </font>
    <font>
      <sz val="11.0"/>
      <color theme="0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</font>
    <font>
      <sz val="11.0"/>
      <color rgb="FF3F3F3F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0" fillId="0" fontId="3" numFmtId="0" xfId="0" applyAlignment="1" applyFont="1">
      <alignment horizontal="center"/>
    </xf>
    <xf borderId="2" fillId="3" fontId="4" numFmtId="165" xfId="0" applyAlignment="1" applyBorder="1" applyFill="1" applyFont="1" applyNumberFormat="1">
      <alignment horizontal="center"/>
    </xf>
    <xf borderId="2" fillId="3" fontId="4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center"/>
    </xf>
    <xf borderId="2" fillId="4" fontId="4" numFmtId="17" xfId="0" applyAlignment="1" applyBorder="1" applyFill="1" applyFont="1" applyNumberFormat="1">
      <alignment horizontal="center"/>
    </xf>
    <xf borderId="2" fillId="4" fontId="4" numFmtId="164" xfId="0" applyBorder="1" applyFill="1" applyFont="1" applyNumberFormat="1"/>
    <xf borderId="2" fillId="4" fontId="4" numFmtId="164" xfId="0" applyAlignment="1" applyBorder="1" applyFill="1" applyFont="1" applyNumberFormat="1">
      <alignment horizontal="center"/>
    </xf>
    <xf borderId="2" fillId="3" fontId="5" numFmtId="16" xfId="0" applyAlignment="1" applyBorder="1" applyFill="1" applyFont="1" applyNumberFormat="1">
      <alignment horizontal="center" readingOrder="0"/>
    </xf>
    <xf borderId="1" fillId="4" fontId="4" numFmtId="0" xfId="0" applyBorder="1" applyFill="1" applyFont="1"/>
    <xf borderId="2" fillId="3" fontId="4" numFmtId="17" xfId="0" applyAlignment="1" applyBorder="1" applyFill="1" applyFont="1" applyNumberFormat="1">
      <alignment horizontal="center"/>
    </xf>
    <xf borderId="2" fillId="3" fontId="4" numFmtId="164" xfId="0" applyBorder="1" applyFill="1" applyFont="1" applyNumberFormat="1"/>
    <xf borderId="2" fillId="3" fontId="4" numFmtId="164" xfId="0" applyAlignment="1" applyBorder="1" applyFill="1" applyFont="1" applyNumberFormat="1">
      <alignment horizontal="center"/>
    </xf>
    <xf borderId="2" fillId="3" fontId="4" numFmtId="16" xfId="0" applyAlignment="1" applyBorder="1" applyFill="1" applyFont="1" applyNumberFormat="1">
      <alignment horizontal="center"/>
    </xf>
    <xf borderId="2" fillId="0" fontId="4" numFmtId="165" xfId="0" applyAlignment="1" applyBorder="1" applyFont="1" applyNumberFormat="1">
      <alignment horizontal="center"/>
    </xf>
    <xf borderId="2" fillId="3" fontId="4" numFmtId="0" xfId="0" applyBorder="1" applyFill="1" applyFont="1"/>
    <xf borderId="2" fillId="3" fontId="5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17" xfId="0" applyAlignment="1" applyBorder="1" applyFill="1" applyFont="1" applyNumberFormat="1">
      <alignment horizontal="center" readingOrder="0"/>
    </xf>
    <xf borderId="2" fillId="3" fontId="5" numFmtId="164" xfId="0" applyAlignment="1" applyBorder="1" applyFill="1" applyFont="1" applyNumberFormat="1">
      <alignment readingOrder="0"/>
    </xf>
    <xf borderId="2" fillId="3" fontId="5" numFmtId="164" xfId="0" applyAlignment="1" applyBorder="1" applyFill="1" applyFont="1" applyNumberFormat="1">
      <alignment horizontal="center" readingOrder="0"/>
    </xf>
    <xf borderId="2" fillId="3" fontId="5" numFmtId="166" xfId="0" applyAlignment="1" applyBorder="1" applyFill="1" applyFont="1" applyNumberFormat="1">
      <alignment horizontal="center" readingOrder="0"/>
    </xf>
    <xf borderId="2" fillId="4" fontId="5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 readingOrder="0"/>
    </xf>
    <xf borderId="2" fillId="4" fontId="5" numFmtId="17" xfId="0" applyAlignment="1" applyBorder="1" applyFill="1" applyFont="1" applyNumberFormat="1">
      <alignment horizontal="center" readingOrder="0"/>
    </xf>
    <xf borderId="2" fillId="4" fontId="5" numFmtId="164" xfId="0" applyAlignment="1" applyBorder="1" applyFill="1" applyFont="1" applyNumberFormat="1">
      <alignment horizontal="center" readingOrder="0"/>
    </xf>
    <xf borderId="2" fillId="4" fontId="5" numFmtId="164" xfId="0" applyAlignment="1" applyBorder="1" applyFill="1" applyFont="1" applyNumberFormat="1">
      <alignment readingOrder="0"/>
    </xf>
    <xf borderId="2" fillId="3" fontId="5" numFmtId="167" xfId="0" applyAlignment="1" applyBorder="1" applyFill="1" applyFont="1" applyNumberFormat="1">
      <alignment horizontal="center" readingOrder="0"/>
    </xf>
    <xf borderId="2" fillId="3" fontId="4" numFmtId="0" xfId="0" applyAlignment="1" applyBorder="1" applyFill="1" applyFont="1">
      <alignment horizontal="center" readingOrder="0" vertical="bottom"/>
    </xf>
    <xf borderId="2" fillId="3" fontId="5" numFmtId="0" xfId="0" applyAlignment="1" applyBorder="1" applyFill="1" applyFont="1">
      <alignment horizontal="center" readingOrder="0" vertical="bottom"/>
    </xf>
    <xf borderId="2" fillId="3" fontId="4" numFmtId="164" xfId="0" applyAlignment="1" applyBorder="1" applyFill="1" applyFont="1" applyNumberFormat="1">
      <alignment vertical="bottom"/>
    </xf>
    <xf borderId="2" fillId="3" fontId="3" numFmtId="0" xfId="0" applyAlignment="1" applyBorder="1" applyFill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6" numFmtId="167" xfId="0" applyAlignment="1" applyBorder="1" applyFill="1" applyFont="1" applyNumberFormat="1">
      <alignment horizontal="center" readingOrder="0"/>
    </xf>
    <xf borderId="2" fillId="3" fontId="4" numFmtId="164" xfId="0" applyAlignment="1" applyBorder="1" applyFill="1" applyFont="1" applyNumberFormat="1">
      <alignment readingOrder="0"/>
    </xf>
    <xf borderId="2" fillId="3" fontId="4" numFmtId="16" xfId="0" applyBorder="1" applyFill="1" applyFont="1" applyNumberFormat="1"/>
    <xf borderId="2" fillId="3" fontId="5" numFmtId="165" xfId="0" applyAlignment="1" applyBorder="1" applyFill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6" numFmtId="167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readingOrder="0"/>
    </xf>
    <xf borderId="2" fillId="3" fontId="3" numFmtId="0" xfId="0" applyBorder="1" applyFill="1" applyFont="1"/>
    <xf borderId="2" fillId="3" fontId="6" numFmtId="168" xfId="0" applyAlignment="1" applyBorder="1" applyFill="1" applyFont="1" applyNumberFormat="1">
      <alignment readingOrder="0"/>
    </xf>
    <xf borderId="2" fillId="4" fontId="5" numFmtId="167" xfId="0" applyAlignment="1" applyBorder="1" applyFill="1" applyFont="1" applyNumberFormat="1">
      <alignment horizontal="center" readingOrder="0"/>
    </xf>
    <xf borderId="2" fillId="5" fontId="5" numFmtId="17" xfId="0" applyAlignment="1" applyBorder="1" applyFill="1" applyFont="1" applyNumberFormat="1">
      <alignment horizontal="center" readingOrder="0"/>
    </xf>
    <xf borderId="2" fillId="0" fontId="3" numFmtId="164" xfId="0" applyAlignment="1" applyBorder="1" applyFont="1" applyNumberFormat="1">
      <alignment readingOrder="0"/>
    </xf>
    <xf borderId="2" fillId="3" fontId="4" numFmtId="0" xfId="0" applyAlignment="1" applyBorder="1" applyFill="1" applyFont="1">
      <alignment vertical="bottom"/>
    </xf>
    <xf borderId="2" fillId="0" fontId="6" numFmtId="164" xfId="0" applyAlignment="1" applyBorder="1" applyFont="1" applyNumberFormat="1">
      <alignment horizontal="center" readingOrder="0"/>
    </xf>
    <xf borderId="2" fillId="3" fontId="6" numFmtId="164" xfId="0" applyAlignment="1" applyBorder="1" applyFill="1" applyFont="1" applyNumberFormat="1">
      <alignment readingOrder="0"/>
    </xf>
    <xf borderId="2" fillId="3" fontId="5" numFmtId="164" xfId="0" applyAlignment="1" applyBorder="1" applyFill="1" applyFont="1" applyNumberFormat="1">
      <alignment horizontal="right" readingOrder="0" vertical="bottom"/>
    </xf>
    <xf borderId="2" fillId="3" fontId="5" numFmtId="164" xfId="0" applyAlignment="1" applyBorder="1" applyFill="1" applyFont="1" applyNumberFormat="1">
      <alignment readingOrder="0" vertical="bottom"/>
    </xf>
    <xf borderId="2" fillId="0" fontId="5" numFmtId="165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168" xfId="0" applyAlignment="1" applyBorder="1" applyFont="1" applyNumberFormat="1">
      <alignment readingOrder="0"/>
    </xf>
    <xf borderId="2" fillId="0" fontId="4" numFmtId="164" xfId="0" applyBorder="1" applyFont="1" applyNumberFormat="1"/>
    <xf borderId="2" fillId="0" fontId="3" numFmtId="0" xfId="0" applyBorder="1" applyFont="1"/>
    <xf borderId="2" fillId="0" fontId="4" numFmtId="0" xfId="0" applyAlignment="1" applyBorder="1" applyFont="1">
      <alignment horizontal="center"/>
    </xf>
    <xf borderId="2" fillId="5" fontId="5" numFmtId="165" xfId="0" applyAlignment="1" applyBorder="1" applyFill="1" applyFont="1" applyNumberFormat="1">
      <alignment horizontal="center" readingOrder="0"/>
    </xf>
    <xf borderId="2" fillId="0" fontId="4" numFmtId="165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horizontal="right" readingOrder="0" vertical="bottom"/>
    </xf>
    <xf borderId="2" fillId="6" fontId="4" numFmtId="165" xfId="0" applyAlignment="1" applyBorder="1" applyFill="1" applyFont="1" applyNumberFormat="1">
      <alignment horizontal="center"/>
    </xf>
    <xf borderId="2" fillId="6" fontId="4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 readingOrder="0"/>
    </xf>
    <xf borderId="2" fillId="6" fontId="5" numFmtId="0" xfId="0" applyAlignment="1" applyBorder="1" applyFill="1" applyFont="1">
      <alignment horizontal="center" readingOrder="0" vertical="bottom"/>
    </xf>
    <xf borderId="2" fillId="6" fontId="4" numFmtId="0" xfId="0" applyAlignment="1" applyBorder="1" applyFill="1" applyFont="1">
      <alignment horizontal="center" readingOrder="0"/>
    </xf>
    <xf borderId="2" fillId="6" fontId="6" numFmtId="167" xfId="0" applyAlignment="1" applyBorder="1" applyFill="1" applyFont="1" applyNumberFormat="1">
      <alignment horizontal="center" readingOrder="0"/>
    </xf>
    <xf borderId="2" fillId="6" fontId="5" numFmtId="164" xfId="0" applyAlignment="1" applyBorder="1" applyFill="1" applyFont="1" applyNumberFormat="1">
      <alignment readingOrder="0"/>
    </xf>
    <xf borderId="2" fillId="6" fontId="4" numFmtId="164" xfId="0" applyBorder="1" applyFill="1" applyFont="1" applyNumberFormat="1"/>
    <xf borderId="2" fillId="6" fontId="4" numFmtId="164" xfId="0" applyAlignment="1" applyBorder="1" applyFill="1" applyFont="1" applyNumberFormat="1">
      <alignment horizontal="center"/>
    </xf>
    <xf borderId="2" fillId="6" fontId="4" numFmtId="16" xfId="0" applyBorder="1" applyFill="1" applyFont="1" applyNumberFormat="1"/>
    <xf borderId="2" fillId="6" fontId="5" numFmtId="166" xfId="0" applyAlignment="1" applyBorder="1" applyFill="1" applyFont="1" applyNumberFormat="1">
      <alignment horizontal="center" readingOrder="0"/>
    </xf>
    <xf borderId="2" fillId="6" fontId="4" numFmtId="0" xfId="0" applyBorder="1" applyFill="1" applyFont="1"/>
    <xf borderId="0" fillId="3" fontId="5" numFmtId="165" xfId="0" applyAlignment="1" applyFill="1" applyFont="1" applyNumberFormat="1">
      <alignment horizontal="center" readingOrder="0"/>
    </xf>
    <xf borderId="0" fillId="6" fontId="5" numFmtId="165" xfId="0" applyAlignment="1" applyFill="1" applyFont="1" applyNumberFormat="1">
      <alignment horizontal="center" readingOrder="0"/>
    </xf>
    <xf borderId="2" fillId="6" fontId="5" numFmtId="0" xfId="0" applyAlignment="1" applyBorder="1" applyFill="1" applyFont="1">
      <alignment horizontal="center" readingOrder="0"/>
    </xf>
    <xf borderId="0" fillId="5" fontId="5" numFmtId="165" xfId="0" applyAlignment="1" applyFill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2" fillId="4" fontId="4" numFmtId="0" xfId="0" applyBorder="1" applyFill="1" applyFont="1"/>
    <xf borderId="0" fillId="3" fontId="4" numFmtId="164" xfId="0" applyFill="1" applyFont="1" applyNumberFormat="1"/>
    <xf borderId="0" fillId="3" fontId="5" numFmtId="164" xfId="0" applyAlignment="1" applyFill="1" applyFont="1" applyNumberFormat="1">
      <alignment readingOrder="0"/>
    </xf>
    <xf borderId="0" fillId="0" fontId="5" numFmtId="164" xfId="0" applyAlignment="1" applyFont="1" applyNumberFormat="1">
      <alignment readingOrder="0"/>
    </xf>
    <xf borderId="2" fillId="3" fontId="4" numFmtId="165" xfId="0" applyAlignment="1" applyBorder="1" applyFill="1" applyFont="1" applyNumberFormat="1">
      <alignment vertical="bottom"/>
    </xf>
    <xf borderId="0" fillId="3" fontId="5" numFmtId="164" xfId="0" applyAlignment="1" applyFill="1" applyFont="1" applyNumberFormat="1">
      <alignment horizontal="right" readingOrder="0" vertical="bottom"/>
    </xf>
    <xf borderId="0" fillId="3" fontId="4" numFmtId="0" xfId="0" applyAlignment="1" applyFill="1" applyFont="1">
      <alignment vertical="bottom"/>
    </xf>
    <xf borderId="0" fillId="3" fontId="4" numFmtId="164" xfId="0" applyAlignment="1" applyFill="1" applyFont="1" applyNumberFormat="1">
      <alignment horizontal="center"/>
    </xf>
    <xf borderId="0" fillId="3" fontId="5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 vertical="bottom"/>
    </xf>
    <xf borderId="1" fillId="0" fontId="3" numFmtId="0" xfId="0" applyBorder="1" applyFont="1"/>
    <xf borderId="2" fillId="4" fontId="4" numFmtId="16" xfId="0" applyAlignment="1" applyBorder="1" applyFill="1" applyFont="1" applyNumberFormat="1">
      <alignment horizontal="center"/>
    </xf>
    <xf borderId="2" fillId="3" fontId="5" numFmtId="0" xfId="0" applyAlignment="1" applyBorder="1" applyFill="1" applyFont="1">
      <alignment readingOrder="0"/>
    </xf>
    <xf borderId="2" fillId="3" fontId="3" numFmtId="164" xfId="0" applyAlignment="1" applyBorder="1" applyFill="1" applyFont="1" applyNumberFormat="1">
      <alignment readingOrder="0"/>
    </xf>
    <xf borderId="0" fillId="3" fontId="4" numFmtId="165" xfId="0" applyAlignment="1" applyFill="1" applyFont="1" applyNumberFormat="1">
      <alignment horizontal="center"/>
    </xf>
    <xf borderId="0" fillId="4" fontId="4" numFmtId="0" xfId="0" applyFill="1" applyFont="1"/>
    <xf borderId="1" fillId="3" fontId="4" numFmtId="0" xfId="0" applyAlignment="1" applyBorder="1" applyFill="1" applyFont="1">
      <alignment horizontal="center"/>
    </xf>
    <xf borderId="1" fillId="3" fontId="4" numFmtId="164" xfId="0" applyBorder="1" applyFill="1" applyFont="1" applyNumberFormat="1"/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vertical="bottom"/>
    </xf>
    <xf borderId="0" fillId="3" fontId="4" numFmtId="0" xfId="0" applyAlignment="1" applyFill="1" applyFont="1">
      <alignment horizontal="center"/>
    </xf>
    <xf borderId="0" fillId="3" fontId="5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2" fillId="3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readingOrder="0" vertical="bottom"/>
    </xf>
    <xf borderId="1" fillId="3" fontId="5" numFmtId="16" xfId="0" applyAlignment="1" applyBorder="1" applyFill="1" applyFont="1" applyNumberFormat="1">
      <alignment horizontal="center" readingOrder="0"/>
    </xf>
    <xf borderId="1" fillId="3" fontId="5" numFmtId="166" xfId="0" applyAlignment="1" applyBorder="1" applyFill="1" applyFont="1" applyNumberFormat="1">
      <alignment horizontal="center" readingOrder="0"/>
    </xf>
    <xf borderId="0" fillId="3" fontId="5" numFmtId="166" xfId="0" applyAlignment="1" applyFill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3" fontId="5" numFmtId="1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/>
    </xf>
    <xf borderId="2" fillId="3" fontId="7" numFmtId="164" xfId="0" applyAlignment="1" applyBorder="1" applyFill="1" applyFont="1" applyNumberFormat="1">
      <alignment horizontal="center"/>
    </xf>
    <xf borderId="2" fillId="3" fontId="5" numFmtId="165" xfId="0" applyAlignment="1" applyBorder="1" applyFill="1" applyFont="1" applyNumberFormat="1">
      <alignment readingOrder="0" vertical="bottom"/>
    </xf>
    <xf borderId="2" fillId="3" fontId="6" numFmtId="0" xfId="0" applyAlignment="1" applyBorder="1" applyFill="1" applyFont="1">
      <alignment readingOrder="0"/>
    </xf>
    <xf borderId="2" fillId="5" fontId="4" numFmtId="0" xfId="0" applyAlignment="1" applyBorder="1" applyFill="1" applyFont="1">
      <alignment vertical="bottom"/>
    </xf>
    <xf borderId="2" fillId="3" fontId="4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2" fillId="0" fontId="5" numFmtId="0" xfId="0" applyAlignment="1" applyBorder="1" applyFont="1">
      <alignment readingOrder="0" vertical="bottom"/>
    </xf>
    <xf borderId="2" fillId="0" fontId="4" numFmtId="164" xfId="0" applyAlignment="1" applyBorder="1" applyFont="1" applyNumberFormat="1">
      <alignment readingOrder="0"/>
    </xf>
    <xf borderId="3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readingOrder="0"/>
    </xf>
    <xf borderId="2" fillId="5" fontId="5" numFmtId="165" xfId="0" applyAlignment="1" applyBorder="1" applyFill="1" applyFont="1" applyNumberFormat="1">
      <alignment readingOrder="0" vertical="bottom"/>
    </xf>
    <xf borderId="2" fillId="5" fontId="4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2" fillId="7" fontId="5" numFmtId="0" xfId="0" applyAlignment="1" applyBorder="1" applyFill="1" applyFont="1">
      <alignment horizontal="center" readingOrder="0" vertical="bottom"/>
    </xf>
    <xf borderId="2" fillId="0" fontId="5" numFmtId="164" xfId="0" applyAlignment="1" applyBorder="1" applyFont="1" applyNumberFormat="1">
      <alignment horizontal="right" readingOrder="0"/>
    </xf>
    <xf borderId="2" fillId="3" fontId="5" numFmtId="168" xfId="0" applyAlignment="1" applyBorder="1" applyFill="1" applyFont="1" applyNumberFormat="1">
      <alignment readingOrder="0" vertical="bottom"/>
    </xf>
    <xf borderId="2" fillId="0" fontId="5" numFmtId="0" xfId="0" applyAlignment="1" applyBorder="1" applyFont="1">
      <alignment horizontal="center" readingOrder="0"/>
    </xf>
    <xf borderId="2" fillId="0" fontId="5" numFmtId="168" xfId="0" applyAlignment="1" applyBorder="1" applyFont="1" applyNumberFormat="1">
      <alignment horizontal="center" readingOrder="0" vertical="bottom"/>
    </xf>
    <xf borderId="2" fillId="0" fontId="5" numFmtId="168" xfId="0" applyAlignment="1" applyBorder="1" applyFont="1" applyNumberFormat="1">
      <alignment readingOrder="0" vertical="bottom"/>
    </xf>
    <xf borderId="2" fillId="3" fontId="5" numFmtId="164" xfId="0" applyAlignment="1" applyBorder="1" applyFill="1" applyFont="1" applyNumberFormat="1">
      <alignment horizontal="right" vertical="bottom"/>
    </xf>
    <xf borderId="2" fillId="3" fontId="5" numFmtId="168" xfId="0" applyAlignment="1" applyBorder="1" applyFill="1" applyFont="1" applyNumberFormat="1">
      <alignment horizontal="center" readingOrder="0" vertical="bottom"/>
    </xf>
    <xf borderId="2" fillId="3" fontId="5" numFmtId="10" xfId="0" applyAlignment="1" applyBorder="1" applyFill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bottom"/>
    </xf>
    <xf borderId="2" fillId="3" fontId="5" numFmtId="169" xfId="0" applyAlignment="1" applyBorder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2" fillId="3" fontId="4" numFmtId="0" xfId="0" applyAlignment="1" applyBorder="1" applyFill="1" applyFont="1">
      <alignment readingOrder="0" vertical="bottom"/>
    </xf>
    <xf borderId="2" fillId="8" fontId="5" numFmtId="165" xfId="0" applyAlignment="1" applyBorder="1" applyFill="1" applyFont="1" applyNumberFormat="1">
      <alignment horizontal="center" readingOrder="0"/>
    </xf>
    <xf borderId="2" fillId="8" fontId="4" numFmtId="165" xfId="0" applyAlignment="1" applyBorder="1" applyFill="1" applyFont="1" applyNumberFormat="1">
      <alignment vertical="bottom"/>
    </xf>
    <xf borderId="2" fillId="8" fontId="4" numFmtId="0" xfId="0" applyAlignment="1" applyBorder="1" applyFill="1" applyFont="1">
      <alignment horizontal="center" readingOrder="0" vertical="bottom"/>
    </xf>
    <xf borderId="2" fillId="8" fontId="5" numFmtId="0" xfId="0" applyAlignment="1" applyBorder="1" applyFill="1" applyFont="1">
      <alignment horizontal="center" readingOrder="0" vertical="bottom"/>
    </xf>
    <xf borderId="2" fillId="8" fontId="5" numFmtId="164" xfId="0" applyAlignment="1" applyBorder="1" applyFill="1" applyFont="1" applyNumberFormat="1">
      <alignment horizontal="right" readingOrder="0" vertical="bottom"/>
    </xf>
    <xf borderId="2" fillId="8" fontId="4" numFmtId="164" xfId="0" applyBorder="1" applyFill="1" applyFont="1" applyNumberFormat="1"/>
    <xf borderId="2" fillId="8" fontId="5" numFmtId="164" xfId="0" applyAlignment="1" applyBorder="1" applyFill="1" applyFont="1" applyNumberFormat="1">
      <alignment readingOrder="0"/>
    </xf>
    <xf borderId="2" fillId="8" fontId="4" numFmtId="164" xfId="0" applyAlignment="1" applyBorder="1" applyFill="1" applyFont="1" applyNumberFormat="1">
      <alignment horizontal="center"/>
    </xf>
    <xf borderId="2" fillId="8" fontId="3" numFmtId="0" xfId="0" applyBorder="1" applyFill="1" applyFont="1"/>
    <xf borderId="2" fillId="8" fontId="4" numFmtId="0" xfId="0" applyAlignment="1" applyBorder="1" applyFill="1" applyFont="1">
      <alignment horizontal="center"/>
    </xf>
    <xf borderId="2" fillId="0" fontId="5" numFmtId="164" xfId="0" applyAlignment="1" applyBorder="1" applyFont="1" applyNumberFormat="1">
      <alignment readingOrder="0" vertical="bottom"/>
    </xf>
    <xf borderId="2" fillId="0" fontId="4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2" fillId="8" fontId="4" numFmtId="0" xfId="0" applyAlignment="1" applyBorder="1" applyFill="1" applyFont="1">
      <alignment vertical="bottom"/>
    </xf>
    <xf borderId="2" fillId="8" fontId="5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readingOrder="0" vertical="bottom"/>
    </xf>
    <xf borderId="2" fillId="3" fontId="5" numFmtId="167" xfId="0" applyAlignment="1" applyBorder="1" applyFill="1" applyFont="1" applyNumberFormat="1">
      <alignment horizontal="center" readingOrder="0" vertical="bottom"/>
    </xf>
    <xf borderId="2" fillId="3" fontId="5" numFmtId="165" xfId="0" applyAlignment="1" applyBorder="1" applyFill="1" applyFont="1" applyNumberFormat="1">
      <alignment horizontal="center" readingOrder="0" vertical="bottom"/>
    </xf>
    <xf borderId="2" fillId="3" fontId="5" numFmtId="170" xfId="0" applyAlignment="1" applyBorder="1" applyFill="1" applyFont="1" applyNumberFormat="1">
      <alignment horizontal="center" readingOrder="0"/>
    </xf>
    <xf borderId="2" fillId="0" fontId="5" numFmtId="165" xfId="0" applyAlignment="1" applyBorder="1" applyFont="1" applyNumberFormat="1">
      <alignment horizontal="center" readingOrder="0" vertical="bottom"/>
    </xf>
    <xf borderId="2" fillId="5" fontId="5" numFmtId="167" xfId="0" applyAlignment="1" applyBorder="1" applyFill="1" applyFont="1" applyNumberFormat="1">
      <alignment horizontal="center" readingOrder="0" vertical="bottom"/>
    </xf>
    <xf borderId="2" fillId="9" fontId="5" numFmtId="165" xfId="0" applyAlignment="1" applyBorder="1" applyFill="1" applyFont="1" applyNumberFormat="1">
      <alignment readingOrder="0" vertical="bottom"/>
    </xf>
    <xf borderId="2" fillId="9" fontId="4" numFmtId="0" xfId="0" applyAlignment="1" applyBorder="1" applyFill="1" applyFont="1">
      <alignment vertical="bottom"/>
    </xf>
    <xf borderId="2" fillId="9" fontId="4" numFmtId="0" xfId="0" applyAlignment="1" applyBorder="1" applyFill="1" applyFont="1">
      <alignment horizontal="center" readingOrder="0" vertical="bottom"/>
    </xf>
    <xf borderId="2" fillId="9" fontId="5" numFmtId="0" xfId="0" applyAlignment="1" applyBorder="1" applyFill="1" applyFont="1">
      <alignment horizontal="center" readingOrder="0" vertical="bottom"/>
    </xf>
    <xf borderId="2" fillId="9" fontId="5" numFmtId="167" xfId="0" applyAlignment="1" applyBorder="1" applyFill="1" applyFont="1" applyNumberFormat="1">
      <alignment horizontal="center" readingOrder="0" vertical="bottom"/>
    </xf>
    <xf borderId="2" fillId="9" fontId="5" numFmtId="164" xfId="0" applyAlignment="1" applyBorder="1" applyFill="1" applyFont="1" applyNumberFormat="1">
      <alignment horizontal="right" readingOrder="0" vertical="bottom"/>
    </xf>
    <xf borderId="2" fillId="9" fontId="4" numFmtId="164" xfId="0" applyBorder="1" applyFill="1" applyFont="1" applyNumberFormat="1"/>
    <xf borderId="2" fillId="9" fontId="5" numFmtId="164" xfId="0" applyAlignment="1" applyBorder="1" applyFill="1" applyFont="1" applyNumberFormat="1">
      <alignment readingOrder="0"/>
    </xf>
    <xf borderId="2" fillId="9" fontId="4" numFmtId="164" xfId="0" applyAlignment="1" applyBorder="1" applyFill="1" applyFont="1" applyNumberFormat="1">
      <alignment horizontal="center"/>
    </xf>
    <xf borderId="2" fillId="9" fontId="3" numFmtId="0" xfId="0" applyBorder="1" applyFill="1" applyFont="1"/>
    <xf borderId="2" fillId="9" fontId="4" numFmtId="0" xfId="0" applyAlignment="1" applyBorder="1" applyFill="1" applyFont="1">
      <alignment horizontal="center"/>
    </xf>
    <xf borderId="2" fillId="0" fontId="5" numFmtId="165" xfId="0" applyAlignment="1" applyBorder="1" applyFont="1" applyNumberFormat="1">
      <alignment readingOrder="0" vertical="bottom"/>
    </xf>
    <xf borderId="2" fillId="0" fontId="5" numFmtId="167" xfId="0" applyAlignment="1" applyBorder="1" applyFont="1" applyNumberFormat="1">
      <alignment horizontal="center" readingOrder="0" vertical="bottom"/>
    </xf>
    <xf borderId="0" fillId="4" fontId="3" numFmtId="0" xfId="0" applyFill="1" applyFont="1"/>
    <xf borderId="2" fillId="8" fontId="5" numFmtId="165" xfId="0" applyAlignment="1" applyBorder="1" applyFill="1" applyFont="1" applyNumberFormat="1">
      <alignment readingOrder="0" vertical="bottom"/>
    </xf>
    <xf borderId="2" fillId="8" fontId="5" numFmtId="167" xfId="0" applyAlignment="1" applyBorder="1" applyFill="1" applyFont="1" applyNumberFormat="1">
      <alignment horizontal="center" readingOrder="0" vertical="bottom"/>
    </xf>
    <xf borderId="2" fillId="8" fontId="5" numFmtId="166" xfId="0" applyAlignment="1" applyBorder="1" applyFill="1" applyFont="1" applyNumberFormat="1">
      <alignment horizontal="center" readingOrder="0"/>
    </xf>
    <xf borderId="2" fillId="10" fontId="5" numFmtId="165" xfId="0" applyAlignment="1" applyBorder="1" applyFill="1" applyFont="1" applyNumberFormat="1">
      <alignment readingOrder="0" vertical="bottom"/>
    </xf>
    <xf borderId="2" fillId="10" fontId="4" numFmtId="0" xfId="0" applyAlignment="1" applyBorder="1" applyFill="1" applyFont="1">
      <alignment vertical="bottom"/>
    </xf>
    <xf borderId="2" fillId="10" fontId="4" numFmtId="0" xfId="0" applyAlignment="1" applyBorder="1" applyFill="1" applyFont="1">
      <alignment horizontal="center" readingOrder="0" vertical="bottom"/>
    </xf>
    <xf borderId="2" fillId="10" fontId="5" numFmtId="0" xfId="0" applyAlignment="1" applyBorder="1" applyFill="1" applyFont="1">
      <alignment horizontal="center" readingOrder="0" vertical="bottom"/>
    </xf>
    <xf borderId="2" fillId="10" fontId="5" numFmtId="167" xfId="0" applyAlignment="1" applyBorder="1" applyFill="1" applyFont="1" applyNumberFormat="1">
      <alignment horizontal="center" readingOrder="0" vertical="bottom"/>
    </xf>
    <xf borderId="2" fillId="10" fontId="5" numFmtId="164" xfId="0" applyAlignment="1" applyBorder="1" applyFill="1" applyFont="1" applyNumberFormat="1">
      <alignment horizontal="right" readingOrder="0" vertical="bottom"/>
    </xf>
    <xf borderId="2" fillId="10" fontId="4" numFmtId="164" xfId="0" applyBorder="1" applyFill="1" applyFont="1" applyNumberFormat="1"/>
    <xf borderId="2" fillId="10" fontId="5" numFmtId="164" xfId="0" applyAlignment="1" applyBorder="1" applyFill="1" applyFont="1" applyNumberFormat="1">
      <alignment readingOrder="0"/>
    </xf>
    <xf borderId="2" fillId="10" fontId="4" numFmtId="164" xfId="0" applyAlignment="1" applyBorder="1" applyFill="1" applyFont="1" applyNumberFormat="1">
      <alignment horizontal="center"/>
    </xf>
    <xf borderId="2" fillId="10" fontId="3" numFmtId="0" xfId="0" applyBorder="1" applyFill="1" applyFont="1"/>
    <xf borderId="2" fillId="10" fontId="4" numFmtId="0" xfId="0" applyAlignment="1" applyBorder="1" applyFill="1" applyFont="1">
      <alignment horizontal="center"/>
    </xf>
    <xf borderId="2" fillId="11" fontId="5" numFmtId="165" xfId="0" applyAlignment="1" applyBorder="1" applyFill="1" applyFont="1" applyNumberFormat="1">
      <alignment horizontal="center" readingOrder="0" vertical="bottom"/>
    </xf>
    <xf borderId="2" fillId="11" fontId="4" numFmtId="0" xfId="0" applyAlignment="1" applyBorder="1" applyFill="1" applyFont="1">
      <alignment vertical="bottom"/>
    </xf>
    <xf borderId="2" fillId="11" fontId="4" numFmtId="0" xfId="0" applyAlignment="1" applyBorder="1" applyFill="1" applyFont="1">
      <alignment horizontal="center" readingOrder="0" vertical="bottom"/>
    </xf>
    <xf borderId="2" fillId="11" fontId="5" numFmtId="0" xfId="0" applyAlignment="1" applyBorder="1" applyFill="1" applyFont="1">
      <alignment horizontal="center" readingOrder="0" vertical="bottom"/>
    </xf>
    <xf borderId="2" fillId="11" fontId="5" numFmtId="167" xfId="0" applyAlignment="1" applyBorder="1" applyFill="1" applyFont="1" applyNumberFormat="1">
      <alignment horizontal="center" readingOrder="0" vertical="bottom"/>
    </xf>
    <xf borderId="2" fillId="11" fontId="5" numFmtId="164" xfId="0" applyAlignment="1" applyBorder="1" applyFill="1" applyFont="1" applyNumberFormat="1">
      <alignment readingOrder="0" vertical="bottom"/>
    </xf>
    <xf borderId="2" fillId="11" fontId="4" numFmtId="164" xfId="0" applyBorder="1" applyFill="1" applyFont="1" applyNumberFormat="1"/>
    <xf borderId="2" fillId="11" fontId="5" numFmtId="164" xfId="0" applyAlignment="1" applyBorder="1" applyFill="1" applyFont="1" applyNumberFormat="1">
      <alignment readingOrder="0"/>
    </xf>
    <xf borderId="2" fillId="11" fontId="4" numFmtId="164" xfId="0" applyAlignment="1" applyBorder="1" applyFill="1" applyFont="1" applyNumberFormat="1">
      <alignment horizontal="center"/>
    </xf>
    <xf borderId="2" fillId="11" fontId="3" numFmtId="0" xfId="0" applyBorder="1" applyFill="1" applyFont="1"/>
    <xf borderId="2" fillId="11" fontId="5" numFmtId="166" xfId="0" applyAlignment="1" applyBorder="1" applyFill="1" applyFont="1" applyNumberFormat="1">
      <alignment horizontal="center" readingOrder="0"/>
    </xf>
    <xf borderId="2" fillId="11" fontId="5" numFmtId="0" xfId="0" applyAlignment="1" applyBorder="1" applyFill="1" applyFont="1">
      <alignment horizontal="center" readingOrder="0"/>
    </xf>
    <xf borderId="2" fillId="0" fontId="4" numFmtId="164" xfId="0" applyAlignment="1" applyBorder="1" applyFont="1" applyNumberFormat="1">
      <alignment readingOrder="0" vertical="bottom"/>
    </xf>
    <xf borderId="2" fillId="3" fontId="4" numFmtId="164" xfId="0" applyAlignment="1" applyBorder="1" applyFill="1" applyFont="1" applyNumberFormat="1">
      <alignment readingOrder="0" vertical="bottom"/>
    </xf>
    <xf borderId="2" fillId="8" fontId="5" numFmtId="165" xfId="0" applyAlignment="1" applyBorder="1" applyFill="1" applyFont="1" applyNumberFormat="1">
      <alignment horizontal="center" readingOrder="0" vertical="bottom"/>
    </xf>
    <xf borderId="2" fillId="8" fontId="5" numFmtId="164" xfId="0" applyAlignment="1" applyBorder="1" applyFill="1" applyFont="1" applyNumberFormat="1">
      <alignment readingOrder="0" vertical="bottom"/>
    </xf>
    <xf borderId="2" fillId="10" fontId="5" numFmtId="165" xfId="0" applyAlignment="1" applyBorder="1" applyFill="1" applyFont="1" applyNumberFormat="1">
      <alignment horizontal="center" readingOrder="0" vertical="bottom"/>
    </xf>
    <xf borderId="2" fillId="10" fontId="5" numFmtId="164" xfId="0" applyAlignment="1" applyBorder="1" applyFill="1" applyFont="1" applyNumberFormat="1">
      <alignment readingOrder="0" vertical="bottom"/>
    </xf>
    <xf borderId="2" fillId="0" fontId="5" numFmtId="167" xfId="0" applyAlignment="1" applyBorder="1" applyFont="1" applyNumberFormat="1">
      <alignment readingOrder="0" vertical="bottom"/>
    </xf>
    <xf borderId="2" fillId="0" fontId="5" numFmtId="166" xfId="0" applyAlignment="1" applyBorder="1" applyFont="1" applyNumberFormat="1">
      <alignment horizontal="center" readingOrder="0"/>
    </xf>
    <xf borderId="2" fillId="4" fontId="4" numFmtId="164" xfId="0" applyAlignment="1" applyBorder="1" applyFill="1" applyFont="1" applyNumberFormat="1">
      <alignment readingOrder="0"/>
    </xf>
    <xf borderId="2" fillId="8" fontId="5" numFmtId="168" xfId="0" applyAlignment="1" applyBorder="1" applyFill="1" applyFont="1" applyNumberFormat="1">
      <alignment readingOrder="0" vertical="bottom"/>
    </xf>
    <xf borderId="2" fillId="10" fontId="5" numFmtId="168" xfId="0" applyAlignment="1" applyBorder="1" applyFill="1" applyFont="1" applyNumberFormat="1">
      <alignment readingOrder="0" vertical="bottom"/>
    </xf>
    <xf borderId="2" fillId="5" fontId="5" numFmtId="165" xfId="0" applyAlignment="1" applyBorder="1" applyFill="1" applyFont="1" applyNumberFormat="1">
      <alignment horizontal="center" readingOrder="0" vertical="bottom"/>
    </xf>
    <xf borderId="2" fillId="4" fontId="5" numFmtId="165" xfId="0" applyAlignment="1" applyBorder="1" applyFill="1" applyFont="1" applyNumberFormat="1">
      <alignment horizontal="center" readingOrder="0" vertical="bottom"/>
    </xf>
    <xf borderId="2" fillId="7" fontId="5" numFmtId="165" xfId="0" applyAlignment="1" applyBorder="1" applyFill="1" applyFont="1" applyNumberFormat="1">
      <alignment horizontal="center" readingOrder="0" vertical="bottom"/>
    </xf>
    <xf borderId="2" fillId="7" fontId="4" numFmtId="0" xfId="0" applyAlignment="1" applyBorder="1" applyFill="1" applyFont="1">
      <alignment vertical="bottom"/>
    </xf>
    <xf borderId="2" fillId="7" fontId="4" numFmtId="0" xfId="0" applyAlignment="1" applyBorder="1" applyFill="1" applyFont="1">
      <alignment horizontal="center" readingOrder="0" vertical="bottom"/>
    </xf>
    <xf borderId="2" fillId="7" fontId="5" numFmtId="168" xfId="0" applyAlignment="1" applyBorder="1" applyFill="1" applyFont="1" applyNumberFormat="1">
      <alignment horizontal="center" readingOrder="0" vertical="bottom"/>
    </xf>
    <xf borderId="2" fillId="7" fontId="5" numFmtId="164" xfId="0" applyAlignment="1" applyBorder="1" applyFill="1" applyFont="1" applyNumberFormat="1">
      <alignment readingOrder="0" vertical="bottom"/>
    </xf>
    <xf borderId="2" fillId="7" fontId="4" numFmtId="164" xfId="0" applyBorder="1" applyFill="1" applyFont="1" applyNumberFormat="1"/>
    <xf borderId="2" fillId="7" fontId="5" numFmtId="164" xfId="0" applyAlignment="1" applyBorder="1" applyFill="1" applyFont="1" applyNumberFormat="1">
      <alignment readingOrder="0"/>
    </xf>
    <xf borderId="2" fillId="7" fontId="4" numFmtId="164" xfId="0" applyAlignment="1" applyBorder="1" applyFill="1" applyFont="1" applyNumberFormat="1">
      <alignment horizontal="center"/>
    </xf>
    <xf borderId="2" fillId="7" fontId="3" numFmtId="0" xfId="0" applyBorder="1" applyFill="1" applyFont="1"/>
    <xf borderId="2" fillId="7" fontId="4" numFmtId="0" xfId="0" applyAlignment="1" applyBorder="1" applyFill="1" applyFont="1">
      <alignment horizontal="center"/>
    </xf>
    <xf borderId="2" fillId="7" fontId="4" numFmtId="164" xfId="0" applyAlignment="1" applyBorder="1" applyFill="1" applyFont="1" applyNumberFormat="1">
      <alignment readingOrder="0" vertical="bottom"/>
    </xf>
    <xf borderId="2" fillId="7" fontId="5" numFmtId="168" xfId="0" applyAlignment="1" applyBorder="1" applyFill="1" applyFont="1" applyNumberFormat="1">
      <alignment readingOrder="0" vertical="bottom"/>
    </xf>
    <xf borderId="2" fillId="12" fontId="5" numFmtId="165" xfId="0" applyAlignment="1" applyBorder="1" applyFill="1" applyFont="1" applyNumberFormat="1">
      <alignment horizontal="center" readingOrder="0" vertical="bottom"/>
    </xf>
    <xf borderId="2" fillId="12" fontId="4" numFmtId="0" xfId="0" applyAlignment="1" applyBorder="1" applyFill="1" applyFont="1">
      <alignment vertical="bottom"/>
    </xf>
    <xf borderId="2" fillId="12" fontId="4" numFmtId="0" xfId="0" applyAlignment="1" applyBorder="1" applyFill="1" applyFont="1">
      <alignment horizontal="center" readingOrder="0" vertical="bottom"/>
    </xf>
    <xf borderId="2" fillId="12" fontId="5" numFmtId="0" xfId="0" applyAlignment="1" applyBorder="1" applyFill="1" applyFont="1">
      <alignment horizontal="center" readingOrder="0" vertical="bottom"/>
    </xf>
    <xf borderId="2" fillId="12" fontId="5" numFmtId="168" xfId="0" applyAlignment="1" applyBorder="1" applyFill="1" applyFont="1" applyNumberFormat="1">
      <alignment readingOrder="0" vertical="bottom"/>
    </xf>
    <xf borderId="2" fillId="12" fontId="5" numFmtId="164" xfId="0" applyAlignment="1" applyBorder="1" applyFill="1" applyFont="1" applyNumberFormat="1">
      <alignment readingOrder="0" vertical="bottom"/>
    </xf>
    <xf borderId="2" fillId="12" fontId="4" numFmtId="164" xfId="0" applyBorder="1" applyFill="1" applyFont="1" applyNumberFormat="1"/>
    <xf borderId="2" fillId="12" fontId="5" numFmtId="164" xfId="0" applyAlignment="1" applyBorder="1" applyFill="1" applyFont="1" applyNumberFormat="1">
      <alignment readingOrder="0"/>
    </xf>
    <xf borderId="2" fillId="12" fontId="4" numFmtId="164" xfId="0" applyAlignment="1" applyBorder="1" applyFill="1" applyFont="1" applyNumberFormat="1">
      <alignment horizontal="center"/>
    </xf>
    <xf borderId="0" fillId="3" fontId="6" numFmtId="164" xfId="0" applyAlignment="1" applyFill="1" applyFont="1" applyNumberFormat="1">
      <alignment readingOrder="0"/>
    </xf>
    <xf borderId="2" fillId="4" fontId="5" numFmtId="0" xfId="0" applyAlignment="1" applyBorder="1" applyFill="1" applyFont="1">
      <alignment horizontal="center" readingOrder="0" vertical="bottom"/>
    </xf>
    <xf borderId="2" fillId="8" fontId="5" numFmtId="0" xfId="0" applyAlignment="1" applyBorder="1" applyFill="1" applyFont="1">
      <alignment readingOrder="0" vertical="bottom"/>
    </xf>
    <xf borderId="2" fillId="12" fontId="5" numFmtId="0" xfId="0" applyAlignment="1" applyBorder="1" applyFill="1" applyFont="1">
      <alignment readingOrder="0" vertical="bottom"/>
    </xf>
    <xf borderId="0" fillId="3" fontId="3" numFmtId="0" xfId="0" applyFill="1" applyFont="1"/>
    <xf borderId="2" fillId="4" fontId="4" numFmtId="0" xfId="0" applyAlignment="1" applyBorder="1" applyFill="1" applyFont="1">
      <alignment horizontal="center" readingOrder="0" vertical="bottom"/>
    </xf>
    <xf borderId="2" fillId="3" fontId="5" numFmtId="167" xfId="0" applyAlignment="1" applyBorder="1" applyFill="1" applyFont="1" applyNumberFormat="1">
      <alignment readingOrder="0" vertical="bottom"/>
    </xf>
    <xf borderId="2" fillId="3" fontId="5" numFmtId="165" xfId="0" applyAlignment="1" applyBorder="1" applyFill="1" applyFont="1" applyNumberFormat="1">
      <alignment horizontal="center" vertical="bottom"/>
    </xf>
    <xf borderId="2" fillId="5" fontId="5" numFmtId="165" xfId="0" applyAlignment="1" applyBorder="1" applyFill="1" applyFont="1" applyNumberForma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8" fontId="5" numFmtId="167" xfId="0" applyAlignment="1" applyBorder="1" applyFill="1" applyFont="1" applyNumberFormat="1">
      <alignment readingOrder="0" vertical="bottom"/>
    </xf>
    <xf borderId="2" fillId="7" fontId="5" numFmtId="167" xfId="0" applyAlignment="1" applyBorder="1" applyFill="1" applyFont="1" applyNumberFormat="1">
      <alignment readingOrder="0" vertical="bottom"/>
    </xf>
    <xf borderId="2" fillId="12" fontId="5" numFmtId="167" xfId="0" applyAlignment="1" applyBorder="1" applyFill="1" applyFont="1" applyNumberFormat="1">
      <alignment readingOrder="0" vertical="bottom"/>
    </xf>
    <xf borderId="2" fillId="12" fontId="3" numFmtId="0" xfId="0" applyBorder="1" applyFill="1" applyFont="1"/>
    <xf borderId="2" fillId="12" fontId="4" numFmtId="0" xfId="0" applyAlignment="1" applyBorder="1" applyFill="1" applyFont="1">
      <alignment horizontal="center"/>
    </xf>
    <xf borderId="2" fillId="4" fontId="5" numFmtId="167" xfId="0" applyAlignment="1" applyBorder="1" applyFill="1" applyFont="1" applyNumberFormat="1">
      <alignment horizontal="center" readingOrder="0" vertical="bottom"/>
    </xf>
    <xf borderId="2" fillId="8" fontId="4" numFmtId="164" xfId="0" applyAlignment="1" applyBorder="1" applyFill="1" applyFont="1" applyNumberFormat="1">
      <alignment readingOrder="0" vertical="bottom"/>
    </xf>
    <xf borderId="2" fillId="0" fontId="4" numFmtId="165" xfId="0" applyAlignment="1" applyBorder="1" applyFont="1" applyNumberFormat="1">
      <alignment horizontal="center" vertical="bottom"/>
    </xf>
    <xf borderId="2" fillId="0" fontId="4" numFmtId="168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vertical="bottom"/>
    </xf>
    <xf borderId="2" fillId="0" fontId="4" numFmtId="168" xfId="0" applyAlignment="1" applyBorder="1" applyFont="1" applyNumberFormat="1">
      <alignment vertical="bottom"/>
    </xf>
    <xf borderId="2" fillId="5" fontId="5" numFmtId="167" xfId="0" applyAlignment="1" applyBorder="1" applyFill="1" applyFont="1" applyNumberFormat="1">
      <alignment horizontal="center" vertical="bottom"/>
    </xf>
    <xf borderId="2" fillId="5" fontId="4" numFmtId="165" xfId="0" applyAlignment="1" applyBorder="1" applyFill="1" applyFont="1" applyNumberFormat="1">
      <alignment vertical="bottom"/>
    </xf>
    <xf borderId="0" fillId="4" fontId="4" numFmtId="164" xfId="0" applyFill="1" applyFont="1" applyNumberFormat="1"/>
    <xf borderId="0" fillId="4" fontId="4" numFmtId="164" xfId="0" applyAlignment="1" applyFill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8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10.56"/>
    <col customWidth="1" min="3" max="3" width="34.56"/>
    <col customWidth="1" min="4" max="4" width="34.44"/>
    <col customWidth="1" min="5" max="5" width="22.78"/>
    <col customWidth="1" min="6" max="6" width="7.33"/>
    <col customWidth="1" min="7" max="7" width="18.44"/>
    <col customWidth="1" min="8" max="8" width="15.0"/>
    <col customWidth="1" min="9" max="10" width="13.33"/>
    <col customWidth="1" min="11" max="11" width="16.0"/>
    <col customWidth="1" min="12" max="12" width="10.44"/>
    <col customWidth="1" min="13" max="13" width="13.11"/>
    <col customWidth="1" min="14" max="26" width="10.56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 t="s">
        <v>13</v>
      </c>
      <c r="C2" s="7" t="s">
        <v>14</v>
      </c>
      <c r="D2" s="7" t="s">
        <v>15</v>
      </c>
      <c r="E2" s="7"/>
      <c r="F2" s="8">
        <v>45658.0</v>
      </c>
      <c r="G2" s="9">
        <v>8201922.13</v>
      </c>
      <c r="H2" s="10">
        <f t="shared" ref="H2:H305" si="1">G2*0.21</f>
        <v>1722403.647</v>
      </c>
      <c r="I2" s="9"/>
      <c r="J2" s="9"/>
      <c r="K2" s="10">
        <f t="shared" ref="K2:K305" si="2">SUM(G2:J2)</f>
        <v>9924325.777</v>
      </c>
      <c r="L2" s="6"/>
      <c r="M2" s="11">
        <v>45677.0</v>
      </c>
      <c r="N2" s="12"/>
    </row>
    <row r="3" ht="15.75" customHeight="1">
      <c r="A3" s="5"/>
      <c r="B3" s="6" t="s">
        <v>13</v>
      </c>
      <c r="C3" s="7" t="s">
        <v>16</v>
      </c>
      <c r="D3" s="7" t="s">
        <v>17</v>
      </c>
      <c r="E3" s="7"/>
      <c r="F3" s="8">
        <v>45658.0</v>
      </c>
      <c r="G3" s="9">
        <v>6612821.08</v>
      </c>
      <c r="H3" s="10">
        <f t="shared" si="1"/>
        <v>1388692.427</v>
      </c>
      <c r="I3" s="9">
        <v>198384.63</v>
      </c>
      <c r="J3" s="9"/>
      <c r="K3" s="10">
        <f t="shared" si="2"/>
        <v>8199898.137</v>
      </c>
      <c r="L3" s="6"/>
      <c r="M3" s="11">
        <v>45671.0</v>
      </c>
      <c r="N3" s="12"/>
    </row>
    <row r="4" ht="15.75" customHeight="1">
      <c r="A4" s="5"/>
      <c r="B4" s="6" t="s">
        <v>13</v>
      </c>
      <c r="C4" s="6" t="s">
        <v>18</v>
      </c>
      <c r="D4" s="6" t="s">
        <v>15</v>
      </c>
      <c r="E4" s="6"/>
      <c r="F4" s="13">
        <v>45658.0</v>
      </c>
      <c r="G4" s="14">
        <v>1800193.07</v>
      </c>
      <c r="H4" s="15">
        <f t="shared" si="1"/>
        <v>378040.5447</v>
      </c>
      <c r="I4" s="14"/>
      <c r="J4" s="14"/>
      <c r="K4" s="15">
        <f t="shared" si="2"/>
        <v>2178233.615</v>
      </c>
      <c r="L4" s="6"/>
      <c r="M4" s="16">
        <v>45671.0</v>
      </c>
      <c r="N4" s="12"/>
    </row>
    <row r="5" ht="15.75" customHeight="1">
      <c r="A5" s="5"/>
      <c r="B5" s="6" t="s">
        <v>13</v>
      </c>
      <c r="C5" s="7" t="s">
        <v>19</v>
      </c>
      <c r="D5" s="7" t="s">
        <v>17</v>
      </c>
      <c r="E5" s="7"/>
      <c r="F5" s="8">
        <v>45658.0</v>
      </c>
      <c r="G5" s="9">
        <v>1.701821079E7</v>
      </c>
      <c r="H5" s="10">
        <f t="shared" si="1"/>
        <v>3573824.266</v>
      </c>
      <c r="I5" s="9"/>
      <c r="J5" s="9">
        <v>680728.43</v>
      </c>
      <c r="K5" s="10">
        <f t="shared" si="2"/>
        <v>21272763.49</v>
      </c>
      <c r="L5" s="6"/>
      <c r="M5" s="11">
        <v>45671.0</v>
      </c>
      <c r="N5" s="12"/>
    </row>
    <row r="6" ht="15.75" customHeight="1">
      <c r="A6" s="5"/>
      <c r="B6" s="6" t="s">
        <v>13</v>
      </c>
      <c r="C6" s="7" t="s">
        <v>19</v>
      </c>
      <c r="D6" s="7" t="s">
        <v>17</v>
      </c>
      <c r="E6" s="7"/>
      <c r="F6" s="8">
        <v>45658.0</v>
      </c>
      <c r="G6" s="9">
        <v>1.798463035E7</v>
      </c>
      <c r="H6" s="10">
        <f t="shared" si="1"/>
        <v>3776772.374</v>
      </c>
      <c r="I6" s="9"/>
      <c r="J6" s="9">
        <v>719385.21</v>
      </c>
      <c r="K6" s="10">
        <f t="shared" si="2"/>
        <v>22480787.93</v>
      </c>
      <c r="L6" s="6"/>
      <c r="M6" s="11">
        <v>45671.0</v>
      </c>
      <c r="N6" s="12"/>
    </row>
    <row r="7" ht="15.75" customHeight="1">
      <c r="A7" s="17"/>
      <c r="B7" s="6" t="s">
        <v>13</v>
      </c>
      <c r="C7" s="7" t="s">
        <v>19</v>
      </c>
      <c r="D7" s="7" t="s">
        <v>17</v>
      </c>
      <c r="E7" s="7"/>
      <c r="F7" s="8">
        <v>45658.0</v>
      </c>
      <c r="G7" s="9">
        <v>1.833472012E7</v>
      </c>
      <c r="H7" s="10">
        <f t="shared" si="1"/>
        <v>3850291.225</v>
      </c>
      <c r="I7" s="9"/>
      <c r="J7" s="9">
        <v>733388.8</v>
      </c>
      <c r="K7" s="10">
        <f t="shared" si="2"/>
        <v>22918400.15</v>
      </c>
      <c r="L7" s="6"/>
      <c r="M7" s="16">
        <v>45671.0</v>
      </c>
      <c r="N7" s="12"/>
    </row>
    <row r="8" ht="15.75" customHeight="1">
      <c r="A8" s="17"/>
      <c r="B8" s="6" t="s">
        <v>13</v>
      </c>
      <c r="C8" s="7" t="s">
        <v>19</v>
      </c>
      <c r="D8" s="7" t="s">
        <v>17</v>
      </c>
      <c r="E8" s="7"/>
      <c r="F8" s="8">
        <v>45658.0</v>
      </c>
      <c r="G8" s="9">
        <v>1.666929076E7</v>
      </c>
      <c r="H8" s="10">
        <f t="shared" si="1"/>
        <v>3500551.06</v>
      </c>
      <c r="I8" s="9"/>
      <c r="J8" s="9">
        <v>666771.63</v>
      </c>
      <c r="K8" s="10">
        <f t="shared" si="2"/>
        <v>20836613.45</v>
      </c>
      <c r="L8" s="6"/>
      <c r="M8" s="16">
        <v>45665.0</v>
      </c>
      <c r="N8" s="12"/>
    </row>
    <row r="9" ht="15.75" customHeight="1">
      <c r="A9" s="5"/>
      <c r="B9" s="6" t="s">
        <v>13</v>
      </c>
      <c r="C9" s="6" t="s">
        <v>20</v>
      </c>
      <c r="D9" s="6" t="s">
        <v>15</v>
      </c>
      <c r="E9" s="6" t="s">
        <v>21</v>
      </c>
      <c r="F9" s="13">
        <v>45658.0</v>
      </c>
      <c r="G9" s="14">
        <v>3000723.29</v>
      </c>
      <c r="H9" s="15">
        <f t="shared" si="1"/>
        <v>630151.8909</v>
      </c>
      <c r="I9" s="14"/>
      <c r="J9" s="14"/>
      <c r="K9" s="15">
        <f t="shared" si="2"/>
        <v>3630875.181</v>
      </c>
      <c r="L9" s="18"/>
      <c r="M9" s="16">
        <v>45665.0</v>
      </c>
      <c r="N9" s="12"/>
    </row>
    <row r="10" ht="15.75" customHeight="1">
      <c r="A10" s="5"/>
      <c r="B10" s="6" t="s">
        <v>13</v>
      </c>
      <c r="C10" s="19" t="s">
        <v>22</v>
      </c>
      <c r="D10" s="19" t="s">
        <v>15</v>
      </c>
      <c r="E10" s="20" t="s">
        <v>23</v>
      </c>
      <c r="F10" s="21">
        <v>45682.0</v>
      </c>
      <c r="G10" s="22">
        <v>1.266262536E7</v>
      </c>
      <c r="H10" s="15">
        <f t="shared" si="1"/>
        <v>2659151.326</v>
      </c>
      <c r="I10" s="23">
        <v>379878.76</v>
      </c>
      <c r="J10" s="23">
        <v>253252.51</v>
      </c>
      <c r="K10" s="15">
        <f t="shared" si="2"/>
        <v>15954907.96</v>
      </c>
      <c r="L10" s="6"/>
      <c r="M10" s="24">
        <v>45684.0</v>
      </c>
      <c r="N10" s="12"/>
    </row>
    <row r="11" ht="15.75" customHeight="1">
      <c r="A11" s="5"/>
      <c r="B11" s="6" t="s">
        <v>13</v>
      </c>
      <c r="C11" s="19" t="s">
        <v>24</v>
      </c>
      <c r="D11" s="19" t="s">
        <v>15</v>
      </c>
      <c r="E11" s="20" t="s">
        <v>25</v>
      </c>
      <c r="F11" s="21">
        <v>45683.0</v>
      </c>
      <c r="G11" s="22">
        <v>1.296002948E7</v>
      </c>
      <c r="H11" s="15">
        <f t="shared" si="1"/>
        <v>2721606.191</v>
      </c>
      <c r="I11" s="15"/>
      <c r="J11" s="23">
        <v>648001.47</v>
      </c>
      <c r="K11" s="15">
        <f t="shared" si="2"/>
        <v>16329637.14</v>
      </c>
      <c r="L11" s="18"/>
      <c r="M11" s="24">
        <v>45684.0</v>
      </c>
    </row>
    <row r="12" ht="15.75" customHeight="1">
      <c r="A12" s="5"/>
      <c r="B12" s="6" t="s">
        <v>26</v>
      </c>
      <c r="C12" s="25" t="s">
        <v>27</v>
      </c>
      <c r="D12" s="25" t="s">
        <v>15</v>
      </c>
      <c r="E12" s="26" t="s">
        <v>28</v>
      </c>
      <c r="F12" s="27">
        <v>45684.0</v>
      </c>
      <c r="G12" s="28">
        <v>1.211284795E7</v>
      </c>
      <c r="H12" s="10">
        <f t="shared" si="1"/>
        <v>2543698.07</v>
      </c>
      <c r="I12" s="29">
        <v>363385.44</v>
      </c>
      <c r="J12" s="29">
        <v>211974.84</v>
      </c>
      <c r="K12" s="10">
        <f t="shared" si="2"/>
        <v>15231906.3</v>
      </c>
      <c r="L12" s="18"/>
      <c r="M12" s="24">
        <v>45685.0</v>
      </c>
    </row>
    <row r="13" ht="15.75" customHeight="1">
      <c r="A13" s="5"/>
      <c r="B13" s="6" t="s">
        <v>26</v>
      </c>
      <c r="C13" s="20" t="s">
        <v>29</v>
      </c>
      <c r="D13" s="19" t="s">
        <v>15</v>
      </c>
      <c r="E13" s="20" t="s">
        <v>30</v>
      </c>
      <c r="F13" s="30">
        <v>45713.0</v>
      </c>
      <c r="G13" s="22">
        <v>9156108.58</v>
      </c>
      <c r="H13" s="14">
        <f t="shared" si="1"/>
        <v>1922782.802</v>
      </c>
      <c r="I13" s="22">
        <v>274683.26</v>
      </c>
      <c r="J13" s="23">
        <v>457805.43</v>
      </c>
      <c r="K13" s="15">
        <f t="shared" si="2"/>
        <v>11811380.07</v>
      </c>
      <c r="L13" s="18"/>
      <c r="M13" s="24">
        <v>45685.0</v>
      </c>
      <c r="N13" s="12"/>
    </row>
    <row r="14" ht="15.75" customHeight="1">
      <c r="A14" s="5"/>
      <c r="B14" s="6" t="s">
        <v>26</v>
      </c>
      <c r="C14" s="20" t="s">
        <v>29</v>
      </c>
      <c r="D14" s="19" t="s">
        <v>15</v>
      </c>
      <c r="E14" s="20" t="s">
        <v>31</v>
      </c>
      <c r="F14" s="30">
        <v>45713.0</v>
      </c>
      <c r="G14" s="22">
        <v>8373472.22</v>
      </c>
      <c r="H14" s="14">
        <f t="shared" si="1"/>
        <v>1758429.166</v>
      </c>
      <c r="I14" s="22">
        <v>251204.17</v>
      </c>
      <c r="J14" s="23">
        <v>418673.61</v>
      </c>
      <c r="K14" s="15">
        <f t="shared" si="2"/>
        <v>10801779.17</v>
      </c>
      <c r="L14" s="18"/>
      <c r="M14" s="24">
        <v>45685.0</v>
      </c>
      <c r="N14" s="12"/>
    </row>
    <row r="15" ht="15.75" customHeight="1">
      <c r="A15" s="5"/>
      <c r="B15" s="6" t="s">
        <v>13</v>
      </c>
      <c r="C15" s="6" t="s">
        <v>22</v>
      </c>
      <c r="D15" s="6" t="s">
        <v>17</v>
      </c>
      <c r="E15" s="6" t="s">
        <v>32</v>
      </c>
      <c r="F15" s="13">
        <v>45658.0</v>
      </c>
      <c r="G15" s="14">
        <v>1.47071474E7</v>
      </c>
      <c r="H15" s="14">
        <f t="shared" si="1"/>
        <v>3088500.954</v>
      </c>
      <c r="I15" s="14">
        <v>441214.42</v>
      </c>
      <c r="J15" s="14">
        <v>294142.95</v>
      </c>
      <c r="K15" s="14">
        <f t="shared" si="2"/>
        <v>18531005.72</v>
      </c>
      <c r="L15" s="18"/>
      <c r="M15" s="16">
        <v>45670.0</v>
      </c>
    </row>
    <row r="16" ht="15.75" customHeight="1">
      <c r="A16" s="5"/>
      <c r="B16" s="6" t="s">
        <v>13</v>
      </c>
      <c r="C16" s="6" t="s">
        <v>22</v>
      </c>
      <c r="D16" s="6" t="s">
        <v>17</v>
      </c>
      <c r="E16" s="6" t="s">
        <v>33</v>
      </c>
      <c r="F16" s="13">
        <v>45658.0</v>
      </c>
      <c r="G16" s="14">
        <v>1.670805894E7</v>
      </c>
      <c r="H16" s="14">
        <f t="shared" si="1"/>
        <v>3508692.377</v>
      </c>
      <c r="I16" s="14">
        <v>501241.77</v>
      </c>
      <c r="J16" s="14">
        <v>334161.18</v>
      </c>
      <c r="K16" s="14">
        <f t="shared" si="2"/>
        <v>21052154.27</v>
      </c>
      <c r="L16" s="18"/>
      <c r="M16" s="11">
        <v>45670.0</v>
      </c>
    </row>
    <row r="17" ht="15.75" customHeight="1">
      <c r="A17" s="5"/>
      <c r="B17" s="6" t="s">
        <v>13</v>
      </c>
      <c r="C17" s="6" t="s">
        <v>34</v>
      </c>
      <c r="D17" s="6" t="s">
        <v>17</v>
      </c>
      <c r="E17" s="6" t="s">
        <v>35</v>
      </c>
      <c r="F17" s="13">
        <v>45658.0</v>
      </c>
      <c r="G17" s="14">
        <v>1.47551673E7</v>
      </c>
      <c r="H17" s="14">
        <f t="shared" si="1"/>
        <v>3098585.133</v>
      </c>
      <c r="I17" s="14">
        <v>442655.02</v>
      </c>
      <c r="J17" s="14">
        <v>737758.37</v>
      </c>
      <c r="K17" s="14">
        <f t="shared" si="2"/>
        <v>19034165.82</v>
      </c>
      <c r="L17" s="6"/>
      <c r="M17" s="11">
        <v>45777.0</v>
      </c>
    </row>
    <row r="18" ht="15.75" customHeight="1">
      <c r="A18" s="5"/>
      <c r="B18" s="6" t="s">
        <v>13</v>
      </c>
      <c r="C18" s="6" t="s">
        <v>36</v>
      </c>
      <c r="D18" s="6" t="s">
        <v>17</v>
      </c>
      <c r="E18" s="6" t="s">
        <v>37</v>
      </c>
      <c r="F18" s="13">
        <v>45658.0</v>
      </c>
      <c r="G18" s="14">
        <v>1.512621143E7</v>
      </c>
      <c r="H18" s="14">
        <f t="shared" si="1"/>
        <v>3176504.4</v>
      </c>
      <c r="I18" s="14">
        <v>453786.34</v>
      </c>
      <c r="J18" s="14">
        <v>264708.7</v>
      </c>
      <c r="K18" s="14">
        <f t="shared" si="2"/>
        <v>19021210.87</v>
      </c>
      <c r="L18" s="18"/>
      <c r="M18" s="16"/>
    </row>
    <row r="19" ht="15.75" customHeight="1">
      <c r="A19" s="5"/>
      <c r="B19" s="6" t="s">
        <v>38</v>
      </c>
      <c r="C19" s="6" t="s">
        <v>34</v>
      </c>
      <c r="D19" s="6" t="s">
        <v>17</v>
      </c>
      <c r="E19" s="6" t="s">
        <v>39</v>
      </c>
      <c r="F19" s="13">
        <v>45658.0</v>
      </c>
      <c r="G19" s="14">
        <v>1.505385861E7</v>
      </c>
      <c r="H19" s="14">
        <f t="shared" si="1"/>
        <v>3161310.308</v>
      </c>
      <c r="I19" s="14">
        <v>451615.76</v>
      </c>
      <c r="J19" s="14">
        <v>752692.93</v>
      </c>
      <c r="K19" s="14">
        <f t="shared" si="2"/>
        <v>19419477.61</v>
      </c>
      <c r="L19" s="6"/>
      <c r="M19" s="11">
        <v>45777.0</v>
      </c>
    </row>
    <row r="20" ht="15.75" customHeight="1">
      <c r="A20" s="5"/>
      <c r="B20" s="6" t="s">
        <v>13</v>
      </c>
      <c r="C20" s="6" t="s">
        <v>36</v>
      </c>
      <c r="D20" s="6" t="s">
        <v>17</v>
      </c>
      <c r="E20" s="6" t="s">
        <v>40</v>
      </c>
      <c r="F20" s="13">
        <v>45658.0</v>
      </c>
      <c r="G20" s="14">
        <v>1.500702646E7</v>
      </c>
      <c r="H20" s="14">
        <f t="shared" si="1"/>
        <v>3151475.557</v>
      </c>
      <c r="I20" s="14">
        <v>450210.79</v>
      </c>
      <c r="J20" s="14">
        <v>262622.96</v>
      </c>
      <c r="K20" s="14">
        <f t="shared" si="2"/>
        <v>18871335.77</v>
      </c>
      <c r="L20" s="6"/>
      <c r="M20" s="16"/>
    </row>
    <row r="21" ht="15.75" customHeight="1">
      <c r="A21" s="5"/>
      <c r="B21" s="6" t="s">
        <v>26</v>
      </c>
      <c r="C21" s="20" t="s">
        <v>29</v>
      </c>
      <c r="D21" s="19" t="s">
        <v>15</v>
      </c>
      <c r="E21" s="20" t="s">
        <v>41</v>
      </c>
      <c r="F21" s="30">
        <v>45713.0</v>
      </c>
      <c r="G21" s="22">
        <v>1.006971559E7</v>
      </c>
      <c r="H21" s="14">
        <f t="shared" si="1"/>
        <v>2114640.274</v>
      </c>
      <c r="I21" s="22">
        <v>302091.47</v>
      </c>
      <c r="J21" s="23">
        <v>503485.78</v>
      </c>
      <c r="K21" s="15">
        <f t="shared" si="2"/>
        <v>12989933.11</v>
      </c>
      <c r="L21" s="18"/>
      <c r="M21" s="24">
        <v>45685.0</v>
      </c>
    </row>
    <row r="22" ht="15.75" customHeight="1">
      <c r="A22" s="5"/>
      <c r="B22" s="6" t="s">
        <v>13</v>
      </c>
      <c r="C22" s="19" t="s">
        <v>22</v>
      </c>
      <c r="D22" s="19" t="s">
        <v>17</v>
      </c>
      <c r="E22" s="20" t="s">
        <v>42</v>
      </c>
      <c r="F22" s="13">
        <v>45660.0</v>
      </c>
      <c r="G22" s="22">
        <v>1.498605843E7</v>
      </c>
      <c r="H22" s="14">
        <f t="shared" si="1"/>
        <v>3147072.27</v>
      </c>
      <c r="I22" s="22">
        <v>449581.75</v>
      </c>
      <c r="J22" s="22">
        <v>299721.17</v>
      </c>
      <c r="K22" s="14">
        <f t="shared" si="2"/>
        <v>18882433.62</v>
      </c>
      <c r="L22" s="6"/>
      <c r="M22" s="16"/>
      <c r="N22" s="12"/>
    </row>
    <row r="23" ht="15.75" customHeight="1">
      <c r="A23" s="5"/>
      <c r="B23" s="6" t="s">
        <v>13</v>
      </c>
      <c r="C23" s="19" t="s">
        <v>22</v>
      </c>
      <c r="D23" s="19" t="s">
        <v>17</v>
      </c>
      <c r="E23" s="19" t="s">
        <v>43</v>
      </c>
      <c r="F23" s="13">
        <v>45661.0</v>
      </c>
      <c r="G23" s="22">
        <v>1.414357964E7</v>
      </c>
      <c r="H23" s="14">
        <f t="shared" si="1"/>
        <v>2970151.724</v>
      </c>
      <c r="I23" s="22">
        <v>424307.39</v>
      </c>
      <c r="J23" s="22">
        <v>282871.59</v>
      </c>
      <c r="K23" s="14">
        <f t="shared" si="2"/>
        <v>17820910.34</v>
      </c>
      <c r="L23" s="6"/>
      <c r="M23" s="16"/>
      <c r="N23" s="12"/>
    </row>
    <row r="24" ht="15.75" customHeight="1">
      <c r="A24" s="5"/>
      <c r="B24" s="6" t="s">
        <v>44</v>
      </c>
      <c r="C24" s="31" t="s">
        <v>45</v>
      </c>
      <c r="D24" s="32" t="s">
        <v>15</v>
      </c>
      <c r="E24" s="32" t="s">
        <v>46</v>
      </c>
      <c r="F24" s="30">
        <v>45713.0</v>
      </c>
      <c r="G24" s="22">
        <v>4784930.16</v>
      </c>
      <c r="H24" s="14">
        <f t="shared" si="1"/>
        <v>1004835.334</v>
      </c>
      <c r="I24" s="33"/>
      <c r="J24" s="15"/>
      <c r="K24" s="15">
        <f t="shared" si="2"/>
        <v>5789765.494</v>
      </c>
      <c r="L24" s="18"/>
      <c r="M24" s="24">
        <v>45684.0</v>
      </c>
    </row>
    <row r="25" ht="15.75" customHeight="1">
      <c r="A25" s="5"/>
      <c r="B25" s="6" t="s">
        <v>13</v>
      </c>
      <c r="C25" s="19" t="s">
        <v>27</v>
      </c>
      <c r="D25" s="19" t="s">
        <v>17</v>
      </c>
      <c r="E25" s="20" t="s">
        <v>47</v>
      </c>
      <c r="F25" s="13">
        <v>45668.0</v>
      </c>
      <c r="G25" s="22">
        <v>1.504543531E7</v>
      </c>
      <c r="H25" s="14">
        <f t="shared" si="1"/>
        <v>3159541.415</v>
      </c>
      <c r="I25" s="22">
        <v>451363.06</v>
      </c>
      <c r="J25" s="22">
        <v>263295.12</v>
      </c>
      <c r="K25" s="14">
        <f t="shared" si="2"/>
        <v>18919634.91</v>
      </c>
      <c r="L25" s="6"/>
      <c r="M25" s="24">
        <v>45719.0</v>
      </c>
    </row>
    <row r="26" ht="15.75" customHeight="1">
      <c r="A26" s="5"/>
      <c r="B26" s="6" t="s">
        <v>26</v>
      </c>
      <c r="C26" s="19" t="s">
        <v>27</v>
      </c>
      <c r="D26" s="19" t="s">
        <v>17</v>
      </c>
      <c r="E26" s="20" t="s">
        <v>48</v>
      </c>
      <c r="F26" s="13">
        <v>45669.0</v>
      </c>
      <c r="G26" s="22">
        <v>1.471328935E7</v>
      </c>
      <c r="H26" s="14">
        <f t="shared" si="1"/>
        <v>3089790.764</v>
      </c>
      <c r="I26" s="22">
        <v>441398.68</v>
      </c>
      <c r="J26" s="22">
        <v>257482.56</v>
      </c>
      <c r="K26" s="14">
        <f t="shared" si="2"/>
        <v>18501961.35</v>
      </c>
      <c r="L26" s="6"/>
      <c r="M26" s="24">
        <v>45685.0</v>
      </c>
    </row>
    <row r="27" ht="15.75" customHeight="1">
      <c r="A27" s="5"/>
      <c r="B27" s="6" t="s">
        <v>44</v>
      </c>
      <c r="C27" s="31" t="s">
        <v>45</v>
      </c>
      <c r="D27" s="32" t="s">
        <v>15</v>
      </c>
      <c r="E27" s="31" t="s">
        <v>49</v>
      </c>
      <c r="F27" s="30">
        <v>45713.0</v>
      </c>
      <c r="G27" s="22">
        <v>5231890.23</v>
      </c>
      <c r="H27" s="14">
        <f t="shared" si="1"/>
        <v>1098696.948</v>
      </c>
      <c r="I27" s="33"/>
      <c r="J27" s="15"/>
      <c r="K27" s="15">
        <f t="shared" si="2"/>
        <v>6330587.178</v>
      </c>
      <c r="L27" s="18"/>
      <c r="M27" s="24">
        <v>45684.0</v>
      </c>
    </row>
    <row r="28" ht="15.75" customHeight="1">
      <c r="A28" s="5"/>
      <c r="B28" s="6" t="s">
        <v>26</v>
      </c>
      <c r="C28" s="19" t="s">
        <v>24</v>
      </c>
      <c r="D28" s="19" t="s">
        <v>17</v>
      </c>
      <c r="E28" s="20" t="s">
        <v>50</v>
      </c>
      <c r="F28" s="13">
        <v>45673.0</v>
      </c>
      <c r="G28" s="22">
        <v>1.534768443E7</v>
      </c>
      <c r="H28" s="14">
        <f t="shared" si="1"/>
        <v>3223013.73</v>
      </c>
      <c r="I28" s="22">
        <v>460430.53</v>
      </c>
      <c r="J28" s="22">
        <v>767384.22</v>
      </c>
      <c r="K28" s="14">
        <f t="shared" si="2"/>
        <v>19798512.91</v>
      </c>
      <c r="L28" s="18"/>
      <c r="M28" s="11">
        <v>45777.0</v>
      </c>
    </row>
    <row r="29" ht="15.75" customHeight="1">
      <c r="A29" s="5"/>
      <c r="B29" s="6" t="s">
        <v>26</v>
      </c>
      <c r="C29" s="19" t="s">
        <v>24</v>
      </c>
      <c r="D29" s="19" t="s">
        <v>17</v>
      </c>
      <c r="E29" s="20" t="s">
        <v>51</v>
      </c>
      <c r="F29" s="13">
        <v>45674.0</v>
      </c>
      <c r="G29" s="22">
        <v>1.531061887E7</v>
      </c>
      <c r="H29" s="14">
        <f t="shared" si="1"/>
        <v>3215229.963</v>
      </c>
      <c r="I29" s="22">
        <v>459318.57</v>
      </c>
      <c r="J29" s="22">
        <v>765530.94</v>
      </c>
      <c r="K29" s="14">
        <f t="shared" si="2"/>
        <v>19750698.34</v>
      </c>
      <c r="L29" s="18"/>
      <c r="M29" s="11">
        <v>45777.0</v>
      </c>
    </row>
    <row r="30" ht="15.75" customHeight="1">
      <c r="A30" s="5"/>
      <c r="B30" s="6" t="s">
        <v>13</v>
      </c>
      <c r="C30" s="34" t="s">
        <v>29</v>
      </c>
      <c r="D30" s="32" t="s">
        <v>15</v>
      </c>
      <c r="E30" s="35" t="s">
        <v>52</v>
      </c>
      <c r="F30" s="30">
        <v>45741.0</v>
      </c>
      <c r="G30" s="22">
        <v>-9156108.58</v>
      </c>
      <c r="H30" s="14">
        <f t="shared" si="1"/>
        <v>-1922782.802</v>
      </c>
      <c r="I30" s="22">
        <v>-274683.26</v>
      </c>
      <c r="J30" s="22">
        <v>-457805.43</v>
      </c>
      <c r="K30" s="15">
        <f t="shared" si="2"/>
        <v>-11811380.07</v>
      </c>
      <c r="L30" s="18"/>
      <c r="M30" s="16"/>
    </row>
    <row r="31" ht="15.75" customHeight="1">
      <c r="A31" s="5"/>
      <c r="B31" s="6" t="s">
        <v>26</v>
      </c>
      <c r="C31" s="35" t="s">
        <v>53</v>
      </c>
      <c r="D31" s="35" t="s">
        <v>15</v>
      </c>
      <c r="E31" s="34" t="s">
        <v>54</v>
      </c>
      <c r="F31" s="36">
        <v>45741.0</v>
      </c>
      <c r="G31" s="37">
        <f>2010804.57/1.21</f>
        <v>1661821.959</v>
      </c>
      <c r="H31" s="14">
        <f t="shared" si="1"/>
        <v>348982.6113</v>
      </c>
      <c r="I31" s="14"/>
      <c r="J31" s="14"/>
      <c r="K31" s="15">
        <f t="shared" si="2"/>
        <v>2010804.57</v>
      </c>
      <c r="L31" s="38"/>
      <c r="M31" s="24">
        <v>45685.0</v>
      </c>
    </row>
    <row r="32" ht="15.75" customHeight="1">
      <c r="A32" s="39">
        <v>45672.0</v>
      </c>
      <c r="B32" s="19" t="s">
        <v>13</v>
      </c>
      <c r="C32" s="40" t="s">
        <v>55</v>
      </c>
      <c r="D32" s="41" t="s">
        <v>15</v>
      </c>
      <c r="E32" s="42" t="s">
        <v>56</v>
      </c>
      <c r="F32" s="43">
        <v>45741.0</v>
      </c>
      <c r="G32" s="44">
        <v>9889450.36</v>
      </c>
      <c r="H32" s="9">
        <f t="shared" si="1"/>
        <v>2076784.576</v>
      </c>
      <c r="I32" s="44">
        <v>296683.51</v>
      </c>
      <c r="J32" s="44">
        <v>494472.52</v>
      </c>
      <c r="K32" s="10">
        <f t="shared" si="2"/>
        <v>12757390.97</v>
      </c>
      <c r="L32" s="38"/>
      <c r="M32" s="24">
        <v>45685.0</v>
      </c>
    </row>
    <row r="33" ht="15.75" customHeight="1">
      <c r="A33" s="5"/>
      <c r="B33" s="6" t="s">
        <v>13</v>
      </c>
      <c r="C33" s="19" t="s">
        <v>22</v>
      </c>
      <c r="D33" s="19" t="s">
        <v>17</v>
      </c>
      <c r="E33" s="20" t="s">
        <v>57</v>
      </c>
      <c r="F33" s="13">
        <v>45682.0</v>
      </c>
      <c r="G33" s="22">
        <v>1.245666184E7</v>
      </c>
      <c r="H33" s="14">
        <f t="shared" si="1"/>
        <v>2615898.986</v>
      </c>
      <c r="I33" s="22">
        <v>373699.86</v>
      </c>
      <c r="J33" s="22">
        <v>249133.24</v>
      </c>
      <c r="K33" s="14">
        <f t="shared" si="2"/>
        <v>15695393.93</v>
      </c>
      <c r="L33" s="18"/>
      <c r="M33" s="16">
        <v>45671.0</v>
      </c>
    </row>
    <row r="34" ht="15.75" customHeight="1">
      <c r="A34" s="5"/>
      <c r="B34" s="6" t="s">
        <v>13</v>
      </c>
      <c r="C34" s="19" t="s">
        <v>22</v>
      </c>
      <c r="D34" s="19" t="s">
        <v>17</v>
      </c>
      <c r="E34" s="20" t="s">
        <v>58</v>
      </c>
      <c r="F34" s="13">
        <v>45683.0</v>
      </c>
      <c r="G34" s="22">
        <v>1.512886728E7</v>
      </c>
      <c r="H34" s="14">
        <f t="shared" si="1"/>
        <v>3177062.129</v>
      </c>
      <c r="I34" s="22">
        <v>453866.02</v>
      </c>
      <c r="J34" s="22">
        <v>302577.35</v>
      </c>
      <c r="K34" s="14">
        <f t="shared" si="2"/>
        <v>19062372.78</v>
      </c>
      <c r="L34" s="18"/>
      <c r="M34" s="16">
        <v>45670.0</v>
      </c>
    </row>
    <row r="35" ht="15.75" customHeight="1">
      <c r="A35" s="5"/>
      <c r="B35" s="6" t="s">
        <v>13</v>
      </c>
      <c r="C35" s="19" t="s">
        <v>24</v>
      </c>
      <c r="D35" s="19" t="s">
        <v>17</v>
      </c>
      <c r="E35" s="20" t="s">
        <v>59</v>
      </c>
      <c r="F35" s="13">
        <v>45684.0</v>
      </c>
      <c r="G35" s="22">
        <v>1.457408501E7</v>
      </c>
      <c r="H35" s="14">
        <f t="shared" si="1"/>
        <v>3060557.852</v>
      </c>
      <c r="I35" s="22">
        <v>437222.55</v>
      </c>
      <c r="J35" s="22">
        <v>728704.25</v>
      </c>
      <c r="K35" s="14">
        <f t="shared" si="2"/>
        <v>18800569.66</v>
      </c>
      <c r="L35" s="38"/>
      <c r="M35" s="11">
        <v>45777.0</v>
      </c>
    </row>
    <row r="36" ht="15.75" customHeight="1">
      <c r="A36" s="5"/>
      <c r="B36" s="6" t="s">
        <v>13</v>
      </c>
      <c r="C36" s="19" t="s">
        <v>24</v>
      </c>
      <c r="D36" s="19" t="s">
        <v>17</v>
      </c>
      <c r="E36" s="20" t="s">
        <v>60</v>
      </c>
      <c r="F36" s="13">
        <v>45685.0</v>
      </c>
      <c r="G36" s="22">
        <v>1.119720509E7</v>
      </c>
      <c r="H36" s="14">
        <f t="shared" si="1"/>
        <v>2351413.069</v>
      </c>
      <c r="I36" s="22">
        <v>335916.15</v>
      </c>
      <c r="J36" s="22">
        <v>559860.25</v>
      </c>
      <c r="K36" s="14">
        <f t="shared" si="2"/>
        <v>14444394.56</v>
      </c>
      <c r="L36" s="6"/>
      <c r="M36" s="11">
        <v>45777.0</v>
      </c>
    </row>
    <row r="37" ht="15.75" customHeight="1">
      <c r="A37" s="5"/>
      <c r="B37" s="6" t="s">
        <v>13</v>
      </c>
      <c r="C37" s="19" t="s">
        <v>27</v>
      </c>
      <c r="D37" s="19" t="s">
        <v>17</v>
      </c>
      <c r="E37" s="20" t="s">
        <v>61</v>
      </c>
      <c r="F37" s="13">
        <v>45686.0</v>
      </c>
      <c r="G37" s="22">
        <v>1.489342806E7</v>
      </c>
      <c r="H37" s="14">
        <f t="shared" si="1"/>
        <v>3127619.893</v>
      </c>
      <c r="I37" s="22">
        <v>446802.84</v>
      </c>
      <c r="J37" s="22">
        <v>260634.99</v>
      </c>
      <c r="K37" s="14">
        <f t="shared" si="2"/>
        <v>18728485.78</v>
      </c>
      <c r="L37" s="6"/>
      <c r="M37" s="16">
        <v>45671.0</v>
      </c>
    </row>
    <row r="38" ht="15.75" customHeight="1">
      <c r="A38" s="5"/>
      <c r="B38" s="6" t="s">
        <v>13</v>
      </c>
      <c r="C38" s="19" t="s">
        <v>27</v>
      </c>
      <c r="D38" s="19" t="s">
        <v>17</v>
      </c>
      <c r="E38" s="20" t="s">
        <v>62</v>
      </c>
      <c r="F38" s="13">
        <v>45687.0</v>
      </c>
      <c r="G38" s="22">
        <v>1.482495965E7</v>
      </c>
      <c r="H38" s="15">
        <f t="shared" si="1"/>
        <v>3113241.527</v>
      </c>
      <c r="I38" s="23">
        <v>444748.79</v>
      </c>
      <c r="J38" s="23">
        <v>259436.79</v>
      </c>
      <c r="K38" s="15">
        <f t="shared" si="2"/>
        <v>18642386.76</v>
      </c>
      <c r="L38" s="6"/>
      <c r="M38" s="11">
        <v>45674.0</v>
      </c>
    </row>
    <row r="39" ht="15.75" customHeight="1">
      <c r="A39" s="39">
        <v>45672.0</v>
      </c>
      <c r="B39" s="19" t="s">
        <v>13</v>
      </c>
      <c r="C39" s="34" t="s">
        <v>18</v>
      </c>
      <c r="D39" s="35" t="s">
        <v>15</v>
      </c>
      <c r="E39" s="20" t="s">
        <v>63</v>
      </c>
      <c r="F39" s="36">
        <v>45741.0</v>
      </c>
      <c r="G39" s="22">
        <v>1800328.29</v>
      </c>
      <c r="H39" s="14">
        <f t="shared" si="1"/>
        <v>378068.9409</v>
      </c>
      <c r="I39" s="45"/>
      <c r="J39" s="45"/>
      <c r="K39" s="15">
        <f t="shared" si="2"/>
        <v>2178397.231</v>
      </c>
      <c r="L39" s="38"/>
      <c r="M39" s="24">
        <v>45685.0</v>
      </c>
    </row>
    <row r="40" ht="15.75" customHeight="1">
      <c r="A40" s="39">
        <v>45750.0</v>
      </c>
      <c r="B40" s="45"/>
      <c r="C40" s="34" t="s">
        <v>64</v>
      </c>
      <c r="D40" s="35" t="s">
        <v>15</v>
      </c>
      <c r="E40" s="20" t="s">
        <v>65</v>
      </c>
      <c r="F40" s="46">
        <v>45772.0</v>
      </c>
      <c r="G40" s="22">
        <v>1.101731071E7</v>
      </c>
      <c r="H40" s="14">
        <f t="shared" si="1"/>
        <v>2313635.249</v>
      </c>
      <c r="I40" s="14"/>
      <c r="J40" s="14"/>
      <c r="K40" s="15">
        <f t="shared" si="2"/>
        <v>13330945.96</v>
      </c>
      <c r="L40" s="45"/>
      <c r="M40" s="6"/>
    </row>
    <row r="41" ht="15.75" customHeight="1">
      <c r="A41" s="39">
        <v>45754.0</v>
      </c>
      <c r="B41" s="45"/>
      <c r="C41" s="34" t="s">
        <v>66</v>
      </c>
      <c r="D41" s="35" t="s">
        <v>15</v>
      </c>
      <c r="E41" s="20" t="s">
        <v>67</v>
      </c>
      <c r="F41" s="46">
        <v>45772.0</v>
      </c>
      <c r="G41" s="22">
        <v>6000332.0</v>
      </c>
      <c r="H41" s="14">
        <f t="shared" si="1"/>
        <v>1260069.72</v>
      </c>
      <c r="I41" s="22">
        <v>180009.96</v>
      </c>
      <c r="J41" s="22">
        <v>60003.32</v>
      </c>
      <c r="K41" s="15">
        <f t="shared" si="2"/>
        <v>7500415</v>
      </c>
      <c r="L41" s="45"/>
      <c r="M41" s="24">
        <v>45820.0</v>
      </c>
    </row>
    <row r="42" ht="15.75" customHeight="1">
      <c r="A42" s="5"/>
      <c r="B42" s="6" t="s">
        <v>26</v>
      </c>
      <c r="C42" s="19" t="s">
        <v>22</v>
      </c>
      <c r="D42" s="19" t="s">
        <v>17</v>
      </c>
      <c r="E42" s="20" t="s">
        <v>68</v>
      </c>
      <c r="F42" s="21">
        <v>45685.0</v>
      </c>
      <c r="G42" s="23">
        <v>1.187003643E7</v>
      </c>
      <c r="H42" s="15">
        <f t="shared" si="1"/>
        <v>2492707.65</v>
      </c>
      <c r="I42" s="22">
        <v>356101.09</v>
      </c>
      <c r="J42" s="22">
        <v>237400.73</v>
      </c>
      <c r="K42" s="15">
        <f t="shared" si="2"/>
        <v>14956245.9</v>
      </c>
      <c r="L42" s="18"/>
      <c r="M42" s="24">
        <v>45685.0</v>
      </c>
    </row>
    <row r="43" ht="15.75" customHeight="1">
      <c r="A43" s="5"/>
      <c r="B43" s="6" t="s">
        <v>26</v>
      </c>
      <c r="C43" s="19" t="s">
        <v>24</v>
      </c>
      <c r="D43" s="19" t="s">
        <v>17</v>
      </c>
      <c r="E43" s="20" t="s">
        <v>69</v>
      </c>
      <c r="F43" s="21">
        <v>45686.0</v>
      </c>
      <c r="G43" s="23">
        <v>1.376180326E7</v>
      </c>
      <c r="H43" s="15">
        <f t="shared" si="1"/>
        <v>2889978.685</v>
      </c>
      <c r="I43" s="22">
        <v>412854.1</v>
      </c>
      <c r="J43" s="22">
        <v>688090.16</v>
      </c>
      <c r="K43" s="15">
        <f t="shared" si="2"/>
        <v>17752726.2</v>
      </c>
      <c r="L43" s="18"/>
      <c r="M43" s="24">
        <v>45685.0</v>
      </c>
    </row>
    <row r="44" ht="15.75" customHeight="1">
      <c r="A44" s="5"/>
      <c r="B44" s="6" t="s">
        <v>26</v>
      </c>
      <c r="C44" s="25" t="s">
        <v>27</v>
      </c>
      <c r="D44" s="25" t="s">
        <v>17</v>
      </c>
      <c r="E44" s="26" t="s">
        <v>70</v>
      </c>
      <c r="F44" s="27">
        <v>45687.0</v>
      </c>
      <c r="G44" s="28">
        <v>1.03899907E7</v>
      </c>
      <c r="H44" s="10">
        <f t="shared" si="1"/>
        <v>2181898.047</v>
      </c>
      <c r="I44" s="29">
        <v>311699.72</v>
      </c>
      <c r="J44" s="29">
        <v>181824.84</v>
      </c>
      <c r="K44" s="10">
        <f t="shared" si="2"/>
        <v>13065413.31</v>
      </c>
      <c r="L44" s="18"/>
      <c r="M44" s="24">
        <v>45685.0</v>
      </c>
    </row>
    <row r="45" ht="15.75" customHeight="1">
      <c r="A45" s="5"/>
      <c r="B45" s="6" t="s">
        <v>26</v>
      </c>
      <c r="C45" s="25" t="s">
        <v>71</v>
      </c>
      <c r="D45" s="25" t="s">
        <v>72</v>
      </c>
      <c r="E45" s="25" t="s">
        <v>73</v>
      </c>
      <c r="F45" s="47">
        <v>45682.0</v>
      </c>
      <c r="G45" s="28">
        <v>9798480.0</v>
      </c>
      <c r="H45" s="10">
        <f t="shared" si="1"/>
        <v>2057680.8</v>
      </c>
      <c r="I45" s="9"/>
      <c r="J45" s="9"/>
      <c r="K45" s="10">
        <f t="shared" si="2"/>
        <v>11856160.8</v>
      </c>
      <c r="L45" s="18"/>
      <c r="M45" s="24">
        <v>45685.0</v>
      </c>
    </row>
    <row r="46" ht="15.75" customHeight="1">
      <c r="A46" s="5"/>
      <c r="B46" s="6" t="s">
        <v>26</v>
      </c>
      <c r="C46" s="19" t="s">
        <v>74</v>
      </c>
      <c r="D46" s="19" t="s">
        <v>17</v>
      </c>
      <c r="E46" s="20" t="s">
        <v>75</v>
      </c>
      <c r="F46" s="21">
        <v>45683.0</v>
      </c>
      <c r="G46" s="22">
        <v>1.076125002E7</v>
      </c>
      <c r="H46" s="15">
        <f t="shared" si="1"/>
        <v>2259862.504</v>
      </c>
      <c r="I46" s="14"/>
      <c r="J46" s="22">
        <v>172180.0</v>
      </c>
      <c r="K46" s="15">
        <f t="shared" si="2"/>
        <v>13193292.52</v>
      </c>
      <c r="L46" s="18"/>
      <c r="M46" s="24">
        <v>45685.0</v>
      </c>
    </row>
    <row r="47" ht="15.75" customHeight="1">
      <c r="A47" s="5"/>
      <c r="B47" s="6" t="s">
        <v>26</v>
      </c>
      <c r="C47" s="25" t="s">
        <v>76</v>
      </c>
      <c r="D47" s="25" t="s">
        <v>77</v>
      </c>
      <c r="E47" s="41" t="s">
        <v>78</v>
      </c>
      <c r="F47" s="48">
        <v>45688.0</v>
      </c>
      <c r="G47" s="49">
        <v>1.301182E7</v>
      </c>
      <c r="H47" s="10">
        <f t="shared" si="1"/>
        <v>2732482.2</v>
      </c>
      <c r="I47" s="9"/>
      <c r="J47" s="9"/>
      <c r="K47" s="10">
        <f t="shared" si="2"/>
        <v>15744302.2</v>
      </c>
      <c r="L47" s="18"/>
      <c r="M47" s="24">
        <v>45685.0</v>
      </c>
    </row>
    <row r="48" ht="15.75" customHeight="1">
      <c r="A48" s="5"/>
      <c r="B48" s="6" t="s">
        <v>26</v>
      </c>
      <c r="C48" s="25" t="s">
        <v>79</v>
      </c>
      <c r="D48" s="25" t="s">
        <v>77</v>
      </c>
      <c r="E48" s="41" t="s">
        <v>80</v>
      </c>
      <c r="F48" s="48">
        <v>45682.0</v>
      </c>
      <c r="G48" s="49">
        <v>1.200489E7</v>
      </c>
      <c r="H48" s="10">
        <f t="shared" si="1"/>
        <v>2521026.9</v>
      </c>
      <c r="I48" s="9"/>
      <c r="J48" s="9"/>
      <c r="K48" s="10">
        <f t="shared" si="2"/>
        <v>14525916.9</v>
      </c>
      <c r="L48" s="18"/>
      <c r="M48" s="24">
        <v>45685.0</v>
      </c>
    </row>
    <row r="49" ht="15.75" customHeight="1">
      <c r="A49" s="39">
        <v>45754.0</v>
      </c>
      <c r="B49" s="45"/>
      <c r="C49" s="34" t="s">
        <v>66</v>
      </c>
      <c r="D49" s="35" t="s">
        <v>15</v>
      </c>
      <c r="E49" s="20" t="s">
        <v>81</v>
      </c>
      <c r="F49" s="46">
        <v>45772.0</v>
      </c>
      <c r="G49" s="22">
        <v>1.039382104E7</v>
      </c>
      <c r="H49" s="14">
        <f t="shared" si="1"/>
        <v>2182702.418</v>
      </c>
      <c r="I49" s="22">
        <v>311814.63</v>
      </c>
      <c r="J49" s="22">
        <v>103938.21</v>
      </c>
      <c r="K49" s="15">
        <f t="shared" si="2"/>
        <v>12992276.3</v>
      </c>
      <c r="L49" s="45"/>
      <c r="M49" s="24">
        <v>45820.0</v>
      </c>
    </row>
    <row r="50" ht="15.75" customHeight="1">
      <c r="A50" s="39">
        <v>45754.0</v>
      </c>
      <c r="B50" s="45"/>
      <c r="C50" s="34" t="s">
        <v>66</v>
      </c>
      <c r="D50" s="35" t="s">
        <v>15</v>
      </c>
      <c r="E50" s="20" t="s">
        <v>82</v>
      </c>
      <c r="F50" s="46">
        <v>45772.0</v>
      </c>
      <c r="G50" s="22">
        <v>4844346.0</v>
      </c>
      <c r="H50" s="14">
        <f t="shared" si="1"/>
        <v>1017312.66</v>
      </c>
      <c r="I50" s="22"/>
      <c r="J50" s="22">
        <v>48443.46</v>
      </c>
      <c r="K50" s="15">
        <f t="shared" si="2"/>
        <v>5910102.12</v>
      </c>
      <c r="L50" s="45"/>
      <c r="M50" s="24">
        <v>45820.0</v>
      </c>
    </row>
    <row r="51" ht="15.75" customHeight="1">
      <c r="A51" s="39">
        <v>45754.0</v>
      </c>
      <c r="B51" s="50"/>
      <c r="C51" s="34" t="s">
        <v>66</v>
      </c>
      <c r="D51" s="35" t="s">
        <v>15</v>
      </c>
      <c r="E51" s="31" t="s">
        <v>83</v>
      </c>
      <c r="F51" s="46">
        <v>45772.0</v>
      </c>
      <c r="G51" s="22">
        <v>5252521.03</v>
      </c>
      <c r="H51" s="14">
        <f t="shared" si="1"/>
        <v>1103029.416</v>
      </c>
      <c r="I51" s="22">
        <v>157575.63</v>
      </c>
      <c r="J51" s="22">
        <v>52525.21</v>
      </c>
      <c r="K51" s="15">
        <f t="shared" si="2"/>
        <v>6565651.286</v>
      </c>
      <c r="L51" s="45"/>
      <c r="M51" s="24">
        <v>45820.0</v>
      </c>
    </row>
    <row r="52" ht="15.75" customHeight="1">
      <c r="A52" s="5"/>
      <c r="B52" s="6" t="s">
        <v>13</v>
      </c>
      <c r="C52" s="25" t="s">
        <v>84</v>
      </c>
      <c r="D52" s="25" t="s">
        <v>17</v>
      </c>
      <c r="E52" s="26" t="s">
        <v>85</v>
      </c>
      <c r="F52" s="27">
        <v>45716.0</v>
      </c>
      <c r="G52" s="28">
        <v>1883350.82</v>
      </c>
      <c r="H52" s="10">
        <f t="shared" si="1"/>
        <v>395503.6722</v>
      </c>
      <c r="I52" s="29">
        <v>56500.52</v>
      </c>
      <c r="J52" s="29">
        <v>5650.0</v>
      </c>
      <c r="K52" s="10">
        <f t="shared" si="2"/>
        <v>2341005.012</v>
      </c>
      <c r="L52" s="18"/>
      <c r="M52" s="24">
        <v>45719.0</v>
      </c>
    </row>
    <row r="53" ht="15.75" customHeight="1">
      <c r="A53" s="39">
        <v>45754.0</v>
      </c>
      <c r="B53" s="50"/>
      <c r="C53" s="34" t="s">
        <v>66</v>
      </c>
      <c r="D53" s="35" t="s">
        <v>15</v>
      </c>
      <c r="E53" s="31" t="s">
        <v>86</v>
      </c>
      <c r="F53" s="46">
        <v>45772.0</v>
      </c>
      <c r="G53" s="22">
        <v>6332291.07</v>
      </c>
      <c r="H53" s="14">
        <f t="shared" si="1"/>
        <v>1329781.125</v>
      </c>
      <c r="I53" s="14"/>
      <c r="J53" s="14"/>
      <c r="K53" s="15">
        <f t="shared" si="2"/>
        <v>7662072.195</v>
      </c>
      <c r="L53" s="45"/>
      <c r="M53" s="24">
        <v>45820.0</v>
      </c>
    </row>
    <row r="54" ht="15.75" customHeight="1">
      <c r="A54" s="5"/>
      <c r="B54" s="6" t="s">
        <v>26</v>
      </c>
      <c r="C54" s="40" t="s">
        <v>87</v>
      </c>
      <c r="D54" s="40" t="s">
        <v>77</v>
      </c>
      <c r="E54" s="40" t="s">
        <v>88</v>
      </c>
      <c r="F54" s="47">
        <v>45713.0</v>
      </c>
      <c r="G54" s="51">
        <v>1.000943E7</v>
      </c>
      <c r="H54" s="9">
        <f t="shared" si="1"/>
        <v>2101980.3</v>
      </c>
      <c r="I54" s="9"/>
      <c r="J54" s="9"/>
      <c r="K54" s="10">
        <f t="shared" si="2"/>
        <v>12111410.3</v>
      </c>
      <c r="L54" s="18"/>
      <c r="M54" s="24">
        <v>45685.0</v>
      </c>
    </row>
    <row r="55" ht="15.75" customHeight="1">
      <c r="A55" s="5"/>
      <c r="B55" s="6" t="s">
        <v>26</v>
      </c>
      <c r="C55" s="34" t="s">
        <v>18</v>
      </c>
      <c r="D55" s="34" t="s">
        <v>77</v>
      </c>
      <c r="E55" s="34" t="s">
        <v>89</v>
      </c>
      <c r="F55" s="30">
        <v>45713.0</v>
      </c>
      <c r="G55" s="52">
        <v>1801840.0</v>
      </c>
      <c r="H55" s="14">
        <f t="shared" si="1"/>
        <v>378386.4</v>
      </c>
      <c r="I55" s="14"/>
      <c r="J55" s="15"/>
      <c r="K55" s="15">
        <f t="shared" si="2"/>
        <v>2180226.4</v>
      </c>
      <c r="L55" s="18"/>
      <c r="M55" s="24">
        <v>45685.0</v>
      </c>
    </row>
    <row r="56" ht="15.75" customHeight="1">
      <c r="A56" s="5"/>
      <c r="B56" s="6" t="s">
        <v>26</v>
      </c>
      <c r="C56" s="19" t="s">
        <v>90</v>
      </c>
      <c r="D56" s="34" t="s">
        <v>77</v>
      </c>
      <c r="E56" s="35" t="s">
        <v>91</v>
      </c>
      <c r="F56" s="30">
        <v>45713.0</v>
      </c>
      <c r="G56" s="22">
        <v>4009930.0</v>
      </c>
      <c r="H56" s="14">
        <f t="shared" si="1"/>
        <v>842085.3</v>
      </c>
      <c r="I56" s="14"/>
      <c r="J56" s="15"/>
      <c r="K56" s="15">
        <f t="shared" si="2"/>
        <v>4852015.3</v>
      </c>
      <c r="L56" s="18"/>
      <c r="M56" s="24">
        <v>45685.0</v>
      </c>
    </row>
    <row r="57" ht="15.75" customHeight="1">
      <c r="A57" s="39">
        <v>45754.0</v>
      </c>
      <c r="B57" s="50"/>
      <c r="C57" s="34" t="s">
        <v>66</v>
      </c>
      <c r="D57" s="35" t="s">
        <v>15</v>
      </c>
      <c r="E57" s="31" t="s">
        <v>92</v>
      </c>
      <c r="F57" s="46">
        <v>45772.0</v>
      </c>
      <c r="G57" s="22">
        <v>1.627271908E7</v>
      </c>
      <c r="H57" s="14">
        <f t="shared" si="1"/>
        <v>3417271.007</v>
      </c>
      <c r="I57" s="22">
        <v>488181.57</v>
      </c>
      <c r="J57" s="22">
        <v>162727.19</v>
      </c>
      <c r="K57" s="15">
        <f t="shared" si="2"/>
        <v>20340898.85</v>
      </c>
      <c r="L57" s="45"/>
      <c r="M57" s="24">
        <v>45820.0</v>
      </c>
    </row>
    <row r="58" ht="15.75" customHeight="1">
      <c r="A58" s="39">
        <v>45754.0</v>
      </c>
      <c r="B58" s="50"/>
      <c r="C58" s="31" t="s">
        <v>93</v>
      </c>
      <c r="D58" s="35" t="s">
        <v>15</v>
      </c>
      <c r="E58" s="31" t="s">
        <v>94</v>
      </c>
      <c r="F58" s="46">
        <v>45772.0</v>
      </c>
      <c r="G58" s="22">
        <v>2903282.1</v>
      </c>
      <c r="H58" s="14">
        <f t="shared" si="1"/>
        <v>609689.241</v>
      </c>
      <c r="I58" s="22">
        <v>87098.46</v>
      </c>
      <c r="J58" s="45"/>
      <c r="K58" s="15">
        <f t="shared" si="2"/>
        <v>3600069.801</v>
      </c>
      <c r="L58" s="45"/>
      <c r="M58" s="24">
        <v>45820.0</v>
      </c>
    </row>
    <row r="59" ht="15.75" customHeight="1">
      <c r="A59" s="39">
        <v>45754.0</v>
      </c>
      <c r="B59" s="50"/>
      <c r="C59" s="31" t="s">
        <v>93</v>
      </c>
      <c r="D59" s="35" t="s">
        <v>15</v>
      </c>
      <c r="E59" s="31" t="s">
        <v>95</v>
      </c>
      <c r="F59" s="46">
        <v>45772.0</v>
      </c>
      <c r="G59" s="22">
        <v>3058483.14</v>
      </c>
      <c r="H59" s="14">
        <f t="shared" si="1"/>
        <v>642281.4594</v>
      </c>
      <c r="I59" s="22"/>
      <c r="J59" s="45"/>
      <c r="K59" s="15">
        <f t="shared" si="2"/>
        <v>3700764.599</v>
      </c>
      <c r="L59" s="45"/>
      <c r="M59" s="24">
        <v>45820.0</v>
      </c>
    </row>
    <row r="60" ht="15.75" customHeight="1">
      <c r="A60" s="39">
        <v>45754.0</v>
      </c>
      <c r="B60" s="50"/>
      <c r="C60" s="31" t="s">
        <v>93</v>
      </c>
      <c r="D60" s="35" t="s">
        <v>15</v>
      </c>
      <c r="E60" s="31" t="s">
        <v>96</v>
      </c>
      <c r="F60" s="46">
        <v>45772.0</v>
      </c>
      <c r="G60" s="22">
        <v>3902029.91</v>
      </c>
      <c r="H60" s="14">
        <f t="shared" si="1"/>
        <v>819426.2811</v>
      </c>
      <c r="I60" s="22"/>
      <c r="J60" s="45"/>
      <c r="K60" s="15">
        <f t="shared" si="2"/>
        <v>4721456.191</v>
      </c>
      <c r="L60" s="45"/>
      <c r="M60" s="24">
        <v>45820.0</v>
      </c>
    </row>
    <row r="61" ht="15.75" customHeight="1">
      <c r="A61" s="39">
        <v>45754.0</v>
      </c>
      <c r="B61" s="50"/>
      <c r="C61" s="31" t="s">
        <v>93</v>
      </c>
      <c r="D61" s="35" t="s">
        <v>15</v>
      </c>
      <c r="E61" s="31" t="s">
        <v>97</v>
      </c>
      <c r="F61" s="46">
        <v>45772.0</v>
      </c>
      <c r="G61" s="22">
        <v>9344322.01</v>
      </c>
      <c r="H61" s="14">
        <f t="shared" si="1"/>
        <v>1962307.622</v>
      </c>
      <c r="I61" s="22">
        <v>280329.66</v>
      </c>
      <c r="J61" s="45"/>
      <c r="K61" s="15">
        <f t="shared" si="2"/>
        <v>11586959.29</v>
      </c>
      <c r="L61" s="45"/>
      <c r="M61" s="24">
        <v>45820.0</v>
      </c>
    </row>
    <row r="62" ht="15.75" customHeight="1">
      <c r="A62" s="5"/>
      <c r="B62" s="6" t="s">
        <v>44</v>
      </c>
      <c r="C62" s="31" t="s">
        <v>98</v>
      </c>
      <c r="D62" s="32" t="s">
        <v>99</v>
      </c>
      <c r="E62" s="31" t="s">
        <v>100</v>
      </c>
      <c r="F62" s="30">
        <v>45713.0</v>
      </c>
      <c r="G62" s="53">
        <v>9884064.92</v>
      </c>
      <c r="H62" s="14">
        <f t="shared" si="1"/>
        <v>2075653.633</v>
      </c>
      <c r="I62" s="54">
        <v>296521.95</v>
      </c>
      <c r="J62" s="23">
        <v>494203.25</v>
      </c>
      <c r="K62" s="15">
        <f t="shared" si="2"/>
        <v>12750443.75</v>
      </c>
      <c r="L62" s="18"/>
      <c r="M62" s="24">
        <v>45684.0</v>
      </c>
    </row>
    <row r="63" ht="15.75" customHeight="1">
      <c r="A63" s="5"/>
      <c r="B63" s="6" t="s">
        <v>44</v>
      </c>
      <c r="C63" s="31" t="s">
        <v>98</v>
      </c>
      <c r="D63" s="32" t="s">
        <v>99</v>
      </c>
      <c r="E63" s="31" t="s">
        <v>101</v>
      </c>
      <c r="F63" s="30">
        <v>45713.0</v>
      </c>
      <c r="G63" s="53">
        <v>6886905.14</v>
      </c>
      <c r="H63" s="14">
        <f t="shared" si="1"/>
        <v>1446250.079</v>
      </c>
      <c r="I63" s="54">
        <v>206607.15</v>
      </c>
      <c r="J63" s="23">
        <v>344345.26</v>
      </c>
      <c r="K63" s="15">
        <f t="shared" si="2"/>
        <v>8884107.629</v>
      </c>
      <c r="L63" s="18"/>
      <c r="M63" s="24">
        <v>45684.0</v>
      </c>
    </row>
    <row r="64" ht="15.75" customHeight="1">
      <c r="A64" s="5"/>
      <c r="B64" s="6" t="s">
        <v>13</v>
      </c>
      <c r="C64" s="31" t="s">
        <v>98</v>
      </c>
      <c r="D64" s="32" t="s">
        <v>99</v>
      </c>
      <c r="E64" s="31" t="s">
        <v>102</v>
      </c>
      <c r="F64" s="30">
        <v>45713.0</v>
      </c>
      <c r="G64" s="53">
        <v>9954820.19</v>
      </c>
      <c r="H64" s="14">
        <f t="shared" si="1"/>
        <v>2090512.24</v>
      </c>
      <c r="I64" s="54">
        <v>298644.61</v>
      </c>
      <c r="J64" s="23">
        <v>497741.01</v>
      </c>
      <c r="K64" s="15">
        <f t="shared" si="2"/>
        <v>12841718.05</v>
      </c>
      <c r="L64" s="18"/>
      <c r="M64" s="24">
        <v>45762.0</v>
      </c>
    </row>
    <row r="65" ht="15.75" customHeight="1">
      <c r="A65" s="5"/>
      <c r="B65" s="6" t="s">
        <v>26</v>
      </c>
      <c r="C65" s="31" t="s">
        <v>98</v>
      </c>
      <c r="D65" s="32" t="s">
        <v>99</v>
      </c>
      <c r="E65" s="31" t="s">
        <v>103</v>
      </c>
      <c r="F65" s="30">
        <v>45713.0</v>
      </c>
      <c r="G65" s="22">
        <v>1.018191036E7</v>
      </c>
      <c r="H65" s="14">
        <f t="shared" si="1"/>
        <v>2138201.176</v>
      </c>
      <c r="I65" s="22">
        <v>305457.31</v>
      </c>
      <c r="J65" s="23">
        <v>509095.52</v>
      </c>
      <c r="K65" s="15">
        <f t="shared" si="2"/>
        <v>13134664.37</v>
      </c>
      <c r="L65" s="18"/>
      <c r="M65" s="24">
        <v>45762.0</v>
      </c>
    </row>
    <row r="66" ht="15.75" customHeight="1">
      <c r="A66" s="5"/>
      <c r="B66" s="6" t="s">
        <v>26</v>
      </c>
      <c r="C66" s="31" t="s">
        <v>98</v>
      </c>
      <c r="D66" s="32" t="s">
        <v>99</v>
      </c>
      <c r="E66" s="31" t="s">
        <v>104</v>
      </c>
      <c r="F66" s="30">
        <v>45713.0</v>
      </c>
      <c r="G66" s="22">
        <v>9893631.02</v>
      </c>
      <c r="H66" s="14">
        <f t="shared" si="1"/>
        <v>2077662.514</v>
      </c>
      <c r="I66" s="22">
        <v>296808.93</v>
      </c>
      <c r="J66" s="23">
        <v>494681.55</v>
      </c>
      <c r="K66" s="15">
        <f t="shared" si="2"/>
        <v>12762784.01</v>
      </c>
      <c r="L66" s="18"/>
      <c r="M66" s="24">
        <v>45791.0</v>
      </c>
    </row>
    <row r="67" ht="15.75" customHeight="1">
      <c r="A67" s="5"/>
      <c r="B67" s="6" t="s">
        <v>26</v>
      </c>
      <c r="C67" s="31" t="s">
        <v>98</v>
      </c>
      <c r="D67" s="32" t="s">
        <v>99</v>
      </c>
      <c r="E67" s="31" t="s">
        <v>105</v>
      </c>
      <c r="F67" s="30">
        <v>45713.0</v>
      </c>
      <c r="G67" s="22">
        <v>9197861.03</v>
      </c>
      <c r="H67" s="14">
        <f t="shared" si="1"/>
        <v>1931550.816</v>
      </c>
      <c r="I67" s="22">
        <v>275935.83</v>
      </c>
      <c r="J67" s="23">
        <v>459893.05</v>
      </c>
      <c r="K67" s="15">
        <f t="shared" si="2"/>
        <v>11865240.73</v>
      </c>
      <c r="L67" s="18"/>
      <c r="M67" s="24">
        <v>45791.0</v>
      </c>
    </row>
    <row r="68" ht="15.75" customHeight="1">
      <c r="A68" s="39">
        <v>45754.0</v>
      </c>
      <c r="B68" s="50"/>
      <c r="C68" s="31" t="s">
        <v>93</v>
      </c>
      <c r="D68" s="35" t="s">
        <v>15</v>
      </c>
      <c r="E68" s="31" t="s">
        <v>106</v>
      </c>
      <c r="F68" s="46">
        <v>45772.0</v>
      </c>
      <c r="G68" s="22">
        <v>3983721.19</v>
      </c>
      <c r="H68" s="14">
        <f t="shared" si="1"/>
        <v>836581.4499</v>
      </c>
      <c r="I68" s="22"/>
      <c r="J68" s="45"/>
      <c r="K68" s="15">
        <f t="shared" si="2"/>
        <v>4820302.64</v>
      </c>
      <c r="L68" s="45"/>
      <c r="M68" s="24">
        <v>45820.0</v>
      </c>
    </row>
    <row r="69" ht="15.75" customHeight="1">
      <c r="A69" s="39">
        <v>45754.0</v>
      </c>
      <c r="B69" s="50"/>
      <c r="C69" s="31" t="s">
        <v>93</v>
      </c>
      <c r="D69" s="35" t="s">
        <v>15</v>
      </c>
      <c r="E69" s="31" t="s">
        <v>107</v>
      </c>
      <c r="F69" s="46">
        <v>45772.0</v>
      </c>
      <c r="G69" s="22">
        <v>1.033938208E7</v>
      </c>
      <c r="H69" s="14">
        <f t="shared" si="1"/>
        <v>2171270.237</v>
      </c>
      <c r="I69" s="22">
        <v>310181.46</v>
      </c>
      <c r="J69" s="45"/>
      <c r="K69" s="15">
        <f t="shared" si="2"/>
        <v>12820833.78</v>
      </c>
      <c r="L69" s="45"/>
      <c r="M69" s="24">
        <v>45820.0</v>
      </c>
    </row>
    <row r="70" ht="15.75" customHeight="1">
      <c r="A70" s="39">
        <v>45754.0</v>
      </c>
      <c r="B70" s="50"/>
      <c r="C70" s="31" t="s">
        <v>108</v>
      </c>
      <c r="D70" s="35" t="s">
        <v>15</v>
      </c>
      <c r="E70" s="31" t="s">
        <v>109</v>
      </c>
      <c r="F70" s="46">
        <v>45772.0</v>
      </c>
      <c r="G70" s="22">
        <v>1982721.0</v>
      </c>
      <c r="H70" s="14">
        <f t="shared" si="1"/>
        <v>416371.41</v>
      </c>
      <c r="I70" s="22">
        <v>59481.63</v>
      </c>
      <c r="J70" s="45"/>
      <c r="K70" s="15">
        <f t="shared" si="2"/>
        <v>2458574.04</v>
      </c>
      <c r="L70" s="45"/>
      <c r="M70" s="24">
        <v>45820.0</v>
      </c>
    </row>
    <row r="71" ht="15.75" customHeight="1">
      <c r="A71" s="39">
        <v>45754.0</v>
      </c>
      <c r="B71" s="50"/>
      <c r="C71" s="31" t="s">
        <v>108</v>
      </c>
      <c r="D71" s="35" t="s">
        <v>15</v>
      </c>
      <c r="E71" s="31" t="s">
        <v>110</v>
      </c>
      <c r="F71" s="46">
        <v>45772.0</v>
      </c>
      <c r="G71" s="22">
        <v>2918273.0</v>
      </c>
      <c r="H71" s="14">
        <f t="shared" si="1"/>
        <v>612837.33</v>
      </c>
      <c r="I71" s="45"/>
      <c r="J71" s="45"/>
      <c r="K71" s="15">
        <f t="shared" si="2"/>
        <v>3531110.33</v>
      </c>
      <c r="L71" s="45"/>
      <c r="M71" s="24">
        <v>45820.0</v>
      </c>
    </row>
    <row r="72" ht="15.75" customHeight="1">
      <c r="A72" s="5"/>
      <c r="B72" s="6" t="s">
        <v>26</v>
      </c>
      <c r="C72" s="34" t="s">
        <v>111</v>
      </c>
      <c r="D72" s="32" t="s">
        <v>99</v>
      </c>
      <c r="E72" s="34" t="s">
        <v>112</v>
      </c>
      <c r="F72" s="30">
        <v>45741.0</v>
      </c>
      <c r="G72" s="22">
        <v>6886907.42</v>
      </c>
      <c r="H72" s="14">
        <f t="shared" si="1"/>
        <v>1446250.558</v>
      </c>
      <c r="I72" s="22">
        <v>206607.22</v>
      </c>
      <c r="J72" s="14"/>
      <c r="K72" s="15">
        <f t="shared" si="2"/>
        <v>8539765.198</v>
      </c>
      <c r="L72" s="18"/>
      <c r="M72" s="24">
        <v>45685.0</v>
      </c>
    </row>
    <row r="73" ht="15.75" customHeight="1">
      <c r="A73" s="5"/>
      <c r="B73" s="6" t="s">
        <v>26</v>
      </c>
      <c r="C73" s="34" t="s">
        <v>29</v>
      </c>
      <c r="D73" s="32" t="s">
        <v>99</v>
      </c>
      <c r="E73" s="35" t="s">
        <v>113</v>
      </c>
      <c r="F73" s="30">
        <v>45741.0</v>
      </c>
      <c r="G73" s="22">
        <v>-6886905.14</v>
      </c>
      <c r="H73" s="14">
        <f t="shared" si="1"/>
        <v>-1446250.079</v>
      </c>
      <c r="I73" s="22">
        <v>-206607.15</v>
      </c>
      <c r="J73" s="22">
        <v>-344345.26</v>
      </c>
      <c r="K73" s="15">
        <f t="shared" si="2"/>
        <v>-8884107.629</v>
      </c>
      <c r="L73" s="18"/>
      <c r="M73" s="24">
        <v>45685.0</v>
      </c>
    </row>
    <row r="74" ht="15.75" customHeight="1">
      <c r="A74" s="39">
        <v>45754.0</v>
      </c>
      <c r="B74" s="50"/>
      <c r="C74" s="31" t="s">
        <v>108</v>
      </c>
      <c r="D74" s="35" t="s">
        <v>15</v>
      </c>
      <c r="E74" s="31" t="s">
        <v>114</v>
      </c>
      <c r="F74" s="46">
        <v>45772.0</v>
      </c>
      <c r="G74" s="22">
        <v>2846362.77</v>
      </c>
      <c r="H74" s="14">
        <f t="shared" si="1"/>
        <v>597736.1817</v>
      </c>
      <c r="I74" s="22">
        <v>85390.88</v>
      </c>
      <c r="J74" s="45"/>
      <c r="K74" s="15">
        <f t="shared" si="2"/>
        <v>3529489.832</v>
      </c>
      <c r="L74" s="45"/>
      <c r="M74" s="24">
        <v>45820.0</v>
      </c>
    </row>
    <row r="75" ht="15.75" customHeight="1">
      <c r="A75" s="39">
        <v>45754.0</v>
      </c>
      <c r="B75" s="50"/>
      <c r="C75" s="31" t="s">
        <v>108</v>
      </c>
      <c r="D75" s="35" t="s">
        <v>15</v>
      </c>
      <c r="E75" s="31" t="s">
        <v>115</v>
      </c>
      <c r="F75" s="46">
        <v>45772.0</v>
      </c>
      <c r="G75" s="22">
        <v>7463620.23</v>
      </c>
      <c r="H75" s="14">
        <f t="shared" si="1"/>
        <v>1567360.248</v>
      </c>
      <c r="I75" s="22">
        <v>223908.61</v>
      </c>
      <c r="J75" s="45"/>
      <c r="K75" s="15">
        <f t="shared" si="2"/>
        <v>9254889.088</v>
      </c>
      <c r="L75" s="45"/>
      <c r="M75" s="24">
        <v>45820.0</v>
      </c>
    </row>
    <row r="76" ht="15.75" customHeight="1">
      <c r="A76" s="39">
        <v>45754.0</v>
      </c>
      <c r="B76" s="50"/>
      <c r="C76" s="31" t="s">
        <v>108</v>
      </c>
      <c r="D76" s="35" t="s">
        <v>15</v>
      </c>
      <c r="E76" s="31" t="s">
        <v>116</v>
      </c>
      <c r="F76" s="46">
        <v>45772.0</v>
      </c>
      <c r="G76" s="22">
        <v>3173672.11</v>
      </c>
      <c r="H76" s="14">
        <f t="shared" si="1"/>
        <v>666471.1431</v>
      </c>
      <c r="I76" s="22"/>
      <c r="J76" s="14"/>
      <c r="K76" s="15">
        <f t="shared" si="2"/>
        <v>3840143.253</v>
      </c>
      <c r="L76" s="45"/>
      <c r="M76" s="24">
        <v>45820.0</v>
      </c>
      <c r="N76" s="12"/>
    </row>
    <row r="77" ht="15.75" customHeight="1">
      <c r="A77" s="39">
        <v>45754.0</v>
      </c>
      <c r="B77" s="50"/>
      <c r="C77" s="31" t="s">
        <v>108</v>
      </c>
      <c r="D77" s="35" t="s">
        <v>15</v>
      </c>
      <c r="E77" s="31" t="s">
        <v>117</v>
      </c>
      <c r="F77" s="46">
        <v>45772.0</v>
      </c>
      <c r="G77" s="22">
        <v>3984732.09</v>
      </c>
      <c r="H77" s="14">
        <f t="shared" si="1"/>
        <v>836793.7389</v>
      </c>
      <c r="I77" s="22">
        <v>119541.96</v>
      </c>
      <c r="J77" s="45"/>
      <c r="K77" s="15">
        <f t="shared" si="2"/>
        <v>4941067.789</v>
      </c>
      <c r="L77" s="45"/>
      <c r="M77" s="24">
        <v>45820.0</v>
      </c>
    </row>
    <row r="78" ht="15.75" customHeight="1">
      <c r="A78" s="55">
        <v>45763.0</v>
      </c>
      <c r="B78" s="56"/>
      <c r="C78" s="57" t="s">
        <v>118</v>
      </c>
      <c r="D78" s="58" t="s">
        <v>15</v>
      </c>
      <c r="E78" s="58" t="s">
        <v>119</v>
      </c>
      <c r="F78" s="59">
        <v>45772.0</v>
      </c>
      <c r="G78" s="44">
        <v>1.200583012E7</v>
      </c>
      <c r="H78" s="9">
        <f t="shared" si="1"/>
        <v>2521224.325</v>
      </c>
      <c r="I78" s="44">
        <v>360174.9</v>
      </c>
      <c r="J78" s="60"/>
      <c r="K78" s="10">
        <f t="shared" si="2"/>
        <v>14887229.35</v>
      </c>
      <c r="L78" s="61"/>
      <c r="M78" s="62"/>
    </row>
    <row r="79" ht="15.75" customHeight="1">
      <c r="A79" s="55">
        <v>45770.0</v>
      </c>
      <c r="B79" s="56"/>
      <c r="C79" s="57" t="s">
        <v>120</v>
      </c>
      <c r="D79" s="58" t="s">
        <v>15</v>
      </c>
      <c r="E79" s="57" t="s">
        <v>121</v>
      </c>
      <c r="F79" s="59">
        <v>45772.0</v>
      </c>
      <c r="G79" s="44">
        <v>5730800.81</v>
      </c>
      <c r="H79" s="9">
        <f t="shared" si="1"/>
        <v>1203468.17</v>
      </c>
      <c r="I79" s="60"/>
      <c r="J79" s="44">
        <v>91692.81</v>
      </c>
      <c r="K79" s="10">
        <f t="shared" si="2"/>
        <v>7025961.79</v>
      </c>
      <c r="L79" s="61"/>
      <c r="M79" s="62"/>
    </row>
    <row r="80" ht="15.75" customHeight="1">
      <c r="A80" s="55">
        <v>45770.0</v>
      </c>
      <c r="B80" s="56"/>
      <c r="C80" s="58" t="s">
        <v>122</v>
      </c>
      <c r="D80" s="58" t="s">
        <v>15</v>
      </c>
      <c r="E80" s="57" t="s">
        <v>123</v>
      </c>
      <c r="F80" s="59">
        <v>45772.0</v>
      </c>
      <c r="G80" s="44">
        <v>4956582.56</v>
      </c>
      <c r="H80" s="9">
        <f t="shared" si="1"/>
        <v>1040882.338</v>
      </c>
      <c r="I80" s="60"/>
      <c r="J80" s="60"/>
      <c r="K80" s="10">
        <f t="shared" si="2"/>
        <v>5997464.898</v>
      </c>
      <c r="L80" s="61"/>
      <c r="M80" s="62"/>
      <c r="N80" s="12"/>
    </row>
    <row r="81" ht="15.75" customHeight="1">
      <c r="A81" s="55">
        <v>45771.0</v>
      </c>
      <c r="B81" s="56"/>
      <c r="C81" s="57" t="s">
        <v>124</v>
      </c>
      <c r="D81" s="58" t="s">
        <v>15</v>
      </c>
      <c r="E81" s="57" t="s">
        <v>125</v>
      </c>
      <c r="F81" s="59">
        <v>45772.0</v>
      </c>
      <c r="G81" s="44">
        <v>1498920.56</v>
      </c>
      <c r="H81" s="9">
        <f t="shared" si="1"/>
        <v>314773.3176</v>
      </c>
      <c r="I81" s="60"/>
      <c r="J81" s="60"/>
      <c r="K81" s="10">
        <f t="shared" si="2"/>
        <v>1813693.878</v>
      </c>
      <c r="L81" s="61"/>
      <c r="M81" s="62"/>
    </row>
    <row r="82" ht="15.75" customHeight="1">
      <c r="A82" s="55">
        <v>45771.0</v>
      </c>
      <c r="B82" s="56"/>
      <c r="C82" s="57" t="s">
        <v>124</v>
      </c>
      <c r="D82" s="58" t="s">
        <v>15</v>
      </c>
      <c r="E82" s="57" t="s">
        <v>126</v>
      </c>
      <c r="F82" s="59">
        <v>45772.0</v>
      </c>
      <c r="G82" s="44">
        <v>2010770.03</v>
      </c>
      <c r="H82" s="9">
        <f t="shared" si="1"/>
        <v>422261.7063</v>
      </c>
      <c r="I82" s="60"/>
      <c r="J82" s="44">
        <v>60323.1</v>
      </c>
      <c r="K82" s="10">
        <f t="shared" si="2"/>
        <v>2493354.836</v>
      </c>
      <c r="L82" s="61"/>
      <c r="M82" s="62"/>
    </row>
    <row r="83" ht="15.75" customHeight="1">
      <c r="A83" s="55">
        <v>45775.0</v>
      </c>
      <c r="B83" s="56"/>
      <c r="C83" s="57" t="s">
        <v>127</v>
      </c>
      <c r="D83" s="58" t="s">
        <v>15</v>
      </c>
      <c r="E83" s="57" t="s">
        <v>128</v>
      </c>
      <c r="F83" s="59">
        <v>45772.0</v>
      </c>
      <c r="G83" s="44">
        <v>1003990.0</v>
      </c>
      <c r="H83" s="9">
        <f t="shared" si="1"/>
        <v>210837.9</v>
      </c>
      <c r="I83" s="44">
        <v>30119.7</v>
      </c>
      <c r="J83" s="44">
        <v>5019.95</v>
      </c>
      <c r="K83" s="10">
        <f t="shared" si="2"/>
        <v>1249967.55</v>
      </c>
      <c r="L83" s="61"/>
      <c r="M83" s="62"/>
    </row>
    <row r="84" ht="15.75" customHeight="1">
      <c r="A84" s="5">
        <v>45671.0</v>
      </c>
      <c r="B84" s="6" t="s">
        <v>13</v>
      </c>
      <c r="C84" s="34" t="s">
        <v>129</v>
      </c>
      <c r="D84" s="32" t="s">
        <v>99</v>
      </c>
      <c r="E84" s="34" t="s">
        <v>130</v>
      </c>
      <c r="F84" s="36">
        <v>45741.0</v>
      </c>
      <c r="G84" s="22">
        <v>7575960.19</v>
      </c>
      <c r="H84" s="14">
        <f t="shared" si="1"/>
        <v>1590951.64</v>
      </c>
      <c r="I84" s="14"/>
      <c r="J84" s="14"/>
      <c r="K84" s="15">
        <f t="shared" si="2"/>
        <v>9166911.83</v>
      </c>
      <c r="L84" s="18"/>
      <c r="M84" s="24">
        <v>45761.0</v>
      </c>
    </row>
    <row r="85" ht="15.75" customHeight="1">
      <c r="A85" s="5">
        <v>45671.0</v>
      </c>
      <c r="B85" s="6" t="s">
        <v>131</v>
      </c>
      <c r="C85" s="34" t="s">
        <v>129</v>
      </c>
      <c r="D85" s="32" t="s">
        <v>99</v>
      </c>
      <c r="E85" s="34" t="s">
        <v>132</v>
      </c>
      <c r="F85" s="36">
        <v>45741.0</v>
      </c>
      <c r="G85" s="22">
        <v>1.346026017E7</v>
      </c>
      <c r="H85" s="14">
        <f t="shared" si="1"/>
        <v>2826654.636</v>
      </c>
      <c r="I85" s="14"/>
      <c r="J85" s="14"/>
      <c r="K85" s="15">
        <f t="shared" si="2"/>
        <v>16286914.81</v>
      </c>
      <c r="L85" s="18"/>
      <c r="M85" s="24">
        <v>45761.0</v>
      </c>
    </row>
    <row r="86" ht="15.75" customHeight="1">
      <c r="A86" s="17">
        <v>45671.0</v>
      </c>
      <c r="B86" s="7" t="s">
        <v>13</v>
      </c>
      <c r="C86" s="34" t="s">
        <v>129</v>
      </c>
      <c r="D86" s="32" t="s">
        <v>99</v>
      </c>
      <c r="E86" s="34" t="s">
        <v>133</v>
      </c>
      <c r="F86" s="36">
        <v>45741.0</v>
      </c>
      <c r="G86" s="22">
        <v>1.386074014E7</v>
      </c>
      <c r="H86" s="14">
        <f t="shared" si="1"/>
        <v>2910755.429</v>
      </c>
      <c r="I86" s="22">
        <v>415822.2</v>
      </c>
      <c r="J86" s="14"/>
      <c r="K86" s="15">
        <f t="shared" si="2"/>
        <v>17187317.77</v>
      </c>
      <c r="L86" s="18"/>
      <c r="M86" s="24">
        <v>45761.0</v>
      </c>
    </row>
    <row r="87" ht="15.75" customHeight="1">
      <c r="A87" s="17">
        <v>45671.0</v>
      </c>
      <c r="B87" s="7" t="s">
        <v>13</v>
      </c>
      <c r="C87" s="34" t="s">
        <v>129</v>
      </c>
      <c r="D87" s="32" t="s">
        <v>99</v>
      </c>
      <c r="E87" s="34" t="s">
        <v>134</v>
      </c>
      <c r="F87" s="36">
        <v>45741.0</v>
      </c>
      <c r="G87" s="22">
        <v>1.266482027E7</v>
      </c>
      <c r="H87" s="14">
        <f t="shared" si="1"/>
        <v>2659612.257</v>
      </c>
      <c r="I87" s="22">
        <v>379944.61</v>
      </c>
      <c r="J87" s="14"/>
      <c r="K87" s="15">
        <f t="shared" si="2"/>
        <v>15704377.14</v>
      </c>
      <c r="L87" s="6"/>
      <c r="M87" s="24">
        <v>45761.0</v>
      </c>
      <c r="N87" s="12"/>
    </row>
    <row r="88" ht="15.75" customHeight="1">
      <c r="A88" s="17">
        <v>45671.0</v>
      </c>
      <c r="B88" s="7" t="s">
        <v>13</v>
      </c>
      <c r="C88" s="34" t="s">
        <v>129</v>
      </c>
      <c r="D88" s="32" t="s">
        <v>99</v>
      </c>
      <c r="E88" s="34" t="s">
        <v>135</v>
      </c>
      <c r="F88" s="36">
        <v>45741.0</v>
      </c>
      <c r="G88" s="22">
        <v>1.244829018E7</v>
      </c>
      <c r="H88" s="14">
        <f t="shared" si="1"/>
        <v>2614140.938</v>
      </c>
      <c r="I88" s="22">
        <v>373448.71</v>
      </c>
      <c r="J88" s="14"/>
      <c r="K88" s="15">
        <f t="shared" si="2"/>
        <v>15435879.83</v>
      </c>
      <c r="L88" s="18"/>
      <c r="M88" s="24">
        <v>45761.0</v>
      </c>
    </row>
    <row r="89" ht="15.75" customHeight="1">
      <c r="A89" s="55">
        <v>45775.0</v>
      </c>
      <c r="B89" s="56"/>
      <c r="C89" s="57" t="s">
        <v>127</v>
      </c>
      <c r="D89" s="58" t="s">
        <v>15</v>
      </c>
      <c r="E89" s="57" t="s">
        <v>136</v>
      </c>
      <c r="F89" s="59">
        <v>45772.0</v>
      </c>
      <c r="G89" s="44">
        <v>2005830.0</v>
      </c>
      <c r="H89" s="9">
        <f t="shared" si="1"/>
        <v>421224.3</v>
      </c>
      <c r="I89" s="44">
        <v>60174.9</v>
      </c>
      <c r="J89" s="44">
        <v>10029.15</v>
      </c>
      <c r="K89" s="10">
        <f t="shared" si="2"/>
        <v>2497258.35</v>
      </c>
      <c r="L89" s="61"/>
      <c r="M89" s="62"/>
    </row>
    <row r="90" ht="15.75" customHeight="1">
      <c r="A90" s="63">
        <v>45888.0</v>
      </c>
      <c r="B90" s="64"/>
      <c r="C90" s="57" t="s">
        <v>137</v>
      </c>
      <c r="D90" s="58" t="s">
        <v>99</v>
      </c>
      <c r="E90" s="58" t="s">
        <v>138</v>
      </c>
      <c r="F90" s="58" t="s">
        <v>139</v>
      </c>
      <c r="G90" s="65">
        <v>8530470.52</v>
      </c>
      <c r="H90" s="9">
        <f t="shared" si="1"/>
        <v>1791398.809</v>
      </c>
      <c r="I90" s="56"/>
      <c r="J90" s="44">
        <v>170609.41</v>
      </c>
      <c r="K90" s="10">
        <f t="shared" si="2"/>
        <v>10492478.74</v>
      </c>
      <c r="L90" s="61"/>
      <c r="M90" s="62"/>
    </row>
    <row r="91" ht="15.75" customHeight="1">
      <c r="A91" s="5">
        <v>45671.0</v>
      </c>
      <c r="B91" s="6" t="s">
        <v>13</v>
      </c>
      <c r="C91" s="34" t="s">
        <v>140</v>
      </c>
      <c r="D91" s="32" t="s">
        <v>99</v>
      </c>
      <c r="E91" s="20" t="s">
        <v>141</v>
      </c>
      <c r="F91" s="36">
        <v>45741.0</v>
      </c>
      <c r="G91" s="22">
        <v>5015930.41</v>
      </c>
      <c r="H91" s="14">
        <f t="shared" si="1"/>
        <v>1053345.386</v>
      </c>
      <c r="I91" s="22"/>
      <c r="J91" s="22">
        <v>45143.37</v>
      </c>
      <c r="K91" s="15">
        <f t="shared" si="2"/>
        <v>6114419.166</v>
      </c>
      <c r="L91" s="38"/>
      <c r="M91" s="24">
        <v>45776.0</v>
      </c>
    </row>
    <row r="92" ht="15.75" customHeight="1">
      <c r="A92" s="5">
        <v>45671.0</v>
      </c>
      <c r="B92" s="6" t="s">
        <v>26</v>
      </c>
      <c r="C92" s="34" t="s">
        <v>140</v>
      </c>
      <c r="D92" s="32" t="s">
        <v>99</v>
      </c>
      <c r="E92" s="20" t="s">
        <v>142</v>
      </c>
      <c r="F92" s="36">
        <v>45741.0</v>
      </c>
      <c r="G92" s="22">
        <v>3503750.15</v>
      </c>
      <c r="H92" s="14">
        <f t="shared" si="1"/>
        <v>735787.5315</v>
      </c>
      <c r="I92" s="22"/>
      <c r="J92" s="22"/>
      <c r="K92" s="15">
        <f t="shared" si="2"/>
        <v>4239537.682</v>
      </c>
      <c r="L92" s="38"/>
      <c r="M92" s="24">
        <v>45776.0</v>
      </c>
    </row>
    <row r="93" ht="15.75" customHeight="1">
      <c r="A93" s="66">
        <v>45671.0</v>
      </c>
      <c r="B93" s="67" t="s">
        <v>13</v>
      </c>
      <c r="C93" s="68" t="s">
        <v>143</v>
      </c>
      <c r="D93" s="69" t="s">
        <v>99</v>
      </c>
      <c r="E93" s="70" t="s">
        <v>144</v>
      </c>
      <c r="F93" s="71">
        <v>45741.0</v>
      </c>
      <c r="G93" s="72">
        <f>1476877.94/1.21</f>
        <v>1220560.281</v>
      </c>
      <c r="H93" s="73">
        <f t="shared" si="1"/>
        <v>256317.659</v>
      </c>
      <c r="I93" s="72"/>
      <c r="J93" s="72"/>
      <c r="K93" s="74">
        <f t="shared" si="2"/>
        <v>1476877.94</v>
      </c>
      <c r="L93" s="75"/>
      <c r="M93" s="76">
        <v>45685.0</v>
      </c>
    </row>
    <row r="94" ht="15.75" customHeight="1">
      <c r="A94" s="66">
        <v>45671.0</v>
      </c>
      <c r="B94" s="67" t="s">
        <v>13</v>
      </c>
      <c r="C94" s="68" t="s">
        <v>143</v>
      </c>
      <c r="D94" s="69" t="s">
        <v>99</v>
      </c>
      <c r="E94" s="70" t="s">
        <v>145</v>
      </c>
      <c r="F94" s="71">
        <v>45741.0</v>
      </c>
      <c r="G94" s="72">
        <f>1398736.48/1.21</f>
        <v>1155980.562</v>
      </c>
      <c r="H94" s="73">
        <f t="shared" si="1"/>
        <v>242755.918</v>
      </c>
      <c r="I94" s="72"/>
      <c r="J94" s="72"/>
      <c r="K94" s="74">
        <f t="shared" si="2"/>
        <v>1398736.48</v>
      </c>
      <c r="L94" s="77"/>
      <c r="M94" s="76">
        <v>45754.0</v>
      </c>
    </row>
    <row r="95" ht="15.75" customHeight="1">
      <c r="A95" s="39">
        <v>45777.0</v>
      </c>
      <c r="B95" s="50"/>
      <c r="C95" s="31" t="s">
        <v>146</v>
      </c>
      <c r="D95" s="32" t="s">
        <v>15</v>
      </c>
      <c r="E95" s="31" t="s">
        <v>147</v>
      </c>
      <c r="F95" s="46">
        <v>45772.0</v>
      </c>
      <c r="G95" s="22">
        <v>1.323289005E7</v>
      </c>
      <c r="H95" s="14">
        <f t="shared" si="1"/>
        <v>2778906.911</v>
      </c>
      <c r="I95" s="14"/>
      <c r="J95" s="14"/>
      <c r="K95" s="15">
        <f t="shared" si="2"/>
        <v>16011796.96</v>
      </c>
      <c r="L95" s="45"/>
      <c r="M95" s="24">
        <v>45819.0</v>
      </c>
    </row>
    <row r="96" ht="15.75" customHeight="1">
      <c r="A96" s="5">
        <v>45671.0</v>
      </c>
      <c r="B96" s="6" t="s">
        <v>13</v>
      </c>
      <c r="C96" s="34" t="s">
        <v>148</v>
      </c>
      <c r="D96" s="32" t="s">
        <v>99</v>
      </c>
      <c r="E96" s="20" t="s">
        <v>149</v>
      </c>
      <c r="F96" s="36">
        <v>45741.0</v>
      </c>
      <c r="G96" s="22">
        <v>7966350.24</v>
      </c>
      <c r="H96" s="14">
        <f t="shared" si="1"/>
        <v>1672933.55</v>
      </c>
      <c r="I96" s="22">
        <v>238990.51</v>
      </c>
      <c r="J96" s="22">
        <v>31865.4</v>
      </c>
      <c r="K96" s="15">
        <f t="shared" si="2"/>
        <v>9910139.7</v>
      </c>
      <c r="L96" s="18"/>
      <c r="M96" s="24">
        <v>45757.0</v>
      </c>
    </row>
    <row r="97" ht="15.75" customHeight="1">
      <c r="A97" s="5">
        <v>45671.0</v>
      </c>
      <c r="B97" s="6" t="s">
        <v>13</v>
      </c>
      <c r="C97" s="34" t="s">
        <v>148</v>
      </c>
      <c r="D97" s="32" t="s">
        <v>99</v>
      </c>
      <c r="E97" s="20" t="s">
        <v>150</v>
      </c>
      <c r="F97" s="36">
        <v>45741.0</v>
      </c>
      <c r="G97" s="22">
        <v>9055640.18</v>
      </c>
      <c r="H97" s="14">
        <f t="shared" si="1"/>
        <v>1901684.438</v>
      </c>
      <c r="I97" s="22">
        <v>36222.56</v>
      </c>
      <c r="J97" s="22">
        <v>271669.21</v>
      </c>
      <c r="K97" s="15">
        <f t="shared" si="2"/>
        <v>11265216.39</v>
      </c>
      <c r="L97" s="18"/>
      <c r="M97" s="24">
        <v>45757.0</v>
      </c>
    </row>
    <row r="98" ht="15.75" customHeight="1">
      <c r="A98" s="5">
        <v>45671.0</v>
      </c>
      <c r="B98" s="6" t="s">
        <v>13</v>
      </c>
      <c r="C98" s="34" t="s">
        <v>151</v>
      </c>
      <c r="D98" s="32" t="s">
        <v>99</v>
      </c>
      <c r="E98" s="20" t="s">
        <v>152</v>
      </c>
      <c r="F98" s="36">
        <v>45741.0</v>
      </c>
      <c r="G98" s="22">
        <v>2345640.15</v>
      </c>
      <c r="H98" s="14">
        <f t="shared" si="1"/>
        <v>492584.4315</v>
      </c>
      <c r="I98" s="22">
        <v>70369.2</v>
      </c>
      <c r="J98" s="45"/>
      <c r="K98" s="15">
        <f t="shared" si="2"/>
        <v>2908593.782</v>
      </c>
      <c r="L98" s="18"/>
      <c r="M98" s="24">
        <v>45762.0</v>
      </c>
    </row>
    <row r="99" ht="15.75" customHeight="1">
      <c r="A99" s="55">
        <v>45777.0</v>
      </c>
      <c r="B99" s="56"/>
      <c r="C99" s="57" t="s">
        <v>84</v>
      </c>
      <c r="D99" s="58" t="s">
        <v>15</v>
      </c>
      <c r="E99" s="57" t="s">
        <v>153</v>
      </c>
      <c r="F99" s="59">
        <v>45772.0</v>
      </c>
      <c r="G99" s="44">
        <v>1581981.05</v>
      </c>
      <c r="H99" s="9">
        <f t="shared" si="1"/>
        <v>332216.0205</v>
      </c>
      <c r="I99" s="44">
        <v>47459.43</v>
      </c>
      <c r="J99" s="44">
        <v>4745.94</v>
      </c>
      <c r="K99" s="10">
        <f t="shared" si="2"/>
        <v>1966402.441</v>
      </c>
      <c r="L99" s="61"/>
      <c r="M99" s="62"/>
    </row>
    <row r="100" ht="15.75" customHeight="1">
      <c r="A100" s="55">
        <v>45777.0</v>
      </c>
      <c r="B100" s="56"/>
      <c r="C100" s="57" t="s">
        <v>127</v>
      </c>
      <c r="D100" s="58" t="s">
        <v>15</v>
      </c>
      <c r="E100" s="58" t="s">
        <v>154</v>
      </c>
      <c r="F100" s="59">
        <v>45772.0</v>
      </c>
      <c r="G100" s="44">
        <v>-1003990.0</v>
      </c>
      <c r="H100" s="9">
        <f t="shared" si="1"/>
        <v>-210837.9</v>
      </c>
      <c r="I100" s="44">
        <v>-30119.7</v>
      </c>
      <c r="J100" s="44">
        <v>-5019.95</v>
      </c>
      <c r="K100" s="10">
        <f t="shared" si="2"/>
        <v>-1249967.55</v>
      </c>
      <c r="L100" s="61"/>
      <c r="M100" s="62"/>
    </row>
    <row r="101" ht="15.75" customHeight="1">
      <c r="A101" s="55">
        <v>45777.0</v>
      </c>
      <c r="B101" s="56"/>
      <c r="C101" s="57" t="s">
        <v>127</v>
      </c>
      <c r="D101" s="58" t="s">
        <v>15</v>
      </c>
      <c r="E101" s="57" t="s">
        <v>155</v>
      </c>
      <c r="F101" s="59">
        <v>45772.0</v>
      </c>
      <c r="G101" s="44">
        <v>-2005830.0</v>
      </c>
      <c r="H101" s="9">
        <f t="shared" si="1"/>
        <v>-421224.3</v>
      </c>
      <c r="I101" s="44">
        <v>-60174.9</v>
      </c>
      <c r="J101" s="44">
        <v>-10029.15</v>
      </c>
      <c r="K101" s="10">
        <f t="shared" si="2"/>
        <v>-2497258.35</v>
      </c>
      <c r="L101" s="61"/>
      <c r="M101" s="62"/>
    </row>
    <row r="102" ht="15.75" customHeight="1">
      <c r="A102" s="78">
        <v>45672.0</v>
      </c>
      <c r="B102" s="19" t="s">
        <v>13</v>
      </c>
      <c r="C102" s="34" t="s">
        <v>111</v>
      </c>
      <c r="D102" s="32" t="s">
        <v>99</v>
      </c>
      <c r="E102" s="20" t="s">
        <v>156</v>
      </c>
      <c r="F102" s="36">
        <v>45741.0</v>
      </c>
      <c r="G102" s="22">
        <v>1.203382015E7</v>
      </c>
      <c r="H102" s="14">
        <f t="shared" si="1"/>
        <v>2527102.232</v>
      </c>
      <c r="I102" s="22">
        <v>361014.6</v>
      </c>
      <c r="J102" s="22"/>
      <c r="K102" s="15">
        <f t="shared" si="2"/>
        <v>14921936.98</v>
      </c>
      <c r="L102" s="18"/>
      <c r="M102" s="24">
        <v>45751.0</v>
      </c>
    </row>
    <row r="103" ht="15.75" customHeight="1">
      <c r="A103" s="78">
        <v>45672.0</v>
      </c>
      <c r="B103" s="19" t="s">
        <v>13</v>
      </c>
      <c r="C103" s="34" t="s">
        <v>157</v>
      </c>
      <c r="D103" s="32" t="s">
        <v>99</v>
      </c>
      <c r="E103" s="20" t="s">
        <v>158</v>
      </c>
      <c r="F103" s="36">
        <v>45741.0</v>
      </c>
      <c r="G103" s="22">
        <v>2251632.16</v>
      </c>
      <c r="H103" s="14">
        <f t="shared" si="1"/>
        <v>472842.7536</v>
      </c>
      <c r="I103" s="22">
        <v>67548.96</v>
      </c>
      <c r="J103" s="22">
        <v>90065.29</v>
      </c>
      <c r="K103" s="15">
        <f t="shared" si="2"/>
        <v>2882089.164</v>
      </c>
      <c r="L103" s="18"/>
      <c r="M103" s="6"/>
    </row>
    <row r="104" ht="15.75" customHeight="1">
      <c r="A104" s="78">
        <v>45672.0</v>
      </c>
      <c r="B104" s="19" t="s">
        <v>13</v>
      </c>
      <c r="C104" s="34" t="s">
        <v>159</v>
      </c>
      <c r="D104" s="32" t="s">
        <v>99</v>
      </c>
      <c r="E104" s="34" t="s">
        <v>160</v>
      </c>
      <c r="F104" s="36">
        <v>45741.0</v>
      </c>
      <c r="G104" s="22">
        <v>4982470.42</v>
      </c>
      <c r="H104" s="14">
        <f t="shared" si="1"/>
        <v>1046318.788</v>
      </c>
      <c r="I104" s="22">
        <v>149474.11</v>
      </c>
      <c r="J104" s="22">
        <v>64772.12</v>
      </c>
      <c r="K104" s="15">
        <f t="shared" si="2"/>
        <v>6243035.438</v>
      </c>
      <c r="L104" s="18"/>
      <c r="M104" s="6"/>
    </row>
    <row r="105" ht="15.75" customHeight="1">
      <c r="A105" s="79">
        <v>45672.0</v>
      </c>
      <c r="B105" s="80" t="s">
        <v>26</v>
      </c>
      <c r="C105" s="68" t="s">
        <v>84</v>
      </c>
      <c r="D105" s="69" t="s">
        <v>99</v>
      </c>
      <c r="E105" s="70" t="s">
        <v>161</v>
      </c>
      <c r="F105" s="71">
        <v>45741.0</v>
      </c>
      <c r="G105" s="72">
        <v>1884650.46</v>
      </c>
      <c r="H105" s="73">
        <f t="shared" si="1"/>
        <v>395776.5966</v>
      </c>
      <c r="I105" s="72">
        <v>56539.51</v>
      </c>
      <c r="J105" s="72">
        <v>5653.95</v>
      </c>
      <c r="K105" s="74">
        <f t="shared" si="2"/>
        <v>2342620.517</v>
      </c>
      <c r="L105" s="67"/>
      <c r="M105" s="76">
        <v>45763.0</v>
      </c>
      <c r="N105" s="12"/>
    </row>
    <row r="106" ht="15.75" customHeight="1">
      <c r="A106" s="79">
        <v>45672.0</v>
      </c>
      <c r="B106" s="80" t="s">
        <v>26</v>
      </c>
      <c r="C106" s="68" t="s">
        <v>84</v>
      </c>
      <c r="D106" s="69" t="s">
        <v>99</v>
      </c>
      <c r="E106" s="68" t="s">
        <v>162</v>
      </c>
      <c r="F106" s="71">
        <v>45741.0</v>
      </c>
      <c r="G106" s="72">
        <v>1585990.15</v>
      </c>
      <c r="H106" s="73">
        <f t="shared" si="1"/>
        <v>333057.9315</v>
      </c>
      <c r="I106" s="72">
        <v>47579.7</v>
      </c>
      <c r="J106" s="72">
        <v>4757.97</v>
      </c>
      <c r="K106" s="74">
        <f t="shared" si="2"/>
        <v>1971385.752</v>
      </c>
      <c r="L106" s="77"/>
      <c r="M106" s="76">
        <v>45818.0</v>
      </c>
    </row>
    <row r="107" ht="15.75" customHeight="1">
      <c r="A107" s="78">
        <v>45672.0</v>
      </c>
      <c r="B107" s="19" t="s">
        <v>26</v>
      </c>
      <c r="C107" s="34" t="s">
        <v>163</v>
      </c>
      <c r="D107" s="32" t="s">
        <v>99</v>
      </c>
      <c r="E107" s="34" t="s">
        <v>164</v>
      </c>
      <c r="F107" s="36">
        <v>45741.0</v>
      </c>
      <c r="G107" s="22">
        <v>1608940.28</v>
      </c>
      <c r="H107" s="14">
        <f t="shared" si="1"/>
        <v>337877.4588</v>
      </c>
      <c r="I107" s="22">
        <v>48268.21</v>
      </c>
      <c r="J107" s="14"/>
      <c r="K107" s="15">
        <f t="shared" si="2"/>
        <v>1995085.949</v>
      </c>
      <c r="L107" s="18"/>
      <c r="M107" s="11">
        <v>45768.0</v>
      </c>
    </row>
    <row r="108" ht="15.75" customHeight="1">
      <c r="A108" s="78">
        <v>45672.0</v>
      </c>
      <c r="B108" s="19" t="s">
        <v>26</v>
      </c>
      <c r="C108" s="34" t="s">
        <v>163</v>
      </c>
      <c r="D108" s="32" t="s">
        <v>99</v>
      </c>
      <c r="E108" s="20" t="s">
        <v>165</v>
      </c>
      <c r="F108" s="36">
        <v>45741.0</v>
      </c>
      <c r="G108" s="22">
        <v>2009680.19</v>
      </c>
      <c r="H108" s="14">
        <f t="shared" si="1"/>
        <v>422032.8399</v>
      </c>
      <c r="I108" s="22">
        <v>60290.41</v>
      </c>
      <c r="J108" s="45"/>
      <c r="K108" s="15">
        <f t="shared" si="2"/>
        <v>2492003.44</v>
      </c>
      <c r="L108" s="18"/>
      <c r="M108" s="11">
        <v>45768.0</v>
      </c>
    </row>
    <row r="109" ht="15.75" customHeight="1">
      <c r="A109" s="78">
        <v>45672.0</v>
      </c>
      <c r="B109" s="19" t="s">
        <v>26</v>
      </c>
      <c r="C109" s="34" t="s">
        <v>55</v>
      </c>
      <c r="D109" s="32" t="s">
        <v>99</v>
      </c>
      <c r="E109" s="20" t="s">
        <v>166</v>
      </c>
      <c r="F109" s="36">
        <v>45741.0</v>
      </c>
      <c r="G109" s="22">
        <v>1.184583005E7</v>
      </c>
      <c r="H109" s="14">
        <f t="shared" si="1"/>
        <v>2487624.311</v>
      </c>
      <c r="I109" s="22">
        <v>355374.9</v>
      </c>
      <c r="J109" s="22">
        <v>592291.5</v>
      </c>
      <c r="K109" s="15">
        <f t="shared" si="2"/>
        <v>15281120.76</v>
      </c>
      <c r="L109" s="18"/>
      <c r="M109" s="24">
        <v>45751.0</v>
      </c>
    </row>
    <row r="110" ht="15.75" customHeight="1">
      <c r="A110" s="78">
        <v>45672.0</v>
      </c>
      <c r="B110" s="19" t="s">
        <v>13</v>
      </c>
      <c r="C110" s="34" t="s">
        <v>55</v>
      </c>
      <c r="D110" s="32" t="s">
        <v>99</v>
      </c>
      <c r="E110" s="20" t="s">
        <v>167</v>
      </c>
      <c r="F110" s="36">
        <v>45741.0</v>
      </c>
      <c r="G110" s="22">
        <v>8272790.18</v>
      </c>
      <c r="H110" s="14">
        <f t="shared" si="1"/>
        <v>1737285.938</v>
      </c>
      <c r="I110" s="45"/>
      <c r="J110" s="22">
        <v>413639.51</v>
      </c>
      <c r="K110" s="15">
        <f t="shared" si="2"/>
        <v>10423715.63</v>
      </c>
      <c r="L110" s="18"/>
      <c r="M110" s="11">
        <v>45751.0</v>
      </c>
    </row>
    <row r="111" ht="15.75" customHeight="1">
      <c r="A111" s="78">
        <v>45783.0</v>
      </c>
      <c r="B111" s="32"/>
      <c r="C111" s="32" t="s">
        <v>168</v>
      </c>
      <c r="D111" s="32" t="s">
        <v>15</v>
      </c>
      <c r="E111" s="32" t="s">
        <v>169</v>
      </c>
      <c r="F111" s="46">
        <v>45802.0</v>
      </c>
      <c r="G111" s="22">
        <v>1.273076008E7</v>
      </c>
      <c r="H111" s="14">
        <f t="shared" si="1"/>
        <v>2673459.617</v>
      </c>
      <c r="I111" s="22">
        <v>381922.8</v>
      </c>
      <c r="J111" s="14"/>
      <c r="K111" s="15">
        <f t="shared" si="2"/>
        <v>15786142.5</v>
      </c>
      <c r="L111" s="45"/>
      <c r="M111" s="6"/>
    </row>
    <row r="112" ht="15.75" customHeight="1">
      <c r="A112" s="81">
        <v>45888.0</v>
      </c>
      <c r="B112" s="64"/>
      <c r="C112" s="57" t="s">
        <v>137</v>
      </c>
      <c r="D112" s="58" t="s">
        <v>15</v>
      </c>
      <c r="E112" s="57" t="s">
        <v>170</v>
      </c>
      <c r="F112" s="58" t="s">
        <v>139</v>
      </c>
      <c r="G112" s="65">
        <v>1.159032036E7</v>
      </c>
      <c r="H112" s="9">
        <f t="shared" si="1"/>
        <v>2433967.276</v>
      </c>
      <c r="I112" s="56"/>
      <c r="J112" s="44">
        <v>231806.41</v>
      </c>
      <c r="K112" s="10">
        <f t="shared" si="2"/>
        <v>14256094.05</v>
      </c>
      <c r="L112" s="61"/>
      <c r="M112" s="62"/>
    </row>
    <row r="113" ht="15.75" customHeight="1">
      <c r="A113" s="78">
        <v>45797.0</v>
      </c>
      <c r="B113" s="50"/>
      <c r="C113" s="31" t="s">
        <v>171</v>
      </c>
      <c r="D113" s="32" t="s">
        <v>15</v>
      </c>
      <c r="E113" s="31" t="s">
        <v>172</v>
      </c>
      <c r="F113" s="46">
        <v>45802.0</v>
      </c>
      <c r="G113" s="22">
        <v>1.201408991E7</v>
      </c>
      <c r="H113" s="14">
        <f t="shared" si="1"/>
        <v>2522958.881</v>
      </c>
      <c r="I113" s="14"/>
      <c r="J113" s="14"/>
      <c r="K113" s="15">
        <f t="shared" si="2"/>
        <v>14537048.79</v>
      </c>
      <c r="L113" s="45"/>
      <c r="M113" s="6"/>
    </row>
    <row r="114" ht="15.75" customHeight="1">
      <c r="A114" s="78">
        <v>45797.0</v>
      </c>
      <c r="B114" s="50"/>
      <c r="C114" s="31" t="s">
        <v>171</v>
      </c>
      <c r="D114" s="32" t="s">
        <v>15</v>
      </c>
      <c r="E114" s="31" t="s">
        <v>173</v>
      </c>
      <c r="F114" s="46">
        <v>45802.0</v>
      </c>
      <c r="G114" s="22">
        <v>1.228674011E7</v>
      </c>
      <c r="H114" s="14">
        <f t="shared" si="1"/>
        <v>2580215.423</v>
      </c>
      <c r="I114" s="14"/>
      <c r="J114" s="14"/>
      <c r="K114" s="15">
        <f t="shared" si="2"/>
        <v>14866955.53</v>
      </c>
      <c r="L114" s="45"/>
      <c r="M114" s="6"/>
    </row>
    <row r="115" ht="15.75" customHeight="1">
      <c r="A115" s="82">
        <v>45672.0</v>
      </c>
      <c r="B115" s="25" t="s">
        <v>13</v>
      </c>
      <c r="C115" s="34" t="s">
        <v>66</v>
      </c>
      <c r="D115" s="35" t="s">
        <v>99</v>
      </c>
      <c r="E115" s="20" t="s">
        <v>174</v>
      </c>
      <c r="F115" s="46">
        <v>45772.0</v>
      </c>
      <c r="G115" s="22">
        <v>1.276462205E7</v>
      </c>
      <c r="H115" s="14">
        <f t="shared" si="1"/>
        <v>2680570.631</v>
      </c>
      <c r="I115" s="22">
        <v>382938.66</v>
      </c>
      <c r="J115" s="22">
        <v>127646.22</v>
      </c>
      <c r="K115" s="15">
        <f t="shared" si="2"/>
        <v>15955777.56</v>
      </c>
      <c r="L115" s="38"/>
      <c r="M115" s="24">
        <v>45820.0</v>
      </c>
    </row>
    <row r="116" ht="15.75" customHeight="1">
      <c r="A116" s="82">
        <v>45672.0</v>
      </c>
      <c r="B116" s="25" t="s">
        <v>13</v>
      </c>
      <c r="C116" s="34" t="s">
        <v>66</v>
      </c>
      <c r="D116" s="35" t="s">
        <v>99</v>
      </c>
      <c r="E116" s="34" t="s">
        <v>175</v>
      </c>
      <c r="F116" s="46">
        <v>45772.0</v>
      </c>
      <c r="G116" s="22">
        <v>1.439291207E7</v>
      </c>
      <c r="H116" s="14">
        <f t="shared" si="1"/>
        <v>3022511.535</v>
      </c>
      <c r="I116" s="22">
        <v>431787.36</v>
      </c>
      <c r="J116" s="22">
        <v>143929.12</v>
      </c>
      <c r="K116" s="15">
        <f t="shared" si="2"/>
        <v>17991140.08</v>
      </c>
      <c r="L116" s="18"/>
      <c r="M116" s="24">
        <v>45820.0</v>
      </c>
    </row>
    <row r="117" ht="15.75" customHeight="1">
      <c r="A117" s="82">
        <v>45672.0</v>
      </c>
      <c r="B117" s="25" t="s">
        <v>13</v>
      </c>
      <c r="C117" s="34" t="s">
        <v>66</v>
      </c>
      <c r="D117" s="35" t="s">
        <v>99</v>
      </c>
      <c r="E117" s="34" t="s">
        <v>176</v>
      </c>
      <c r="F117" s="46">
        <v>45772.0</v>
      </c>
      <c r="G117" s="22">
        <v>6221281.07</v>
      </c>
      <c r="H117" s="14">
        <f t="shared" si="1"/>
        <v>1306469.025</v>
      </c>
      <c r="I117" s="14"/>
      <c r="J117" s="22">
        <v>62212.81</v>
      </c>
      <c r="K117" s="15">
        <f t="shared" si="2"/>
        <v>7589962.905</v>
      </c>
      <c r="L117" s="18"/>
      <c r="M117" s="24">
        <v>45820.0</v>
      </c>
    </row>
    <row r="118" ht="15.75" customHeight="1">
      <c r="A118" s="78">
        <v>45672.0</v>
      </c>
      <c r="B118" s="19" t="s">
        <v>13</v>
      </c>
      <c r="C118" s="34" t="s">
        <v>66</v>
      </c>
      <c r="D118" s="35" t="s">
        <v>99</v>
      </c>
      <c r="E118" s="20" t="s">
        <v>177</v>
      </c>
      <c r="F118" s="46">
        <v>45772.0</v>
      </c>
      <c r="G118" s="22">
        <v>6100881.41</v>
      </c>
      <c r="H118" s="14">
        <f t="shared" si="1"/>
        <v>1281185.096</v>
      </c>
      <c r="I118" s="45"/>
      <c r="J118" s="45"/>
      <c r="K118" s="15">
        <f t="shared" si="2"/>
        <v>7382066.506</v>
      </c>
      <c r="L118" s="18"/>
      <c r="M118" s="24">
        <v>45684.0</v>
      </c>
    </row>
    <row r="119" ht="15.75" customHeight="1">
      <c r="A119" s="78">
        <v>45673.0</v>
      </c>
      <c r="B119" s="19" t="s">
        <v>13</v>
      </c>
      <c r="C119" s="34" t="s">
        <v>66</v>
      </c>
      <c r="D119" s="35" t="s">
        <v>99</v>
      </c>
      <c r="E119" s="20" t="s">
        <v>178</v>
      </c>
      <c r="F119" s="46">
        <v>45772.0</v>
      </c>
      <c r="G119" s="22">
        <v>5927281.62</v>
      </c>
      <c r="H119" s="14">
        <f t="shared" si="1"/>
        <v>1244729.14</v>
      </c>
      <c r="I119" s="22">
        <v>177818.45</v>
      </c>
      <c r="J119" s="22">
        <v>59272.82</v>
      </c>
      <c r="K119" s="15">
        <f t="shared" si="2"/>
        <v>7409102.03</v>
      </c>
      <c r="L119" s="18"/>
      <c r="M119" s="24">
        <v>45684.0</v>
      </c>
    </row>
    <row r="120" ht="15.75" customHeight="1">
      <c r="A120" s="78">
        <v>45673.0</v>
      </c>
      <c r="B120" s="19" t="s">
        <v>179</v>
      </c>
      <c r="C120" s="34" t="s">
        <v>66</v>
      </c>
      <c r="D120" s="35" t="s">
        <v>99</v>
      </c>
      <c r="E120" s="20" t="s">
        <v>180</v>
      </c>
      <c r="F120" s="46">
        <v>45772.0</v>
      </c>
      <c r="G120" s="22">
        <v>4938281.25</v>
      </c>
      <c r="H120" s="14">
        <f t="shared" si="1"/>
        <v>1037039.063</v>
      </c>
      <c r="I120" s="45"/>
      <c r="J120" s="22">
        <v>49382.81</v>
      </c>
      <c r="K120" s="15">
        <f t="shared" si="2"/>
        <v>6024703.123</v>
      </c>
      <c r="L120" s="18"/>
      <c r="M120" s="24">
        <v>45685.0</v>
      </c>
    </row>
    <row r="121" ht="15.75" customHeight="1">
      <c r="A121" s="82">
        <v>45673.0</v>
      </c>
      <c r="B121" s="25" t="s">
        <v>13</v>
      </c>
      <c r="C121" s="34" t="s">
        <v>108</v>
      </c>
      <c r="D121" s="35" t="s">
        <v>99</v>
      </c>
      <c r="E121" s="20" t="s">
        <v>181</v>
      </c>
      <c r="F121" s="46">
        <v>45772.0</v>
      </c>
      <c r="G121" s="22">
        <v>7635352.15</v>
      </c>
      <c r="H121" s="14">
        <f t="shared" si="1"/>
        <v>1603423.952</v>
      </c>
      <c r="I121" s="22">
        <v>229060.56</v>
      </c>
      <c r="J121" s="45"/>
      <c r="K121" s="15">
        <f t="shared" si="2"/>
        <v>9467836.662</v>
      </c>
      <c r="L121" s="18"/>
      <c r="M121" s="6"/>
    </row>
    <row r="122" ht="15.75" customHeight="1">
      <c r="A122" s="82">
        <v>45673.0</v>
      </c>
      <c r="B122" s="25" t="s">
        <v>13</v>
      </c>
      <c r="C122" s="34" t="s">
        <v>108</v>
      </c>
      <c r="D122" s="35" t="s">
        <v>99</v>
      </c>
      <c r="E122" s="20" t="s">
        <v>182</v>
      </c>
      <c r="F122" s="46">
        <v>45772.0</v>
      </c>
      <c r="G122" s="22">
        <v>3827271.81</v>
      </c>
      <c r="H122" s="14">
        <f t="shared" si="1"/>
        <v>803727.0801</v>
      </c>
      <c r="I122" s="22">
        <v>114818.15</v>
      </c>
      <c r="J122" s="45"/>
      <c r="K122" s="15">
        <f t="shared" si="2"/>
        <v>4745817.04</v>
      </c>
      <c r="L122" s="18"/>
      <c r="M122" s="6"/>
    </row>
    <row r="123" ht="15.75" customHeight="1">
      <c r="A123" s="82">
        <v>45673.0</v>
      </c>
      <c r="B123" s="25" t="s">
        <v>13</v>
      </c>
      <c r="C123" s="34" t="s">
        <v>108</v>
      </c>
      <c r="D123" s="35" t="s">
        <v>99</v>
      </c>
      <c r="E123" s="20" t="s">
        <v>183</v>
      </c>
      <c r="F123" s="46">
        <v>45772.0</v>
      </c>
      <c r="G123" s="22">
        <v>2734646.11</v>
      </c>
      <c r="H123" s="14">
        <f t="shared" si="1"/>
        <v>574275.6831</v>
      </c>
      <c r="I123" s="22"/>
      <c r="J123" s="45"/>
      <c r="K123" s="15">
        <f t="shared" si="2"/>
        <v>3308921.793</v>
      </c>
      <c r="L123" s="18"/>
      <c r="M123" s="6"/>
    </row>
    <row r="124" ht="15.75" customHeight="1">
      <c r="A124" s="78">
        <v>45673.0</v>
      </c>
      <c r="B124" s="19" t="s">
        <v>179</v>
      </c>
      <c r="C124" s="34" t="s">
        <v>108</v>
      </c>
      <c r="D124" s="35" t="s">
        <v>99</v>
      </c>
      <c r="E124" s="34" t="s">
        <v>184</v>
      </c>
      <c r="F124" s="46">
        <v>45772.0</v>
      </c>
      <c r="G124" s="22">
        <v>2726261.24</v>
      </c>
      <c r="H124" s="14">
        <f t="shared" si="1"/>
        <v>572514.8604</v>
      </c>
      <c r="I124" s="22"/>
      <c r="J124" s="14"/>
      <c r="K124" s="15">
        <f t="shared" si="2"/>
        <v>3298776.1</v>
      </c>
      <c r="L124" s="18"/>
      <c r="M124" s="24">
        <v>45685.0</v>
      </c>
    </row>
    <row r="125" ht="15.75" customHeight="1">
      <c r="A125" s="82">
        <v>45673.0</v>
      </c>
      <c r="B125" s="25" t="s">
        <v>13</v>
      </c>
      <c r="C125" s="34" t="s">
        <v>108</v>
      </c>
      <c r="D125" s="35" t="s">
        <v>99</v>
      </c>
      <c r="E125" s="34" t="s">
        <v>185</v>
      </c>
      <c r="F125" s="46">
        <v>45772.0</v>
      </c>
      <c r="G125" s="22">
        <v>1987837.85</v>
      </c>
      <c r="H125" s="14">
        <f t="shared" si="1"/>
        <v>417445.9485</v>
      </c>
      <c r="I125" s="22">
        <v>59635.14</v>
      </c>
      <c r="J125" s="14"/>
      <c r="K125" s="15">
        <f t="shared" si="2"/>
        <v>2464918.939</v>
      </c>
      <c r="L125" s="18"/>
      <c r="M125" s="6"/>
    </row>
    <row r="126" ht="15.75" customHeight="1">
      <c r="A126" s="82">
        <v>45673.0</v>
      </c>
      <c r="B126" s="25" t="s">
        <v>13</v>
      </c>
      <c r="C126" s="34" t="s">
        <v>108</v>
      </c>
      <c r="D126" s="35" t="s">
        <v>99</v>
      </c>
      <c r="E126" s="20" t="s">
        <v>186</v>
      </c>
      <c r="F126" s="46">
        <v>45772.0</v>
      </c>
      <c r="G126" s="22">
        <v>2827372.41</v>
      </c>
      <c r="H126" s="14">
        <f t="shared" si="1"/>
        <v>593748.2061</v>
      </c>
      <c r="I126" s="45"/>
      <c r="J126" s="45"/>
      <c r="K126" s="15">
        <f t="shared" si="2"/>
        <v>3421120.616</v>
      </c>
      <c r="L126" s="38"/>
      <c r="M126" s="6"/>
    </row>
    <row r="127" ht="15.75" customHeight="1">
      <c r="A127" s="82">
        <v>45673.0</v>
      </c>
      <c r="B127" s="25" t="s">
        <v>13</v>
      </c>
      <c r="C127" s="34" t="s">
        <v>93</v>
      </c>
      <c r="D127" s="35" t="s">
        <v>99</v>
      </c>
      <c r="E127" s="20" t="s">
        <v>187</v>
      </c>
      <c r="F127" s="46">
        <v>45772.0</v>
      </c>
      <c r="G127" s="22">
        <v>9337271.23</v>
      </c>
      <c r="H127" s="14">
        <f t="shared" si="1"/>
        <v>1960826.958</v>
      </c>
      <c r="I127" s="22">
        <v>280118.14</v>
      </c>
      <c r="J127" s="45"/>
      <c r="K127" s="15">
        <f t="shared" si="2"/>
        <v>11578216.33</v>
      </c>
      <c r="L127" s="38"/>
      <c r="M127" s="6"/>
    </row>
    <row r="128" ht="15.75" customHeight="1">
      <c r="A128" s="82">
        <v>45673.0</v>
      </c>
      <c r="B128" s="25" t="s">
        <v>13</v>
      </c>
      <c r="C128" s="34" t="s">
        <v>93</v>
      </c>
      <c r="D128" s="35" t="s">
        <v>99</v>
      </c>
      <c r="E128" s="20" t="s">
        <v>188</v>
      </c>
      <c r="F128" s="46">
        <v>45772.0</v>
      </c>
      <c r="G128" s="22">
        <v>1.033271201E7</v>
      </c>
      <c r="H128" s="14">
        <f t="shared" si="1"/>
        <v>2169869.522</v>
      </c>
      <c r="I128" s="22">
        <v>309981.36</v>
      </c>
      <c r="J128" s="45"/>
      <c r="K128" s="15">
        <f t="shared" si="2"/>
        <v>12812562.89</v>
      </c>
      <c r="L128" s="18"/>
      <c r="M128" s="6"/>
    </row>
    <row r="129" ht="15.75" customHeight="1">
      <c r="A129" s="82">
        <v>45673.0</v>
      </c>
      <c r="B129" s="25" t="s">
        <v>13</v>
      </c>
      <c r="C129" s="34" t="s">
        <v>93</v>
      </c>
      <c r="D129" s="35" t="s">
        <v>99</v>
      </c>
      <c r="E129" s="20" t="s">
        <v>189</v>
      </c>
      <c r="F129" s="46">
        <v>45772.0</v>
      </c>
      <c r="G129" s="22">
        <v>3382711.06</v>
      </c>
      <c r="H129" s="14">
        <f t="shared" si="1"/>
        <v>710369.3226</v>
      </c>
      <c r="I129" s="22"/>
      <c r="J129" s="45"/>
      <c r="K129" s="15">
        <f t="shared" si="2"/>
        <v>4093080.383</v>
      </c>
      <c r="L129" s="18"/>
      <c r="M129" s="6"/>
    </row>
    <row r="130" ht="15.75" customHeight="1">
      <c r="A130" s="82">
        <v>45673.0</v>
      </c>
      <c r="B130" s="25" t="s">
        <v>13</v>
      </c>
      <c r="C130" s="34" t="s">
        <v>93</v>
      </c>
      <c r="D130" s="35" t="s">
        <v>99</v>
      </c>
      <c r="E130" s="20" t="s">
        <v>190</v>
      </c>
      <c r="F130" s="46">
        <v>45772.0</v>
      </c>
      <c r="G130" s="22">
        <v>4337271.16</v>
      </c>
      <c r="H130" s="14">
        <f t="shared" si="1"/>
        <v>910826.9436</v>
      </c>
      <c r="I130" s="22"/>
      <c r="J130" s="45"/>
      <c r="K130" s="15">
        <f t="shared" si="2"/>
        <v>5248098.104</v>
      </c>
      <c r="L130" s="6"/>
      <c r="M130" s="6"/>
    </row>
    <row r="131" ht="15.75" customHeight="1">
      <c r="A131" s="78">
        <v>45674.0</v>
      </c>
      <c r="B131" s="19" t="s">
        <v>13</v>
      </c>
      <c r="C131" s="34" t="s">
        <v>93</v>
      </c>
      <c r="D131" s="35" t="s">
        <v>99</v>
      </c>
      <c r="E131" s="20" t="s">
        <v>191</v>
      </c>
      <c r="F131" s="46">
        <v>45772.0</v>
      </c>
      <c r="G131" s="22">
        <v>2891918.58</v>
      </c>
      <c r="H131" s="14">
        <f t="shared" si="1"/>
        <v>607302.9018</v>
      </c>
      <c r="I131" s="22">
        <v>86757.56</v>
      </c>
      <c r="J131" s="45"/>
      <c r="K131" s="15">
        <f t="shared" si="2"/>
        <v>3585979.042</v>
      </c>
      <c r="L131" s="6"/>
      <c r="M131" s="24">
        <v>45685.0</v>
      </c>
    </row>
    <row r="132" ht="15.75" customHeight="1">
      <c r="A132" s="82">
        <v>45674.0</v>
      </c>
      <c r="B132" s="25" t="s">
        <v>13</v>
      </c>
      <c r="C132" s="34" t="s">
        <v>93</v>
      </c>
      <c r="D132" s="35" t="s">
        <v>99</v>
      </c>
      <c r="E132" s="20" t="s">
        <v>192</v>
      </c>
      <c r="F132" s="46">
        <v>45772.0</v>
      </c>
      <c r="G132" s="22">
        <v>3102928.16</v>
      </c>
      <c r="H132" s="14">
        <f t="shared" si="1"/>
        <v>651614.9136</v>
      </c>
      <c r="I132" s="14"/>
      <c r="J132" s="14"/>
      <c r="K132" s="15">
        <f t="shared" si="2"/>
        <v>3754543.074</v>
      </c>
      <c r="L132" s="6"/>
      <c r="M132" s="6"/>
    </row>
    <row r="133" ht="15.75" customHeight="1">
      <c r="A133" s="82">
        <v>45674.0</v>
      </c>
      <c r="B133" s="25" t="s">
        <v>13</v>
      </c>
      <c r="C133" s="6" t="s">
        <v>193</v>
      </c>
      <c r="D133" s="6" t="s">
        <v>17</v>
      </c>
      <c r="E133" s="6"/>
      <c r="F133" s="13">
        <v>45658.0</v>
      </c>
      <c r="G133" s="15">
        <v>2264820.45</v>
      </c>
      <c r="H133" s="15">
        <f t="shared" si="1"/>
        <v>475612.2945</v>
      </c>
      <c r="I133" s="15"/>
      <c r="J133" s="15">
        <v>18118.56</v>
      </c>
      <c r="K133" s="15">
        <f t="shared" si="2"/>
        <v>2758551.305</v>
      </c>
      <c r="L133" s="7"/>
      <c r="M133" s="7"/>
    </row>
    <row r="134" ht="15.75" customHeight="1">
      <c r="A134" s="82">
        <v>45674.0</v>
      </c>
      <c r="B134" s="25" t="s">
        <v>13</v>
      </c>
      <c r="C134" s="6" t="s">
        <v>193</v>
      </c>
      <c r="D134" s="6" t="s">
        <v>17</v>
      </c>
      <c r="E134" s="6"/>
      <c r="F134" s="13">
        <v>45658.0</v>
      </c>
      <c r="G134" s="15">
        <v>6711770.93</v>
      </c>
      <c r="H134" s="15">
        <f t="shared" si="1"/>
        <v>1409471.895</v>
      </c>
      <c r="I134" s="15"/>
      <c r="J134" s="15">
        <v>53694.17</v>
      </c>
      <c r="K134" s="15">
        <f t="shared" si="2"/>
        <v>8174936.995</v>
      </c>
      <c r="L134" s="83"/>
      <c r="M134" s="7"/>
    </row>
    <row r="135" ht="15.75" customHeight="1">
      <c r="A135" s="82">
        <v>45674.0</v>
      </c>
      <c r="B135" s="25" t="s">
        <v>13</v>
      </c>
      <c r="C135" s="6" t="s">
        <v>194</v>
      </c>
      <c r="D135" s="6" t="s">
        <v>17</v>
      </c>
      <c r="E135" s="6"/>
      <c r="F135" s="13">
        <v>45658.0</v>
      </c>
      <c r="G135" s="15">
        <v>1.000853236E7</v>
      </c>
      <c r="H135" s="15">
        <f t="shared" si="1"/>
        <v>2101791.796</v>
      </c>
      <c r="I135" s="15"/>
      <c r="J135" s="15">
        <v>50042.66</v>
      </c>
      <c r="K135" s="15">
        <f t="shared" si="2"/>
        <v>12160366.82</v>
      </c>
      <c r="L135" s="83"/>
      <c r="M135" s="7"/>
    </row>
    <row r="136" ht="15.75" customHeight="1">
      <c r="A136" s="78">
        <v>45797.0</v>
      </c>
      <c r="B136" s="50"/>
      <c r="C136" s="31" t="s">
        <v>171</v>
      </c>
      <c r="D136" s="32" t="s">
        <v>15</v>
      </c>
      <c r="E136" s="31" t="s">
        <v>195</v>
      </c>
      <c r="F136" s="46">
        <v>45802.0</v>
      </c>
      <c r="G136" s="22">
        <v>1.069975418E7</v>
      </c>
      <c r="H136" s="14">
        <f t="shared" si="1"/>
        <v>2246948.378</v>
      </c>
      <c r="I136" s="14"/>
      <c r="J136" s="14"/>
      <c r="K136" s="15">
        <f t="shared" si="2"/>
        <v>12946702.56</v>
      </c>
      <c r="L136" s="45"/>
      <c r="M136" s="6"/>
    </row>
    <row r="137" ht="15.75" customHeight="1">
      <c r="A137" s="78">
        <v>45797.0</v>
      </c>
      <c r="B137" s="50"/>
      <c r="C137" s="31" t="s">
        <v>196</v>
      </c>
      <c r="D137" s="32" t="s">
        <v>15</v>
      </c>
      <c r="E137" s="31" t="s">
        <v>197</v>
      </c>
      <c r="F137" s="46">
        <v>45802.0</v>
      </c>
      <c r="G137" s="22">
        <v>5009390.17</v>
      </c>
      <c r="H137" s="14">
        <f t="shared" si="1"/>
        <v>1051971.936</v>
      </c>
      <c r="I137" s="14"/>
      <c r="J137" s="22">
        <v>40075.12</v>
      </c>
      <c r="K137" s="15">
        <f t="shared" si="2"/>
        <v>6101437.226</v>
      </c>
      <c r="L137" s="45"/>
      <c r="M137" s="6"/>
    </row>
    <row r="138" ht="15.75" customHeight="1">
      <c r="A138" s="78">
        <v>45798.0</v>
      </c>
      <c r="B138" s="50"/>
      <c r="C138" s="31" t="s">
        <v>196</v>
      </c>
      <c r="D138" s="32" t="s">
        <v>15</v>
      </c>
      <c r="E138" s="31" t="s">
        <v>198</v>
      </c>
      <c r="F138" s="46">
        <v>45802.0</v>
      </c>
      <c r="G138" s="22">
        <v>-5009390.17</v>
      </c>
      <c r="H138" s="14">
        <f t="shared" si="1"/>
        <v>-1051971.936</v>
      </c>
      <c r="I138" s="14"/>
      <c r="J138" s="14"/>
      <c r="K138" s="15">
        <f t="shared" si="2"/>
        <v>-6061362.106</v>
      </c>
      <c r="L138" s="45"/>
      <c r="M138" s="6"/>
    </row>
    <row r="139" ht="15.75" customHeight="1">
      <c r="A139" s="78">
        <v>45680.0</v>
      </c>
      <c r="B139" s="19" t="s">
        <v>13</v>
      </c>
      <c r="C139" s="6" t="s">
        <v>16</v>
      </c>
      <c r="D139" s="6" t="s">
        <v>17</v>
      </c>
      <c r="E139" s="6"/>
      <c r="F139" s="13">
        <v>45658.0</v>
      </c>
      <c r="G139" s="14">
        <v>6612821.08</v>
      </c>
      <c r="H139" s="15">
        <f t="shared" si="1"/>
        <v>1388692.427</v>
      </c>
      <c r="I139" s="14">
        <v>198384.63</v>
      </c>
      <c r="J139" s="14"/>
      <c r="K139" s="15">
        <f t="shared" si="2"/>
        <v>8199898.137</v>
      </c>
      <c r="L139" s="18"/>
      <c r="M139" s="24">
        <v>45685.0</v>
      </c>
    </row>
    <row r="140" ht="15.75" customHeight="1">
      <c r="A140" s="78">
        <v>45798.0</v>
      </c>
      <c r="B140" s="50"/>
      <c r="C140" s="31" t="s">
        <v>171</v>
      </c>
      <c r="D140" s="32" t="s">
        <v>15</v>
      </c>
      <c r="E140" s="31" t="s">
        <v>199</v>
      </c>
      <c r="F140" s="46">
        <v>45802.0</v>
      </c>
      <c r="G140" s="22">
        <v>-1.069975418E7</v>
      </c>
      <c r="H140" s="14">
        <f t="shared" si="1"/>
        <v>-2246948.378</v>
      </c>
      <c r="I140" s="14"/>
      <c r="J140" s="14"/>
      <c r="K140" s="15">
        <f t="shared" si="2"/>
        <v>-12946702.56</v>
      </c>
      <c r="L140" s="45"/>
      <c r="M140" s="6"/>
    </row>
    <row r="141" ht="15.75" customHeight="1">
      <c r="A141" s="78">
        <v>45680.0</v>
      </c>
      <c r="B141" s="19" t="s">
        <v>13</v>
      </c>
      <c r="C141" s="6" t="s">
        <v>19</v>
      </c>
      <c r="D141" s="6" t="s">
        <v>17</v>
      </c>
      <c r="E141" s="6"/>
      <c r="F141" s="13">
        <v>45658.0</v>
      </c>
      <c r="G141" s="14">
        <v>1.701821079E7</v>
      </c>
      <c r="H141" s="14">
        <f t="shared" si="1"/>
        <v>3573824.266</v>
      </c>
      <c r="I141" s="14"/>
      <c r="J141" s="14">
        <v>680728.43</v>
      </c>
      <c r="K141" s="15">
        <f t="shared" si="2"/>
        <v>21272763.49</v>
      </c>
      <c r="L141" s="18"/>
      <c r="M141" s="24">
        <v>45685.0</v>
      </c>
    </row>
    <row r="142" ht="15.75" customHeight="1">
      <c r="A142" s="78">
        <v>45681.0</v>
      </c>
      <c r="B142" s="19" t="s">
        <v>200</v>
      </c>
      <c r="C142" s="6" t="s">
        <v>19</v>
      </c>
      <c r="D142" s="6" t="s">
        <v>17</v>
      </c>
      <c r="E142" s="6"/>
      <c r="F142" s="13">
        <v>45658.0</v>
      </c>
      <c r="G142" s="84">
        <v>1.798463035E7</v>
      </c>
      <c r="H142" s="15">
        <f t="shared" si="1"/>
        <v>3776772.374</v>
      </c>
      <c r="I142" s="14"/>
      <c r="J142" s="14">
        <v>719385.21</v>
      </c>
      <c r="K142" s="15">
        <f t="shared" si="2"/>
        <v>22480787.93</v>
      </c>
      <c r="L142" s="18"/>
      <c r="M142" s="11">
        <v>45682.0</v>
      </c>
    </row>
    <row r="143" ht="15.75" customHeight="1">
      <c r="A143" s="78">
        <v>45681.0</v>
      </c>
      <c r="B143" s="19" t="s">
        <v>200</v>
      </c>
      <c r="C143" s="6" t="s">
        <v>19</v>
      </c>
      <c r="D143" s="6" t="s">
        <v>17</v>
      </c>
      <c r="E143" s="6"/>
      <c r="F143" s="13">
        <v>45658.0</v>
      </c>
      <c r="G143" s="84">
        <v>1.833472012E7</v>
      </c>
      <c r="H143" s="15">
        <f t="shared" si="1"/>
        <v>3850291.225</v>
      </c>
      <c r="I143" s="14"/>
      <c r="J143" s="14">
        <v>733388.8</v>
      </c>
      <c r="K143" s="15">
        <f t="shared" si="2"/>
        <v>22918400.15</v>
      </c>
      <c r="L143" s="18"/>
      <c r="M143" s="11">
        <v>45682.0</v>
      </c>
    </row>
    <row r="144" ht="15.75" customHeight="1">
      <c r="A144" s="78">
        <v>45681.0</v>
      </c>
      <c r="B144" s="19" t="s">
        <v>200</v>
      </c>
      <c r="C144" s="6" t="s">
        <v>19</v>
      </c>
      <c r="D144" s="6" t="s">
        <v>17</v>
      </c>
      <c r="E144" s="6"/>
      <c r="F144" s="13">
        <v>45658.0</v>
      </c>
      <c r="G144" s="84">
        <v>1.666929076E7</v>
      </c>
      <c r="H144" s="15">
        <f t="shared" si="1"/>
        <v>3500551.06</v>
      </c>
      <c r="I144" s="14"/>
      <c r="J144" s="14">
        <v>666771.63</v>
      </c>
      <c r="K144" s="15">
        <f t="shared" si="2"/>
        <v>20836613.45</v>
      </c>
      <c r="L144" s="18"/>
      <c r="M144" s="11">
        <v>45682.0</v>
      </c>
    </row>
    <row r="145" ht="15.75" customHeight="1">
      <c r="A145" s="78">
        <v>45798.0</v>
      </c>
      <c r="B145" s="50"/>
      <c r="C145" s="31" t="s">
        <v>171</v>
      </c>
      <c r="D145" s="32" t="s">
        <v>15</v>
      </c>
      <c r="E145" s="31" t="s">
        <v>201</v>
      </c>
      <c r="F145" s="46">
        <v>45802.0</v>
      </c>
      <c r="G145" s="85">
        <v>-1.201408991E7</v>
      </c>
      <c r="H145" s="14">
        <f t="shared" si="1"/>
        <v>-2522958.881</v>
      </c>
      <c r="I145" s="14"/>
      <c r="J145" s="14"/>
      <c r="K145" s="15">
        <f t="shared" si="2"/>
        <v>-14537048.79</v>
      </c>
      <c r="L145" s="45"/>
      <c r="M145" s="6"/>
    </row>
    <row r="146" ht="15.75" customHeight="1">
      <c r="A146" s="78">
        <v>45798.0</v>
      </c>
      <c r="B146" s="50"/>
      <c r="C146" s="31" t="s">
        <v>171</v>
      </c>
      <c r="D146" s="32" t="s">
        <v>15</v>
      </c>
      <c r="E146" s="31" t="s">
        <v>202</v>
      </c>
      <c r="F146" s="46">
        <v>45802.0</v>
      </c>
      <c r="G146" s="85">
        <v>-1.228674011E7</v>
      </c>
      <c r="H146" s="14">
        <f t="shared" si="1"/>
        <v>-2580215.423</v>
      </c>
      <c r="I146" s="14"/>
      <c r="J146" s="14"/>
      <c r="K146" s="15">
        <f t="shared" si="2"/>
        <v>-14866955.53</v>
      </c>
      <c r="L146" s="45"/>
      <c r="M146" s="6"/>
    </row>
    <row r="147" ht="15.75" customHeight="1">
      <c r="A147" s="82">
        <v>45798.0</v>
      </c>
      <c r="B147" s="56"/>
      <c r="C147" s="57" t="s">
        <v>203</v>
      </c>
      <c r="D147" s="58" t="s">
        <v>15</v>
      </c>
      <c r="E147" s="57" t="s">
        <v>204</v>
      </c>
      <c r="F147" s="59">
        <v>45802.0</v>
      </c>
      <c r="G147" s="86">
        <v>3125020.41</v>
      </c>
      <c r="H147" s="9">
        <f t="shared" si="1"/>
        <v>656254.2861</v>
      </c>
      <c r="I147" s="60"/>
      <c r="J147" s="60"/>
      <c r="K147" s="10">
        <f t="shared" si="2"/>
        <v>3781274.696</v>
      </c>
      <c r="L147" s="61"/>
      <c r="M147" s="62"/>
    </row>
    <row r="148" ht="15.75" customHeight="1">
      <c r="A148" s="78">
        <v>45877.0</v>
      </c>
      <c r="B148" s="87"/>
      <c r="C148" s="31" t="s">
        <v>171</v>
      </c>
      <c r="D148" s="32" t="s">
        <v>99</v>
      </c>
      <c r="E148" s="31" t="s">
        <v>205</v>
      </c>
      <c r="F148" s="32" t="s">
        <v>139</v>
      </c>
      <c r="G148" s="88">
        <v>8337362.08</v>
      </c>
      <c r="H148" s="14">
        <f t="shared" si="1"/>
        <v>1750846.037</v>
      </c>
      <c r="I148" s="50"/>
      <c r="J148" s="14"/>
      <c r="K148" s="15">
        <f t="shared" si="2"/>
        <v>10088208.12</v>
      </c>
      <c r="L148" s="45"/>
      <c r="M148" s="19" t="s">
        <v>206</v>
      </c>
    </row>
    <row r="149" ht="15.75" customHeight="1">
      <c r="A149" s="78">
        <v>45908.0</v>
      </c>
      <c r="B149" s="87"/>
      <c r="C149" s="31" t="s">
        <v>171</v>
      </c>
      <c r="D149" s="32" t="s">
        <v>99</v>
      </c>
      <c r="E149" s="31" t="s">
        <v>207</v>
      </c>
      <c r="F149" s="32" t="s">
        <v>208</v>
      </c>
      <c r="G149" s="88">
        <v>1.100393242E7</v>
      </c>
      <c r="H149" s="14">
        <f t="shared" si="1"/>
        <v>2310825.808</v>
      </c>
      <c r="I149" s="89"/>
      <c r="J149" s="14"/>
      <c r="K149" s="15">
        <f t="shared" si="2"/>
        <v>13314758.23</v>
      </c>
      <c r="L149" s="45"/>
      <c r="M149" s="19" t="s">
        <v>206</v>
      </c>
    </row>
    <row r="150" ht="15.75" customHeight="1">
      <c r="A150" s="78">
        <v>45681.0</v>
      </c>
      <c r="B150" s="19" t="s">
        <v>179</v>
      </c>
      <c r="C150" s="6" t="s">
        <v>209</v>
      </c>
      <c r="D150" s="6" t="s">
        <v>17</v>
      </c>
      <c r="E150" s="6"/>
      <c r="F150" s="13">
        <v>45658.0</v>
      </c>
      <c r="G150" s="90">
        <v>1.014113177E7</v>
      </c>
      <c r="H150" s="15">
        <f t="shared" si="1"/>
        <v>2129637.672</v>
      </c>
      <c r="I150" s="14">
        <v>304233.95</v>
      </c>
      <c r="J150" s="14"/>
      <c r="K150" s="15">
        <f t="shared" si="2"/>
        <v>12575003.39</v>
      </c>
      <c r="L150" s="18"/>
      <c r="M150" s="24">
        <v>45685.0</v>
      </c>
    </row>
    <row r="151">
      <c r="A151" s="78">
        <v>45681.0</v>
      </c>
      <c r="B151" s="19" t="s">
        <v>179</v>
      </c>
      <c r="C151" s="6" t="s">
        <v>209</v>
      </c>
      <c r="D151" s="6" t="s">
        <v>17</v>
      </c>
      <c r="E151" s="6"/>
      <c r="F151" s="13">
        <v>45658.0</v>
      </c>
      <c r="G151" s="84">
        <v>1.193625448E7</v>
      </c>
      <c r="H151" s="15">
        <f t="shared" si="1"/>
        <v>2506613.441</v>
      </c>
      <c r="I151" s="84">
        <v>358087.63</v>
      </c>
      <c r="J151" s="14"/>
      <c r="K151" s="15">
        <f t="shared" si="2"/>
        <v>14800955.55</v>
      </c>
      <c r="L151" s="18"/>
      <c r="M151" s="24">
        <v>45685.0</v>
      </c>
    </row>
    <row r="152" ht="15.75" customHeight="1">
      <c r="A152" s="82">
        <v>45688.0</v>
      </c>
      <c r="B152" s="25" t="s">
        <v>13</v>
      </c>
      <c r="C152" s="6" t="s">
        <v>209</v>
      </c>
      <c r="D152" s="6" t="s">
        <v>17</v>
      </c>
      <c r="E152" s="6"/>
      <c r="F152" s="13">
        <v>45658.0</v>
      </c>
      <c r="G152" s="14">
        <v>1.192832319E7</v>
      </c>
      <c r="H152" s="15">
        <f t="shared" si="1"/>
        <v>2504947.87</v>
      </c>
      <c r="I152" s="14">
        <v>357849.7</v>
      </c>
      <c r="J152" s="14"/>
      <c r="K152" s="15">
        <f t="shared" si="2"/>
        <v>14791120.76</v>
      </c>
      <c r="L152" s="83"/>
      <c r="M152" s="7"/>
    </row>
    <row r="153" ht="15.75" customHeight="1">
      <c r="A153" s="78">
        <v>45688.0</v>
      </c>
      <c r="B153" s="19" t="s">
        <v>13</v>
      </c>
      <c r="C153" s="6" t="s">
        <v>210</v>
      </c>
      <c r="D153" s="6" t="s">
        <v>17</v>
      </c>
      <c r="E153" s="6"/>
      <c r="F153" s="13">
        <v>45658.0</v>
      </c>
      <c r="G153" s="14">
        <v>1.007896466E7</v>
      </c>
      <c r="H153" s="15">
        <f t="shared" si="1"/>
        <v>2116582.579</v>
      </c>
      <c r="I153" s="14">
        <v>302368.94</v>
      </c>
      <c r="J153" s="14"/>
      <c r="K153" s="15">
        <f t="shared" si="2"/>
        <v>12497916.18</v>
      </c>
      <c r="L153" s="18"/>
      <c r="M153" s="24">
        <v>45694.0</v>
      </c>
    </row>
    <row r="154" ht="15.75" customHeight="1">
      <c r="A154" s="78">
        <v>45688.0</v>
      </c>
      <c r="B154" s="19" t="s">
        <v>13</v>
      </c>
      <c r="C154" s="6" t="s">
        <v>210</v>
      </c>
      <c r="D154" s="6" t="s">
        <v>17</v>
      </c>
      <c r="E154" s="6"/>
      <c r="F154" s="13">
        <v>45658.0</v>
      </c>
      <c r="G154" s="14">
        <v>7651112.48</v>
      </c>
      <c r="H154" s="15">
        <f t="shared" si="1"/>
        <v>1606733.621</v>
      </c>
      <c r="I154" s="14">
        <v>229533.37</v>
      </c>
      <c r="J154" s="14"/>
      <c r="K154" s="15">
        <f t="shared" si="2"/>
        <v>9487379.471</v>
      </c>
      <c r="L154" s="18"/>
      <c r="M154" s="24">
        <v>45694.0</v>
      </c>
    </row>
    <row r="155" ht="15.75" customHeight="1">
      <c r="A155" s="78">
        <v>45688.0</v>
      </c>
      <c r="B155" s="19" t="s">
        <v>13</v>
      </c>
      <c r="C155" s="6" t="s">
        <v>210</v>
      </c>
      <c r="D155" s="6" t="s">
        <v>17</v>
      </c>
      <c r="E155" s="6"/>
      <c r="F155" s="13">
        <v>45658.0</v>
      </c>
      <c r="G155" s="14">
        <v>4899021.11</v>
      </c>
      <c r="H155" s="15">
        <f t="shared" si="1"/>
        <v>1028794.433</v>
      </c>
      <c r="I155" s="14">
        <v>34276.43</v>
      </c>
      <c r="J155" s="14"/>
      <c r="K155" s="15">
        <f t="shared" si="2"/>
        <v>5962091.973</v>
      </c>
      <c r="L155" s="18"/>
      <c r="M155" s="24">
        <v>45743.0</v>
      </c>
    </row>
    <row r="156" ht="15.75" customHeight="1">
      <c r="A156" s="78">
        <v>45688.0</v>
      </c>
      <c r="B156" s="19" t="s">
        <v>13</v>
      </c>
      <c r="C156" s="6" t="s">
        <v>211</v>
      </c>
      <c r="D156" s="6" t="s">
        <v>17</v>
      </c>
      <c r="E156" s="6"/>
      <c r="F156" s="13">
        <v>45658.0</v>
      </c>
      <c r="G156" s="14">
        <f>5011944.93/1.21</f>
        <v>4142103.248</v>
      </c>
      <c r="H156" s="15">
        <f t="shared" si="1"/>
        <v>869841.6821</v>
      </c>
      <c r="I156" s="14"/>
      <c r="J156" s="14">
        <v>449812.29</v>
      </c>
      <c r="K156" s="15">
        <f t="shared" si="2"/>
        <v>5461757.22</v>
      </c>
      <c r="L156" s="18">
        <f>425499+340399</f>
        <v>765898</v>
      </c>
      <c r="M156" s="24">
        <v>45708.0</v>
      </c>
    </row>
    <row r="157" ht="15.75" customHeight="1">
      <c r="A157" s="78">
        <v>45803.0</v>
      </c>
      <c r="B157" s="50"/>
      <c r="C157" s="31" t="s">
        <v>22</v>
      </c>
      <c r="D157" s="32" t="s">
        <v>15</v>
      </c>
      <c r="E157" s="91" t="s">
        <v>212</v>
      </c>
      <c r="F157" s="46">
        <v>45802.0</v>
      </c>
      <c r="G157" s="85">
        <v>1.387550573E7</v>
      </c>
      <c r="H157" s="14">
        <f t="shared" si="1"/>
        <v>2913856.203</v>
      </c>
      <c r="I157" s="22">
        <v>416265.17</v>
      </c>
      <c r="J157" s="22">
        <v>277510.11</v>
      </c>
      <c r="K157" s="15">
        <f t="shared" si="2"/>
        <v>17483137.21</v>
      </c>
      <c r="L157" s="45"/>
      <c r="M157" s="6"/>
    </row>
    <row r="158" ht="15.75" customHeight="1">
      <c r="A158" s="78">
        <v>45803.0</v>
      </c>
      <c r="B158" s="50"/>
      <c r="C158" s="31" t="s">
        <v>22</v>
      </c>
      <c r="D158" s="32" t="s">
        <v>15</v>
      </c>
      <c r="E158" s="92" t="s">
        <v>213</v>
      </c>
      <c r="F158" s="46">
        <v>45802.0</v>
      </c>
      <c r="G158" s="85">
        <v>1.737673482E7</v>
      </c>
      <c r="H158" s="14">
        <f t="shared" si="1"/>
        <v>3649114.312</v>
      </c>
      <c r="I158" s="22">
        <v>521302.04</v>
      </c>
      <c r="J158" s="22">
        <v>347534.7</v>
      </c>
      <c r="K158" s="15">
        <f t="shared" si="2"/>
        <v>21894685.87</v>
      </c>
      <c r="L158" s="45"/>
      <c r="M158" s="6"/>
    </row>
    <row r="159" ht="15.75" customHeight="1">
      <c r="A159" s="78">
        <v>45803.0</v>
      </c>
      <c r="B159" s="50"/>
      <c r="C159" s="31" t="s">
        <v>22</v>
      </c>
      <c r="D159" s="32" t="s">
        <v>15</v>
      </c>
      <c r="E159" s="92" t="s">
        <v>214</v>
      </c>
      <c r="F159" s="46">
        <v>45802.0</v>
      </c>
      <c r="G159" s="22">
        <v>1.490917743E7</v>
      </c>
      <c r="H159" s="14">
        <f t="shared" si="1"/>
        <v>3130927.26</v>
      </c>
      <c r="I159" s="22">
        <v>447275.32</v>
      </c>
      <c r="J159" s="22">
        <v>298183.55</v>
      </c>
      <c r="K159" s="15">
        <f t="shared" si="2"/>
        <v>18785563.56</v>
      </c>
      <c r="L159" s="45"/>
      <c r="M159" s="6"/>
    </row>
    <row r="160" ht="15.75" customHeight="1">
      <c r="A160" s="78">
        <v>45803.0</v>
      </c>
      <c r="B160" s="50"/>
      <c r="C160" s="31" t="s">
        <v>22</v>
      </c>
      <c r="D160" s="32" t="s">
        <v>15</v>
      </c>
      <c r="E160" s="31" t="s">
        <v>215</v>
      </c>
      <c r="F160" s="46">
        <v>45802.0</v>
      </c>
      <c r="G160" s="22">
        <v>1.383890638E7</v>
      </c>
      <c r="H160" s="14">
        <f t="shared" si="1"/>
        <v>2906170.34</v>
      </c>
      <c r="I160" s="22">
        <v>415167.19</v>
      </c>
      <c r="J160" s="22">
        <v>276778.13</v>
      </c>
      <c r="K160" s="15">
        <f t="shared" si="2"/>
        <v>17437022.04</v>
      </c>
      <c r="L160" s="45"/>
      <c r="M160" s="6"/>
    </row>
    <row r="161" ht="15.75" customHeight="1">
      <c r="A161" s="78">
        <v>45803.0</v>
      </c>
      <c r="B161" s="50"/>
      <c r="C161" s="31" t="s">
        <v>216</v>
      </c>
      <c r="D161" s="32" t="s">
        <v>15</v>
      </c>
      <c r="E161" s="32" t="s">
        <v>217</v>
      </c>
      <c r="F161" s="46">
        <v>45802.0</v>
      </c>
      <c r="G161" s="22">
        <v>1.513136591E7</v>
      </c>
      <c r="H161" s="14">
        <f t="shared" si="1"/>
        <v>3177586.841</v>
      </c>
      <c r="I161" s="22">
        <v>453940.98</v>
      </c>
      <c r="J161" s="22">
        <v>264798.9</v>
      </c>
      <c r="K161" s="15">
        <f t="shared" si="2"/>
        <v>19027692.63</v>
      </c>
      <c r="L161" s="45"/>
      <c r="M161" s="6"/>
    </row>
    <row r="162" ht="15.75" customHeight="1">
      <c r="A162" s="78">
        <v>45803.0</v>
      </c>
      <c r="B162" s="50"/>
      <c r="C162" s="31" t="s">
        <v>216</v>
      </c>
      <c r="D162" s="32" t="s">
        <v>15</v>
      </c>
      <c r="E162" s="31" t="s">
        <v>218</v>
      </c>
      <c r="F162" s="46">
        <v>45802.0</v>
      </c>
      <c r="G162" s="22">
        <v>1.491628838E7</v>
      </c>
      <c r="H162" s="14">
        <f t="shared" si="1"/>
        <v>3132420.56</v>
      </c>
      <c r="I162" s="22">
        <v>447488.65</v>
      </c>
      <c r="J162" s="22">
        <v>261035.05</v>
      </c>
      <c r="K162" s="15">
        <f t="shared" si="2"/>
        <v>18757232.64</v>
      </c>
      <c r="L162" s="45"/>
      <c r="M162" s="6"/>
    </row>
    <row r="163" ht="15.75" customHeight="1">
      <c r="A163" s="78">
        <v>45803.0</v>
      </c>
      <c r="B163" s="50"/>
      <c r="C163" s="31" t="s">
        <v>216</v>
      </c>
      <c r="D163" s="32" t="s">
        <v>15</v>
      </c>
      <c r="E163" s="31" t="s">
        <v>219</v>
      </c>
      <c r="F163" s="46">
        <v>45802.0</v>
      </c>
      <c r="G163" s="22">
        <v>1.493780158E7</v>
      </c>
      <c r="H163" s="14">
        <f t="shared" si="1"/>
        <v>3136938.332</v>
      </c>
      <c r="I163" s="22">
        <v>448134.05</v>
      </c>
      <c r="J163" s="22">
        <v>261411.53</v>
      </c>
      <c r="K163" s="15">
        <f t="shared" si="2"/>
        <v>18784285.49</v>
      </c>
      <c r="L163" s="45"/>
      <c r="M163" s="6"/>
    </row>
    <row r="164" ht="15.75" customHeight="1">
      <c r="A164" s="78">
        <v>45803.0</v>
      </c>
      <c r="B164" s="50"/>
      <c r="C164" s="31" t="s">
        <v>216</v>
      </c>
      <c r="D164" s="32" t="s">
        <v>15</v>
      </c>
      <c r="E164" s="31" t="s">
        <v>220</v>
      </c>
      <c r="F164" s="46">
        <v>45802.0</v>
      </c>
      <c r="G164" s="22">
        <v>1.501488375E7</v>
      </c>
      <c r="H164" s="14">
        <f t="shared" si="1"/>
        <v>3153125.588</v>
      </c>
      <c r="I164" s="22">
        <v>450446.51</v>
      </c>
      <c r="J164" s="22">
        <v>262760.47</v>
      </c>
      <c r="K164" s="15">
        <f t="shared" si="2"/>
        <v>18881216.32</v>
      </c>
      <c r="L164" s="45"/>
      <c r="M164" s="6"/>
    </row>
    <row r="165" ht="15.75" customHeight="1">
      <c r="A165" s="78">
        <v>45803.0</v>
      </c>
      <c r="B165" s="50"/>
      <c r="C165" s="31" t="s">
        <v>221</v>
      </c>
      <c r="D165" s="32" t="s">
        <v>15</v>
      </c>
      <c r="E165" s="31" t="s">
        <v>222</v>
      </c>
      <c r="F165" s="46">
        <v>45802.0</v>
      </c>
      <c r="G165" s="22">
        <v>1.522093871E7</v>
      </c>
      <c r="H165" s="14">
        <f t="shared" si="1"/>
        <v>3196397.129</v>
      </c>
      <c r="I165" s="14"/>
      <c r="J165" s="22">
        <v>761046.94</v>
      </c>
      <c r="K165" s="15">
        <f t="shared" si="2"/>
        <v>19178382.78</v>
      </c>
      <c r="L165" s="45"/>
      <c r="M165" s="6"/>
    </row>
    <row r="166" ht="15.75" customHeight="1">
      <c r="A166" s="78">
        <v>45803.0</v>
      </c>
      <c r="B166" s="50"/>
      <c r="C166" s="34" t="s">
        <v>221</v>
      </c>
      <c r="D166" s="32" t="s">
        <v>15</v>
      </c>
      <c r="E166" s="31" t="s">
        <v>223</v>
      </c>
      <c r="F166" s="46">
        <v>45802.0</v>
      </c>
      <c r="G166" s="22">
        <v>1.493085364E7</v>
      </c>
      <c r="H166" s="14">
        <f t="shared" si="1"/>
        <v>3135479.264</v>
      </c>
      <c r="I166" s="14"/>
      <c r="J166" s="22">
        <v>746542.68</v>
      </c>
      <c r="K166" s="15">
        <f t="shared" si="2"/>
        <v>18812875.58</v>
      </c>
      <c r="L166" s="45"/>
      <c r="M166" s="6"/>
      <c r="N166" s="12"/>
    </row>
    <row r="167" ht="15.75" customHeight="1">
      <c r="A167" s="78">
        <v>45803.0</v>
      </c>
      <c r="B167" s="50"/>
      <c r="C167" s="34" t="s">
        <v>221</v>
      </c>
      <c r="D167" s="32" t="s">
        <v>15</v>
      </c>
      <c r="E167" s="31" t="s">
        <v>224</v>
      </c>
      <c r="F167" s="46">
        <v>45802.0</v>
      </c>
      <c r="G167" s="22">
        <v>1.494282308E7</v>
      </c>
      <c r="H167" s="14">
        <f t="shared" si="1"/>
        <v>3137992.847</v>
      </c>
      <c r="I167" s="14"/>
      <c r="J167" s="22">
        <v>747141.15</v>
      </c>
      <c r="K167" s="15">
        <f t="shared" si="2"/>
        <v>18827957.08</v>
      </c>
      <c r="L167" s="45"/>
      <c r="M167" s="6"/>
      <c r="N167" s="12"/>
    </row>
    <row r="168" ht="15.75" customHeight="1">
      <c r="A168" s="78">
        <v>45803.0</v>
      </c>
      <c r="B168" s="50"/>
      <c r="C168" s="31" t="s">
        <v>221</v>
      </c>
      <c r="D168" s="32" t="s">
        <v>15</v>
      </c>
      <c r="E168" s="32" t="s">
        <v>225</v>
      </c>
      <c r="F168" s="46">
        <v>45802.0</v>
      </c>
      <c r="G168" s="22">
        <v>1.490581327E7</v>
      </c>
      <c r="H168" s="14">
        <f t="shared" si="1"/>
        <v>3130220.787</v>
      </c>
      <c r="I168" s="14"/>
      <c r="J168" s="22">
        <v>745290.66</v>
      </c>
      <c r="K168" s="15">
        <f t="shared" si="2"/>
        <v>18781324.72</v>
      </c>
      <c r="L168" s="45"/>
      <c r="M168" s="6"/>
      <c r="N168" s="12"/>
    </row>
    <row r="169" ht="15.75" customHeight="1">
      <c r="A169" s="78">
        <v>45804.0</v>
      </c>
      <c r="B169" s="50"/>
      <c r="C169" s="92" t="s">
        <v>159</v>
      </c>
      <c r="D169" s="32" t="s">
        <v>15</v>
      </c>
      <c r="E169" s="31" t="s">
        <v>226</v>
      </c>
      <c r="F169" s="46">
        <v>45802.0</v>
      </c>
      <c r="G169" s="22">
        <v>2503880.23</v>
      </c>
      <c r="H169" s="14">
        <f t="shared" si="1"/>
        <v>525814.8483</v>
      </c>
      <c r="I169" s="22">
        <v>75116.41</v>
      </c>
      <c r="J169" s="22">
        <v>32550.44</v>
      </c>
      <c r="K169" s="15">
        <f t="shared" si="2"/>
        <v>3137361.928</v>
      </c>
      <c r="L169" s="45"/>
      <c r="M169" s="24">
        <v>45821.0</v>
      </c>
    </row>
    <row r="170" ht="15.75" customHeight="1">
      <c r="A170" s="78">
        <v>45804.0</v>
      </c>
      <c r="B170" s="50"/>
      <c r="C170" s="92" t="s">
        <v>111</v>
      </c>
      <c r="D170" s="32" t="s">
        <v>15</v>
      </c>
      <c r="E170" s="31" t="s">
        <v>227</v>
      </c>
      <c r="F170" s="46">
        <v>45802.0</v>
      </c>
      <c r="G170" s="22">
        <v>9893280.32</v>
      </c>
      <c r="H170" s="14">
        <f t="shared" si="1"/>
        <v>2077588.867</v>
      </c>
      <c r="I170" s="14"/>
      <c r="J170" s="14"/>
      <c r="K170" s="15">
        <f t="shared" si="2"/>
        <v>11970869.19</v>
      </c>
      <c r="L170" s="45"/>
      <c r="M170" s="24">
        <v>45827.0</v>
      </c>
    </row>
    <row r="171" ht="15.75" customHeight="1">
      <c r="A171" s="78">
        <v>45804.0</v>
      </c>
      <c r="B171" s="50"/>
      <c r="C171" s="92" t="s">
        <v>111</v>
      </c>
      <c r="D171" s="32" t="s">
        <v>15</v>
      </c>
      <c r="E171" s="31" t="s">
        <v>228</v>
      </c>
      <c r="F171" s="46">
        <v>45802.0</v>
      </c>
      <c r="G171" s="22">
        <v>1.010955011E7</v>
      </c>
      <c r="H171" s="14">
        <f t="shared" si="1"/>
        <v>2123005.523</v>
      </c>
      <c r="I171" s="14"/>
      <c r="J171" s="14"/>
      <c r="K171" s="15">
        <f t="shared" si="2"/>
        <v>12232555.63</v>
      </c>
      <c r="L171" s="45"/>
      <c r="M171" s="24">
        <v>45827.0</v>
      </c>
    </row>
    <row r="172" ht="15.75" customHeight="1">
      <c r="A172" s="78">
        <v>45805.0</v>
      </c>
      <c r="B172" s="50"/>
      <c r="C172" s="92" t="s">
        <v>84</v>
      </c>
      <c r="D172" s="32" t="s">
        <v>15</v>
      </c>
      <c r="E172" s="31" t="s">
        <v>229</v>
      </c>
      <c r="F172" s="46">
        <v>45802.0</v>
      </c>
      <c r="G172" s="22">
        <v>1496320.21</v>
      </c>
      <c r="H172" s="14">
        <f t="shared" si="1"/>
        <v>314227.2441</v>
      </c>
      <c r="I172" s="22">
        <v>44889.61</v>
      </c>
      <c r="J172" s="22">
        <v>4488.96</v>
      </c>
      <c r="K172" s="15">
        <f t="shared" si="2"/>
        <v>1859926.024</v>
      </c>
      <c r="L172" s="45"/>
      <c r="M172" s="24">
        <v>45818.0</v>
      </c>
    </row>
    <row r="173" ht="15.75" customHeight="1">
      <c r="A173" s="78">
        <v>45805.0</v>
      </c>
      <c r="B173" s="50"/>
      <c r="C173" s="92" t="s">
        <v>84</v>
      </c>
      <c r="D173" s="32" t="s">
        <v>15</v>
      </c>
      <c r="E173" s="31" t="s">
        <v>230</v>
      </c>
      <c r="F173" s="46">
        <v>45802.0</v>
      </c>
      <c r="G173" s="22">
        <v>1705820.71</v>
      </c>
      <c r="H173" s="14">
        <f t="shared" si="1"/>
        <v>358222.3491</v>
      </c>
      <c r="I173" s="22">
        <v>51174.62</v>
      </c>
      <c r="J173" s="22">
        <v>5117.46</v>
      </c>
      <c r="K173" s="15">
        <f t="shared" si="2"/>
        <v>2120335.139</v>
      </c>
      <c r="L173" s="45"/>
      <c r="M173" s="6"/>
    </row>
    <row r="174" ht="15.75" customHeight="1">
      <c r="A174" s="78">
        <v>45805.0</v>
      </c>
      <c r="B174" s="50"/>
      <c r="C174" s="92" t="s">
        <v>231</v>
      </c>
      <c r="D174" s="32" t="s">
        <v>15</v>
      </c>
      <c r="E174" s="31" t="s">
        <v>232</v>
      </c>
      <c r="F174" s="46">
        <v>45802.0</v>
      </c>
      <c r="G174" s="22">
        <v>4220860.29</v>
      </c>
      <c r="H174" s="14">
        <f t="shared" si="1"/>
        <v>886380.6609</v>
      </c>
      <c r="I174" s="22">
        <v>126625.81</v>
      </c>
      <c r="J174" s="22">
        <v>12662.58</v>
      </c>
      <c r="K174" s="15">
        <f t="shared" si="2"/>
        <v>5246529.341</v>
      </c>
      <c r="L174" s="45"/>
      <c r="M174" s="24">
        <v>45825.0</v>
      </c>
    </row>
    <row r="175" ht="15.75" customHeight="1">
      <c r="A175" s="78">
        <v>45805.0</v>
      </c>
      <c r="B175" s="50"/>
      <c r="C175" s="31" t="s">
        <v>231</v>
      </c>
      <c r="D175" s="32" t="s">
        <v>15</v>
      </c>
      <c r="E175" s="31" t="s">
        <v>233</v>
      </c>
      <c r="F175" s="46">
        <v>45802.0</v>
      </c>
      <c r="G175" s="22">
        <v>3281240.52</v>
      </c>
      <c r="H175" s="14">
        <f t="shared" si="1"/>
        <v>689060.5092</v>
      </c>
      <c r="I175" s="22">
        <v>98437.22</v>
      </c>
      <c r="J175" s="22">
        <v>9843.72</v>
      </c>
      <c r="K175" s="15">
        <f t="shared" si="2"/>
        <v>4078581.969</v>
      </c>
      <c r="L175" s="45"/>
      <c r="M175" s="24">
        <v>45840.0</v>
      </c>
    </row>
    <row r="176" ht="15.75" customHeight="1">
      <c r="A176" s="78">
        <v>45908.0</v>
      </c>
      <c r="B176" s="87"/>
      <c r="C176" s="31" t="s">
        <v>171</v>
      </c>
      <c r="D176" s="32" t="s">
        <v>99</v>
      </c>
      <c r="E176" s="32" t="s">
        <v>234</v>
      </c>
      <c r="F176" s="32" t="s">
        <v>208</v>
      </c>
      <c r="G176" s="53">
        <v>1.442223374E7</v>
      </c>
      <c r="H176" s="14">
        <f t="shared" si="1"/>
        <v>3028669.085</v>
      </c>
      <c r="I176" s="50"/>
      <c r="J176" s="14"/>
      <c r="K176" s="15">
        <f t="shared" si="2"/>
        <v>17450902.83</v>
      </c>
      <c r="L176" s="45"/>
      <c r="M176" s="19" t="s">
        <v>206</v>
      </c>
    </row>
    <row r="177" ht="15.75" customHeight="1">
      <c r="A177" s="78">
        <v>45908.0</v>
      </c>
      <c r="B177" s="87"/>
      <c r="C177" s="31" t="s">
        <v>171</v>
      </c>
      <c r="D177" s="32" t="s">
        <v>99</v>
      </c>
      <c r="E177" s="32" t="s">
        <v>235</v>
      </c>
      <c r="F177" s="32" t="s">
        <v>208</v>
      </c>
      <c r="G177" s="53">
        <v>1.432382362E7</v>
      </c>
      <c r="H177" s="14">
        <f t="shared" si="1"/>
        <v>3008002.96</v>
      </c>
      <c r="I177" s="50"/>
      <c r="J177" s="14"/>
      <c r="K177" s="15">
        <f t="shared" si="2"/>
        <v>17331826.58</v>
      </c>
      <c r="L177" s="45"/>
      <c r="M177" s="19" t="s">
        <v>206</v>
      </c>
      <c r="N177" s="93"/>
    </row>
    <row r="178" ht="15.75" customHeight="1">
      <c r="A178" s="78">
        <v>45692.0</v>
      </c>
      <c r="B178" s="19" t="s">
        <v>200</v>
      </c>
      <c r="C178" s="6" t="s">
        <v>209</v>
      </c>
      <c r="D178" s="6" t="s">
        <v>17</v>
      </c>
      <c r="E178" s="6"/>
      <c r="F178" s="13">
        <v>45658.0</v>
      </c>
      <c r="G178" s="14">
        <v>9951683.8</v>
      </c>
      <c r="H178" s="14">
        <f t="shared" si="1"/>
        <v>2089853.598</v>
      </c>
      <c r="I178" s="14">
        <v>298550.51</v>
      </c>
      <c r="J178" s="14"/>
      <c r="K178" s="14">
        <f t="shared" si="2"/>
        <v>12340087.91</v>
      </c>
      <c r="L178" s="6"/>
      <c r="M178" s="11">
        <v>45698.0</v>
      </c>
      <c r="N178" s="12"/>
    </row>
    <row r="179" ht="15.75" customHeight="1">
      <c r="A179" s="78">
        <v>45692.0</v>
      </c>
      <c r="B179" s="19" t="s">
        <v>200</v>
      </c>
      <c r="C179" s="6" t="s">
        <v>209</v>
      </c>
      <c r="D179" s="6" t="s">
        <v>17</v>
      </c>
      <c r="E179" s="6"/>
      <c r="F179" s="13">
        <v>45658.0</v>
      </c>
      <c r="G179" s="14">
        <v>1.013097198E7</v>
      </c>
      <c r="H179" s="14">
        <f t="shared" si="1"/>
        <v>2127504.116</v>
      </c>
      <c r="I179" s="14">
        <v>303929.16</v>
      </c>
      <c r="J179" s="14"/>
      <c r="K179" s="14">
        <f t="shared" si="2"/>
        <v>12562405.26</v>
      </c>
      <c r="L179" s="18"/>
      <c r="M179" s="11">
        <v>45698.0</v>
      </c>
    </row>
    <row r="180" ht="15.75" customHeight="1">
      <c r="A180" s="78">
        <v>45692.0</v>
      </c>
      <c r="B180" s="19" t="s">
        <v>200</v>
      </c>
      <c r="C180" s="6" t="s">
        <v>209</v>
      </c>
      <c r="D180" s="6" t="s">
        <v>17</v>
      </c>
      <c r="E180" s="6"/>
      <c r="F180" s="13">
        <v>45658.0</v>
      </c>
      <c r="G180" s="15">
        <v>1.273826523E7</v>
      </c>
      <c r="H180" s="15">
        <f t="shared" si="1"/>
        <v>2675035.698</v>
      </c>
      <c r="I180" s="14"/>
      <c r="J180" s="14"/>
      <c r="K180" s="15">
        <f t="shared" si="2"/>
        <v>15413300.93</v>
      </c>
      <c r="L180" s="18"/>
      <c r="M180" s="11">
        <v>45698.0</v>
      </c>
    </row>
    <row r="181" ht="15.75" customHeight="1">
      <c r="A181" s="78">
        <v>45692.0</v>
      </c>
      <c r="B181" s="19" t="s">
        <v>236</v>
      </c>
      <c r="C181" s="6" t="s">
        <v>209</v>
      </c>
      <c r="D181" s="6" t="s">
        <v>17</v>
      </c>
      <c r="E181" s="6"/>
      <c r="F181" s="13">
        <v>45658.0</v>
      </c>
      <c r="G181" s="15">
        <v>5272323.86</v>
      </c>
      <c r="H181" s="15">
        <f t="shared" si="1"/>
        <v>1107188.011</v>
      </c>
      <c r="I181" s="14"/>
      <c r="J181" s="14"/>
      <c r="K181" s="15">
        <f t="shared" si="2"/>
        <v>6379511.871</v>
      </c>
      <c r="L181" s="18"/>
      <c r="M181" s="24">
        <v>45694.0</v>
      </c>
    </row>
    <row r="182" ht="15.75" customHeight="1">
      <c r="A182" s="78">
        <v>45692.0</v>
      </c>
      <c r="B182" s="19" t="s">
        <v>236</v>
      </c>
      <c r="C182" s="6" t="s">
        <v>210</v>
      </c>
      <c r="D182" s="6" t="s">
        <v>17</v>
      </c>
      <c r="E182" s="6"/>
      <c r="F182" s="13">
        <v>45658.0</v>
      </c>
      <c r="G182" s="15">
        <v>9961119.44</v>
      </c>
      <c r="H182" s="15">
        <f t="shared" si="1"/>
        <v>2091835.082</v>
      </c>
      <c r="I182" s="14">
        <v>298833.58</v>
      </c>
      <c r="J182" s="14"/>
      <c r="K182" s="15">
        <f t="shared" si="2"/>
        <v>12351788.1</v>
      </c>
      <c r="L182" s="18"/>
      <c r="M182" s="24">
        <v>45694.0</v>
      </c>
    </row>
    <row r="183" ht="15.75" customHeight="1">
      <c r="A183" s="78">
        <v>45692.0</v>
      </c>
      <c r="B183" s="19" t="s">
        <v>236</v>
      </c>
      <c r="C183" s="6" t="s">
        <v>210</v>
      </c>
      <c r="D183" s="6" t="s">
        <v>17</v>
      </c>
      <c r="E183" s="6"/>
      <c r="F183" s="13">
        <v>45658.0</v>
      </c>
      <c r="G183" s="14">
        <v>8072252.42</v>
      </c>
      <c r="H183" s="15">
        <f t="shared" si="1"/>
        <v>1695173.008</v>
      </c>
      <c r="I183" s="14">
        <v>242167.57</v>
      </c>
      <c r="J183" s="14"/>
      <c r="K183" s="15">
        <f t="shared" si="2"/>
        <v>10009593</v>
      </c>
      <c r="L183" s="18"/>
      <c r="M183" s="24">
        <v>45694.0</v>
      </c>
    </row>
    <row r="184" ht="15.75" customHeight="1">
      <c r="A184" s="78">
        <v>45692.0</v>
      </c>
      <c r="B184" s="19" t="s">
        <v>237</v>
      </c>
      <c r="C184" s="6" t="s">
        <v>210</v>
      </c>
      <c r="D184" s="6" t="s">
        <v>17</v>
      </c>
      <c r="E184" s="6"/>
      <c r="F184" s="13">
        <v>45658.0</v>
      </c>
      <c r="G184" s="14">
        <v>7005218.55</v>
      </c>
      <c r="H184" s="15">
        <f t="shared" si="1"/>
        <v>1471095.896</v>
      </c>
      <c r="I184" s="14"/>
      <c r="J184" s="14"/>
      <c r="K184" s="15">
        <f t="shared" si="2"/>
        <v>8476314.446</v>
      </c>
      <c r="L184" s="18"/>
      <c r="M184" s="24">
        <v>45702.0</v>
      </c>
    </row>
    <row r="185" ht="15.75" customHeight="1">
      <c r="A185" s="78">
        <v>45692.0</v>
      </c>
      <c r="B185" s="19" t="s">
        <v>237</v>
      </c>
      <c r="C185" s="6" t="s">
        <v>210</v>
      </c>
      <c r="D185" s="6" t="s">
        <v>17</v>
      </c>
      <c r="E185" s="6"/>
      <c r="F185" s="13">
        <v>45658.0</v>
      </c>
      <c r="G185" s="14">
        <v>1.199187308E7</v>
      </c>
      <c r="H185" s="15">
        <f t="shared" si="1"/>
        <v>2518293.347</v>
      </c>
      <c r="I185" s="14">
        <v>359756.19</v>
      </c>
      <c r="J185" s="14"/>
      <c r="K185" s="15">
        <f t="shared" si="2"/>
        <v>14869922.62</v>
      </c>
      <c r="L185" s="18"/>
      <c r="M185" s="24">
        <v>45702.0</v>
      </c>
    </row>
    <row r="186" ht="15.75" customHeight="1">
      <c r="A186" s="82">
        <v>45805.0</v>
      </c>
      <c r="B186" s="56"/>
      <c r="C186" s="57" t="s">
        <v>45</v>
      </c>
      <c r="D186" s="58" t="s">
        <v>15</v>
      </c>
      <c r="E186" s="57" t="s">
        <v>238</v>
      </c>
      <c r="F186" s="59">
        <v>45802.0</v>
      </c>
      <c r="G186" s="44">
        <v>5022880.57</v>
      </c>
      <c r="H186" s="9">
        <f t="shared" si="1"/>
        <v>1054804.92</v>
      </c>
      <c r="I186" s="60"/>
      <c r="J186" s="60"/>
      <c r="K186" s="10">
        <f t="shared" si="2"/>
        <v>6077685.49</v>
      </c>
      <c r="L186" s="61"/>
      <c r="M186" s="62"/>
    </row>
    <row r="187" ht="15.75" customHeight="1">
      <c r="A187" s="78">
        <v>45805.0</v>
      </c>
      <c r="B187" s="50"/>
      <c r="C187" s="31" t="s">
        <v>239</v>
      </c>
      <c r="D187" s="32" t="s">
        <v>15</v>
      </c>
      <c r="E187" s="31" t="s">
        <v>240</v>
      </c>
      <c r="F187" s="46">
        <v>45802.0</v>
      </c>
      <c r="G187" s="22">
        <v>3500082.13</v>
      </c>
      <c r="H187" s="14">
        <f t="shared" si="1"/>
        <v>735017.2473</v>
      </c>
      <c r="I187" s="22">
        <v>105002.46</v>
      </c>
      <c r="J187" s="14"/>
      <c r="K187" s="15">
        <f t="shared" si="2"/>
        <v>4340101.837</v>
      </c>
      <c r="L187" s="45"/>
      <c r="M187" s="24">
        <v>45839.0</v>
      </c>
    </row>
    <row r="188" ht="15.75" customHeight="1">
      <c r="A188" s="78">
        <v>45908.0</v>
      </c>
      <c r="B188" s="87"/>
      <c r="C188" s="31" t="s">
        <v>171</v>
      </c>
      <c r="D188" s="32" t="s">
        <v>99</v>
      </c>
      <c r="E188" s="32" t="s">
        <v>241</v>
      </c>
      <c r="F188" s="32" t="s">
        <v>208</v>
      </c>
      <c r="G188" s="53">
        <v>9338222.54</v>
      </c>
      <c r="H188" s="14">
        <f t="shared" si="1"/>
        <v>1961026.733</v>
      </c>
      <c r="I188" s="50"/>
      <c r="J188" s="14"/>
      <c r="K188" s="15">
        <f t="shared" si="2"/>
        <v>11299249.27</v>
      </c>
      <c r="L188" s="45"/>
      <c r="M188" s="19" t="s">
        <v>206</v>
      </c>
    </row>
    <row r="189" ht="15.75" customHeight="1">
      <c r="A189" s="78">
        <v>45693.0</v>
      </c>
      <c r="B189" s="19" t="s">
        <v>236</v>
      </c>
      <c r="C189" s="6" t="s">
        <v>209</v>
      </c>
      <c r="D189" s="6" t="s">
        <v>17</v>
      </c>
      <c r="E189" s="6"/>
      <c r="F189" s="13">
        <v>45658.0</v>
      </c>
      <c r="G189" s="14">
        <v>1.016477283E7</v>
      </c>
      <c r="H189" s="15">
        <f t="shared" si="1"/>
        <v>2134602.294</v>
      </c>
      <c r="I189" s="14">
        <v>304943.18</v>
      </c>
      <c r="J189" s="14"/>
      <c r="K189" s="15">
        <f t="shared" si="2"/>
        <v>12604318.3</v>
      </c>
      <c r="L189" s="18"/>
      <c r="M189" s="24">
        <v>45694.0</v>
      </c>
    </row>
    <row r="190" ht="15.75" customHeight="1">
      <c r="A190" s="78">
        <v>45693.0</v>
      </c>
      <c r="B190" s="19" t="s">
        <v>236</v>
      </c>
      <c r="C190" s="6" t="s">
        <v>209</v>
      </c>
      <c r="D190" s="6" t="s">
        <v>17</v>
      </c>
      <c r="E190" s="6"/>
      <c r="F190" s="13">
        <v>45658.0</v>
      </c>
      <c r="G190" s="14">
        <v>1.206392057E7</v>
      </c>
      <c r="H190" s="15">
        <f t="shared" si="1"/>
        <v>2533423.32</v>
      </c>
      <c r="I190" s="14">
        <v>361917.62</v>
      </c>
      <c r="J190" s="14"/>
      <c r="K190" s="15">
        <f t="shared" si="2"/>
        <v>14959261.51</v>
      </c>
      <c r="L190" s="18"/>
      <c r="M190" s="24">
        <v>45694.0</v>
      </c>
    </row>
    <row r="191" ht="15.75" customHeight="1">
      <c r="A191" s="78">
        <v>45693.0</v>
      </c>
      <c r="B191" s="19" t="s">
        <v>236</v>
      </c>
      <c r="C191" s="6" t="s">
        <v>210</v>
      </c>
      <c r="D191" s="6" t="s">
        <v>17</v>
      </c>
      <c r="E191" s="6"/>
      <c r="F191" s="13">
        <v>45658.0</v>
      </c>
      <c r="G191" s="14">
        <v>6986062.77</v>
      </c>
      <c r="H191" s="15">
        <f t="shared" si="1"/>
        <v>1467073.182</v>
      </c>
      <c r="I191" s="14"/>
      <c r="J191" s="14"/>
      <c r="K191" s="15">
        <f t="shared" si="2"/>
        <v>8453135.952</v>
      </c>
      <c r="L191" s="18"/>
      <c r="M191" s="24">
        <v>45694.0</v>
      </c>
    </row>
    <row r="192" ht="15.75" customHeight="1">
      <c r="A192" s="78">
        <v>45806.0</v>
      </c>
      <c r="B192" s="50"/>
      <c r="C192" s="31" t="s">
        <v>242</v>
      </c>
      <c r="D192" s="32" t="s">
        <v>15</v>
      </c>
      <c r="E192" s="31" t="s">
        <v>243</v>
      </c>
      <c r="F192" s="46">
        <v>45802.0</v>
      </c>
      <c r="G192" s="22">
        <v>4942790.13</v>
      </c>
      <c r="H192" s="14">
        <f t="shared" si="1"/>
        <v>1037985.927</v>
      </c>
      <c r="I192" s="22">
        <v>148283.7</v>
      </c>
      <c r="J192" s="22">
        <v>247139.51</v>
      </c>
      <c r="K192" s="15">
        <f t="shared" si="2"/>
        <v>6376199.267</v>
      </c>
      <c r="L192" s="45"/>
      <c r="M192" s="24">
        <v>45845.0</v>
      </c>
    </row>
    <row r="193" ht="15.75" customHeight="1">
      <c r="A193" s="78">
        <v>45806.0</v>
      </c>
      <c r="B193" s="50"/>
      <c r="C193" s="31" t="s">
        <v>242</v>
      </c>
      <c r="D193" s="32" t="s">
        <v>15</v>
      </c>
      <c r="E193" s="31" t="s">
        <v>244</v>
      </c>
      <c r="F193" s="46">
        <v>45802.0</v>
      </c>
      <c r="G193" s="22">
        <v>8893570.36</v>
      </c>
      <c r="H193" s="14">
        <f t="shared" si="1"/>
        <v>1867649.776</v>
      </c>
      <c r="I193" s="14"/>
      <c r="J193" s="22">
        <v>444678.52</v>
      </c>
      <c r="K193" s="15">
        <f t="shared" si="2"/>
        <v>11205898.66</v>
      </c>
      <c r="L193" s="45"/>
      <c r="M193" s="24">
        <v>45845.0</v>
      </c>
    </row>
    <row r="194" ht="15.75" customHeight="1">
      <c r="A194" s="78">
        <v>45806.0</v>
      </c>
      <c r="B194" s="50"/>
      <c r="C194" s="31" t="s">
        <v>242</v>
      </c>
      <c r="D194" s="32" t="s">
        <v>15</v>
      </c>
      <c r="E194" s="31" t="s">
        <v>245</v>
      </c>
      <c r="F194" s="46">
        <v>45802.0</v>
      </c>
      <c r="G194" s="22">
        <v>6170690.85</v>
      </c>
      <c r="H194" s="14">
        <f t="shared" si="1"/>
        <v>1295845.079</v>
      </c>
      <c r="I194" s="14"/>
      <c r="J194" s="22">
        <v>308534.54</v>
      </c>
      <c r="K194" s="15">
        <f t="shared" si="2"/>
        <v>7775070.469</v>
      </c>
      <c r="L194" s="45"/>
      <c r="M194" s="24">
        <v>45814.0</v>
      </c>
    </row>
    <row r="195" ht="15.75" customHeight="1">
      <c r="A195" s="78">
        <v>45806.0</v>
      </c>
      <c r="B195" s="50"/>
      <c r="C195" s="31" t="s">
        <v>55</v>
      </c>
      <c r="D195" s="32" t="s">
        <v>15</v>
      </c>
      <c r="E195" s="31" t="s">
        <v>246</v>
      </c>
      <c r="F195" s="46">
        <v>45802.0</v>
      </c>
      <c r="G195" s="22">
        <v>5783640.24</v>
      </c>
      <c r="H195" s="14">
        <f t="shared" si="1"/>
        <v>1214564.45</v>
      </c>
      <c r="I195" s="22">
        <v>173509.21</v>
      </c>
      <c r="J195" s="22">
        <v>289182.01</v>
      </c>
      <c r="K195" s="15">
        <f t="shared" si="2"/>
        <v>7460895.91</v>
      </c>
      <c r="L195" s="45"/>
      <c r="M195" s="24">
        <v>45814.0</v>
      </c>
    </row>
    <row r="196" ht="15.75" customHeight="1">
      <c r="A196" s="78">
        <v>45807.0</v>
      </c>
      <c r="B196" s="50"/>
      <c r="C196" s="31" t="s">
        <v>247</v>
      </c>
      <c r="D196" s="32" t="s">
        <v>15</v>
      </c>
      <c r="E196" s="31" t="s">
        <v>248</v>
      </c>
      <c r="F196" s="46">
        <v>45802.0</v>
      </c>
      <c r="G196" s="22">
        <v>1.127832014E7</v>
      </c>
      <c r="H196" s="14">
        <f t="shared" si="1"/>
        <v>2368447.229</v>
      </c>
      <c r="I196" s="14"/>
      <c r="J196" s="14"/>
      <c r="K196" s="15">
        <f t="shared" si="2"/>
        <v>13646767.37</v>
      </c>
      <c r="L196" s="45"/>
      <c r="M196" s="24">
        <v>45821.0</v>
      </c>
    </row>
    <row r="197" ht="15.75" customHeight="1">
      <c r="A197" s="78">
        <v>45807.0</v>
      </c>
      <c r="B197" s="50"/>
      <c r="C197" s="31" t="s">
        <v>247</v>
      </c>
      <c r="D197" s="32" t="s">
        <v>15</v>
      </c>
      <c r="E197" s="31" t="s">
        <v>249</v>
      </c>
      <c r="F197" s="46">
        <v>45802.0</v>
      </c>
      <c r="G197" s="22">
        <v>1.072484021E7</v>
      </c>
      <c r="H197" s="14">
        <f t="shared" si="1"/>
        <v>2252216.444</v>
      </c>
      <c r="I197" s="14"/>
      <c r="J197" s="14"/>
      <c r="K197" s="15">
        <f t="shared" si="2"/>
        <v>12977056.65</v>
      </c>
      <c r="L197" s="45"/>
      <c r="M197" s="24">
        <v>45821.0</v>
      </c>
    </row>
    <row r="198" ht="15.75" customHeight="1">
      <c r="A198" s="78">
        <v>45807.0</v>
      </c>
      <c r="B198" s="50"/>
      <c r="C198" s="31" t="s">
        <v>247</v>
      </c>
      <c r="D198" s="32" t="s">
        <v>15</v>
      </c>
      <c r="E198" s="31" t="s">
        <v>250</v>
      </c>
      <c r="F198" s="46">
        <v>45802.0</v>
      </c>
      <c r="G198" s="22">
        <v>1.097632014E7</v>
      </c>
      <c r="H198" s="14">
        <f t="shared" si="1"/>
        <v>2305027.229</v>
      </c>
      <c r="I198" s="14"/>
      <c r="J198" s="14"/>
      <c r="K198" s="15">
        <f t="shared" si="2"/>
        <v>13281347.37</v>
      </c>
      <c r="L198" s="45"/>
      <c r="M198" s="24">
        <v>45835.0</v>
      </c>
    </row>
    <row r="199" ht="15.75" customHeight="1">
      <c r="A199" s="78">
        <v>45807.0</v>
      </c>
      <c r="B199" s="50"/>
      <c r="C199" s="31" t="s">
        <v>247</v>
      </c>
      <c r="D199" s="32" t="s">
        <v>15</v>
      </c>
      <c r="E199" s="31" t="s">
        <v>251</v>
      </c>
      <c r="F199" s="46">
        <v>45802.0</v>
      </c>
      <c r="G199" s="22">
        <v>1.202799024E7</v>
      </c>
      <c r="H199" s="14">
        <f t="shared" si="1"/>
        <v>2525877.95</v>
      </c>
      <c r="I199" s="14"/>
      <c r="J199" s="14"/>
      <c r="K199" s="15">
        <f t="shared" si="2"/>
        <v>14553868.19</v>
      </c>
      <c r="L199" s="45"/>
      <c r="M199" s="24">
        <v>45835.0</v>
      </c>
    </row>
    <row r="200" ht="15.75" customHeight="1">
      <c r="A200" s="78">
        <v>45807.0</v>
      </c>
      <c r="B200" s="50"/>
      <c r="C200" s="31" t="s">
        <v>247</v>
      </c>
      <c r="D200" s="32" t="s">
        <v>15</v>
      </c>
      <c r="E200" s="31" t="s">
        <v>252</v>
      </c>
      <c r="F200" s="46">
        <v>45802.0</v>
      </c>
      <c r="G200" s="22">
        <v>6588370.46</v>
      </c>
      <c r="H200" s="14">
        <f t="shared" si="1"/>
        <v>1383557.797</v>
      </c>
      <c r="I200" s="14"/>
      <c r="J200" s="14"/>
      <c r="K200" s="15">
        <f t="shared" si="2"/>
        <v>7971928.257</v>
      </c>
      <c r="L200" s="45"/>
      <c r="M200" s="24">
        <v>45821.0</v>
      </c>
    </row>
    <row r="201" ht="15.75" customHeight="1">
      <c r="A201" s="78">
        <v>45807.0</v>
      </c>
      <c r="B201" s="50"/>
      <c r="C201" s="31" t="s">
        <v>247</v>
      </c>
      <c r="D201" s="32" t="s">
        <v>15</v>
      </c>
      <c r="E201" s="31" t="s">
        <v>253</v>
      </c>
      <c r="F201" s="46">
        <v>45802.0</v>
      </c>
      <c r="G201" s="22">
        <v>7414220.78</v>
      </c>
      <c r="H201" s="14">
        <f t="shared" si="1"/>
        <v>1556986.364</v>
      </c>
      <c r="I201" s="14"/>
      <c r="J201" s="14"/>
      <c r="K201" s="15">
        <f t="shared" si="2"/>
        <v>8971207.144</v>
      </c>
      <c r="L201" s="45"/>
      <c r="M201" s="24">
        <v>45821.0</v>
      </c>
    </row>
    <row r="202" ht="15.75" customHeight="1">
      <c r="A202" s="78">
        <v>45807.0</v>
      </c>
      <c r="B202" s="50"/>
      <c r="C202" s="31" t="s">
        <v>22</v>
      </c>
      <c r="D202" s="32" t="s">
        <v>15</v>
      </c>
      <c r="E202" s="31" t="s">
        <v>254</v>
      </c>
      <c r="F202" s="46">
        <v>45802.0</v>
      </c>
      <c r="G202" s="22">
        <v>1.575088085E7</v>
      </c>
      <c r="H202" s="14">
        <f t="shared" si="1"/>
        <v>3307684.979</v>
      </c>
      <c r="I202" s="22">
        <v>472526.43</v>
      </c>
      <c r="J202" s="22">
        <v>315017.62</v>
      </c>
      <c r="K202" s="15">
        <f t="shared" si="2"/>
        <v>19846109.88</v>
      </c>
      <c r="L202" s="45"/>
      <c r="M202" s="6"/>
    </row>
    <row r="203" ht="15.75" customHeight="1">
      <c r="A203" s="78">
        <v>45807.0</v>
      </c>
      <c r="B203" s="50"/>
      <c r="C203" s="31" t="s">
        <v>22</v>
      </c>
      <c r="D203" s="32" t="s">
        <v>15</v>
      </c>
      <c r="E203" s="31" t="s">
        <v>255</v>
      </c>
      <c r="F203" s="46">
        <v>45802.0</v>
      </c>
      <c r="G203" s="22">
        <v>1.424980213E7</v>
      </c>
      <c r="H203" s="14">
        <f t="shared" si="1"/>
        <v>2992458.447</v>
      </c>
      <c r="I203" s="22">
        <v>427494.06</v>
      </c>
      <c r="J203" s="22">
        <v>284996.04</v>
      </c>
      <c r="K203" s="15">
        <f t="shared" si="2"/>
        <v>17954750.68</v>
      </c>
      <c r="L203" s="45"/>
      <c r="M203" s="6"/>
    </row>
    <row r="204" ht="15.75" customHeight="1">
      <c r="A204" s="78">
        <v>45807.0</v>
      </c>
      <c r="B204" s="50"/>
      <c r="C204" s="31" t="s">
        <v>216</v>
      </c>
      <c r="D204" s="32" t="s">
        <v>15</v>
      </c>
      <c r="E204" s="31" t="s">
        <v>256</v>
      </c>
      <c r="F204" s="46">
        <v>45802.0</v>
      </c>
      <c r="G204" s="22">
        <v>1.601009239E7</v>
      </c>
      <c r="H204" s="14">
        <f t="shared" si="1"/>
        <v>3362119.402</v>
      </c>
      <c r="I204" s="22">
        <v>480302.77</v>
      </c>
      <c r="J204" s="22">
        <v>280176.62</v>
      </c>
      <c r="K204" s="15">
        <f t="shared" si="2"/>
        <v>20132691.18</v>
      </c>
      <c r="L204" s="45"/>
      <c r="M204" s="6"/>
    </row>
    <row r="205" ht="15.75" customHeight="1">
      <c r="A205" s="78">
        <v>45807.0</v>
      </c>
      <c r="B205" s="50"/>
      <c r="C205" s="31" t="s">
        <v>216</v>
      </c>
      <c r="D205" s="32" t="s">
        <v>15</v>
      </c>
      <c r="E205" s="31" t="s">
        <v>257</v>
      </c>
      <c r="F205" s="46">
        <v>45802.0</v>
      </c>
      <c r="G205" s="22">
        <v>1.399052631E7</v>
      </c>
      <c r="H205" s="14">
        <f t="shared" si="1"/>
        <v>2938010.525</v>
      </c>
      <c r="I205" s="22">
        <v>419715.79</v>
      </c>
      <c r="J205" s="22">
        <v>244834.21</v>
      </c>
      <c r="K205" s="15">
        <f t="shared" si="2"/>
        <v>17593086.84</v>
      </c>
      <c r="L205" s="45"/>
      <c r="M205" s="6"/>
    </row>
    <row r="206" ht="15.75" customHeight="1">
      <c r="A206" s="78">
        <v>45807.0</v>
      </c>
      <c r="B206" s="50"/>
      <c r="C206" s="31" t="s">
        <v>221</v>
      </c>
      <c r="D206" s="32" t="s">
        <v>15</v>
      </c>
      <c r="E206" s="31" t="s">
        <v>258</v>
      </c>
      <c r="F206" s="46">
        <v>45802.0</v>
      </c>
      <c r="G206" s="22">
        <v>1.556244101E7</v>
      </c>
      <c r="H206" s="14">
        <f t="shared" si="1"/>
        <v>3268112.612</v>
      </c>
      <c r="I206" s="14"/>
      <c r="J206" s="22">
        <v>778122.05</v>
      </c>
      <c r="K206" s="15">
        <f t="shared" si="2"/>
        <v>19608675.67</v>
      </c>
      <c r="L206" s="45"/>
      <c r="M206" s="6"/>
    </row>
    <row r="207" ht="15.75" customHeight="1">
      <c r="A207" s="78">
        <v>45807.0</v>
      </c>
      <c r="B207" s="50"/>
      <c r="C207" s="31" t="s">
        <v>221</v>
      </c>
      <c r="D207" s="32" t="s">
        <v>15</v>
      </c>
      <c r="E207" s="31" t="s">
        <v>259</v>
      </c>
      <c r="F207" s="46">
        <v>45802.0</v>
      </c>
      <c r="G207" s="22">
        <v>1.443792305E7</v>
      </c>
      <c r="H207" s="14">
        <f t="shared" si="1"/>
        <v>3031963.841</v>
      </c>
      <c r="I207" s="14"/>
      <c r="J207" s="22">
        <v>721896.15</v>
      </c>
      <c r="K207" s="15">
        <f t="shared" si="2"/>
        <v>18191783.04</v>
      </c>
      <c r="L207" s="45"/>
      <c r="M207" s="6"/>
    </row>
    <row r="208" ht="15.75" customHeight="1">
      <c r="A208" s="78">
        <v>45812.0</v>
      </c>
      <c r="B208" s="50"/>
      <c r="C208" s="31" t="s">
        <v>260</v>
      </c>
      <c r="D208" s="32" t="s">
        <v>15</v>
      </c>
      <c r="E208" s="31" t="s">
        <v>261</v>
      </c>
      <c r="F208" s="46">
        <v>45833.0</v>
      </c>
      <c r="G208" s="22">
        <v>1.635434231E7</v>
      </c>
      <c r="H208" s="14">
        <f t="shared" si="1"/>
        <v>3434411.885</v>
      </c>
      <c r="I208" s="14"/>
      <c r="J208" s="14"/>
      <c r="K208" s="15">
        <f t="shared" si="2"/>
        <v>19788754.2</v>
      </c>
      <c r="L208" s="45"/>
      <c r="M208" s="24">
        <v>45821.0</v>
      </c>
    </row>
    <row r="209" ht="15.75" customHeight="1">
      <c r="A209" s="78">
        <v>45681.0</v>
      </c>
      <c r="B209" s="19" t="s">
        <v>179</v>
      </c>
      <c r="C209" s="6" t="s">
        <v>171</v>
      </c>
      <c r="D209" s="6" t="s">
        <v>17</v>
      </c>
      <c r="E209" s="6"/>
      <c r="F209" s="13">
        <v>45658.0</v>
      </c>
      <c r="G209" s="14">
        <v>1.084991299E7</v>
      </c>
      <c r="H209" s="14">
        <f t="shared" si="1"/>
        <v>2278481.728</v>
      </c>
      <c r="I209" s="14"/>
      <c r="J209" s="14"/>
      <c r="K209" s="15">
        <f t="shared" si="2"/>
        <v>13128394.72</v>
      </c>
      <c r="L209" s="18"/>
      <c r="M209" s="24">
        <v>45685.0</v>
      </c>
    </row>
    <row r="210" ht="15.75" customHeight="1">
      <c r="A210" s="78">
        <v>45693.0</v>
      </c>
      <c r="B210" s="19" t="s">
        <v>13</v>
      </c>
      <c r="C210" s="6" t="s">
        <v>209</v>
      </c>
      <c r="D210" s="6" t="s">
        <v>17</v>
      </c>
      <c r="E210" s="6" t="s">
        <v>262</v>
      </c>
      <c r="F210" s="13">
        <v>45658.0</v>
      </c>
      <c r="G210" s="14">
        <v>8563405.04</v>
      </c>
      <c r="H210" s="14">
        <f t="shared" si="1"/>
        <v>1798315.058</v>
      </c>
      <c r="I210" s="14">
        <v>256902.15</v>
      </c>
      <c r="J210" s="14"/>
      <c r="K210" s="14">
        <f t="shared" si="2"/>
        <v>10618622.25</v>
      </c>
      <c r="L210" s="18"/>
      <c r="M210" s="11">
        <v>45701.0</v>
      </c>
    </row>
    <row r="211" ht="15.75" customHeight="1">
      <c r="A211" s="78">
        <v>45693.0</v>
      </c>
      <c r="B211" s="19" t="s">
        <v>13</v>
      </c>
      <c r="C211" s="6" t="s">
        <v>71</v>
      </c>
      <c r="D211" s="6" t="s">
        <v>17</v>
      </c>
      <c r="E211" s="6" t="s">
        <v>263</v>
      </c>
      <c r="F211" s="13">
        <v>45658.0</v>
      </c>
      <c r="G211" s="14">
        <v>1.083024836E7</v>
      </c>
      <c r="H211" s="14">
        <f t="shared" si="1"/>
        <v>2274352.156</v>
      </c>
      <c r="I211" s="14"/>
      <c r="J211" s="14"/>
      <c r="K211" s="14">
        <f t="shared" si="2"/>
        <v>13104600.52</v>
      </c>
      <c r="L211" s="18"/>
      <c r="M211" s="11">
        <v>45701.0</v>
      </c>
    </row>
    <row r="212" ht="15.75" customHeight="1">
      <c r="A212" s="78">
        <v>45693.0</v>
      </c>
      <c r="B212" s="19" t="s">
        <v>13</v>
      </c>
      <c r="C212" s="6" t="s">
        <v>264</v>
      </c>
      <c r="D212" s="6" t="s">
        <v>17</v>
      </c>
      <c r="E212" s="6" t="s">
        <v>265</v>
      </c>
      <c r="F212" s="13">
        <v>45658.0</v>
      </c>
      <c r="G212" s="14">
        <v>9812562.34</v>
      </c>
      <c r="H212" s="14">
        <f t="shared" si="1"/>
        <v>2060638.091</v>
      </c>
      <c r="I212" s="14">
        <v>294376.87</v>
      </c>
      <c r="J212" s="14"/>
      <c r="K212" s="14">
        <f t="shared" si="2"/>
        <v>12167577.3</v>
      </c>
      <c r="L212" s="18"/>
      <c r="M212" s="11">
        <v>45744.0</v>
      </c>
    </row>
    <row r="213" ht="15.75" customHeight="1">
      <c r="A213" s="78">
        <v>45693.0</v>
      </c>
      <c r="B213" s="19" t="s">
        <v>13</v>
      </c>
      <c r="C213" s="6" t="s">
        <v>264</v>
      </c>
      <c r="D213" s="6" t="s">
        <v>17</v>
      </c>
      <c r="E213" s="6" t="s">
        <v>266</v>
      </c>
      <c r="F213" s="13">
        <v>45658.0</v>
      </c>
      <c r="G213" s="14">
        <v>3333231.16</v>
      </c>
      <c r="H213" s="14">
        <f t="shared" si="1"/>
        <v>699978.5436</v>
      </c>
      <c r="I213" s="14"/>
      <c r="J213" s="14"/>
      <c r="K213" s="14">
        <f t="shared" si="2"/>
        <v>4033209.704</v>
      </c>
      <c r="L213" s="18"/>
      <c r="M213" s="11">
        <v>45744.0</v>
      </c>
    </row>
    <row r="214" ht="15.75" customHeight="1">
      <c r="A214" s="78">
        <v>45812.0</v>
      </c>
      <c r="B214" s="50"/>
      <c r="C214" s="31" t="s">
        <v>260</v>
      </c>
      <c r="D214" s="32" t="s">
        <v>15</v>
      </c>
      <c r="E214" s="31" t="s">
        <v>267</v>
      </c>
      <c r="F214" s="46">
        <v>45833.0</v>
      </c>
      <c r="G214" s="22">
        <v>1.483782915E7</v>
      </c>
      <c r="H214" s="14">
        <f t="shared" si="1"/>
        <v>3115944.122</v>
      </c>
      <c r="I214" s="14"/>
      <c r="J214" s="14"/>
      <c r="K214" s="15">
        <f t="shared" si="2"/>
        <v>17953773.27</v>
      </c>
      <c r="L214" s="45"/>
      <c r="M214" s="24">
        <v>45821.0</v>
      </c>
    </row>
    <row r="215" ht="15.75" customHeight="1">
      <c r="A215" s="78">
        <v>45812.0</v>
      </c>
      <c r="B215" s="50"/>
      <c r="C215" s="31" t="s">
        <v>268</v>
      </c>
      <c r="D215" s="32" t="s">
        <v>15</v>
      </c>
      <c r="E215" s="31" t="s">
        <v>269</v>
      </c>
      <c r="F215" s="46">
        <v>45833.0</v>
      </c>
      <c r="G215" s="22">
        <v>5982832.21</v>
      </c>
      <c r="H215" s="14">
        <f t="shared" si="1"/>
        <v>1256394.764</v>
      </c>
      <c r="I215" s="14"/>
      <c r="J215" s="14"/>
      <c r="K215" s="15">
        <f t="shared" si="2"/>
        <v>7239226.974</v>
      </c>
      <c r="L215" s="45"/>
      <c r="M215" s="24">
        <v>45821.0</v>
      </c>
    </row>
    <row r="216" ht="15.75" customHeight="1">
      <c r="A216" s="82">
        <v>45693.0</v>
      </c>
      <c r="B216" s="25" t="s">
        <v>13</v>
      </c>
      <c r="C216" s="19" t="s">
        <v>209</v>
      </c>
      <c r="D216" s="19" t="s">
        <v>17</v>
      </c>
      <c r="E216" s="20" t="s">
        <v>270</v>
      </c>
      <c r="F216" s="13">
        <v>45664.0</v>
      </c>
      <c r="G216" s="22">
        <v>8048612.35</v>
      </c>
      <c r="H216" s="14">
        <f t="shared" si="1"/>
        <v>1690208.594</v>
      </c>
      <c r="I216" s="22">
        <v>241458.37</v>
      </c>
      <c r="J216" s="14"/>
      <c r="K216" s="14">
        <f t="shared" si="2"/>
        <v>9980279.314</v>
      </c>
      <c r="L216" s="83"/>
      <c r="M216" s="94"/>
    </row>
    <row r="217" ht="15.75" customHeight="1">
      <c r="A217" s="78">
        <v>45812.0</v>
      </c>
      <c r="B217" s="50"/>
      <c r="C217" s="31" t="s">
        <v>268</v>
      </c>
      <c r="D217" s="32" t="s">
        <v>15</v>
      </c>
      <c r="E217" s="31" t="s">
        <v>271</v>
      </c>
      <c r="F217" s="46">
        <v>45833.0</v>
      </c>
      <c r="G217" s="22">
        <v>6162511.82</v>
      </c>
      <c r="H217" s="14">
        <f t="shared" si="1"/>
        <v>1294127.482</v>
      </c>
      <c r="I217" s="22">
        <v>184875.35</v>
      </c>
      <c r="J217" s="22">
        <v>308125.59</v>
      </c>
      <c r="K217" s="15">
        <f t="shared" si="2"/>
        <v>7949640.242</v>
      </c>
      <c r="L217" s="45"/>
      <c r="M217" s="24">
        <v>45821.0</v>
      </c>
    </row>
    <row r="218" ht="15.75" customHeight="1">
      <c r="A218" s="78">
        <v>45812.0</v>
      </c>
      <c r="B218" s="50"/>
      <c r="C218" s="31" t="s">
        <v>268</v>
      </c>
      <c r="D218" s="32" t="s">
        <v>15</v>
      </c>
      <c r="E218" s="31" t="s">
        <v>272</v>
      </c>
      <c r="F218" s="46">
        <v>45833.0</v>
      </c>
      <c r="G218" s="22">
        <v>3227717.19</v>
      </c>
      <c r="H218" s="14">
        <f t="shared" si="1"/>
        <v>677820.6099</v>
      </c>
      <c r="I218" s="22">
        <v>96831.52</v>
      </c>
      <c r="J218" s="22">
        <v>161385.86</v>
      </c>
      <c r="K218" s="15">
        <f t="shared" si="2"/>
        <v>4163755.18</v>
      </c>
      <c r="L218" s="45"/>
      <c r="M218" s="24">
        <v>45821.0</v>
      </c>
    </row>
    <row r="219" ht="15.75" customHeight="1">
      <c r="A219" s="78">
        <v>45812.0</v>
      </c>
      <c r="B219" s="50"/>
      <c r="C219" s="31" t="s">
        <v>268</v>
      </c>
      <c r="D219" s="32" t="s">
        <v>15</v>
      </c>
      <c r="E219" s="31" t="s">
        <v>273</v>
      </c>
      <c r="F219" s="46">
        <v>45833.0</v>
      </c>
      <c r="G219" s="22">
        <v>1837362.26</v>
      </c>
      <c r="H219" s="14">
        <f t="shared" si="1"/>
        <v>385846.0746</v>
      </c>
      <c r="I219" s="14"/>
      <c r="J219" s="22">
        <v>91868.11</v>
      </c>
      <c r="K219" s="15">
        <f t="shared" si="2"/>
        <v>2315076.445</v>
      </c>
      <c r="L219" s="45"/>
      <c r="M219" s="24">
        <v>45821.0</v>
      </c>
    </row>
    <row r="220" ht="15.75" customHeight="1">
      <c r="A220" s="78">
        <v>45694.0</v>
      </c>
      <c r="B220" s="19" t="s">
        <v>236</v>
      </c>
      <c r="C220" s="19" t="s">
        <v>71</v>
      </c>
      <c r="D220" s="19" t="s">
        <v>17</v>
      </c>
      <c r="E220" s="20" t="s">
        <v>274</v>
      </c>
      <c r="F220" s="13">
        <v>45671.0</v>
      </c>
      <c r="G220" s="22">
        <v>1.098652118E7</v>
      </c>
      <c r="H220" s="14">
        <f t="shared" si="1"/>
        <v>2307169.448</v>
      </c>
      <c r="I220" s="14"/>
      <c r="J220" s="14"/>
      <c r="K220" s="14">
        <f t="shared" si="2"/>
        <v>13293690.63</v>
      </c>
      <c r="L220" s="6"/>
      <c r="M220" s="11">
        <v>45700.0</v>
      </c>
    </row>
    <row r="221" ht="15.75" customHeight="1">
      <c r="A221" s="78">
        <v>45812.0</v>
      </c>
      <c r="B221" s="50"/>
      <c r="C221" s="31" t="s">
        <v>268</v>
      </c>
      <c r="D221" s="32" t="s">
        <v>15</v>
      </c>
      <c r="E221" s="31" t="s">
        <v>275</v>
      </c>
      <c r="F221" s="46">
        <v>45833.0</v>
      </c>
      <c r="G221" s="22">
        <v>4726251.42</v>
      </c>
      <c r="H221" s="14">
        <f t="shared" si="1"/>
        <v>992512.7982</v>
      </c>
      <c r="I221" s="22">
        <v>141787.54</v>
      </c>
      <c r="J221" s="22">
        <v>236312.57</v>
      </c>
      <c r="K221" s="15">
        <f t="shared" si="2"/>
        <v>6096864.328</v>
      </c>
      <c r="L221" s="45"/>
      <c r="M221" s="24">
        <v>45821.0</v>
      </c>
    </row>
    <row r="222" ht="15.75" customHeight="1">
      <c r="A222" s="78">
        <v>45812.0</v>
      </c>
      <c r="B222" s="50"/>
      <c r="C222" s="31" t="s">
        <v>268</v>
      </c>
      <c r="D222" s="32" t="s">
        <v>15</v>
      </c>
      <c r="E222" s="31" t="s">
        <v>276</v>
      </c>
      <c r="F222" s="46">
        <v>45833.0</v>
      </c>
      <c r="G222" s="22">
        <v>8871621.33</v>
      </c>
      <c r="H222" s="14">
        <f t="shared" si="1"/>
        <v>1863040.479</v>
      </c>
      <c r="I222" s="14"/>
      <c r="J222" s="22">
        <v>443581.07</v>
      </c>
      <c r="K222" s="15">
        <f t="shared" si="2"/>
        <v>11178242.88</v>
      </c>
      <c r="L222" s="45"/>
      <c r="M222" s="24">
        <v>45821.0</v>
      </c>
    </row>
    <row r="223" ht="15.75" customHeight="1">
      <c r="A223" s="78">
        <v>45812.0</v>
      </c>
      <c r="B223" s="50"/>
      <c r="C223" s="31" t="s">
        <v>74</v>
      </c>
      <c r="D223" s="32" t="s">
        <v>15</v>
      </c>
      <c r="E223" s="31" t="s">
        <v>277</v>
      </c>
      <c r="F223" s="46">
        <v>45833.0</v>
      </c>
      <c r="G223" s="22">
        <v>1872430.12</v>
      </c>
      <c r="H223" s="14">
        <f t="shared" si="1"/>
        <v>393210.3252</v>
      </c>
      <c r="I223" s="22">
        <v>56172.9</v>
      </c>
      <c r="J223" s="22">
        <v>29958.88</v>
      </c>
      <c r="K223" s="15">
        <f t="shared" si="2"/>
        <v>2351772.225</v>
      </c>
      <c r="L223" s="45"/>
      <c r="M223" s="24">
        <v>45834.0</v>
      </c>
    </row>
    <row r="224" ht="15.75" customHeight="1">
      <c r="A224" s="78">
        <v>45814.0</v>
      </c>
      <c r="B224" s="50"/>
      <c r="C224" s="31" t="s">
        <v>278</v>
      </c>
      <c r="D224" s="32" t="s">
        <v>15</v>
      </c>
      <c r="E224" s="32" t="s">
        <v>279</v>
      </c>
      <c r="F224" s="46">
        <v>45833.0</v>
      </c>
      <c r="G224" s="22">
        <v>1932850.15</v>
      </c>
      <c r="H224" s="14">
        <f t="shared" si="1"/>
        <v>405898.5315</v>
      </c>
      <c r="I224" s="14"/>
      <c r="J224" s="14"/>
      <c r="K224" s="15">
        <f t="shared" si="2"/>
        <v>2338748.682</v>
      </c>
      <c r="L224" s="45"/>
      <c r="M224" s="24">
        <v>45831.0</v>
      </c>
    </row>
    <row r="225" ht="15.75" customHeight="1">
      <c r="A225" s="78">
        <v>45694.0</v>
      </c>
      <c r="B225" s="19" t="s">
        <v>13</v>
      </c>
      <c r="C225" s="19" t="s">
        <v>71</v>
      </c>
      <c r="D225" s="19" t="s">
        <v>72</v>
      </c>
      <c r="E225" s="19" t="s">
        <v>73</v>
      </c>
      <c r="F225" s="13">
        <v>45688.0</v>
      </c>
      <c r="G225" s="22">
        <v>9798480.0</v>
      </c>
      <c r="H225" s="15">
        <f t="shared" si="1"/>
        <v>2057680.8</v>
      </c>
      <c r="I225" s="15"/>
      <c r="J225" s="15"/>
      <c r="K225" s="15">
        <f t="shared" si="2"/>
        <v>11856160.8</v>
      </c>
      <c r="L225" s="18"/>
      <c r="M225" s="11">
        <v>45708.0</v>
      </c>
    </row>
    <row r="226" ht="15.75" customHeight="1">
      <c r="A226" s="78">
        <v>45694.0</v>
      </c>
      <c r="B226" s="19" t="s">
        <v>13</v>
      </c>
      <c r="C226" s="19" t="s">
        <v>71</v>
      </c>
      <c r="D226" s="19" t="s">
        <v>72</v>
      </c>
      <c r="E226" s="19" t="s">
        <v>280</v>
      </c>
      <c r="F226" s="21">
        <v>45688.0</v>
      </c>
      <c r="G226" s="23">
        <v>1.020884E7</v>
      </c>
      <c r="H226" s="15">
        <f t="shared" si="1"/>
        <v>2143856.4</v>
      </c>
      <c r="I226" s="14"/>
      <c r="J226" s="14"/>
      <c r="K226" s="15">
        <f t="shared" si="2"/>
        <v>12352696.4</v>
      </c>
      <c r="L226" s="18"/>
      <c r="M226" s="11">
        <v>45695.0</v>
      </c>
    </row>
    <row r="227" ht="15.75" customHeight="1">
      <c r="A227" s="78">
        <v>45694.0</v>
      </c>
      <c r="B227" s="19" t="s">
        <v>13</v>
      </c>
      <c r="C227" s="19" t="s">
        <v>71</v>
      </c>
      <c r="D227" s="19" t="s">
        <v>281</v>
      </c>
      <c r="E227" s="19" t="s">
        <v>282</v>
      </c>
      <c r="F227" s="21">
        <v>45682.0</v>
      </c>
      <c r="G227" s="23">
        <v>9884370.0</v>
      </c>
      <c r="H227" s="15">
        <f t="shared" si="1"/>
        <v>2075717.7</v>
      </c>
      <c r="I227" s="14"/>
      <c r="J227" s="14"/>
      <c r="K227" s="15">
        <f t="shared" si="2"/>
        <v>11960087.7</v>
      </c>
      <c r="L227" s="18"/>
      <c r="M227" s="11">
        <v>45698.0</v>
      </c>
    </row>
    <row r="228" ht="15.75" customHeight="1">
      <c r="A228" s="78">
        <v>45694.0</v>
      </c>
      <c r="B228" s="19" t="s">
        <v>13</v>
      </c>
      <c r="C228" s="19" t="s">
        <v>71</v>
      </c>
      <c r="D228" s="19" t="s">
        <v>281</v>
      </c>
      <c r="E228" s="19" t="s">
        <v>283</v>
      </c>
      <c r="F228" s="30">
        <v>45682.0</v>
      </c>
      <c r="G228" s="22">
        <v>1.011982E7</v>
      </c>
      <c r="H228" s="15">
        <f t="shared" si="1"/>
        <v>2125162.2</v>
      </c>
      <c r="I228" s="14"/>
      <c r="J228" s="14"/>
      <c r="K228" s="15">
        <f t="shared" si="2"/>
        <v>12244982.2</v>
      </c>
      <c r="L228" s="95">
        <v>57886.0</v>
      </c>
      <c r="M228" s="11">
        <v>45726.0</v>
      </c>
    </row>
    <row r="229" ht="15.75" customHeight="1">
      <c r="A229" s="78">
        <v>45694.0</v>
      </c>
      <c r="B229" s="19" t="s">
        <v>13</v>
      </c>
      <c r="C229" s="19" t="s">
        <v>284</v>
      </c>
      <c r="D229" s="19" t="s">
        <v>285</v>
      </c>
      <c r="E229" s="19" t="s">
        <v>286</v>
      </c>
      <c r="F229" s="21">
        <v>45682.0</v>
      </c>
      <c r="G229" s="96">
        <v>1.8839957E7</v>
      </c>
      <c r="H229" s="15">
        <f t="shared" si="1"/>
        <v>3956390.97</v>
      </c>
      <c r="I229" s="14"/>
      <c r="J229" s="14"/>
      <c r="K229" s="15">
        <f t="shared" si="2"/>
        <v>22796347.97</v>
      </c>
      <c r="L229" s="18"/>
      <c r="M229" s="11">
        <v>45729.0</v>
      </c>
    </row>
    <row r="230" ht="15.75" customHeight="1">
      <c r="A230" s="78">
        <v>45694.0</v>
      </c>
      <c r="B230" s="19" t="s">
        <v>13</v>
      </c>
      <c r="C230" s="19" t="s">
        <v>284</v>
      </c>
      <c r="D230" s="19" t="s">
        <v>285</v>
      </c>
      <c r="E230" s="19" t="s">
        <v>287</v>
      </c>
      <c r="F230" s="21">
        <v>45682.0</v>
      </c>
      <c r="G230" s="96">
        <v>2.1499968E7</v>
      </c>
      <c r="H230" s="15">
        <f t="shared" si="1"/>
        <v>4514993.28</v>
      </c>
      <c r="I230" s="14"/>
      <c r="J230" s="14"/>
      <c r="K230" s="15">
        <f t="shared" si="2"/>
        <v>26014961.28</v>
      </c>
      <c r="L230" s="19">
        <v>284880.0</v>
      </c>
      <c r="M230" s="11">
        <v>45703.0</v>
      </c>
    </row>
    <row r="231" ht="15.75" customHeight="1">
      <c r="A231" s="78">
        <v>45694.0</v>
      </c>
      <c r="B231" s="19" t="s">
        <v>13</v>
      </c>
      <c r="C231" s="19" t="s">
        <v>284</v>
      </c>
      <c r="D231" s="19" t="s">
        <v>285</v>
      </c>
      <c r="E231" s="19" t="s">
        <v>288</v>
      </c>
      <c r="F231" s="21">
        <v>45682.0</v>
      </c>
      <c r="G231" s="96">
        <v>2.1435016E7</v>
      </c>
      <c r="H231" s="15">
        <f t="shared" si="1"/>
        <v>4501353.36</v>
      </c>
      <c r="I231" s="14"/>
      <c r="J231" s="14"/>
      <c r="K231" s="15">
        <f t="shared" si="2"/>
        <v>25936369.36</v>
      </c>
      <c r="L231" s="95">
        <v>341859.0</v>
      </c>
      <c r="M231" s="11">
        <v>45708.0</v>
      </c>
    </row>
    <row r="232" ht="15.75" customHeight="1">
      <c r="A232" s="78">
        <v>45694.0</v>
      </c>
      <c r="B232" s="19" t="s">
        <v>13</v>
      </c>
      <c r="C232" s="19" t="s">
        <v>284</v>
      </c>
      <c r="D232" s="19" t="s">
        <v>285</v>
      </c>
      <c r="E232" s="19" t="s">
        <v>289</v>
      </c>
      <c r="F232" s="21">
        <v>45682.0</v>
      </c>
      <c r="G232" s="96">
        <v>1.8239947E7</v>
      </c>
      <c r="H232" s="15">
        <f t="shared" si="1"/>
        <v>3830388.87</v>
      </c>
      <c r="I232" s="14"/>
      <c r="J232" s="14"/>
      <c r="K232" s="15">
        <f t="shared" si="2"/>
        <v>22070335.87</v>
      </c>
      <c r="L232" s="95">
        <v>359507.0</v>
      </c>
      <c r="M232" s="11">
        <v>45737.0</v>
      </c>
    </row>
    <row r="233" ht="15.75" customHeight="1">
      <c r="A233" s="78">
        <v>45694.0</v>
      </c>
      <c r="B233" s="19" t="s">
        <v>13</v>
      </c>
      <c r="C233" s="19" t="s">
        <v>284</v>
      </c>
      <c r="D233" s="19" t="s">
        <v>285</v>
      </c>
      <c r="E233" s="19" t="s">
        <v>290</v>
      </c>
      <c r="F233" s="21">
        <v>45682.0</v>
      </c>
      <c r="G233" s="96">
        <v>2.0000003E7</v>
      </c>
      <c r="H233" s="15">
        <f t="shared" si="1"/>
        <v>4200000.63</v>
      </c>
      <c r="I233" s="14"/>
      <c r="J233" s="14"/>
      <c r="K233" s="15">
        <f t="shared" si="2"/>
        <v>24200003.63</v>
      </c>
      <c r="L233" s="18"/>
      <c r="M233" s="24">
        <v>45728.0</v>
      </c>
    </row>
    <row r="234" ht="15.75" customHeight="1">
      <c r="A234" s="78">
        <v>45877.0</v>
      </c>
      <c r="B234" s="87"/>
      <c r="C234" s="31" t="s">
        <v>171</v>
      </c>
      <c r="D234" s="32" t="s">
        <v>15</v>
      </c>
      <c r="E234" s="31" t="s">
        <v>291</v>
      </c>
      <c r="F234" s="32" t="s">
        <v>139</v>
      </c>
      <c r="G234" s="53">
        <v>9918272.32</v>
      </c>
      <c r="H234" s="14">
        <f t="shared" si="1"/>
        <v>2082837.187</v>
      </c>
      <c r="I234" s="50"/>
      <c r="J234" s="14"/>
      <c r="K234" s="15">
        <f t="shared" si="2"/>
        <v>12001109.51</v>
      </c>
      <c r="L234" s="45"/>
      <c r="M234" s="6"/>
    </row>
    <row r="235" ht="15.75" customHeight="1">
      <c r="A235" s="78">
        <v>45877.0</v>
      </c>
      <c r="B235" s="87"/>
      <c r="C235" s="31" t="s">
        <v>171</v>
      </c>
      <c r="D235" s="32" t="s">
        <v>15</v>
      </c>
      <c r="E235" s="31" t="s">
        <v>292</v>
      </c>
      <c r="F235" s="32" t="s">
        <v>139</v>
      </c>
      <c r="G235" s="53">
        <v>1.298272307E7</v>
      </c>
      <c r="H235" s="14">
        <f t="shared" si="1"/>
        <v>2726371.845</v>
      </c>
      <c r="I235" s="50"/>
      <c r="J235" s="14"/>
      <c r="K235" s="15">
        <f t="shared" si="2"/>
        <v>15709094.91</v>
      </c>
      <c r="L235" s="45"/>
      <c r="M235" s="6"/>
    </row>
    <row r="236" ht="15.75" customHeight="1">
      <c r="A236" s="78">
        <v>45877.0</v>
      </c>
      <c r="B236" s="87"/>
      <c r="C236" s="31" t="s">
        <v>171</v>
      </c>
      <c r="D236" s="32" t="s">
        <v>15</v>
      </c>
      <c r="E236" s="31" t="s">
        <v>293</v>
      </c>
      <c r="F236" s="32" t="s">
        <v>139</v>
      </c>
      <c r="G236" s="53">
        <v>1.536326228E7</v>
      </c>
      <c r="H236" s="14">
        <f t="shared" si="1"/>
        <v>3226285.079</v>
      </c>
      <c r="I236" s="50"/>
      <c r="J236" s="14"/>
      <c r="K236" s="15">
        <f t="shared" si="2"/>
        <v>18589547.36</v>
      </c>
      <c r="L236" s="45"/>
      <c r="M236" s="19" t="s">
        <v>206</v>
      </c>
    </row>
    <row r="237" ht="15.75" customHeight="1">
      <c r="A237" s="97"/>
      <c r="B237" s="6" t="s">
        <v>13</v>
      </c>
      <c r="C237" s="6" t="s">
        <v>168</v>
      </c>
      <c r="D237" s="6" t="s">
        <v>15</v>
      </c>
      <c r="E237" s="6"/>
      <c r="F237" s="13">
        <v>45658.0</v>
      </c>
      <c r="G237" s="14">
        <v>4468910.12</v>
      </c>
      <c r="H237" s="15">
        <f t="shared" si="1"/>
        <v>938471.1252</v>
      </c>
      <c r="I237" s="14">
        <v>134067.3</v>
      </c>
      <c r="J237" s="14"/>
      <c r="K237" s="15">
        <f t="shared" si="2"/>
        <v>5541448.545</v>
      </c>
      <c r="L237" s="6"/>
      <c r="M237" s="11">
        <v>45751.0</v>
      </c>
    </row>
    <row r="238" ht="15.75" customHeight="1">
      <c r="A238" s="78">
        <v>45694.0</v>
      </c>
      <c r="B238" s="19" t="s">
        <v>13</v>
      </c>
      <c r="C238" s="19" t="s">
        <v>209</v>
      </c>
      <c r="D238" s="19" t="s">
        <v>17</v>
      </c>
      <c r="E238" s="19" t="s">
        <v>294</v>
      </c>
      <c r="F238" s="21">
        <v>45682.0</v>
      </c>
      <c r="G238" s="52">
        <v>8048612.35</v>
      </c>
      <c r="H238" s="15">
        <f t="shared" si="1"/>
        <v>1690208.594</v>
      </c>
      <c r="I238" s="52">
        <v>241458.37</v>
      </c>
      <c r="J238" s="14"/>
      <c r="K238" s="15">
        <f t="shared" si="2"/>
        <v>9980279.314</v>
      </c>
      <c r="L238" s="18"/>
      <c r="M238" s="24">
        <v>45750.0</v>
      </c>
    </row>
    <row r="239" ht="15.75" customHeight="1">
      <c r="A239" s="78">
        <v>45694.0</v>
      </c>
      <c r="B239" s="19" t="s">
        <v>13</v>
      </c>
      <c r="C239" s="19" t="s">
        <v>74</v>
      </c>
      <c r="D239" s="19" t="s">
        <v>17</v>
      </c>
      <c r="E239" s="20" t="s">
        <v>295</v>
      </c>
      <c r="F239" s="21">
        <v>45684.0</v>
      </c>
      <c r="G239" s="22">
        <v>3429990.09</v>
      </c>
      <c r="H239" s="15">
        <f t="shared" si="1"/>
        <v>720297.9189</v>
      </c>
      <c r="I239" s="14"/>
      <c r="J239" s="22">
        <v>54879.84</v>
      </c>
      <c r="K239" s="15">
        <f t="shared" si="2"/>
        <v>4205167.849</v>
      </c>
      <c r="L239" s="18"/>
      <c r="M239" s="24">
        <v>45694.0</v>
      </c>
    </row>
    <row r="240" ht="15.75" customHeight="1">
      <c r="A240" s="78">
        <v>45694.0</v>
      </c>
      <c r="B240" s="19" t="s">
        <v>13</v>
      </c>
      <c r="C240" s="19" t="s">
        <v>74</v>
      </c>
      <c r="D240" s="19" t="s">
        <v>17</v>
      </c>
      <c r="E240" s="19" t="s">
        <v>296</v>
      </c>
      <c r="F240" s="21">
        <v>45685.0</v>
      </c>
      <c r="G240" s="22">
        <v>1.160792011E7</v>
      </c>
      <c r="H240" s="15">
        <f t="shared" si="1"/>
        <v>2437663.223</v>
      </c>
      <c r="I240" s="14"/>
      <c r="J240" s="22">
        <v>185726.72</v>
      </c>
      <c r="K240" s="15">
        <f t="shared" si="2"/>
        <v>14231310.05</v>
      </c>
      <c r="L240" s="18">
        <f>170585</f>
        <v>170585</v>
      </c>
      <c r="M240" s="24">
        <v>45708.0</v>
      </c>
    </row>
    <row r="241" ht="15.75" customHeight="1">
      <c r="A241" s="78">
        <v>45694.0</v>
      </c>
      <c r="B241" s="19" t="s">
        <v>13</v>
      </c>
      <c r="C241" s="19" t="s">
        <v>74</v>
      </c>
      <c r="D241" s="19" t="s">
        <v>17</v>
      </c>
      <c r="E241" s="20" t="s">
        <v>297</v>
      </c>
      <c r="F241" s="21">
        <v>45686.0</v>
      </c>
      <c r="G241" s="22">
        <v>7366830.08</v>
      </c>
      <c r="H241" s="15">
        <f t="shared" si="1"/>
        <v>1547034.317</v>
      </c>
      <c r="I241" s="14"/>
      <c r="J241" s="14"/>
      <c r="K241" s="15">
        <f t="shared" si="2"/>
        <v>8913864.397</v>
      </c>
      <c r="L241" s="18"/>
      <c r="M241" s="24">
        <v>45700.0</v>
      </c>
    </row>
    <row r="242" ht="15.75" customHeight="1">
      <c r="A242" s="78">
        <v>45694.0</v>
      </c>
      <c r="B242" s="19" t="s">
        <v>13</v>
      </c>
      <c r="C242" s="19" t="s">
        <v>74</v>
      </c>
      <c r="D242" s="19" t="s">
        <v>17</v>
      </c>
      <c r="E242" s="20" t="s">
        <v>298</v>
      </c>
      <c r="F242" s="21">
        <v>45687.0</v>
      </c>
      <c r="G242" s="22">
        <v>1.701998003E7</v>
      </c>
      <c r="H242" s="15">
        <f t="shared" si="1"/>
        <v>3574195.806</v>
      </c>
      <c r="I242" s="14"/>
      <c r="J242" s="22">
        <v>272319.68</v>
      </c>
      <c r="K242" s="15">
        <f t="shared" si="2"/>
        <v>20866495.52</v>
      </c>
      <c r="L242" s="18"/>
      <c r="M242" s="24">
        <v>45708.0</v>
      </c>
    </row>
    <row r="243" ht="15.75" customHeight="1">
      <c r="A243" s="78">
        <v>45694.0</v>
      </c>
      <c r="B243" s="19" t="s">
        <v>13</v>
      </c>
      <c r="C243" s="19" t="s">
        <v>299</v>
      </c>
      <c r="D243" s="19" t="s">
        <v>17</v>
      </c>
      <c r="E243" s="35" t="s">
        <v>300</v>
      </c>
      <c r="F243" s="21">
        <v>45713.0</v>
      </c>
      <c r="G243" s="22">
        <v>7881121.09</v>
      </c>
      <c r="H243" s="15">
        <f t="shared" si="1"/>
        <v>1655035.429</v>
      </c>
      <c r="I243" s="14"/>
      <c r="J243" s="22">
        <v>70930.09</v>
      </c>
      <c r="K243" s="15">
        <f t="shared" si="2"/>
        <v>9607086.609</v>
      </c>
      <c r="L243" s="18"/>
      <c r="M243" s="24">
        <v>45701.0</v>
      </c>
    </row>
    <row r="244" ht="15.75" customHeight="1">
      <c r="A244" s="78">
        <v>45695.0</v>
      </c>
      <c r="B244" s="19" t="s">
        <v>13</v>
      </c>
      <c r="C244" s="19" t="s">
        <v>299</v>
      </c>
      <c r="D244" s="19" t="s">
        <v>17</v>
      </c>
      <c r="E244" s="20" t="s">
        <v>301</v>
      </c>
      <c r="F244" s="21">
        <v>45714.0</v>
      </c>
      <c r="G244" s="22">
        <v>5672211.71</v>
      </c>
      <c r="H244" s="15">
        <f t="shared" si="1"/>
        <v>1191164.459</v>
      </c>
      <c r="I244" s="14"/>
      <c r="J244" s="22">
        <v>51049.91</v>
      </c>
      <c r="K244" s="15">
        <f t="shared" si="2"/>
        <v>6914426.079</v>
      </c>
      <c r="L244" s="95">
        <v>378500.0</v>
      </c>
      <c r="M244" s="24">
        <v>45703.0</v>
      </c>
    </row>
    <row r="245" ht="15.75" customHeight="1">
      <c r="A245" s="78">
        <v>45695.0</v>
      </c>
      <c r="B245" s="6"/>
      <c r="C245" s="19" t="s">
        <v>299</v>
      </c>
      <c r="D245" s="19" t="s">
        <v>17</v>
      </c>
      <c r="E245" s="20" t="s">
        <v>302</v>
      </c>
      <c r="F245" s="21">
        <v>45715.0</v>
      </c>
      <c r="G245" s="22">
        <v>8212311.43</v>
      </c>
      <c r="H245" s="15">
        <f t="shared" si="1"/>
        <v>1724585.4</v>
      </c>
      <c r="I245" s="22">
        <v>246369.34</v>
      </c>
      <c r="J245" s="22">
        <v>73910.8</v>
      </c>
      <c r="K245" s="15">
        <f t="shared" si="2"/>
        <v>10257176.97</v>
      </c>
      <c r="L245" s="18"/>
      <c r="M245" s="24">
        <v>45694.0</v>
      </c>
    </row>
    <row r="246" ht="15.75" customHeight="1">
      <c r="A246" s="78">
        <v>45695.0</v>
      </c>
      <c r="B246" s="19" t="s">
        <v>13</v>
      </c>
      <c r="C246" s="19" t="s">
        <v>299</v>
      </c>
      <c r="D246" s="19" t="s">
        <v>17</v>
      </c>
      <c r="E246" s="20" t="s">
        <v>303</v>
      </c>
      <c r="F246" s="21">
        <v>45716.0</v>
      </c>
      <c r="G246" s="22">
        <v>4982822.01</v>
      </c>
      <c r="H246" s="15">
        <f t="shared" si="1"/>
        <v>1046392.622</v>
      </c>
      <c r="I246" s="14"/>
      <c r="J246" s="22">
        <v>44845.4</v>
      </c>
      <c r="K246" s="15">
        <f t="shared" si="2"/>
        <v>6074060.032</v>
      </c>
      <c r="L246" s="95">
        <v>218831.0</v>
      </c>
      <c r="M246" s="24">
        <v>45708.0</v>
      </c>
    </row>
    <row r="247" ht="15.75" customHeight="1">
      <c r="A247" s="78">
        <v>45695.0</v>
      </c>
      <c r="B247" s="19" t="s">
        <v>13</v>
      </c>
      <c r="C247" s="20" t="s">
        <v>108</v>
      </c>
      <c r="D247" s="19" t="s">
        <v>17</v>
      </c>
      <c r="E247" s="20" t="s">
        <v>304</v>
      </c>
      <c r="F247" s="21">
        <v>45713.0</v>
      </c>
      <c r="G247" s="22">
        <v>4218281.09</v>
      </c>
      <c r="H247" s="15">
        <f t="shared" si="1"/>
        <v>885839.0289</v>
      </c>
      <c r="I247" s="22">
        <v>126548.43</v>
      </c>
      <c r="J247" s="14"/>
      <c r="K247" s="15">
        <f t="shared" si="2"/>
        <v>5230668.549</v>
      </c>
      <c r="L247" s="95">
        <v>1311729.0</v>
      </c>
      <c r="M247" s="24">
        <v>45701.0</v>
      </c>
    </row>
    <row r="248" ht="15.75" customHeight="1">
      <c r="A248" s="78">
        <v>45695.0</v>
      </c>
      <c r="B248" s="19" t="s">
        <v>13</v>
      </c>
      <c r="C248" s="20" t="s">
        <v>108</v>
      </c>
      <c r="D248" s="19" t="s">
        <v>17</v>
      </c>
      <c r="E248" s="20" t="s">
        <v>305</v>
      </c>
      <c r="F248" s="21">
        <v>45713.0</v>
      </c>
      <c r="G248" s="22">
        <v>4991112.08</v>
      </c>
      <c r="H248" s="15">
        <f t="shared" si="1"/>
        <v>1048133.537</v>
      </c>
      <c r="I248" s="14"/>
      <c r="J248" s="14"/>
      <c r="K248" s="15">
        <f t="shared" si="2"/>
        <v>6039245.617</v>
      </c>
      <c r="L248" s="18"/>
      <c r="M248" s="24">
        <v>45701.0</v>
      </c>
    </row>
    <row r="249" ht="15.75" customHeight="1">
      <c r="A249" s="78">
        <v>45695.0</v>
      </c>
      <c r="B249" s="19" t="s">
        <v>13</v>
      </c>
      <c r="C249" s="20" t="s">
        <v>108</v>
      </c>
      <c r="D249" s="19" t="s">
        <v>17</v>
      </c>
      <c r="E249" s="20" t="s">
        <v>306</v>
      </c>
      <c r="F249" s="21">
        <v>45713.0</v>
      </c>
      <c r="G249" s="22">
        <v>3901211.0</v>
      </c>
      <c r="H249" s="15">
        <f t="shared" si="1"/>
        <v>819254.31</v>
      </c>
      <c r="I249" s="14"/>
      <c r="J249" s="14"/>
      <c r="K249" s="15">
        <f t="shared" si="2"/>
        <v>4720465.31</v>
      </c>
      <c r="L249" s="18"/>
      <c r="M249" s="11">
        <v>45706.0</v>
      </c>
    </row>
    <row r="250" ht="15.75" customHeight="1">
      <c r="A250" s="78">
        <v>45695.0</v>
      </c>
      <c r="B250" s="19" t="s">
        <v>13</v>
      </c>
      <c r="C250" s="20" t="s">
        <v>108</v>
      </c>
      <c r="D250" s="19" t="s">
        <v>17</v>
      </c>
      <c r="E250" s="20" t="s">
        <v>307</v>
      </c>
      <c r="F250" s="21">
        <v>45713.0</v>
      </c>
      <c r="G250" s="23">
        <v>1.283626102E7</v>
      </c>
      <c r="H250" s="15">
        <f t="shared" si="1"/>
        <v>2695614.814</v>
      </c>
      <c r="I250" s="23">
        <v>385087.83</v>
      </c>
      <c r="J250" s="15"/>
      <c r="K250" s="15">
        <f t="shared" si="2"/>
        <v>15916963.66</v>
      </c>
      <c r="L250" s="95">
        <v>1083895.0</v>
      </c>
      <c r="M250" s="11">
        <v>45706.0</v>
      </c>
    </row>
    <row r="251" ht="15.75" customHeight="1">
      <c r="A251" s="78">
        <v>45695.0</v>
      </c>
      <c r="B251" s="19" t="s">
        <v>13</v>
      </c>
      <c r="C251" s="20" t="s">
        <v>108</v>
      </c>
      <c r="D251" s="19" t="s">
        <v>17</v>
      </c>
      <c r="E251" s="19" t="s">
        <v>308</v>
      </c>
      <c r="F251" s="21">
        <v>45713.0</v>
      </c>
      <c r="G251" s="23">
        <v>7322911.08</v>
      </c>
      <c r="H251" s="15">
        <f t="shared" si="1"/>
        <v>1537811.327</v>
      </c>
      <c r="I251" s="15"/>
      <c r="J251" s="15"/>
      <c r="K251" s="15">
        <f t="shared" si="2"/>
        <v>8860722.407</v>
      </c>
      <c r="L251" s="18"/>
      <c r="M251" s="11">
        <v>45706.0</v>
      </c>
    </row>
    <row r="252" ht="15.75" customHeight="1">
      <c r="A252" s="78">
        <v>45695.0</v>
      </c>
      <c r="B252" s="19" t="s">
        <v>13</v>
      </c>
      <c r="C252" s="20" t="s">
        <v>108</v>
      </c>
      <c r="D252" s="19" t="s">
        <v>17</v>
      </c>
      <c r="E252" s="20" t="s">
        <v>309</v>
      </c>
      <c r="F252" s="21">
        <v>45714.0</v>
      </c>
      <c r="G252" s="23">
        <v>8981921.02</v>
      </c>
      <c r="H252" s="15">
        <f t="shared" si="1"/>
        <v>1886203.414</v>
      </c>
      <c r="I252" s="23">
        <v>269457.63</v>
      </c>
      <c r="J252" s="15"/>
      <c r="K252" s="15">
        <f t="shared" si="2"/>
        <v>11137582.06</v>
      </c>
      <c r="L252" s="18"/>
      <c r="M252" s="24">
        <v>45750.0</v>
      </c>
    </row>
    <row r="253" ht="15.75" customHeight="1">
      <c r="A253" s="78">
        <v>45695.0</v>
      </c>
      <c r="B253" s="6"/>
      <c r="C253" s="35" t="s">
        <v>284</v>
      </c>
      <c r="D253" s="19" t="s">
        <v>17</v>
      </c>
      <c r="E253" s="20" t="s">
        <v>310</v>
      </c>
      <c r="F253" s="21">
        <v>45714.0</v>
      </c>
      <c r="G253" s="22">
        <v>3827431.36</v>
      </c>
      <c r="H253" s="14">
        <f t="shared" si="1"/>
        <v>803760.5856</v>
      </c>
      <c r="I253" s="22">
        <v>114822.94</v>
      </c>
      <c r="J253" s="22">
        <v>42101.74</v>
      </c>
      <c r="K253" s="15">
        <f t="shared" si="2"/>
        <v>4788116.626</v>
      </c>
      <c r="L253" s="18"/>
      <c r="M253" s="24">
        <v>45695.0</v>
      </c>
    </row>
    <row r="254" ht="15.75" customHeight="1">
      <c r="A254" s="78">
        <v>45695.0</v>
      </c>
      <c r="B254" s="6"/>
      <c r="C254" s="35" t="s">
        <v>284</v>
      </c>
      <c r="D254" s="19" t="s">
        <v>17</v>
      </c>
      <c r="E254" s="20" t="s">
        <v>311</v>
      </c>
      <c r="F254" s="21">
        <v>45714.0</v>
      </c>
      <c r="G254" s="22">
        <v>6253211.09</v>
      </c>
      <c r="H254" s="14">
        <f t="shared" si="1"/>
        <v>1313174.329</v>
      </c>
      <c r="I254" s="14"/>
      <c r="J254" s="14"/>
      <c r="K254" s="15">
        <f t="shared" si="2"/>
        <v>7566385.419</v>
      </c>
      <c r="L254" s="6"/>
      <c r="M254" s="11">
        <v>45698.0</v>
      </c>
    </row>
    <row r="255" ht="15.75" customHeight="1">
      <c r="A255" s="78">
        <v>45695.0</v>
      </c>
      <c r="B255" s="6"/>
      <c r="C255" s="35" t="s">
        <v>284</v>
      </c>
      <c r="D255" s="19" t="s">
        <v>17</v>
      </c>
      <c r="E255" s="20" t="s">
        <v>312</v>
      </c>
      <c r="F255" s="21">
        <v>45714.0</v>
      </c>
      <c r="G255" s="22">
        <v>1.132119186E7</v>
      </c>
      <c r="H255" s="14">
        <f t="shared" si="1"/>
        <v>2377450.291</v>
      </c>
      <c r="I255" s="22">
        <v>339635.76</v>
      </c>
      <c r="J255" s="22">
        <v>124533.11</v>
      </c>
      <c r="K255" s="15">
        <f t="shared" si="2"/>
        <v>14162811.02</v>
      </c>
      <c r="L255" s="18"/>
      <c r="M255" s="11">
        <v>45698.0</v>
      </c>
    </row>
    <row r="256" ht="15.75" customHeight="1">
      <c r="A256" s="78">
        <v>45695.0</v>
      </c>
      <c r="B256" s="6"/>
      <c r="C256" s="35" t="s">
        <v>284</v>
      </c>
      <c r="D256" s="19" t="s">
        <v>17</v>
      </c>
      <c r="E256" s="20" t="s">
        <v>313</v>
      </c>
      <c r="F256" s="21">
        <v>45714.0</v>
      </c>
      <c r="G256" s="23">
        <v>4273721.67</v>
      </c>
      <c r="H256" s="15">
        <f t="shared" si="1"/>
        <v>897481.5507</v>
      </c>
      <c r="I256" s="15"/>
      <c r="J256" s="23">
        <v>47010.94</v>
      </c>
      <c r="K256" s="15">
        <f t="shared" si="2"/>
        <v>5218214.161</v>
      </c>
      <c r="L256" s="18"/>
      <c r="M256" s="24">
        <v>45750.0</v>
      </c>
    </row>
    <row r="257" ht="15.75" customHeight="1">
      <c r="A257" s="78">
        <v>45698.0</v>
      </c>
      <c r="B257" s="19" t="s">
        <v>237</v>
      </c>
      <c r="C257" s="35" t="s">
        <v>284</v>
      </c>
      <c r="D257" s="19" t="s">
        <v>17</v>
      </c>
      <c r="E257" s="20" t="s">
        <v>314</v>
      </c>
      <c r="F257" s="21">
        <v>45714.0</v>
      </c>
      <c r="G257" s="22">
        <v>5837711.24</v>
      </c>
      <c r="H257" s="15">
        <f t="shared" si="1"/>
        <v>1225919.36</v>
      </c>
      <c r="I257" s="14"/>
      <c r="J257" s="22">
        <v>64214.82</v>
      </c>
      <c r="K257" s="15">
        <f t="shared" si="2"/>
        <v>7127845.42</v>
      </c>
      <c r="L257" s="95">
        <v>93324.0</v>
      </c>
      <c r="M257" s="11">
        <v>45707.0</v>
      </c>
    </row>
    <row r="258" ht="15.75" customHeight="1">
      <c r="A258" s="78">
        <v>45698.0</v>
      </c>
      <c r="B258" s="19" t="s">
        <v>315</v>
      </c>
      <c r="C258" s="35" t="s">
        <v>284</v>
      </c>
      <c r="D258" s="19" t="s">
        <v>17</v>
      </c>
      <c r="E258" s="20" t="s">
        <v>316</v>
      </c>
      <c r="F258" s="21">
        <v>45714.0</v>
      </c>
      <c r="G258" s="22">
        <v>9528101.02</v>
      </c>
      <c r="H258" s="15">
        <f t="shared" si="1"/>
        <v>2000901.214</v>
      </c>
      <c r="I258" s="22">
        <v>285843.03</v>
      </c>
      <c r="J258" s="22">
        <v>104809.11</v>
      </c>
      <c r="K258" s="15">
        <f t="shared" si="2"/>
        <v>11919654.37</v>
      </c>
      <c r="L258" s="95">
        <v>934925.0</v>
      </c>
      <c r="M258" s="11">
        <v>45707.0</v>
      </c>
    </row>
    <row r="259" ht="15.75" customHeight="1">
      <c r="A259" s="78">
        <v>45698.0</v>
      </c>
      <c r="B259" s="19" t="s">
        <v>315</v>
      </c>
      <c r="C259" s="20" t="s">
        <v>93</v>
      </c>
      <c r="D259" s="19" t="s">
        <v>17</v>
      </c>
      <c r="E259" s="20" t="s">
        <v>317</v>
      </c>
      <c r="F259" s="21">
        <v>45714.0</v>
      </c>
      <c r="G259" s="23">
        <v>2767212.03</v>
      </c>
      <c r="H259" s="15">
        <f t="shared" si="1"/>
        <v>581114.5263</v>
      </c>
      <c r="I259" s="23">
        <v>83016.36</v>
      </c>
      <c r="J259" s="14"/>
      <c r="K259" s="15">
        <f t="shared" si="2"/>
        <v>3431342.916</v>
      </c>
      <c r="L259" s="95">
        <v>373970.0</v>
      </c>
      <c r="M259" s="11">
        <v>45707.0</v>
      </c>
    </row>
    <row r="260" ht="15.75" customHeight="1">
      <c r="A260" s="78">
        <v>45698.0</v>
      </c>
      <c r="B260" s="19" t="s">
        <v>237</v>
      </c>
      <c r="C260" s="20" t="s">
        <v>93</v>
      </c>
      <c r="D260" s="19" t="s">
        <v>17</v>
      </c>
      <c r="E260" s="20" t="s">
        <v>318</v>
      </c>
      <c r="F260" s="21">
        <v>45715.0</v>
      </c>
      <c r="G260" s="23">
        <v>2671124.0</v>
      </c>
      <c r="H260" s="15">
        <f t="shared" si="1"/>
        <v>560936.04</v>
      </c>
      <c r="I260" s="15"/>
      <c r="J260" s="14"/>
      <c r="K260" s="15">
        <f t="shared" si="2"/>
        <v>3232060.04</v>
      </c>
      <c r="L260" s="18"/>
      <c r="M260" s="11">
        <v>45707.0</v>
      </c>
    </row>
    <row r="261" ht="15.75" customHeight="1">
      <c r="A261" s="78">
        <v>45699.0</v>
      </c>
      <c r="B261" s="6"/>
      <c r="C261" s="20" t="s">
        <v>93</v>
      </c>
      <c r="D261" s="19" t="s">
        <v>17</v>
      </c>
      <c r="E261" s="20" t="s">
        <v>319</v>
      </c>
      <c r="F261" s="21">
        <v>45716.0</v>
      </c>
      <c r="G261" s="23">
        <v>3509843.21</v>
      </c>
      <c r="H261" s="15">
        <f t="shared" si="1"/>
        <v>737067.0741</v>
      </c>
      <c r="I261" s="15"/>
      <c r="J261" s="15"/>
      <c r="K261" s="15">
        <f t="shared" si="2"/>
        <v>4246910.284</v>
      </c>
      <c r="L261" s="18"/>
      <c r="M261" s="11">
        <v>45707.0</v>
      </c>
    </row>
    <row r="262" ht="15.75" customHeight="1">
      <c r="A262" s="78">
        <v>45699.0</v>
      </c>
      <c r="B262" s="6"/>
      <c r="C262" s="20" t="s">
        <v>93</v>
      </c>
      <c r="D262" s="19" t="s">
        <v>17</v>
      </c>
      <c r="E262" s="20" t="s">
        <v>320</v>
      </c>
      <c r="F262" s="21">
        <v>45716.0</v>
      </c>
      <c r="G262" s="23">
        <v>6433811.07</v>
      </c>
      <c r="H262" s="15">
        <f t="shared" si="1"/>
        <v>1351100.325</v>
      </c>
      <c r="I262" s="23">
        <v>193014.33</v>
      </c>
      <c r="J262" s="15"/>
      <c r="K262" s="15">
        <f t="shared" si="2"/>
        <v>7977925.725</v>
      </c>
      <c r="L262" s="18"/>
      <c r="M262" s="11">
        <v>45707.0</v>
      </c>
    </row>
    <row r="263" ht="15.75" customHeight="1">
      <c r="A263" s="78">
        <v>45701.0</v>
      </c>
      <c r="B263" s="19" t="s">
        <v>13</v>
      </c>
      <c r="C263" s="20" t="s">
        <v>93</v>
      </c>
      <c r="D263" s="19" t="s">
        <v>17</v>
      </c>
      <c r="E263" s="19" t="s">
        <v>321</v>
      </c>
      <c r="F263" s="21">
        <v>45716.0</v>
      </c>
      <c r="G263" s="22">
        <v>2584721.93</v>
      </c>
      <c r="H263" s="15">
        <f t="shared" si="1"/>
        <v>542791.6053</v>
      </c>
      <c r="I263" s="14"/>
      <c r="J263" s="14"/>
      <c r="K263" s="15">
        <f t="shared" si="2"/>
        <v>3127513.535</v>
      </c>
      <c r="L263" s="6"/>
      <c r="M263" s="16"/>
    </row>
    <row r="264" ht="15.75" customHeight="1">
      <c r="A264" s="78">
        <v>45701.0</v>
      </c>
      <c r="B264" s="19" t="s">
        <v>13</v>
      </c>
      <c r="C264" s="20" t="s">
        <v>93</v>
      </c>
      <c r="D264" s="19" t="s">
        <v>17</v>
      </c>
      <c r="E264" s="20" t="s">
        <v>322</v>
      </c>
      <c r="F264" s="21">
        <v>45716.0</v>
      </c>
      <c r="G264" s="22">
        <v>4837271.07</v>
      </c>
      <c r="H264" s="14">
        <f t="shared" si="1"/>
        <v>1015826.925</v>
      </c>
      <c r="I264" s="22">
        <v>145118.13</v>
      </c>
      <c r="J264" s="14"/>
      <c r="K264" s="14">
        <f t="shared" si="2"/>
        <v>5998216.125</v>
      </c>
      <c r="L264" s="18"/>
      <c r="M264" s="16"/>
    </row>
    <row r="265" ht="15.75" customHeight="1">
      <c r="A265" s="78">
        <v>45701.0</v>
      </c>
      <c r="B265" s="19" t="s">
        <v>13</v>
      </c>
      <c r="C265" s="20" t="s">
        <v>323</v>
      </c>
      <c r="D265" s="19" t="s">
        <v>17</v>
      </c>
      <c r="E265" s="20" t="s">
        <v>324</v>
      </c>
      <c r="F265" s="21">
        <v>45716.0</v>
      </c>
      <c r="G265" s="22">
        <v>1.181821002E7</v>
      </c>
      <c r="H265" s="14">
        <f t="shared" si="1"/>
        <v>2481824.104</v>
      </c>
      <c r="I265" s="22">
        <v>354546.3</v>
      </c>
      <c r="J265" s="22">
        <v>153636.73</v>
      </c>
      <c r="K265" s="14">
        <f t="shared" si="2"/>
        <v>14808217.15</v>
      </c>
      <c r="L265" s="6"/>
      <c r="M265" s="16"/>
    </row>
    <row r="266" ht="15.75" customHeight="1">
      <c r="A266" s="78">
        <v>45701.0</v>
      </c>
      <c r="B266" s="19" t="s">
        <v>13</v>
      </c>
      <c r="C266" s="20" t="s">
        <v>323</v>
      </c>
      <c r="D266" s="19" t="s">
        <v>17</v>
      </c>
      <c r="E266" s="20" t="s">
        <v>325</v>
      </c>
      <c r="F266" s="21">
        <v>45716.0</v>
      </c>
      <c r="G266" s="22">
        <v>9872621.13</v>
      </c>
      <c r="H266" s="14">
        <f t="shared" si="1"/>
        <v>2073250.437</v>
      </c>
      <c r="I266" s="14"/>
      <c r="J266" s="22">
        <v>128344.07</v>
      </c>
      <c r="K266" s="14">
        <f t="shared" si="2"/>
        <v>12074215.64</v>
      </c>
      <c r="L266" s="18"/>
      <c r="M266" s="6"/>
    </row>
    <row r="267" ht="15.75" customHeight="1">
      <c r="A267" s="78">
        <v>45701.0</v>
      </c>
      <c r="B267" s="6"/>
      <c r="C267" s="20" t="s">
        <v>323</v>
      </c>
      <c r="D267" s="19" t="s">
        <v>17</v>
      </c>
      <c r="E267" s="20" t="s">
        <v>326</v>
      </c>
      <c r="F267" s="21">
        <v>45716.0</v>
      </c>
      <c r="G267" s="22">
        <v>8737211.11</v>
      </c>
      <c r="H267" s="14">
        <f t="shared" si="1"/>
        <v>1834814.333</v>
      </c>
      <c r="I267" s="14"/>
      <c r="J267" s="22">
        <v>113583.74</v>
      </c>
      <c r="K267" s="14">
        <f t="shared" si="2"/>
        <v>10685609.18</v>
      </c>
      <c r="L267" s="18"/>
      <c r="M267" s="6"/>
    </row>
    <row r="268" ht="15.75" customHeight="1">
      <c r="A268" s="78">
        <v>45701.0</v>
      </c>
      <c r="B268" s="6"/>
      <c r="C268" s="19" t="s">
        <v>327</v>
      </c>
      <c r="D268" s="19" t="s">
        <v>17</v>
      </c>
      <c r="E268" s="19" t="s">
        <v>328</v>
      </c>
      <c r="F268" s="21">
        <v>45716.0</v>
      </c>
      <c r="G268" s="22">
        <v>8827291.14</v>
      </c>
      <c r="H268" s="14">
        <f t="shared" si="1"/>
        <v>1853731.139</v>
      </c>
      <c r="I268" s="14"/>
      <c r="J268" s="14"/>
      <c r="K268" s="14">
        <f t="shared" si="2"/>
        <v>10681022.28</v>
      </c>
      <c r="L268" s="18"/>
      <c r="M268" s="24">
        <v>45709.0</v>
      </c>
    </row>
    <row r="269" ht="15.75" customHeight="1">
      <c r="A269" s="78">
        <v>45701.0</v>
      </c>
      <c r="B269" s="6"/>
      <c r="C269" s="19" t="s">
        <v>327</v>
      </c>
      <c r="D269" s="19" t="s">
        <v>17</v>
      </c>
      <c r="E269" s="19" t="s">
        <v>329</v>
      </c>
      <c r="F269" s="21">
        <v>45716.0</v>
      </c>
      <c r="G269" s="22">
        <v>9991772.14</v>
      </c>
      <c r="H269" s="14">
        <f t="shared" si="1"/>
        <v>2098272.149</v>
      </c>
      <c r="I269" s="14"/>
      <c r="J269" s="14"/>
      <c r="K269" s="14">
        <f t="shared" si="2"/>
        <v>12090044.29</v>
      </c>
      <c r="L269" s="18"/>
      <c r="M269" s="6"/>
    </row>
    <row r="270" ht="15.75" customHeight="1">
      <c r="A270" s="78">
        <v>45701.0</v>
      </c>
      <c r="B270" s="6"/>
      <c r="C270" s="19" t="s">
        <v>327</v>
      </c>
      <c r="D270" s="19" t="s">
        <v>17</v>
      </c>
      <c r="E270" s="19" t="s">
        <v>330</v>
      </c>
      <c r="F270" s="21">
        <v>45716.0</v>
      </c>
      <c r="G270" s="22">
        <v>1.199281203E7</v>
      </c>
      <c r="H270" s="14">
        <f t="shared" si="1"/>
        <v>2518490.526</v>
      </c>
      <c r="I270" s="14"/>
      <c r="J270" s="14"/>
      <c r="K270" s="14">
        <f t="shared" si="2"/>
        <v>14511302.56</v>
      </c>
      <c r="L270" s="18"/>
      <c r="M270" s="24">
        <v>45709.0</v>
      </c>
    </row>
    <row r="271" ht="15.75" customHeight="1">
      <c r="A271" s="78">
        <v>45701.0</v>
      </c>
      <c r="B271" s="6"/>
      <c r="C271" s="19" t="s">
        <v>327</v>
      </c>
      <c r="D271" s="19" t="s">
        <v>17</v>
      </c>
      <c r="E271" s="19" t="s">
        <v>331</v>
      </c>
      <c r="F271" s="21">
        <v>45716.0</v>
      </c>
      <c r="G271" s="22">
        <v>9881212.01</v>
      </c>
      <c r="H271" s="14">
        <f t="shared" si="1"/>
        <v>2075054.522</v>
      </c>
      <c r="I271" s="14"/>
      <c r="J271" s="14"/>
      <c r="K271" s="14">
        <f t="shared" si="2"/>
        <v>11956266.53</v>
      </c>
      <c r="L271" s="6"/>
      <c r="M271" s="24">
        <v>45709.0</v>
      </c>
    </row>
    <row r="272" ht="15.75" customHeight="1">
      <c r="A272" s="78">
        <v>45701.0</v>
      </c>
      <c r="B272" s="6"/>
      <c r="C272" s="20" t="s">
        <v>332</v>
      </c>
      <c r="D272" s="19" t="s">
        <v>17</v>
      </c>
      <c r="E272" s="20" t="s">
        <v>333</v>
      </c>
      <c r="F272" s="21">
        <v>45716.0</v>
      </c>
      <c r="G272" s="22">
        <v>1.391892114E7</v>
      </c>
      <c r="H272" s="14">
        <f t="shared" si="1"/>
        <v>2922973.439</v>
      </c>
      <c r="I272" s="14"/>
      <c r="J272" s="22">
        <v>417567.63</v>
      </c>
      <c r="K272" s="14">
        <f t="shared" si="2"/>
        <v>17259462.21</v>
      </c>
      <c r="L272" s="18"/>
      <c r="M272" s="24">
        <v>45709.0</v>
      </c>
    </row>
    <row r="273" ht="15.75" customHeight="1">
      <c r="A273" s="78">
        <v>45701.0</v>
      </c>
      <c r="B273" s="6"/>
      <c r="C273" s="20" t="s">
        <v>332</v>
      </c>
      <c r="D273" s="19" t="s">
        <v>17</v>
      </c>
      <c r="E273" s="20" t="s">
        <v>334</v>
      </c>
      <c r="F273" s="21">
        <v>45716.0</v>
      </c>
      <c r="G273" s="23">
        <v>1.688900123E7</v>
      </c>
      <c r="H273" s="15">
        <f t="shared" si="1"/>
        <v>3546690.258</v>
      </c>
      <c r="I273" s="15"/>
      <c r="J273" s="22">
        <v>506670.04</v>
      </c>
      <c r="K273" s="15">
        <f t="shared" si="2"/>
        <v>20942361.53</v>
      </c>
      <c r="L273" s="18"/>
      <c r="M273" s="11">
        <v>45705.0</v>
      </c>
    </row>
    <row r="274" ht="15.75" customHeight="1">
      <c r="A274" s="78">
        <v>45701.0</v>
      </c>
      <c r="B274" s="6"/>
      <c r="C274" s="20" t="s">
        <v>332</v>
      </c>
      <c r="D274" s="19" t="s">
        <v>17</v>
      </c>
      <c r="E274" s="20" t="s">
        <v>335</v>
      </c>
      <c r="F274" s="21">
        <v>45716.0</v>
      </c>
      <c r="G274" s="23">
        <v>8763111.3</v>
      </c>
      <c r="H274" s="15">
        <f t="shared" si="1"/>
        <v>1840253.373</v>
      </c>
      <c r="I274" s="15"/>
      <c r="J274" s="14"/>
      <c r="K274" s="15">
        <f t="shared" si="2"/>
        <v>10603364.67</v>
      </c>
      <c r="L274" s="18"/>
      <c r="M274" s="11">
        <v>45705.0</v>
      </c>
    </row>
    <row r="275" ht="15.75" customHeight="1">
      <c r="A275" s="78">
        <v>45701.0</v>
      </c>
      <c r="B275" s="6"/>
      <c r="C275" s="20" t="s">
        <v>332</v>
      </c>
      <c r="D275" s="19" t="s">
        <v>17</v>
      </c>
      <c r="E275" s="20" t="s">
        <v>336</v>
      </c>
      <c r="F275" s="21">
        <v>45716.0</v>
      </c>
      <c r="G275" s="23">
        <v>1.652521119E7</v>
      </c>
      <c r="H275" s="15">
        <f t="shared" si="1"/>
        <v>3470294.35</v>
      </c>
      <c r="I275" s="15"/>
      <c r="J275" s="22">
        <v>495756.34</v>
      </c>
      <c r="K275" s="15">
        <f t="shared" si="2"/>
        <v>20491261.88</v>
      </c>
      <c r="L275" s="18"/>
      <c r="M275" s="24">
        <v>45702.0</v>
      </c>
    </row>
    <row r="276" ht="15.75" customHeight="1">
      <c r="A276" s="78">
        <v>45707.0</v>
      </c>
      <c r="B276" s="6"/>
      <c r="C276" s="20" t="s">
        <v>332</v>
      </c>
      <c r="D276" s="19" t="s">
        <v>17</v>
      </c>
      <c r="E276" s="20" t="s">
        <v>337</v>
      </c>
      <c r="F276" s="21">
        <v>45716.0</v>
      </c>
      <c r="G276" s="23">
        <v>1.381738719E7</v>
      </c>
      <c r="H276" s="15">
        <f t="shared" si="1"/>
        <v>2901651.31</v>
      </c>
      <c r="I276" s="14"/>
      <c r="J276" s="22">
        <v>414521.62</v>
      </c>
      <c r="K276" s="15">
        <f t="shared" si="2"/>
        <v>17133560.12</v>
      </c>
      <c r="L276" s="18"/>
      <c r="M276" s="24">
        <v>45716.0</v>
      </c>
    </row>
    <row r="277" ht="15.75" customHeight="1">
      <c r="A277" s="78">
        <v>45707.0</v>
      </c>
      <c r="B277" s="6"/>
      <c r="C277" s="20" t="s">
        <v>332</v>
      </c>
      <c r="D277" s="19" t="s">
        <v>17</v>
      </c>
      <c r="E277" s="20" t="s">
        <v>338</v>
      </c>
      <c r="F277" s="21">
        <v>45716.0</v>
      </c>
      <c r="G277" s="23">
        <v>9871622.43</v>
      </c>
      <c r="H277" s="15">
        <f t="shared" si="1"/>
        <v>2073040.71</v>
      </c>
      <c r="I277" s="14"/>
      <c r="J277" s="14"/>
      <c r="K277" s="15">
        <f t="shared" si="2"/>
        <v>11944663.14</v>
      </c>
      <c r="L277" s="18"/>
      <c r="M277" s="24">
        <v>45712.0</v>
      </c>
    </row>
    <row r="278" ht="15.75" customHeight="1">
      <c r="A278" s="78">
        <v>45707.0</v>
      </c>
      <c r="B278" s="6"/>
      <c r="C278" s="20" t="s">
        <v>129</v>
      </c>
      <c r="D278" s="19" t="s">
        <v>17</v>
      </c>
      <c r="E278" s="20" t="s">
        <v>339</v>
      </c>
      <c r="F278" s="21">
        <v>45716.0</v>
      </c>
      <c r="G278" s="23">
        <v>9922121.15</v>
      </c>
      <c r="H278" s="15">
        <f t="shared" si="1"/>
        <v>2083645.442</v>
      </c>
      <c r="I278" s="14"/>
      <c r="J278" s="14"/>
      <c r="K278" s="15">
        <f t="shared" si="2"/>
        <v>12005766.59</v>
      </c>
      <c r="L278" s="6"/>
      <c r="M278" s="24">
        <v>45712.0</v>
      </c>
    </row>
    <row r="279" ht="15.75" customHeight="1">
      <c r="A279" s="78">
        <v>45707.0</v>
      </c>
      <c r="B279" s="6"/>
      <c r="C279" s="20" t="s">
        <v>129</v>
      </c>
      <c r="D279" s="19" t="s">
        <v>17</v>
      </c>
      <c r="E279" s="20" t="s">
        <v>340</v>
      </c>
      <c r="F279" s="21">
        <v>45716.0</v>
      </c>
      <c r="G279" s="23">
        <v>4111002.24</v>
      </c>
      <c r="H279" s="15">
        <f t="shared" si="1"/>
        <v>863310.4704</v>
      </c>
      <c r="I279" s="14"/>
      <c r="J279" s="14"/>
      <c r="K279" s="15">
        <f t="shared" si="2"/>
        <v>4974312.71</v>
      </c>
      <c r="L279" s="19">
        <v>300254.0</v>
      </c>
      <c r="M279" s="11">
        <v>45707.0</v>
      </c>
    </row>
    <row r="280" ht="15.75" customHeight="1">
      <c r="A280" s="78">
        <v>45707.0</v>
      </c>
      <c r="B280" s="6"/>
      <c r="C280" s="20" t="s">
        <v>129</v>
      </c>
      <c r="D280" s="19" t="s">
        <v>17</v>
      </c>
      <c r="E280" s="20" t="s">
        <v>341</v>
      </c>
      <c r="F280" s="21">
        <v>45716.0</v>
      </c>
      <c r="G280" s="23">
        <v>2500086.21</v>
      </c>
      <c r="H280" s="15">
        <f t="shared" si="1"/>
        <v>525018.1041</v>
      </c>
      <c r="I280" s="22">
        <v>75002.59</v>
      </c>
      <c r="J280" s="14"/>
      <c r="K280" s="15">
        <f t="shared" si="2"/>
        <v>3100106.904</v>
      </c>
      <c r="L280" s="19">
        <v>375318.0</v>
      </c>
      <c r="M280" s="11">
        <v>45707.0</v>
      </c>
    </row>
    <row r="281" ht="15.75" customHeight="1">
      <c r="A281" s="78">
        <v>45707.0</v>
      </c>
      <c r="B281" s="6"/>
      <c r="C281" s="20" t="s">
        <v>129</v>
      </c>
      <c r="D281" s="19" t="s">
        <v>17</v>
      </c>
      <c r="E281" s="20" t="s">
        <v>342</v>
      </c>
      <c r="F281" s="21">
        <v>45716.0</v>
      </c>
      <c r="G281" s="23">
        <v>1.000291629E7</v>
      </c>
      <c r="H281" s="15">
        <f t="shared" si="1"/>
        <v>2100612.421</v>
      </c>
      <c r="I281" s="23">
        <v>300087.49</v>
      </c>
      <c r="J281" s="14"/>
      <c r="K281" s="15">
        <f t="shared" si="2"/>
        <v>12403616.2</v>
      </c>
      <c r="L281" s="6"/>
      <c r="M281" s="11">
        <v>45708.0</v>
      </c>
    </row>
    <row r="282" ht="15.75" customHeight="1">
      <c r="A282" s="78">
        <v>45707.0</v>
      </c>
      <c r="B282" s="6"/>
      <c r="C282" s="20" t="s">
        <v>129</v>
      </c>
      <c r="D282" s="19" t="s">
        <v>17</v>
      </c>
      <c r="E282" s="19" t="s">
        <v>343</v>
      </c>
      <c r="F282" s="21">
        <v>45716.0</v>
      </c>
      <c r="G282" s="23">
        <v>1.203625849E7</v>
      </c>
      <c r="H282" s="15">
        <f t="shared" si="1"/>
        <v>2527614.283</v>
      </c>
      <c r="I282" s="14"/>
      <c r="J282" s="14"/>
      <c r="K282" s="15">
        <f t="shared" si="2"/>
        <v>14563872.77</v>
      </c>
      <c r="L282" s="18"/>
      <c r="M282" s="24">
        <v>45736.0</v>
      </c>
    </row>
    <row r="283" ht="15.75" customHeight="1">
      <c r="A283" s="78">
        <v>45707.0</v>
      </c>
      <c r="B283" s="6"/>
      <c r="C283" s="20" t="s">
        <v>129</v>
      </c>
      <c r="D283" s="19" t="s">
        <v>17</v>
      </c>
      <c r="E283" s="20" t="s">
        <v>344</v>
      </c>
      <c r="F283" s="21">
        <v>45716.0</v>
      </c>
      <c r="G283" s="23">
        <v>1.196391729E7</v>
      </c>
      <c r="H283" s="15">
        <f t="shared" si="1"/>
        <v>2512422.631</v>
      </c>
      <c r="I283" s="14"/>
      <c r="J283" s="14"/>
      <c r="K283" s="15">
        <f t="shared" si="2"/>
        <v>14476339.92</v>
      </c>
      <c r="L283" s="18"/>
      <c r="M283" s="11">
        <v>45708.0</v>
      </c>
    </row>
    <row r="284" ht="15.75" customHeight="1">
      <c r="A284" s="78">
        <v>45681.0</v>
      </c>
      <c r="B284" s="19" t="s">
        <v>179</v>
      </c>
      <c r="C284" s="6" t="s">
        <v>171</v>
      </c>
      <c r="D284" s="6" t="s">
        <v>17</v>
      </c>
      <c r="E284" s="6"/>
      <c r="F284" s="13">
        <v>45658.0</v>
      </c>
      <c r="G284" s="14">
        <v>1.096710757E7</v>
      </c>
      <c r="H284" s="15">
        <f t="shared" si="1"/>
        <v>2303092.59</v>
      </c>
      <c r="I284" s="14"/>
      <c r="J284" s="14"/>
      <c r="K284" s="15">
        <f t="shared" si="2"/>
        <v>13270200.16</v>
      </c>
      <c r="L284" s="18"/>
      <c r="M284" s="24">
        <v>45685.0</v>
      </c>
    </row>
    <row r="285" ht="15.75" customHeight="1">
      <c r="A285" s="78">
        <v>45692.0</v>
      </c>
      <c r="B285" s="19" t="s">
        <v>200</v>
      </c>
      <c r="C285" s="6" t="s">
        <v>171</v>
      </c>
      <c r="D285" s="6" t="s">
        <v>17</v>
      </c>
      <c r="E285" s="6"/>
      <c r="F285" s="13">
        <v>45658.0</v>
      </c>
      <c r="G285" s="14">
        <v>1.00512402E7</v>
      </c>
      <c r="H285" s="15">
        <f t="shared" si="1"/>
        <v>2110760.442</v>
      </c>
      <c r="I285" s="14"/>
      <c r="J285" s="14"/>
      <c r="K285" s="15">
        <f t="shared" si="2"/>
        <v>12162000.64</v>
      </c>
      <c r="L285" s="18"/>
      <c r="M285" s="11">
        <v>45698.0</v>
      </c>
    </row>
    <row r="286" ht="15.75" customHeight="1">
      <c r="A286" s="78">
        <v>45692.0</v>
      </c>
      <c r="B286" s="19" t="s">
        <v>200</v>
      </c>
      <c r="C286" s="6" t="s">
        <v>171</v>
      </c>
      <c r="D286" s="6" t="s">
        <v>17</v>
      </c>
      <c r="E286" s="6"/>
      <c r="F286" s="13">
        <v>45658.0</v>
      </c>
      <c r="G286" s="14">
        <v>1.001653595E7</v>
      </c>
      <c r="H286" s="14">
        <f t="shared" si="1"/>
        <v>2103472.55</v>
      </c>
      <c r="I286" s="14"/>
      <c r="J286" s="14"/>
      <c r="K286" s="14">
        <f t="shared" si="2"/>
        <v>12120008.5</v>
      </c>
      <c r="L286" s="6"/>
      <c r="M286" s="11">
        <v>45698.0</v>
      </c>
      <c r="N286" s="98"/>
    </row>
    <row r="287" ht="15.75" customHeight="1">
      <c r="A287" s="78">
        <v>45693.0</v>
      </c>
      <c r="B287" s="19" t="s">
        <v>236</v>
      </c>
      <c r="C287" s="6" t="s">
        <v>171</v>
      </c>
      <c r="D287" s="99" t="s">
        <v>17</v>
      </c>
      <c r="E287" s="99"/>
      <c r="F287" s="13">
        <v>45658.0</v>
      </c>
      <c r="G287" s="100">
        <v>9934548.56</v>
      </c>
      <c r="H287" s="15">
        <f t="shared" si="1"/>
        <v>2086255.198</v>
      </c>
      <c r="I287" s="14"/>
      <c r="J287" s="14"/>
      <c r="K287" s="15">
        <f t="shared" si="2"/>
        <v>12020803.76</v>
      </c>
      <c r="L287" s="18"/>
      <c r="M287" s="24">
        <v>45694.0</v>
      </c>
    </row>
    <row r="288" ht="15.75" customHeight="1">
      <c r="A288" s="78">
        <v>45693.0</v>
      </c>
      <c r="B288" s="19" t="s">
        <v>13</v>
      </c>
      <c r="C288" s="6" t="s">
        <v>171</v>
      </c>
      <c r="D288" s="99" t="s">
        <v>17</v>
      </c>
      <c r="E288" s="6" t="s">
        <v>345</v>
      </c>
      <c r="F288" s="13">
        <v>45658.0</v>
      </c>
      <c r="G288" s="14">
        <v>8180820.36</v>
      </c>
      <c r="H288" s="14">
        <f t="shared" si="1"/>
        <v>1717972.276</v>
      </c>
      <c r="I288" s="14"/>
      <c r="J288" s="14"/>
      <c r="K288" s="15">
        <f t="shared" si="2"/>
        <v>9898792.636</v>
      </c>
      <c r="L288" s="18"/>
      <c r="M288" s="11">
        <v>45701.0</v>
      </c>
    </row>
    <row r="289" ht="15.75" customHeight="1">
      <c r="A289" s="78">
        <v>45707.0</v>
      </c>
      <c r="B289" s="19" t="s">
        <v>236</v>
      </c>
      <c r="C289" s="20" t="s">
        <v>171</v>
      </c>
      <c r="D289" s="101" t="s">
        <v>17</v>
      </c>
      <c r="E289" s="20" t="s">
        <v>346</v>
      </c>
      <c r="F289" s="21">
        <v>45716.0</v>
      </c>
      <c r="G289" s="23">
        <v>1.020896585E7</v>
      </c>
      <c r="H289" s="15">
        <f t="shared" si="1"/>
        <v>2143882.829</v>
      </c>
      <c r="I289" s="14"/>
      <c r="J289" s="14"/>
      <c r="K289" s="15">
        <f t="shared" si="2"/>
        <v>12352848.68</v>
      </c>
      <c r="L289" s="18"/>
      <c r="M289" s="24">
        <v>45709.0</v>
      </c>
    </row>
    <row r="290" ht="15.75" customHeight="1">
      <c r="A290" s="78">
        <v>45877.0</v>
      </c>
      <c r="B290" s="87"/>
      <c r="C290" s="31" t="s">
        <v>171</v>
      </c>
      <c r="D290" s="102" t="s">
        <v>15</v>
      </c>
      <c r="E290" s="31" t="s">
        <v>347</v>
      </c>
      <c r="F290" s="32" t="s">
        <v>139</v>
      </c>
      <c r="G290" s="53">
        <v>1.199282738E7</v>
      </c>
      <c r="H290" s="14">
        <f t="shared" si="1"/>
        <v>2518493.75</v>
      </c>
      <c r="I290" s="50"/>
      <c r="J290" s="14"/>
      <c r="K290" s="15">
        <f t="shared" si="2"/>
        <v>14511321.13</v>
      </c>
      <c r="L290" s="45"/>
      <c r="M290" s="19" t="s">
        <v>206</v>
      </c>
    </row>
    <row r="291" ht="15.75" customHeight="1">
      <c r="A291" s="97"/>
      <c r="B291" s="6" t="s">
        <v>13</v>
      </c>
      <c r="C291" s="6" t="s">
        <v>22</v>
      </c>
      <c r="D291" s="99" t="s">
        <v>15</v>
      </c>
      <c r="E291" s="6" t="s">
        <v>348</v>
      </c>
      <c r="F291" s="13">
        <v>45658.0</v>
      </c>
      <c r="G291" s="14">
        <v>1.266302368E7</v>
      </c>
      <c r="H291" s="15">
        <f t="shared" si="1"/>
        <v>2659234.973</v>
      </c>
      <c r="I291" s="14">
        <v>379890.71</v>
      </c>
      <c r="J291" s="14">
        <v>253260.47</v>
      </c>
      <c r="K291" s="15">
        <f t="shared" si="2"/>
        <v>15955409.83</v>
      </c>
      <c r="L291" s="6"/>
      <c r="M291" s="11">
        <v>45775.0</v>
      </c>
    </row>
    <row r="292" ht="15.75" customHeight="1">
      <c r="A292" s="97"/>
      <c r="B292" s="6" t="s">
        <v>13</v>
      </c>
      <c r="C292" s="6" t="s">
        <v>34</v>
      </c>
      <c r="D292" s="6" t="s">
        <v>15</v>
      </c>
      <c r="E292" s="6" t="s">
        <v>349</v>
      </c>
      <c r="F292" s="13">
        <v>45658.0</v>
      </c>
      <c r="G292" s="15">
        <v>1.304534084E7</v>
      </c>
      <c r="H292" s="15">
        <f t="shared" si="1"/>
        <v>2739521.576</v>
      </c>
      <c r="I292" s="15"/>
      <c r="J292" s="15">
        <v>652267.04</v>
      </c>
      <c r="K292" s="15">
        <f t="shared" si="2"/>
        <v>16437129.46</v>
      </c>
      <c r="L292" s="6"/>
      <c r="M292" s="11">
        <v>45775.0</v>
      </c>
    </row>
    <row r="293" ht="15.75" customHeight="1">
      <c r="A293" s="97"/>
      <c r="B293" s="6" t="s">
        <v>13</v>
      </c>
      <c r="C293" s="103" t="s">
        <v>36</v>
      </c>
      <c r="D293" s="103" t="s">
        <v>15</v>
      </c>
      <c r="E293" s="103" t="s">
        <v>350</v>
      </c>
      <c r="F293" s="13">
        <v>45658.0</v>
      </c>
      <c r="G293" s="84">
        <v>1.304532291E7</v>
      </c>
      <c r="H293" s="15">
        <f t="shared" si="1"/>
        <v>2739517.811</v>
      </c>
      <c r="I293" s="14">
        <v>391359.69</v>
      </c>
      <c r="J293" s="14">
        <v>228293.15</v>
      </c>
      <c r="K293" s="15">
        <f t="shared" si="2"/>
        <v>16404493.56</v>
      </c>
      <c r="L293" s="6"/>
      <c r="M293" s="11">
        <v>45775.0</v>
      </c>
    </row>
    <row r="294" ht="15.75" customHeight="1">
      <c r="A294" s="97"/>
      <c r="B294" s="6" t="s">
        <v>13</v>
      </c>
      <c r="C294" s="104" t="s">
        <v>22</v>
      </c>
      <c r="D294" s="104" t="s">
        <v>15</v>
      </c>
      <c r="E294" s="105" t="s">
        <v>351</v>
      </c>
      <c r="F294" s="13">
        <v>45659.0</v>
      </c>
      <c r="G294" s="85">
        <v>1.382602996E7</v>
      </c>
      <c r="H294" s="14">
        <f t="shared" si="1"/>
        <v>2903466.292</v>
      </c>
      <c r="I294" s="22">
        <v>414780.9</v>
      </c>
      <c r="J294" s="22">
        <v>276520.6</v>
      </c>
      <c r="K294" s="14">
        <f t="shared" si="2"/>
        <v>17420797.75</v>
      </c>
      <c r="L294" s="6"/>
      <c r="M294" s="11">
        <v>45775.0</v>
      </c>
    </row>
    <row r="295" ht="15.75" customHeight="1">
      <c r="A295" s="97"/>
      <c r="B295" s="6" t="s">
        <v>13</v>
      </c>
      <c r="C295" s="19" t="s">
        <v>27</v>
      </c>
      <c r="D295" s="104" t="s">
        <v>15</v>
      </c>
      <c r="E295" s="105" t="s">
        <v>352</v>
      </c>
      <c r="F295" s="13">
        <v>45667.0</v>
      </c>
      <c r="G295" s="22">
        <v>1.260911751E7</v>
      </c>
      <c r="H295" s="14">
        <f t="shared" si="1"/>
        <v>2647914.677</v>
      </c>
      <c r="I295" s="22">
        <v>378273.53</v>
      </c>
      <c r="J295" s="22">
        <v>220659.56</v>
      </c>
      <c r="K295" s="14">
        <f t="shared" si="2"/>
        <v>15855965.28</v>
      </c>
      <c r="L295" s="18"/>
      <c r="M295" s="11">
        <v>45775.0</v>
      </c>
    </row>
    <row r="296" ht="15.75" customHeight="1">
      <c r="A296" s="97"/>
      <c r="B296" s="6" t="s">
        <v>26</v>
      </c>
      <c r="C296" s="19" t="s">
        <v>24</v>
      </c>
      <c r="D296" s="19" t="s">
        <v>15</v>
      </c>
      <c r="E296" s="20" t="s">
        <v>353</v>
      </c>
      <c r="F296" s="13">
        <v>45672.0</v>
      </c>
      <c r="G296" s="22">
        <v>1.190955207E7</v>
      </c>
      <c r="H296" s="14">
        <f t="shared" si="1"/>
        <v>2501005.935</v>
      </c>
      <c r="I296" s="22">
        <v>595477.6</v>
      </c>
      <c r="J296" s="14"/>
      <c r="K296" s="14">
        <f t="shared" si="2"/>
        <v>15006035.6</v>
      </c>
      <c r="L296" s="18"/>
      <c r="M296" s="11">
        <v>45775.0</v>
      </c>
    </row>
    <row r="297" ht="15.75" customHeight="1">
      <c r="A297" s="97"/>
      <c r="B297" s="6" t="s">
        <v>26</v>
      </c>
      <c r="C297" s="19" t="s">
        <v>22</v>
      </c>
      <c r="D297" s="19" t="s">
        <v>15</v>
      </c>
      <c r="E297" s="20" t="s">
        <v>354</v>
      </c>
      <c r="F297" s="13">
        <v>45678.0</v>
      </c>
      <c r="G297" s="22">
        <v>1.084885005E7</v>
      </c>
      <c r="H297" s="14">
        <f t="shared" si="1"/>
        <v>2278258.511</v>
      </c>
      <c r="I297" s="22">
        <v>325465.5</v>
      </c>
      <c r="J297" s="22">
        <v>216977.0</v>
      </c>
      <c r="K297" s="14">
        <f t="shared" si="2"/>
        <v>13669551.06</v>
      </c>
      <c r="L297" s="18"/>
      <c r="M297" s="11">
        <v>45775.0</v>
      </c>
    </row>
    <row r="298" ht="15.75" customHeight="1">
      <c r="A298" s="97"/>
      <c r="B298" s="6" t="s">
        <v>26</v>
      </c>
      <c r="C298" s="19" t="s">
        <v>24</v>
      </c>
      <c r="D298" s="19" t="s">
        <v>15</v>
      </c>
      <c r="E298" s="20" t="s">
        <v>355</v>
      </c>
      <c r="F298" s="13">
        <v>45679.0</v>
      </c>
      <c r="G298" s="22">
        <v>1.208548116E7</v>
      </c>
      <c r="H298" s="14">
        <f t="shared" si="1"/>
        <v>2537951.044</v>
      </c>
      <c r="I298" s="14"/>
      <c r="J298" s="22">
        <v>604274.06</v>
      </c>
      <c r="K298" s="14">
        <f t="shared" si="2"/>
        <v>15227706.26</v>
      </c>
      <c r="L298" s="18"/>
      <c r="M298" s="11">
        <v>45775.0</v>
      </c>
    </row>
    <row r="299" ht="15.75" customHeight="1">
      <c r="A299" s="82">
        <v>45713.0</v>
      </c>
      <c r="B299" s="7"/>
      <c r="C299" s="20" t="s">
        <v>356</v>
      </c>
      <c r="D299" s="19" t="s">
        <v>17</v>
      </c>
      <c r="E299" s="20" t="s">
        <v>357</v>
      </c>
      <c r="F299" s="21">
        <v>45716.0</v>
      </c>
      <c r="G299" s="23">
        <v>5238282.18</v>
      </c>
      <c r="H299" s="15">
        <f t="shared" si="1"/>
        <v>1100039.258</v>
      </c>
      <c r="I299" s="15"/>
      <c r="J299" s="15"/>
      <c r="K299" s="15">
        <f t="shared" si="2"/>
        <v>6338321.438</v>
      </c>
      <c r="L299" s="7"/>
      <c r="M299" s="7"/>
    </row>
    <row r="300" ht="15.75" customHeight="1">
      <c r="A300" s="82">
        <v>45713.0</v>
      </c>
      <c r="B300" s="7"/>
      <c r="C300" s="20" t="s">
        <v>356</v>
      </c>
      <c r="D300" s="19" t="s">
        <v>17</v>
      </c>
      <c r="E300" s="19" t="s">
        <v>358</v>
      </c>
      <c r="F300" s="21">
        <v>45716.0</v>
      </c>
      <c r="G300" s="23">
        <v>3901221.24</v>
      </c>
      <c r="H300" s="15">
        <f t="shared" si="1"/>
        <v>819256.4604</v>
      </c>
      <c r="I300" s="15"/>
      <c r="J300" s="15"/>
      <c r="K300" s="15">
        <f t="shared" si="2"/>
        <v>4720477.7</v>
      </c>
      <c r="L300" s="7"/>
      <c r="M300" s="7"/>
    </row>
    <row r="301" ht="15.75" customHeight="1">
      <c r="A301" s="78">
        <v>45713.0</v>
      </c>
      <c r="B301" s="6"/>
      <c r="C301" s="20" t="s">
        <v>356</v>
      </c>
      <c r="D301" s="19" t="s">
        <v>17</v>
      </c>
      <c r="E301" s="20" t="s">
        <v>359</v>
      </c>
      <c r="F301" s="21">
        <v>45716.0</v>
      </c>
      <c r="G301" s="23">
        <v>4500281.07</v>
      </c>
      <c r="H301" s="15">
        <f t="shared" si="1"/>
        <v>945059.0247</v>
      </c>
      <c r="I301" s="15"/>
      <c r="J301" s="15"/>
      <c r="K301" s="15">
        <f t="shared" si="2"/>
        <v>5445340.095</v>
      </c>
      <c r="L301" s="6"/>
      <c r="M301" s="24">
        <v>45715.0</v>
      </c>
    </row>
    <row r="302" ht="15.75" customHeight="1">
      <c r="A302" s="78">
        <v>45713.0</v>
      </c>
      <c r="B302" s="6"/>
      <c r="C302" s="20" t="s">
        <v>356</v>
      </c>
      <c r="D302" s="19" t="s">
        <v>17</v>
      </c>
      <c r="E302" s="20" t="s">
        <v>360</v>
      </c>
      <c r="F302" s="21">
        <v>45716.0</v>
      </c>
      <c r="G302" s="23">
        <v>4938271.06</v>
      </c>
      <c r="H302" s="15">
        <f t="shared" si="1"/>
        <v>1037036.923</v>
      </c>
      <c r="I302" s="15"/>
      <c r="J302" s="15"/>
      <c r="K302" s="15">
        <f t="shared" si="2"/>
        <v>5975307.983</v>
      </c>
      <c r="L302" s="6"/>
      <c r="M302" s="24">
        <v>45715.0</v>
      </c>
    </row>
    <row r="303" ht="15.75" customHeight="1">
      <c r="A303" s="78">
        <v>45713.0</v>
      </c>
      <c r="B303" s="6"/>
      <c r="C303" s="20" t="s">
        <v>356</v>
      </c>
      <c r="D303" s="19" t="s">
        <v>17</v>
      </c>
      <c r="E303" s="20" t="s">
        <v>361</v>
      </c>
      <c r="F303" s="21">
        <v>45716.0</v>
      </c>
      <c r="G303" s="23">
        <v>7223378.21</v>
      </c>
      <c r="H303" s="15">
        <f t="shared" si="1"/>
        <v>1516909.424</v>
      </c>
      <c r="I303" s="22">
        <v>216701.35</v>
      </c>
      <c r="J303" s="14"/>
      <c r="K303" s="15">
        <f t="shared" si="2"/>
        <v>8956988.984</v>
      </c>
      <c r="L303" s="6"/>
      <c r="M303" s="24">
        <v>45715.0</v>
      </c>
    </row>
    <row r="304" ht="15.75" customHeight="1">
      <c r="A304" s="78">
        <v>45713.0</v>
      </c>
      <c r="B304" s="106"/>
      <c r="C304" s="19" t="s">
        <v>362</v>
      </c>
      <c r="D304" s="19" t="s">
        <v>17</v>
      </c>
      <c r="E304" s="20" t="s">
        <v>363</v>
      </c>
      <c r="F304" s="21">
        <v>45716.0</v>
      </c>
      <c r="G304" s="23">
        <v>3997820.34</v>
      </c>
      <c r="H304" s="15">
        <f t="shared" si="1"/>
        <v>839542.2714</v>
      </c>
      <c r="I304" s="22">
        <v>119934.61</v>
      </c>
      <c r="J304" s="22">
        <v>11993.46</v>
      </c>
      <c r="K304" s="15">
        <f t="shared" si="2"/>
        <v>4969290.681</v>
      </c>
      <c r="L304" s="107">
        <v>160869.0</v>
      </c>
      <c r="M304" s="24">
        <v>45714.0</v>
      </c>
    </row>
    <row r="305" ht="15.75" customHeight="1">
      <c r="A305" s="78">
        <v>45713.0</v>
      </c>
      <c r="B305" s="106"/>
      <c r="C305" s="20" t="s">
        <v>364</v>
      </c>
      <c r="D305" s="19" t="s">
        <v>17</v>
      </c>
      <c r="E305" s="20" t="s">
        <v>365</v>
      </c>
      <c r="F305" s="21">
        <v>45716.0</v>
      </c>
      <c r="G305" s="22">
        <v>2507840.04</v>
      </c>
      <c r="H305" s="15">
        <f t="shared" si="1"/>
        <v>526646.4084</v>
      </c>
      <c r="I305" s="14"/>
      <c r="J305" s="22">
        <v>10031.36</v>
      </c>
      <c r="K305" s="15">
        <f t="shared" si="2"/>
        <v>3044517.808</v>
      </c>
      <c r="L305" s="106"/>
      <c r="M305" s="24">
        <v>45713.0</v>
      </c>
    </row>
    <row r="306" ht="15.75" customHeight="1">
      <c r="A306" s="78">
        <v>45713.0</v>
      </c>
      <c r="B306" s="106"/>
      <c r="C306" s="20" t="s">
        <v>211</v>
      </c>
      <c r="D306" s="19" t="s">
        <v>17</v>
      </c>
      <c r="E306" s="20" t="s">
        <v>366</v>
      </c>
      <c r="F306" s="21">
        <v>45716.0</v>
      </c>
      <c r="G306" s="22">
        <f>2428857.49/1.21</f>
        <v>2007320.24</v>
      </c>
      <c r="H306" s="15"/>
      <c r="I306" s="14"/>
      <c r="J306" s="22"/>
      <c r="K306" s="23">
        <v>2428857.49</v>
      </c>
      <c r="L306" s="106"/>
      <c r="M306" s="24">
        <v>45713.0</v>
      </c>
    </row>
    <row r="307" ht="15.75" customHeight="1">
      <c r="A307" s="78">
        <v>45713.0</v>
      </c>
      <c r="B307" s="106"/>
      <c r="C307" s="20" t="s">
        <v>367</v>
      </c>
      <c r="D307" s="19" t="s">
        <v>17</v>
      </c>
      <c r="E307" s="20" t="s">
        <v>368</v>
      </c>
      <c r="F307" s="21">
        <v>45716.0</v>
      </c>
      <c r="G307" s="22">
        <v>7009240.48</v>
      </c>
      <c r="H307" s="14">
        <f t="shared" ref="H307:H450" si="3">G307*0.21</f>
        <v>1471940.501</v>
      </c>
      <c r="I307" s="14"/>
      <c r="J307" s="22"/>
      <c r="K307" s="14">
        <f t="shared" ref="K307:K3529" si="4">SUM(G307:J307)</f>
        <v>8481180.981</v>
      </c>
      <c r="L307" s="106"/>
      <c r="M307" s="24">
        <v>45717.0</v>
      </c>
    </row>
    <row r="308" ht="15.75" customHeight="1">
      <c r="A308" s="97"/>
      <c r="B308" s="6" t="s">
        <v>13</v>
      </c>
      <c r="C308" s="19" t="s">
        <v>27</v>
      </c>
      <c r="D308" s="19" t="s">
        <v>15</v>
      </c>
      <c r="E308" s="20" t="s">
        <v>369</v>
      </c>
      <c r="F308" s="13">
        <v>45680.0</v>
      </c>
      <c r="G308" s="22">
        <v>1.223339576E7</v>
      </c>
      <c r="H308" s="14">
        <f t="shared" si="3"/>
        <v>2569013.11</v>
      </c>
      <c r="I308" s="22">
        <v>367001.87</v>
      </c>
      <c r="J308" s="22">
        <v>214084.43</v>
      </c>
      <c r="K308" s="14">
        <f t="shared" si="4"/>
        <v>15383495.17</v>
      </c>
      <c r="L308" s="18"/>
      <c r="M308" s="108">
        <v>45775.0</v>
      </c>
    </row>
    <row r="309" ht="15.75" customHeight="1">
      <c r="A309" s="78">
        <v>45894.0</v>
      </c>
      <c r="B309" s="87"/>
      <c r="C309" s="31" t="s">
        <v>171</v>
      </c>
      <c r="D309" s="32" t="s">
        <v>15</v>
      </c>
      <c r="E309" s="31" t="s">
        <v>370</v>
      </c>
      <c r="F309" s="32" t="s">
        <v>139</v>
      </c>
      <c r="G309" s="53">
        <v>1.082727213E7</v>
      </c>
      <c r="H309" s="14">
        <f t="shared" si="3"/>
        <v>2273727.147</v>
      </c>
      <c r="I309" s="50"/>
      <c r="J309" s="14"/>
      <c r="K309" s="15">
        <f t="shared" si="4"/>
        <v>13100999.28</v>
      </c>
      <c r="L309" s="45"/>
      <c r="M309" s="6"/>
    </row>
    <row r="310" ht="15.75" customHeight="1">
      <c r="A310" s="78">
        <v>45894.0</v>
      </c>
      <c r="B310" s="87"/>
      <c r="C310" s="31" t="s">
        <v>171</v>
      </c>
      <c r="D310" s="32" t="s">
        <v>15</v>
      </c>
      <c r="E310" s="31" t="s">
        <v>371</v>
      </c>
      <c r="F310" s="32" t="s">
        <v>139</v>
      </c>
      <c r="G310" s="53">
        <v>1.000292134E7</v>
      </c>
      <c r="H310" s="14">
        <f t="shared" si="3"/>
        <v>2100613.481</v>
      </c>
      <c r="I310" s="50"/>
      <c r="J310" s="14"/>
      <c r="K310" s="15">
        <f t="shared" si="4"/>
        <v>12103534.82</v>
      </c>
      <c r="L310" s="45"/>
      <c r="M310" s="99"/>
    </row>
    <row r="311" ht="15.75" customHeight="1">
      <c r="A311" s="78">
        <v>45894.0</v>
      </c>
      <c r="B311" s="87"/>
      <c r="C311" s="31" t="s">
        <v>171</v>
      </c>
      <c r="D311" s="32" t="s">
        <v>15</v>
      </c>
      <c r="E311" s="31" t="s">
        <v>372</v>
      </c>
      <c r="F311" s="32" t="s">
        <v>139</v>
      </c>
      <c r="G311" s="53">
        <v>1.022213729E7</v>
      </c>
      <c r="H311" s="14">
        <f t="shared" si="3"/>
        <v>2146648.831</v>
      </c>
      <c r="I311" s="50"/>
      <c r="J311" s="14"/>
      <c r="K311" s="15">
        <f t="shared" si="4"/>
        <v>12368786.12</v>
      </c>
      <c r="L311" s="45"/>
      <c r="M311" s="19" t="s">
        <v>206</v>
      </c>
    </row>
    <row r="312" ht="15.75" customHeight="1">
      <c r="A312" s="97"/>
      <c r="B312" s="6" t="s">
        <v>13</v>
      </c>
      <c r="C312" s="20" t="s">
        <v>373</v>
      </c>
      <c r="D312" s="19" t="s">
        <v>15</v>
      </c>
      <c r="E312" s="20" t="s">
        <v>374</v>
      </c>
      <c r="F312" s="30">
        <v>45713.0</v>
      </c>
      <c r="G312" s="22">
        <v>9825189.68</v>
      </c>
      <c r="H312" s="14">
        <f t="shared" si="3"/>
        <v>2063289.833</v>
      </c>
      <c r="I312" s="22">
        <v>294755.69</v>
      </c>
      <c r="J312" s="22">
        <v>491259.48</v>
      </c>
      <c r="K312" s="15">
        <f t="shared" si="4"/>
        <v>12674494.68</v>
      </c>
      <c r="L312" s="18"/>
      <c r="M312" s="109">
        <v>45754.0</v>
      </c>
    </row>
    <row r="313" ht="15.75" customHeight="1">
      <c r="A313" s="97"/>
      <c r="B313" s="6" t="s">
        <v>26</v>
      </c>
      <c r="C313" s="20" t="s">
        <v>29</v>
      </c>
      <c r="D313" s="19" t="s">
        <v>15</v>
      </c>
      <c r="E313" s="20" t="s">
        <v>375</v>
      </c>
      <c r="F313" s="30">
        <v>45713.0</v>
      </c>
      <c r="G313" s="22">
        <v>9723804.91</v>
      </c>
      <c r="H313" s="14">
        <f t="shared" si="3"/>
        <v>2041999.031</v>
      </c>
      <c r="I313" s="22">
        <v>291714.15</v>
      </c>
      <c r="J313" s="23">
        <v>486190.25</v>
      </c>
      <c r="K313" s="15">
        <f t="shared" si="4"/>
        <v>12543708.34</v>
      </c>
      <c r="L313" s="18"/>
      <c r="M313" s="109">
        <v>45754.0</v>
      </c>
    </row>
    <row r="314" ht="15.75" customHeight="1">
      <c r="A314" s="97"/>
      <c r="B314" s="6" t="s">
        <v>26</v>
      </c>
      <c r="C314" s="20" t="s">
        <v>29</v>
      </c>
      <c r="D314" s="19" t="s">
        <v>15</v>
      </c>
      <c r="E314" s="20" t="s">
        <v>376</v>
      </c>
      <c r="F314" s="30">
        <v>45713.0</v>
      </c>
      <c r="G314" s="22">
        <v>8854131.14</v>
      </c>
      <c r="H314" s="14">
        <f t="shared" si="3"/>
        <v>1859367.539</v>
      </c>
      <c r="I314" s="22">
        <v>265623.93</v>
      </c>
      <c r="J314" s="23">
        <v>442706.56</v>
      </c>
      <c r="K314" s="15">
        <f t="shared" si="4"/>
        <v>11421829.17</v>
      </c>
      <c r="L314" s="18"/>
      <c r="M314" s="110">
        <v>45754.0</v>
      </c>
    </row>
    <row r="315" ht="15.75" customHeight="1">
      <c r="A315" s="97"/>
      <c r="B315" s="6" t="s">
        <v>26</v>
      </c>
      <c r="C315" s="34" t="s">
        <v>111</v>
      </c>
      <c r="D315" s="32" t="s">
        <v>15</v>
      </c>
      <c r="E315" s="34" t="s">
        <v>377</v>
      </c>
      <c r="F315" s="30">
        <v>45741.0</v>
      </c>
      <c r="G315" s="22">
        <v>9156108.87</v>
      </c>
      <c r="H315" s="14">
        <f t="shared" si="3"/>
        <v>1922782.863</v>
      </c>
      <c r="I315" s="22">
        <v>274683.27</v>
      </c>
      <c r="J315" s="14"/>
      <c r="K315" s="15">
        <f t="shared" si="4"/>
        <v>11353575</v>
      </c>
      <c r="L315" s="18"/>
      <c r="M315" s="24">
        <v>45685.0</v>
      </c>
    </row>
    <row r="316" ht="15.75" customHeight="1">
      <c r="A316" s="78">
        <v>45922.0</v>
      </c>
      <c r="B316" s="87"/>
      <c r="C316" s="31" t="s">
        <v>137</v>
      </c>
      <c r="D316" s="32" t="s">
        <v>99</v>
      </c>
      <c r="E316" s="32" t="s">
        <v>378</v>
      </c>
      <c r="F316" s="32" t="s">
        <v>208</v>
      </c>
      <c r="G316" s="53">
        <v>1.288757052E7</v>
      </c>
      <c r="H316" s="14">
        <f t="shared" si="3"/>
        <v>2706389.809</v>
      </c>
      <c r="I316" s="22"/>
      <c r="J316" s="22">
        <v>257751.41</v>
      </c>
      <c r="K316" s="15">
        <f t="shared" si="4"/>
        <v>15851711.74</v>
      </c>
      <c r="L316" s="45"/>
      <c r="M316" s="6"/>
    </row>
    <row r="317" ht="15.75" customHeight="1">
      <c r="A317" s="97"/>
      <c r="B317" s="6" t="s">
        <v>26</v>
      </c>
      <c r="C317" s="34" t="s">
        <v>379</v>
      </c>
      <c r="D317" s="35" t="s">
        <v>15</v>
      </c>
      <c r="E317" s="34" t="s">
        <v>380</v>
      </c>
      <c r="F317" s="36">
        <v>45741.0</v>
      </c>
      <c r="G317" s="22">
        <v>3893730.15</v>
      </c>
      <c r="H317" s="14">
        <f t="shared" si="3"/>
        <v>817683.3315</v>
      </c>
      <c r="I317" s="14"/>
      <c r="J317" s="14"/>
      <c r="K317" s="15">
        <f t="shared" si="4"/>
        <v>4711413.482</v>
      </c>
      <c r="L317" s="6"/>
      <c r="M317" s="24">
        <v>45759.0</v>
      </c>
    </row>
    <row r="318" ht="15.75" customHeight="1">
      <c r="A318" s="97"/>
      <c r="B318" s="6" t="s">
        <v>381</v>
      </c>
      <c r="C318" s="34" t="s">
        <v>379</v>
      </c>
      <c r="D318" s="35" t="s">
        <v>15</v>
      </c>
      <c r="E318" s="34" t="s">
        <v>382</v>
      </c>
      <c r="F318" s="36">
        <v>45741.0</v>
      </c>
      <c r="G318" s="22">
        <v>4859270.12</v>
      </c>
      <c r="H318" s="14">
        <f t="shared" si="3"/>
        <v>1020446.725</v>
      </c>
      <c r="I318" s="14"/>
      <c r="J318" s="14"/>
      <c r="K318" s="15">
        <f t="shared" si="4"/>
        <v>5879716.845</v>
      </c>
      <c r="L318" s="38"/>
      <c r="M318" s="108">
        <v>45758.0</v>
      </c>
    </row>
    <row r="319" ht="15.75" customHeight="1">
      <c r="A319" s="111"/>
      <c r="B319" s="7" t="s">
        <v>381</v>
      </c>
      <c r="C319" s="34" t="s">
        <v>129</v>
      </c>
      <c r="D319" s="35" t="s">
        <v>15</v>
      </c>
      <c r="E319" s="34" t="s">
        <v>383</v>
      </c>
      <c r="F319" s="36">
        <v>45741.0</v>
      </c>
      <c r="G319" s="22">
        <v>7297860.24</v>
      </c>
      <c r="H319" s="14">
        <f t="shared" si="3"/>
        <v>1532550.65</v>
      </c>
      <c r="I319" s="14"/>
      <c r="J319" s="14"/>
      <c r="K319" s="15">
        <f t="shared" si="4"/>
        <v>8830410.89</v>
      </c>
      <c r="L319" s="38"/>
      <c r="M319" s="11">
        <v>45763.0</v>
      </c>
    </row>
    <row r="320" ht="15.75" customHeight="1">
      <c r="A320" s="97">
        <v>45671.0</v>
      </c>
      <c r="B320" s="6" t="s">
        <v>13</v>
      </c>
      <c r="C320" s="34" t="s">
        <v>129</v>
      </c>
      <c r="D320" s="35" t="s">
        <v>15</v>
      </c>
      <c r="E320" s="34" t="s">
        <v>384</v>
      </c>
      <c r="F320" s="36">
        <v>45741.0</v>
      </c>
      <c r="G320" s="22">
        <v>7130530.38</v>
      </c>
      <c r="H320" s="14">
        <f t="shared" si="3"/>
        <v>1497411.38</v>
      </c>
      <c r="I320" s="14"/>
      <c r="J320" s="14"/>
      <c r="K320" s="15">
        <f t="shared" si="4"/>
        <v>8627941.76</v>
      </c>
      <c r="L320" s="38"/>
      <c r="M320" s="112">
        <v>45763.0</v>
      </c>
    </row>
    <row r="321" ht="15.75" customHeight="1">
      <c r="A321" s="97">
        <v>45671.0</v>
      </c>
      <c r="B321" s="6" t="s">
        <v>26</v>
      </c>
      <c r="C321" s="34" t="s">
        <v>129</v>
      </c>
      <c r="D321" s="35" t="s">
        <v>15</v>
      </c>
      <c r="E321" s="34" t="s">
        <v>385</v>
      </c>
      <c r="F321" s="36">
        <v>45741.0</v>
      </c>
      <c r="G321" s="22">
        <v>1.294375029E7</v>
      </c>
      <c r="H321" s="14">
        <f t="shared" si="3"/>
        <v>2718187.561</v>
      </c>
      <c r="I321" s="22">
        <v>388312.51</v>
      </c>
      <c r="J321" s="14"/>
      <c r="K321" s="15">
        <f t="shared" si="4"/>
        <v>16050250.36</v>
      </c>
      <c r="L321" s="6"/>
      <c r="M321" s="112">
        <v>45763.0</v>
      </c>
    </row>
    <row r="322" ht="15.75" customHeight="1">
      <c r="A322" s="97">
        <v>45671.0</v>
      </c>
      <c r="B322" s="6" t="s">
        <v>26</v>
      </c>
      <c r="C322" s="34" t="s">
        <v>129</v>
      </c>
      <c r="D322" s="35" t="s">
        <v>15</v>
      </c>
      <c r="E322" s="34" t="s">
        <v>386</v>
      </c>
      <c r="F322" s="36">
        <v>45741.0</v>
      </c>
      <c r="G322" s="22">
        <v>6460260.84</v>
      </c>
      <c r="H322" s="14">
        <f t="shared" si="3"/>
        <v>1356654.776</v>
      </c>
      <c r="I322" s="14"/>
      <c r="J322" s="14"/>
      <c r="K322" s="15">
        <f t="shared" si="4"/>
        <v>7816915.616</v>
      </c>
      <c r="L322" s="18"/>
      <c r="M322" s="112">
        <v>45763.0</v>
      </c>
    </row>
    <row r="323" ht="15.75" customHeight="1">
      <c r="A323" s="5">
        <v>45671.0</v>
      </c>
      <c r="B323" s="6" t="s">
        <v>26</v>
      </c>
      <c r="C323" s="34" t="s">
        <v>129</v>
      </c>
      <c r="D323" s="35" t="s">
        <v>15</v>
      </c>
      <c r="E323" s="34" t="s">
        <v>387</v>
      </c>
      <c r="F323" s="36">
        <v>45741.0</v>
      </c>
      <c r="G323" s="22">
        <v>1.318847041E7</v>
      </c>
      <c r="H323" s="14">
        <f t="shared" si="3"/>
        <v>2769578.786</v>
      </c>
      <c r="I323" s="22">
        <v>395654.11</v>
      </c>
      <c r="J323" s="14"/>
      <c r="K323" s="15">
        <f t="shared" si="4"/>
        <v>16353703.31</v>
      </c>
      <c r="L323" s="18"/>
      <c r="M323" s="112">
        <v>45763.0</v>
      </c>
    </row>
    <row r="324" ht="15.75" customHeight="1">
      <c r="A324" s="5">
        <v>45671.0</v>
      </c>
      <c r="B324" s="6" t="s">
        <v>26</v>
      </c>
      <c r="C324" s="34" t="s">
        <v>129</v>
      </c>
      <c r="D324" s="35" t="s">
        <v>15</v>
      </c>
      <c r="E324" s="34" t="s">
        <v>388</v>
      </c>
      <c r="F324" s="36">
        <v>45741.0</v>
      </c>
      <c r="G324" s="22">
        <v>1.299254064E7</v>
      </c>
      <c r="H324" s="14">
        <f t="shared" si="3"/>
        <v>2728433.534</v>
      </c>
      <c r="I324" s="22">
        <v>389776.22</v>
      </c>
      <c r="J324" s="14"/>
      <c r="K324" s="15">
        <f t="shared" si="4"/>
        <v>16110750.39</v>
      </c>
      <c r="L324" s="18"/>
      <c r="M324" s="112">
        <v>45763.0</v>
      </c>
    </row>
    <row r="325" ht="15.75" customHeight="1">
      <c r="A325" s="5">
        <v>45671.0</v>
      </c>
      <c r="B325" s="6" t="s">
        <v>26</v>
      </c>
      <c r="C325" s="34" t="s">
        <v>196</v>
      </c>
      <c r="D325" s="35" t="s">
        <v>15</v>
      </c>
      <c r="E325" s="34" t="s">
        <v>389</v>
      </c>
      <c r="F325" s="36">
        <v>45741.0</v>
      </c>
      <c r="G325" s="22">
        <v>4003930.14</v>
      </c>
      <c r="H325" s="14">
        <f t="shared" si="3"/>
        <v>840825.3294</v>
      </c>
      <c r="I325" s="22"/>
      <c r="J325" s="22">
        <v>32031.44</v>
      </c>
      <c r="K325" s="15">
        <f t="shared" si="4"/>
        <v>4876786.909</v>
      </c>
      <c r="L325" s="18"/>
      <c r="M325" s="110">
        <v>45755.0</v>
      </c>
    </row>
    <row r="326" ht="15.75" customHeight="1">
      <c r="A326" s="5">
        <v>45671.0</v>
      </c>
      <c r="B326" s="6" t="s">
        <v>26</v>
      </c>
      <c r="C326" s="34" t="s">
        <v>196</v>
      </c>
      <c r="D326" s="35" t="s">
        <v>15</v>
      </c>
      <c r="E326" s="20" t="s">
        <v>390</v>
      </c>
      <c r="F326" s="36">
        <v>45741.0</v>
      </c>
      <c r="G326" s="22">
        <v>2009552.65</v>
      </c>
      <c r="H326" s="14">
        <f t="shared" si="3"/>
        <v>422006.0565</v>
      </c>
      <c r="I326" s="22">
        <v>60286.58</v>
      </c>
      <c r="J326" s="22">
        <v>16076.42</v>
      </c>
      <c r="K326" s="15">
        <f t="shared" si="4"/>
        <v>2507921.707</v>
      </c>
      <c r="L326" s="18"/>
      <c r="M326" s="110">
        <v>45755.0</v>
      </c>
    </row>
    <row r="327" ht="15.75" customHeight="1">
      <c r="A327" s="5">
        <v>45671.0</v>
      </c>
      <c r="B327" s="6" t="s">
        <v>13</v>
      </c>
      <c r="C327" s="34" t="s">
        <v>148</v>
      </c>
      <c r="D327" s="35" t="s">
        <v>15</v>
      </c>
      <c r="E327" s="20" t="s">
        <v>391</v>
      </c>
      <c r="F327" s="36">
        <v>45741.0</v>
      </c>
      <c r="G327" s="22">
        <v>6987430.26</v>
      </c>
      <c r="H327" s="14">
        <f t="shared" si="3"/>
        <v>1467360.355</v>
      </c>
      <c r="I327" s="22"/>
      <c r="J327" s="45"/>
      <c r="K327" s="15">
        <f t="shared" si="4"/>
        <v>8454790.615</v>
      </c>
      <c r="L327" s="18"/>
      <c r="M327" s="110">
        <v>45757.0</v>
      </c>
    </row>
    <row r="328" ht="15.75" customHeight="1">
      <c r="A328" s="5">
        <v>45671.0</v>
      </c>
      <c r="B328" s="6" t="s">
        <v>13</v>
      </c>
      <c r="C328" s="34" t="s">
        <v>159</v>
      </c>
      <c r="D328" s="35" t="s">
        <v>15</v>
      </c>
      <c r="E328" s="20" t="s">
        <v>392</v>
      </c>
      <c r="F328" s="36">
        <v>45741.0</v>
      </c>
      <c r="G328" s="22">
        <v>5020650.19</v>
      </c>
      <c r="H328" s="14">
        <f t="shared" si="3"/>
        <v>1054336.54</v>
      </c>
      <c r="I328" s="22">
        <v>150619.51</v>
      </c>
      <c r="J328" s="22">
        <v>65268.45</v>
      </c>
      <c r="K328" s="15">
        <f t="shared" si="4"/>
        <v>6290874.69</v>
      </c>
      <c r="L328" s="18"/>
      <c r="M328" s="110">
        <v>45758.0</v>
      </c>
    </row>
    <row r="329" ht="15.75" customHeight="1">
      <c r="A329" s="5">
        <v>45671.0</v>
      </c>
      <c r="B329" s="6" t="s">
        <v>26</v>
      </c>
      <c r="C329" s="34" t="s">
        <v>111</v>
      </c>
      <c r="D329" s="35" t="s">
        <v>15</v>
      </c>
      <c r="E329" s="34" t="s">
        <v>393</v>
      </c>
      <c r="F329" s="36">
        <v>45741.0</v>
      </c>
      <c r="G329" s="22">
        <v>4978350.19</v>
      </c>
      <c r="H329" s="14">
        <f t="shared" si="3"/>
        <v>1045453.54</v>
      </c>
      <c r="I329" s="14"/>
      <c r="J329" s="14"/>
      <c r="K329" s="15">
        <f t="shared" si="4"/>
        <v>6023803.73</v>
      </c>
      <c r="L329" s="18"/>
      <c r="M329" s="110">
        <v>45685.0</v>
      </c>
    </row>
    <row r="330" ht="15.75" customHeight="1">
      <c r="A330" s="5">
        <v>45671.0</v>
      </c>
      <c r="B330" s="6" t="s">
        <v>26</v>
      </c>
      <c r="C330" s="34" t="s">
        <v>111</v>
      </c>
      <c r="D330" s="35" t="s">
        <v>15</v>
      </c>
      <c r="E330" s="34" t="s">
        <v>394</v>
      </c>
      <c r="F330" s="36">
        <v>45741.0</v>
      </c>
      <c r="G330" s="22">
        <v>8004820.17</v>
      </c>
      <c r="H330" s="14">
        <f t="shared" si="3"/>
        <v>1681012.236</v>
      </c>
      <c r="I330" s="14"/>
      <c r="J330" s="14"/>
      <c r="K330" s="15">
        <f t="shared" si="4"/>
        <v>9685832.406</v>
      </c>
      <c r="L330" s="18"/>
      <c r="M330" s="110">
        <v>45685.0</v>
      </c>
    </row>
    <row r="331" ht="15.75" customHeight="1">
      <c r="A331" s="39">
        <v>45672.0</v>
      </c>
      <c r="B331" s="19" t="s">
        <v>13</v>
      </c>
      <c r="C331" s="34" t="s">
        <v>395</v>
      </c>
      <c r="D331" s="35" t="s">
        <v>15</v>
      </c>
      <c r="E331" s="34" t="s">
        <v>396</v>
      </c>
      <c r="F331" s="36">
        <v>45741.0</v>
      </c>
      <c r="G331" s="22">
        <v>3854650.71</v>
      </c>
      <c r="H331" s="14">
        <f t="shared" si="3"/>
        <v>809476.6491</v>
      </c>
      <c r="I331" s="22">
        <v>115639.52</v>
      </c>
      <c r="J331" s="22">
        <v>11563.95</v>
      </c>
      <c r="K331" s="15">
        <f t="shared" si="4"/>
        <v>4791330.829</v>
      </c>
      <c r="L331" s="18"/>
      <c r="M331" s="112">
        <v>45807.0</v>
      </c>
    </row>
    <row r="332" ht="15.75" customHeight="1">
      <c r="A332" s="39">
        <v>45672.0</v>
      </c>
      <c r="B332" s="19" t="s">
        <v>13</v>
      </c>
      <c r="C332" s="34" t="s">
        <v>397</v>
      </c>
      <c r="D332" s="35" t="s">
        <v>15</v>
      </c>
      <c r="E332" s="34" t="s">
        <v>398</v>
      </c>
      <c r="F332" s="36">
        <v>45741.0</v>
      </c>
      <c r="G332" s="22">
        <v>3109570.23</v>
      </c>
      <c r="H332" s="14">
        <f t="shared" si="3"/>
        <v>653009.7483</v>
      </c>
      <c r="I332" s="14"/>
      <c r="J332" s="14"/>
      <c r="K332" s="15">
        <f t="shared" si="4"/>
        <v>3762579.978</v>
      </c>
      <c r="L332" s="38"/>
      <c r="M332" s="112">
        <v>45768.0</v>
      </c>
    </row>
    <row r="333" ht="15.75" customHeight="1">
      <c r="A333" s="55">
        <v>45674.0</v>
      </c>
      <c r="B333" s="25" t="s">
        <v>13</v>
      </c>
      <c r="C333" s="6" t="s">
        <v>193</v>
      </c>
      <c r="D333" s="6" t="s">
        <v>15</v>
      </c>
      <c r="E333" s="6"/>
      <c r="F333" s="13">
        <v>45658.0</v>
      </c>
      <c r="G333" s="15">
        <v>5300208.26</v>
      </c>
      <c r="H333" s="15">
        <f t="shared" si="3"/>
        <v>1113043.735</v>
      </c>
      <c r="I333" s="15"/>
      <c r="J333" s="15">
        <v>42401.67</v>
      </c>
      <c r="K333" s="15">
        <f t="shared" si="4"/>
        <v>6455653.665</v>
      </c>
      <c r="L333" s="83"/>
      <c r="M333" s="113"/>
    </row>
    <row r="334" ht="15.75" customHeight="1">
      <c r="A334" s="55">
        <v>45674.0</v>
      </c>
      <c r="B334" s="25" t="s">
        <v>13</v>
      </c>
      <c r="C334" s="6" t="s">
        <v>193</v>
      </c>
      <c r="D334" s="6" t="s">
        <v>15</v>
      </c>
      <c r="E334" s="6"/>
      <c r="F334" s="13">
        <v>45658.0</v>
      </c>
      <c r="G334" s="114">
        <v>6931548.15</v>
      </c>
      <c r="H334" s="15">
        <f t="shared" si="3"/>
        <v>1455625.112</v>
      </c>
      <c r="I334" s="15"/>
      <c r="J334" s="15">
        <v>55452.39</v>
      </c>
      <c r="K334" s="15">
        <f t="shared" si="4"/>
        <v>8442625.652</v>
      </c>
      <c r="L334" s="83"/>
      <c r="M334" s="113"/>
    </row>
    <row r="335" ht="15.75" customHeight="1">
      <c r="A335" s="39">
        <v>45677.0</v>
      </c>
      <c r="B335" s="19" t="s">
        <v>13</v>
      </c>
      <c r="C335" s="6" t="s">
        <v>19</v>
      </c>
      <c r="D335" s="6" t="s">
        <v>15</v>
      </c>
      <c r="E335" s="6"/>
      <c r="F335" s="13">
        <v>45658.0</v>
      </c>
      <c r="G335" s="114">
        <v>1.008325118E7</v>
      </c>
      <c r="H335" s="15">
        <f t="shared" si="3"/>
        <v>2117482.748</v>
      </c>
      <c r="I335" s="15"/>
      <c r="J335" s="15">
        <v>403330.05</v>
      </c>
      <c r="K335" s="15">
        <f t="shared" si="4"/>
        <v>12604063.98</v>
      </c>
      <c r="L335" s="18"/>
      <c r="M335" s="110">
        <v>45685.0</v>
      </c>
    </row>
    <row r="336" ht="15.75" customHeight="1">
      <c r="A336" s="55">
        <v>45680.0</v>
      </c>
      <c r="B336" s="25" t="s">
        <v>13</v>
      </c>
      <c r="C336" s="6" t="s">
        <v>14</v>
      </c>
      <c r="D336" s="6" t="s">
        <v>15</v>
      </c>
      <c r="E336" s="6"/>
      <c r="F336" s="13">
        <v>45658.0</v>
      </c>
      <c r="G336" s="14">
        <v>8201922.13</v>
      </c>
      <c r="H336" s="15">
        <f t="shared" si="3"/>
        <v>1722403.647</v>
      </c>
      <c r="I336" s="14"/>
      <c r="J336" s="14"/>
      <c r="K336" s="15">
        <f t="shared" si="4"/>
        <v>9924325.777</v>
      </c>
      <c r="L336" s="83"/>
      <c r="M336" s="113"/>
    </row>
    <row r="337" ht="15.75" customHeight="1">
      <c r="A337" s="39">
        <v>45681.0</v>
      </c>
      <c r="B337" s="19" t="s">
        <v>200</v>
      </c>
      <c r="C337" s="6" t="s">
        <v>19</v>
      </c>
      <c r="D337" s="6" t="s">
        <v>15</v>
      </c>
      <c r="E337" s="6"/>
      <c r="F337" s="13">
        <v>45658.0</v>
      </c>
      <c r="G337" s="14">
        <v>9403624.23</v>
      </c>
      <c r="H337" s="14">
        <f t="shared" si="3"/>
        <v>1974761.088</v>
      </c>
      <c r="I337" s="14"/>
      <c r="J337" s="14">
        <v>376144.97</v>
      </c>
      <c r="K337" s="15">
        <f t="shared" si="4"/>
        <v>11754530.29</v>
      </c>
      <c r="L337" s="18"/>
      <c r="M337" s="112">
        <v>45682.0</v>
      </c>
    </row>
    <row r="338" ht="15.75" customHeight="1">
      <c r="A338" s="39">
        <v>45681.0</v>
      </c>
      <c r="B338" s="19" t="s">
        <v>200</v>
      </c>
      <c r="C338" s="6" t="s">
        <v>399</v>
      </c>
      <c r="D338" s="6" t="s">
        <v>15</v>
      </c>
      <c r="E338" s="6"/>
      <c r="F338" s="13">
        <v>45658.0</v>
      </c>
      <c r="G338" s="14">
        <v>1.152960505E7</v>
      </c>
      <c r="H338" s="15">
        <f t="shared" si="3"/>
        <v>2421217.061</v>
      </c>
      <c r="I338" s="15"/>
      <c r="J338" s="14">
        <v>23059.21</v>
      </c>
      <c r="K338" s="15">
        <f t="shared" si="4"/>
        <v>13973881.32</v>
      </c>
      <c r="L338" s="18"/>
      <c r="M338" s="112">
        <v>45682.0</v>
      </c>
    </row>
    <row r="339" ht="15.75" customHeight="1">
      <c r="A339" s="39">
        <v>45681.0</v>
      </c>
      <c r="B339" s="19" t="s">
        <v>179</v>
      </c>
      <c r="C339" s="6" t="s">
        <v>168</v>
      </c>
      <c r="D339" s="6" t="s">
        <v>15</v>
      </c>
      <c r="E339" s="6"/>
      <c r="F339" s="13">
        <v>45658.0</v>
      </c>
      <c r="G339" s="14">
        <v>4468910.12</v>
      </c>
      <c r="H339" s="15">
        <f t="shared" si="3"/>
        <v>938471.1252</v>
      </c>
      <c r="I339" s="14">
        <v>134067.3</v>
      </c>
      <c r="J339" s="14"/>
      <c r="K339" s="15">
        <f t="shared" si="4"/>
        <v>5541448.545</v>
      </c>
      <c r="L339" s="18"/>
      <c r="M339" s="110">
        <v>45685.0</v>
      </c>
    </row>
    <row r="340" ht="15.75" customHeight="1">
      <c r="A340" s="55">
        <v>45691.0</v>
      </c>
      <c r="B340" s="25" t="s">
        <v>13</v>
      </c>
      <c r="C340" s="6" t="s">
        <v>19</v>
      </c>
      <c r="D340" s="6" t="s">
        <v>15</v>
      </c>
      <c r="E340" s="6"/>
      <c r="F340" s="13">
        <v>45658.0</v>
      </c>
      <c r="G340" s="14">
        <v>1.124530715E7</v>
      </c>
      <c r="H340" s="15">
        <f t="shared" si="3"/>
        <v>2361514.502</v>
      </c>
      <c r="I340" s="14"/>
      <c r="J340" s="14"/>
      <c r="K340" s="15">
        <f t="shared" si="4"/>
        <v>13606821.65</v>
      </c>
      <c r="L340" s="83"/>
      <c r="M340" s="113"/>
    </row>
    <row r="341" ht="15.75" customHeight="1">
      <c r="A341" s="55">
        <v>45691.0</v>
      </c>
      <c r="B341" s="25" t="s">
        <v>13</v>
      </c>
      <c r="C341" s="6" t="s">
        <v>19</v>
      </c>
      <c r="D341" s="6" t="s">
        <v>15</v>
      </c>
      <c r="E341" s="6"/>
      <c r="F341" s="13">
        <v>45658.0</v>
      </c>
      <c r="G341" s="15">
        <v>1.002990102E7</v>
      </c>
      <c r="H341" s="15">
        <f t="shared" si="3"/>
        <v>2106279.214</v>
      </c>
      <c r="I341" s="14"/>
      <c r="J341" s="14">
        <v>401196.04</v>
      </c>
      <c r="K341" s="15">
        <f t="shared" si="4"/>
        <v>12537376.27</v>
      </c>
      <c r="L341" s="83"/>
      <c r="M341" s="113"/>
    </row>
    <row r="342" ht="15.75" customHeight="1">
      <c r="A342" s="39">
        <v>45692.0</v>
      </c>
      <c r="B342" s="19" t="s">
        <v>236</v>
      </c>
      <c r="C342" s="6" t="s">
        <v>399</v>
      </c>
      <c r="D342" s="6" t="s">
        <v>15</v>
      </c>
      <c r="E342" s="6"/>
      <c r="F342" s="13">
        <v>45658.0</v>
      </c>
      <c r="G342" s="14">
        <v>1.173022146E7</v>
      </c>
      <c r="H342" s="15">
        <f t="shared" si="3"/>
        <v>2463346.507</v>
      </c>
      <c r="I342" s="14"/>
      <c r="J342" s="14">
        <v>23460.44</v>
      </c>
      <c r="K342" s="15">
        <f t="shared" si="4"/>
        <v>14217028.41</v>
      </c>
      <c r="L342" s="18"/>
      <c r="M342" s="110">
        <v>45694.0</v>
      </c>
    </row>
    <row r="343" ht="15.75" customHeight="1">
      <c r="A343" s="115">
        <v>45715.0</v>
      </c>
      <c r="B343" s="32" t="s">
        <v>236</v>
      </c>
      <c r="C343" s="19" t="s">
        <v>71</v>
      </c>
      <c r="D343" s="19" t="s">
        <v>281</v>
      </c>
      <c r="E343" s="19" t="s">
        <v>400</v>
      </c>
      <c r="F343" s="21">
        <v>45716.0</v>
      </c>
      <c r="G343" s="23">
        <v>1.051148E7</v>
      </c>
      <c r="H343" s="15">
        <f t="shared" si="3"/>
        <v>2207410.8</v>
      </c>
      <c r="I343" s="15"/>
      <c r="J343" s="15"/>
      <c r="K343" s="15">
        <f t="shared" si="4"/>
        <v>12718890.8</v>
      </c>
      <c r="L343" s="50"/>
      <c r="M343" s="110">
        <v>45722.0</v>
      </c>
    </row>
    <row r="344" ht="15.75" customHeight="1">
      <c r="A344" s="115">
        <v>45715.0</v>
      </c>
      <c r="B344" s="32" t="s">
        <v>236</v>
      </c>
      <c r="C344" s="19" t="s">
        <v>71</v>
      </c>
      <c r="D344" s="19" t="s">
        <v>72</v>
      </c>
      <c r="E344" s="19" t="s">
        <v>401</v>
      </c>
      <c r="F344" s="21">
        <v>45716.0</v>
      </c>
      <c r="G344" s="22">
        <v>1.042189E7</v>
      </c>
      <c r="H344" s="14">
        <f t="shared" si="3"/>
        <v>2188596.9</v>
      </c>
      <c r="I344" s="14"/>
      <c r="J344" s="14"/>
      <c r="K344" s="14">
        <f t="shared" si="4"/>
        <v>12610486.9</v>
      </c>
      <c r="L344" s="50"/>
      <c r="M344" s="110">
        <v>45722.0</v>
      </c>
    </row>
    <row r="345" ht="15.75" customHeight="1">
      <c r="A345" s="115">
        <v>45715.0</v>
      </c>
      <c r="B345" s="32" t="s">
        <v>236</v>
      </c>
      <c r="C345" s="19" t="s">
        <v>71</v>
      </c>
      <c r="D345" s="19" t="s">
        <v>281</v>
      </c>
      <c r="E345" s="19" t="s">
        <v>402</v>
      </c>
      <c r="F345" s="21">
        <v>45716.0</v>
      </c>
      <c r="G345" s="23">
        <v>1.012325E7</v>
      </c>
      <c r="H345" s="15">
        <f t="shared" si="3"/>
        <v>2125882.5</v>
      </c>
      <c r="I345" s="15"/>
      <c r="J345" s="15"/>
      <c r="K345" s="15">
        <f t="shared" si="4"/>
        <v>12249132.5</v>
      </c>
      <c r="L345" s="50"/>
      <c r="M345" s="110">
        <v>45722.0</v>
      </c>
    </row>
    <row r="346" ht="15.75" customHeight="1">
      <c r="A346" s="115">
        <v>45715.0</v>
      </c>
      <c r="B346" s="32" t="s">
        <v>236</v>
      </c>
      <c r="C346" s="19" t="s">
        <v>71</v>
      </c>
      <c r="D346" s="19" t="s">
        <v>72</v>
      </c>
      <c r="E346" s="19" t="s">
        <v>403</v>
      </c>
      <c r="F346" s="21">
        <v>45716.0</v>
      </c>
      <c r="G346" s="22">
        <v>1.022492E7</v>
      </c>
      <c r="H346" s="14">
        <f t="shared" si="3"/>
        <v>2147233.2</v>
      </c>
      <c r="I346" s="14"/>
      <c r="J346" s="14"/>
      <c r="K346" s="14">
        <f t="shared" si="4"/>
        <v>12372153.2</v>
      </c>
      <c r="L346" s="107">
        <v>612156.0</v>
      </c>
      <c r="M346" s="24">
        <v>45730.0</v>
      </c>
    </row>
    <row r="347" ht="15.75" customHeight="1">
      <c r="A347" s="115">
        <v>45715.0</v>
      </c>
      <c r="B347" s="32" t="s">
        <v>236</v>
      </c>
      <c r="C347" s="20" t="s">
        <v>64</v>
      </c>
      <c r="D347" s="19" t="s">
        <v>17</v>
      </c>
      <c r="E347" s="20" t="s">
        <v>404</v>
      </c>
      <c r="F347" s="21">
        <v>45716.0</v>
      </c>
      <c r="G347" s="22">
        <v>9007750.08</v>
      </c>
      <c r="H347" s="14">
        <f t="shared" si="3"/>
        <v>1891627.517</v>
      </c>
      <c r="I347" s="22">
        <v>270232.5</v>
      </c>
      <c r="J347" s="14"/>
      <c r="K347" s="14">
        <f t="shared" si="4"/>
        <v>11169610.1</v>
      </c>
      <c r="L347" s="50"/>
      <c r="M347" s="24">
        <v>45728.0</v>
      </c>
    </row>
    <row r="348" ht="15.75" customHeight="1">
      <c r="A348" s="115">
        <v>45715.0</v>
      </c>
      <c r="B348" s="32" t="s">
        <v>236</v>
      </c>
      <c r="C348" s="20" t="s">
        <v>405</v>
      </c>
      <c r="D348" s="19" t="s">
        <v>17</v>
      </c>
      <c r="E348" s="20" t="s">
        <v>406</v>
      </c>
      <c r="F348" s="21">
        <v>45716.0</v>
      </c>
      <c r="G348" s="22">
        <f>1998609.25/1.21</f>
        <v>1651743.182</v>
      </c>
      <c r="H348" s="14">
        <f t="shared" si="3"/>
        <v>346866.0682</v>
      </c>
      <c r="I348" s="14"/>
      <c r="J348" s="14"/>
      <c r="K348" s="14">
        <f t="shared" si="4"/>
        <v>1998609.25</v>
      </c>
      <c r="L348" s="50"/>
      <c r="M348" s="24">
        <v>45729.0</v>
      </c>
    </row>
    <row r="349" ht="15.75" customHeight="1">
      <c r="A349" s="39">
        <v>45692.0</v>
      </c>
      <c r="B349" s="19" t="s">
        <v>236</v>
      </c>
      <c r="C349" s="6" t="s">
        <v>19</v>
      </c>
      <c r="D349" s="6" t="s">
        <v>15</v>
      </c>
      <c r="E349" s="6"/>
      <c r="F349" s="13">
        <v>45658.0</v>
      </c>
      <c r="G349" s="15">
        <v>1.867792023E7</v>
      </c>
      <c r="H349" s="15">
        <f t="shared" si="3"/>
        <v>3922363.248</v>
      </c>
      <c r="I349" s="15"/>
      <c r="J349" s="15">
        <v>747116.81</v>
      </c>
      <c r="K349" s="15">
        <f t="shared" si="4"/>
        <v>23347400.29</v>
      </c>
      <c r="L349" s="18"/>
      <c r="M349" s="24">
        <v>45694.0</v>
      </c>
    </row>
    <row r="350" ht="15.75" customHeight="1">
      <c r="A350" s="39">
        <v>45692.0</v>
      </c>
      <c r="B350" s="19" t="s">
        <v>236</v>
      </c>
      <c r="C350" s="6" t="s">
        <v>19</v>
      </c>
      <c r="D350" s="6" t="s">
        <v>15</v>
      </c>
      <c r="E350" s="6"/>
      <c r="F350" s="13">
        <v>45658.0</v>
      </c>
      <c r="G350" s="15">
        <v>2.056974041E7</v>
      </c>
      <c r="H350" s="15">
        <f t="shared" si="3"/>
        <v>4319645.486</v>
      </c>
      <c r="I350" s="15"/>
      <c r="J350" s="15">
        <v>822789.62</v>
      </c>
      <c r="K350" s="15">
        <f t="shared" si="4"/>
        <v>25712175.52</v>
      </c>
      <c r="L350" s="18"/>
      <c r="M350" s="24">
        <v>45694.0</v>
      </c>
    </row>
    <row r="351" ht="15.75" customHeight="1">
      <c r="A351" s="39">
        <v>45692.0</v>
      </c>
      <c r="B351" s="19" t="s">
        <v>236</v>
      </c>
      <c r="C351" s="6" t="s">
        <v>399</v>
      </c>
      <c r="D351" s="6" t="s">
        <v>15</v>
      </c>
      <c r="E351" s="6"/>
      <c r="F351" s="13">
        <v>45658.0</v>
      </c>
      <c r="G351" s="15">
        <v>1.124208116E7</v>
      </c>
      <c r="H351" s="15">
        <f t="shared" si="3"/>
        <v>2360837.044</v>
      </c>
      <c r="I351" s="15"/>
      <c r="J351" s="15">
        <v>22484.16</v>
      </c>
      <c r="K351" s="15">
        <f t="shared" si="4"/>
        <v>13625402.36</v>
      </c>
      <c r="L351" s="18"/>
      <c r="M351" s="24">
        <v>45694.0</v>
      </c>
    </row>
    <row r="352" ht="15.75" customHeight="1">
      <c r="A352" s="39">
        <v>45908.0</v>
      </c>
      <c r="B352" s="87"/>
      <c r="C352" s="31" t="s">
        <v>171</v>
      </c>
      <c r="D352" s="32" t="s">
        <v>15</v>
      </c>
      <c r="E352" s="31" t="s">
        <v>407</v>
      </c>
      <c r="F352" s="32" t="s">
        <v>208</v>
      </c>
      <c r="G352" s="53">
        <v>1.222727318E7</v>
      </c>
      <c r="H352" s="14">
        <f t="shared" si="3"/>
        <v>2567727.368</v>
      </c>
      <c r="I352" s="50"/>
      <c r="J352" s="14"/>
      <c r="K352" s="15">
        <f t="shared" si="4"/>
        <v>14795000.55</v>
      </c>
      <c r="L352" s="45"/>
      <c r="M352" s="6"/>
    </row>
    <row r="353" ht="15.75" customHeight="1">
      <c r="A353" s="39">
        <v>45908.0</v>
      </c>
      <c r="B353" s="87"/>
      <c r="C353" s="31" t="s">
        <v>171</v>
      </c>
      <c r="D353" s="32" t="s">
        <v>15</v>
      </c>
      <c r="E353" s="32" t="s">
        <v>408</v>
      </c>
      <c r="F353" s="32" t="s">
        <v>208</v>
      </c>
      <c r="G353" s="53">
        <v>1.833636218E7</v>
      </c>
      <c r="H353" s="14">
        <f t="shared" si="3"/>
        <v>3850636.058</v>
      </c>
      <c r="I353" s="50"/>
      <c r="J353" s="14"/>
      <c r="K353" s="15">
        <f t="shared" si="4"/>
        <v>22186998.24</v>
      </c>
      <c r="L353" s="45"/>
      <c r="M353" s="6"/>
    </row>
    <row r="354" ht="15.75" customHeight="1">
      <c r="A354" s="39">
        <v>45692.0</v>
      </c>
      <c r="B354" s="19" t="s">
        <v>200</v>
      </c>
      <c r="C354" s="6" t="s">
        <v>209</v>
      </c>
      <c r="D354" s="6" t="s">
        <v>15</v>
      </c>
      <c r="E354" s="6"/>
      <c r="F354" s="13">
        <v>45658.0</v>
      </c>
      <c r="G354" s="15">
        <v>1.015867477E7</v>
      </c>
      <c r="H354" s="15">
        <f t="shared" si="3"/>
        <v>2133321.702</v>
      </c>
      <c r="I354" s="14">
        <v>304760.24</v>
      </c>
      <c r="J354" s="14"/>
      <c r="K354" s="15">
        <f t="shared" si="4"/>
        <v>12596756.71</v>
      </c>
      <c r="L354" s="18"/>
      <c r="M354" s="11">
        <v>45695.0</v>
      </c>
    </row>
    <row r="355" ht="15.75" customHeight="1">
      <c r="A355" s="39">
        <v>45692.0</v>
      </c>
      <c r="B355" s="19" t="s">
        <v>200</v>
      </c>
      <c r="C355" s="6" t="s">
        <v>209</v>
      </c>
      <c r="D355" s="6" t="s">
        <v>15</v>
      </c>
      <c r="E355" s="6"/>
      <c r="F355" s="13">
        <v>45658.0</v>
      </c>
      <c r="G355" s="15">
        <v>1.012173242E7</v>
      </c>
      <c r="H355" s="15">
        <f t="shared" si="3"/>
        <v>2125563.808</v>
      </c>
      <c r="I355" s="14">
        <v>303651.97</v>
      </c>
      <c r="J355" s="14"/>
      <c r="K355" s="15">
        <f t="shared" si="4"/>
        <v>12550948.2</v>
      </c>
      <c r="L355" s="6"/>
      <c r="M355" s="11">
        <v>45695.0</v>
      </c>
    </row>
    <row r="356" ht="15.75" customHeight="1">
      <c r="A356" s="39">
        <v>45692.0</v>
      </c>
      <c r="B356" s="19" t="s">
        <v>200</v>
      </c>
      <c r="C356" s="6" t="s">
        <v>209</v>
      </c>
      <c r="D356" s="6" t="s">
        <v>15</v>
      </c>
      <c r="E356" s="6"/>
      <c r="F356" s="13">
        <v>45658.0</v>
      </c>
      <c r="G356" s="15">
        <v>8603214.52</v>
      </c>
      <c r="H356" s="15">
        <f t="shared" si="3"/>
        <v>1806675.049</v>
      </c>
      <c r="I356" s="14">
        <v>258096.44</v>
      </c>
      <c r="J356" s="14"/>
      <c r="K356" s="15">
        <f t="shared" si="4"/>
        <v>10667986.01</v>
      </c>
      <c r="L356" s="6"/>
      <c r="M356" s="11">
        <v>45695.0</v>
      </c>
    </row>
    <row r="357" ht="15.75" customHeight="1">
      <c r="A357" s="39">
        <v>45692.0</v>
      </c>
      <c r="B357" s="19" t="s">
        <v>200</v>
      </c>
      <c r="C357" s="6" t="s">
        <v>209</v>
      </c>
      <c r="D357" s="6" t="s">
        <v>15</v>
      </c>
      <c r="E357" s="6"/>
      <c r="F357" s="13">
        <v>45658.0</v>
      </c>
      <c r="G357" s="14">
        <v>8690032.71</v>
      </c>
      <c r="H357" s="15">
        <f t="shared" si="3"/>
        <v>1824906.869</v>
      </c>
      <c r="I357" s="14"/>
      <c r="J357" s="14"/>
      <c r="K357" s="15">
        <f t="shared" si="4"/>
        <v>10514939.58</v>
      </c>
      <c r="L357" s="6"/>
      <c r="M357" s="11">
        <v>45695.0</v>
      </c>
    </row>
    <row r="358" ht="15.75" customHeight="1">
      <c r="A358" s="39">
        <v>45692.0</v>
      </c>
      <c r="B358" s="19" t="s">
        <v>200</v>
      </c>
      <c r="C358" s="6" t="s">
        <v>210</v>
      </c>
      <c r="D358" s="6" t="s">
        <v>15</v>
      </c>
      <c r="E358" s="6"/>
      <c r="F358" s="13">
        <v>45658.0</v>
      </c>
      <c r="G358" s="14">
        <v>1.006839306E7</v>
      </c>
      <c r="H358" s="15">
        <f t="shared" si="3"/>
        <v>2114362.543</v>
      </c>
      <c r="I358" s="14">
        <v>302051.79</v>
      </c>
      <c r="J358" s="14"/>
      <c r="K358" s="15">
        <f t="shared" si="4"/>
        <v>12484807.39</v>
      </c>
      <c r="L358" s="18"/>
      <c r="M358" s="11">
        <v>45693.0</v>
      </c>
    </row>
    <row r="359" ht="15.75" customHeight="1">
      <c r="A359" s="39">
        <v>45692.0</v>
      </c>
      <c r="B359" s="19" t="s">
        <v>200</v>
      </c>
      <c r="C359" s="6" t="s">
        <v>210</v>
      </c>
      <c r="D359" s="6" t="s">
        <v>15</v>
      </c>
      <c r="E359" s="6"/>
      <c r="F359" s="13">
        <v>45658.0</v>
      </c>
      <c r="G359" s="14">
        <v>1.002195873E7</v>
      </c>
      <c r="H359" s="15">
        <f t="shared" si="3"/>
        <v>2104611.333</v>
      </c>
      <c r="I359" s="14">
        <v>300658.76</v>
      </c>
      <c r="J359" s="14"/>
      <c r="K359" s="15">
        <f t="shared" si="4"/>
        <v>12427228.82</v>
      </c>
      <c r="L359" s="18"/>
      <c r="M359" s="11">
        <v>45693.0</v>
      </c>
    </row>
    <row r="360" ht="15.75" customHeight="1">
      <c r="A360" s="39">
        <v>45692.0</v>
      </c>
      <c r="B360" s="19" t="s">
        <v>200</v>
      </c>
      <c r="C360" s="6" t="s">
        <v>210</v>
      </c>
      <c r="D360" s="6" t="s">
        <v>15</v>
      </c>
      <c r="E360" s="6"/>
      <c r="F360" s="13">
        <v>45658.0</v>
      </c>
      <c r="G360" s="14">
        <v>1.289011178E7</v>
      </c>
      <c r="H360" s="15">
        <f t="shared" si="3"/>
        <v>2706923.474</v>
      </c>
      <c r="I360" s="14">
        <v>386703.35</v>
      </c>
      <c r="J360" s="15"/>
      <c r="K360" s="15">
        <f t="shared" si="4"/>
        <v>15983738.6</v>
      </c>
      <c r="L360" s="18"/>
      <c r="M360" s="11">
        <v>45693.0</v>
      </c>
    </row>
    <row r="361" ht="15.75" customHeight="1">
      <c r="A361" s="39">
        <v>45692.0</v>
      </c>
      <c r="B361" s="19" t="s">
        <v>200</v>
      </c>
      <c r="C361" s="6" t="s">
        <v>210</v>
      </c>
      <c r="D361" s="6" t="s">
        <v>15</v>
      </c>
      <c r="E361" s="6"/>
      <c r="F361" s="13">
        <v>45658.0</v>
      </c>
      <c r="G361" s="15">
        <v>1.200011308E7</v>
      </c>
      <c r="H361" s="15">
        <f t="shared" si="3"/>
        <v>2520023.747</v>
      </c>
      <c r="I361" s="14"/>
      <c r="J361" s="14"/>
      <c r="K361" s="15">
        <f t="shared" si="4"/>
        <v>14520136.83</v>
      </c>
      <c r="L361" s="6"/>
      <c r="M361" s="11">
        <v>45693.0</v>
      </c>
    </row>
    <row r="362" ht="15.75" customHeight="1">
      <c r="A362" s="39">
        <v>45723.0</v>
      </c>
      <c r="B362" s="45"/>
      <c r="C362" s="20" t="s">
        <v>364</v>
      </c>
      <c r="D362" s="19" t="s">
        <v>17</v>
      </c>
      <c r="E362" s="20" t="s">
        <v>409</v>
      </c>
      <c r="F362" s="21">
        <v>45716.0</v>
      </c>
      <c r="G362" s="22">
        <v>2511820.27</v>
      </c>
      <c r="H362" s="15">
        <f t="shared" si="3"/>
        <v>527482.2567</v>
      </c>
      <c r="I362" s="14"/>
      <c r="J362" s="22">
        <v>10047.28</v>
      </c>
      <c r="K362" s="15">
        <f t="shared" si="4"/>
        <v>3049349.807</v>
      </c>
      <c r="L362" s="45"/>
      <c r="M362" s="24">
        <v>45726.0</v>
      </c>
    </row>
    <row r="363" ht="15.75" customHeight="1">
      <c r="A363" s="39">
        <v>45723.0</v>
      </c>
      <c r="B363" s="45"/>
      <c r="C363" s="20" t="s">
        <v>410</v>
      </c>
      <c r="D363" s="19" t="s">
        <v>17</v>
      </c>
      <c r="E363" s="20" t="s">
        <v>411</v>
      </c>
      <c r="F363" s="21">
        <v>45716.0</v>
      </c>
      <c r="G363" s="22">
        <v>6649820.18</v>
      </c>
      <c r="H363" s="15">
        <f t="shared" si="3"/>
        <v>1396462.238</v>
      </c>
      <c r="I363" s="14"/>
      <c r="J363" s="14"/>
      <c r="K363" s="15">
        <f t="shared" si="4"/>
        <v>8046282.418</v>
      </c>
      <c r="L363" s="45"/>
      <c r="M363" s="24">
        <v>45726.0</v>
      </c>
    </row>
    <row r="364" ht="15.75" customHeight="1">
      <c r="A364" s="39">
        <v>45726.0</v>
      </c>
      <c r="B364" s="35" t="s">
        <v>315</v>
      </c>
      <c r="C364" s="20" t="s">
        <v>332</v>
      </c>
      <c r="D364" s="19" t="s">
        <v>17</v>
      </c>
      <c r="E364" s="20" t="s">
        <v>412</v>
      </c>
      <c r="F364" s="21">
        <v>45716.0</v>
      </c>
      <c r="G364" s="22">
        <v>9002811.07</v>
      </c>
      <c r="H364" s="15">
        <f t="shared" si="3"/>
        <v>1890590.325</v>
      </c>
      <c r="I364" s="22">
        <v>270084.33</v>
      </c>
      <c r="J364" s="14"/>
      <c r="K364" s="15">
        <f t="shared" si="4"/>
        <v>11163485.72</v>
      </c>
      <c r="L364" s="45"/>
      <c r="M364" s="24">
        <v>45730.0</v>
      </c>
    </row>
    <row r="365" ht="15.75" customHeight="1">
      <c r="A365" s="39">
        <v>45726.0</v>
      </c>
      <c r="B365" s="35" t="s">
        <v>315</v>
      </c>
      <c r="C365" s="20" t="s">
        <v>332</v>
      </c>
      <c r="D365" s="19" t="s">
        <v>17</v>
      </c>
      <c r="E365" s="20" t="s">
        <v>413</v>
      </c>
      <c r="F365" s="21">
        <v>45716.0</v>
      </c>
      <c r="G365" s="22">
        <v>3392916.08</v>
      </c>
      <c r="H365" s="15">
        <f t="shared" si="3"/>
        <v>712512.3768</v>
      </c>
      <c r="I365" s="14"/>
      <c r="J365" s="14"/>
      <c r="K365" s="15">
        <f t="shared" si="4"/>
        <v>4105428.457</v>
      </c>
      <c r="L365" s="45"/>
      <c r="M365" s="24">
        <v>45730.0</v>
      </c>
    </row>
    <row r="366" ht="15.75" customHeight="1">
      <c r="A366" s="39">
        <v>45726.0</v>
      </c>
      <c r="B366" s="35" t="s">
        <v>315</v>
      </c>
      <c r="C366" s="20" t="s">
        <v>332</v>
      </c>
      <c r="D366" s="19" t="s">
        <v>17</v>
      </c>
      <c r="E366" s="20" t="s">
        <v>414</v>
      </c>
      <c r="F366" s="21">
        <v>45716.0</v>
      </c>
      <c r="G366" s="22">
        <v>3781920.18</v>
      </c>
      <c r="H366" s="14">
        <f t="shared" si="3"/>
        <v>794203.2378</v>
      </c>
      <c r="I366" s="15"/>
      <c r="J366" s="14"/>
      <c r="K366" s="15">
        <f t="shared" si="4"/>
        <v>4576123.418</v>
      </c>
      <c r="L366" s="45"/>
      <c r="M366" s="24">
        <v>45730.0</v>
      </c>
    </row>
    <row r="367" ht="15.75" customHeight="1">
      <c r="A367" s="39">
        <v>45726.0</v>
      </c>
      <c r="B367" s="35" t="s">
        <v>315</v>
      </c>
      <c r="C367" s="20" t="s">
        <v>415</v>
      </c>
      <c r="D367" s="19" t="s">
        <v>99</v>
      </c>
      <c r="E367" s="20" t="s">
        <v>416</v>
      </c>
      <c r="F367" s="21">
        <v>45716.0</v>
      </c>
      <c r="G367" s="22">
        <v>4524540.12</v>
      </c>
      <c r="H367" s="14">
        <f t="shared" si="3"/>
        <v>950153.4252</v>
      </c>
      <c r="I367" s="14"/>
      <c r="J367" s="14"/>
      <c r="K367" s="15">
        <f t="shared" si="4"/>
        <v>5474693.545</v>
      </c>
      <c r="L367" s="45"/>
      <c r="M367" s="24">
        <v>45730.0</v>
      </c>
    </row>
    <row r="368" ht="15.75" customHeight="1">
      <c r="A368" s="39">
        <v>45726.0</v>
      </c>
      <c r="B368" s="35" t="s">
        <v>315</v>
      </c>
      <c r="C368" s="20" t="s">
        <v>417</v>
      </c>
      <c r="D368" s="19" t="s">
        <v>99</v>
      </c>
      <c r="E368" s="20" t="s">
        <v>418</v>
      </c>
      <c r="F368" s="21">
        <v>45716.0</v>
      </c>
      <c r="G368" s="22">
        <v>9830224.48</v>
      </c>
      <c r="H368" s="14">
        <f t="shared" si="3"/>
        <v>2064347.141</v>
      </c>
      <c r="I368" s="22">
        <v>294906.73</v>
      </c>
      <c r="J368" s="14"/>
      <c r="K368" s="15">
        <f t="shared" si="4"/>
        <v>12189478.35</v>
      </c>
      <c r="L368" s="45"/>
      <c r="M368" s="24">
        <v>45730.0</v>
      </c>
    </row>
    <row r="369" ht="15.75" customHeight="1">
      <c r="A369" s="39">
        <v>45727.0</v>
      </c>
      <c r="B369" s="45"/>
      <c r="C369" s="20" t="s">
        <v>417</v>
      </c>
      <c r="D369" s="19" t="s">
        <v>99</v>
      </c>
      <c r="E369" s="20" t="s">
        <v>419</v>
      </c>
      <c r="F369" s="21">
        <v>45713.0</v>
      </c>
      <c r="G369" s="22">
        <v>8947829.16</v>
      </c>
      <c r="H369" s="14">
        <f t="shared" si="3"/>
        <v>1879044.124</v>
      </c>
      <c r="I369" s="22">
        <v>268434.87</v>
      </c>
      <c r="J369" s="14"/>
      <c r="K369" s="15">
        <f t="shared" si="4"/>
        <v>11095308.15</v>
      </c>
      <c r="L369" s="45"/>
      <c r="M369" s="24">
        <v>45728.0</v>
      </c>
    </row>
    <row r="370" ht="15.75" customHeight="1">
      <c r="A370" s="39">
        <v>45692.0</v>
      </c>
      <c r="B370" s="19" t="s">
        <v>200</v>
      </c>
      <c r="C370" s="6" t="s">
        <v>53</v>
      </c>
      <c r="D370" s="6" t="s">
        <v>15</v>
      </c>
      <c r="E370" s="6"/>
      <c r="F370" s="13">
        <v>45658.0</v>
      </c>
      <c r="G370" s="14">
        <f>4997323.28/1.21</f>
        <v>4130019.24</v>
      </c>
      <c r="H370" s="15">
        <f t="shared" si="3"/>
        <v>867304.0403</v>
      </c>
      <c r="I370" s="14"/>
      <c r="J370" s="14"/>
      <c r="K370" s="15">
        <f t="shared" si="4"/>
        <v>4997323.28</v>
      </c>
      <c r="L370" s="18"/>
      <c r="M370" s="11">
        <v>45693.0</v>
      </c>
    </row>
    <row r="371" ht="15.75" customHeight="1">
      <c r="A371" s="39">
        <v>45692.0</v>
      </c>
      <c r="B371" s="19" t="s">
        <v>200</v>
      </c>
      <c r="C371" s="6" t="s">
        <v>247</v>
      </c>
      <c r="D371" s="6" t="s">
        <v>15</v>
      </c>
      <c r="E371" s="6"/>
      <c r="F371" s="13">
        <v>45658.0</v>
      </c>
      <c r="G371" s="14">
        <v>9973430.12</v>
      </c>
      <c r="H371" s="15">
        <f t="shared" si="3"/>
        <v>2094420.325</v>
      </c>
      <c r="I371" s="14"/>
      <c r="J371" s="14"/>
      <c r="K371" s="15">
        <f t="shared" si="4"/>
        <v>12067850.45</v>
      </c>
      <c r="L371" s="18"/>
      <c r="M371" s="11">
        <v>45693.0</v>
      </c>
    </row>
    <row r="372" ht="15.75" customHeight="1">
      <c r="A372" s="39">
        <v>45692.0</v>
      </c>
      <c r="B372" s="19" t="s">
        <v>200</v>
      </c>
      <c r="C372" s="6" t="s">
        <v>247</v>
      </c>
      <c r="D372" s="6" t="s">
        <v>15</v>
      </c>
      <c r="E372" s="6"/>
      <c r="F372" s="13">
        <v>45658.0</v>
      </c>
      <c r="G372" s="14">
        <v>1.002572013E7</v>
      </c>
      <c r="H372" s="15">
        <f t="shared" si="3"/>
        <v>2105401.227</v>
      </c>
      <c r="I372" s="14"/>
      <c r="J372" s="14"/>
      <c r="K372" s="15">
        <f t="shared" si="4"/>
        <v>12131121.36</v>
      </c>
      <c r="L372" s="18"/>
      <c r="M372" s="11">
        <v>45698.0</v>
      </c>
    </row>
    <row r="373" ht="15.75" customHeight="1">
      <c r="A373" s="39">
        <v>45750.0</v>
      </c>
      <c r="B373" s="45"/>
      <c r="C373" s="34" t="s">
        <v>260</v>
      </c>
      <c r="D373" s="35" t="s">
        <v>15</v>
      </c>
      <c r="E373" s="34" t="s">
        <v>420</v>
      </c>
      <c r="F373" s="46">
        <v>45772.0</v>
      </c>
      <c r="G373" s="22">
        <v>9882721.02</v>
      </c>
      <c r="H373" s="14">
        <f t="shared" si="3"/>
        <v>2075371.414</v>
      </c>
      <c r="I373" s="45"/>
      <c r="J373" s="45"/>
      <c r="K373" s="15">
        <f t="shared" si="4"/>
        <v>11958092.43</v>
      </c>
      <c r="L373" s="45"/>
      <c r="M373" s="24">
        <v>45768.0</v>
      </c>
    </row>
    <row r="374" ht="15.75" customHeight="1">
      <c r="A374" s="39">
        <v>45750.0</v>
      </c>
      <c r="B374" s="45"/>
      <c r="C374" s="34" t="s">
        <v>260</v>
      </c>
      <c r="D374" s="35" t="s">
        <v>15</v>
      </c>
      <c r="E374" s="20" t="s">
        <v>421</v>
      </c>
      <c r="F374" s="46">
        <v>45772.0</v>
      </c>
      <c r="G374" s="22">
        <v>1.733727105E7</v>
      </c>
      <c r="H374" s="14">
        <f t="shared" si="3"/>
        <v>3640826.921</v>
      </c>
      <c r="I374" s="22"/>
      <c r="J374" s="45"/>
      <c r="K374" s="15">
        <f t="shared" si="4"/>
        <v>20978097.97</v>
      </c>
      <c r="L374" s="45"/>
      <c r="M374" s="24">
        <v>45768.0</v>
      </c>
    </row>
    <row r="375" ht="15.75" customHeight="1">
      <c r="A375" s="39">
        <v>45750.0</v>
      </c>
      <c r="B375" s="45"/>
      <c r="C375" s="34" t="s">
        <v>260</v>
      </c>
      <c r="D375" s="35" t="s">
        <v>15</v>
      </c>
      <c r="E375" s="20" t="s">
        <v>422</v>
      </c>
      <c r="F375" s="46">
        <v>45772.0</v>
      </c>
      <c r="G375" s="22">
        <v>1.394873709E7</v>
      </c>
      <c r="H375" s="14">
        <f t="shared" si="3"/>
        <v>2929234.789</v>
      </c>
      <c r="I375" s="22"/>
      <c r="J375" s="45"/>
      <c r="K375" s="15">
        <f t="shared" si="4"/>
        <v>16877971.88</v>
      </c>
      <c r="L375" s="45"/>
      <c r="M375" s="24">
        <v>45768.0</v>
      </c>
    </row>
    <row r="376" ht="15.75" customHeight="1">
      <c r="A376" s="39">
        <v>45692.0</v>
      </c>
      <c r="B376" s="19" t="s">
        <v>237</v>
      </c>
      <c r="C376" s="6" t="s">
        <v>327</v>
      </c>
      <c r="D376" s="6" t="s">
        <v>15</v>
      </c>
      <c r="E376" s="6"/>
      <c r="F376" s="13">
        <v>45658.0</v>
      </c>
      <c r="G376" s="14">
        <v>8717632.08</v>
      </c>
      <c r="H376" s="15">
        <f t="shared" si="3"/>
        <v>1830702.737</v>
      </c>
      <c r="I376" s="14"/>
      <c r="J376" s="14"/>
      <c r="K376" s="15">
        <f t="shared" si="4"/>
        <v>10548334.82</v>
      </c>
      <c r="L376" s="18"/>
      <c r="M376" s="24">
        <v>45702.0</v>
      </c>
    </row>
    <row r="377" ht="15.75" customHeight="1">
      <c r="A377" s="39">
        <v>45693.0</v>
      </c>
      <c r="B377" s="19" t="s">
        <v>13</v>
      </c>
      <c r="C377" s="6" t="s">
        <v>209</v>
      </c>
      <c r="D377" s="6" t="s">
        <v>15</v>
      </c>
      <c r="E377" s="6"/>
      <c r="F377" s="13">
        <v>45658.0</v>
      </c>
      <c r="G377" s="14">
        <v>1.006096991E7</v>
      </c>
      <c r="H377" s="15">
        <f t="shared" si="3"/>
        <v>2112803.681</v>
      </c>
      <c r="I377" s="14">
        <v>301829.1</v>
      </c>
      <c r="J377" s="14"/>
      <c r="K377" s="15">
        <f t="shared" si="4"/>
        <v>12475602.69</v>
      </c>
      <c r="L377" s="18"/>
      <c r="M377" s="11">
        <v>45705.0</v>
      </c>
    </row>
    <row r="378" ht="15.75" customHeight="1">
      <c r="A378" s="39">
        <v>45693.0</v>
      </c>
      <c r="B378" s="19" t="s">
        <v>13</v>
      </c>
      <c r="C378" s="6" t="s">
        <v>209</v>
      </c>
      <c r="D378" s="6" t="s">
        <v>15</v>
      </c>
      <c r="E378" s="6"/>
      <c r="F378" s="13">
        <v>45658.0</v>
      </c>
      <c r="G378" s="14">
        <v>8396918.26</v>
      </c>
      <c r="H378" s="15">
        <f t="shared" si="3"/>
        <v>1763352.835</v>
      </c>
      <c r="I378" s="14">
        <v>251907.55</v>
      </c>
      <c r="J378" s="14"/>
      <c r="K378" s="15">
        <f t="shared" si="4"/>
        <v>10412178.64</v>
      </c>
      <c r="L378" s="18"/>
      <c r="M378" s="11">
        <v>45705.0</v>
      </c>
    </row>
    <row r="379" ht="15.75" customHeight="1">
      <c r="A379" s="39">
        <v>45693.0</v>
      </c>
      <c r="B379" s="19" t="s">
        <v>13</v>
      </c>
      <c r="C379" s="6" t="s">
        <v>209</v>
      </c>
      <c r="D379" s="6" t="s">
        <v>15</v>
      </c>
      <c r="E379" s="6"/>
      <c r="F379" s="13">
        <v>45658.0</v>
      </c>
      <c r="G379" s="14">
        <v>8432088.83</v>
      </c>
      <c r="H379" s="15">
        <f t="shared" si="3"/>
        <v>1770738.654</v>
      </c>
      <c r="I379" s="14"/>
      <c r="J379" s="14"/>
      <c r="K379" s="15">
        <f t="shared" si="4"/>
        <v>10202827.48</v>
      </c>
      <c r="L379" s="18"/>
      <c r="M379" s="11">
        <v>45705.0</v>
      </c>
    </row>
    <row r="380" ht="15.75" customHeight="1">
      <c r="A380" s="39">
        <v>45729.0</v>
      </c>
      <c r="B380" s="35" t="s">
        <v>236</v>
      </c>
      <c r="C380" s="31" t="s">
        <v>423</v>
      </c>
      <c r="D380" s="32" t="s">
        <v>99</v>
      </c>
      <c r="E380" s="31" t="s">
        <v>424</v>
      </c>
      <c r="F380" s="30">
        <v>45713.0</v>
      </c>
      <c r="G380" s="22">
        <v>4500612.13</v>
      </c>
      <c r="H380" s="14">
        <f t="shared" si="3"/>
        <v>945128.5473</v>
      </c>
      <c r="I380" s="22">
        <v>135018.36</v>
      </c>
      <c r="J380" s="23">
        <v>67509.18</v>
      </c>
      <c r="K380" s="15">
        <f t="shared" si="4"/>
        <v>5648268.217</v>
      </c>
      <c r="L380" s="116">
        <v>791114.0</v>
      </c>
      <c r="M380" s="24">
        <v>45736.0</v>
      </c>
    </row>
    <row r="381" ht="15.75" customHeight="1">
      <c r="A381" s="39">
        <v>45729.0</v>
      </c>
      <c r="B381" s="35" t="s">
        <v>236</v>
      </c>
      <c r="C381" s="31" t="s">
        <v>423</v>
      </c>
      <c r="D381" s="32" t="s">
        <v>99</v>
      </c>
      <c r="E381" s="31" t="s">
        <v>425</v>
      </c>
      <c r="F381" s="30">
        <v>45713.0</v>
      </c>
      <c r="G381" s="22">
        <v>4440152.13</v>
      </c>
      <c r="H381" s="14">
        <f t="shared" si="3"/>
        <v>932431.9473</v>
      </c>
      <c r="I381" s="54">
        <v>133204.56</v>
      </c>
      <c r="J381" s="23">
        <v>66602.28</v>
      </c>
      <c r="K381" s="15">
        <f t="shared" si="4"/>
        <v>5572390.917</v>
      </c>
      <c r="L381" s="45"/>
      <c r="M381" s="24">
        <v>45736.0</v>
      </c>
    </row>
    <row r="382" ht="15.75" customHeight="1">
      <c r="A382" s="39">
        <v>45729.0</v>
      </c>
      <c r="B382" s="35" t="s">
        <v>236</v>
      </c>
      <c r="C382" s="31" t="s">
        <v>423</v>
      </c>
      <c r="D382" s="32" t="s">
        <v>99</v>
      </c>
      <c r="E382" s="31" t="s">
        <v>426</v>
      </c>
      <c r="F382" s="30">
        <v>45713.0</v>
      </c>
      <c r="G382" s="22">
        <v>4000632.16</v>
      </c>
      <c r="H382" s="14">
        <f t="shared" si="3"/>
        <v>840132.7536</v>
      </c>
      <c r="I382" s="54">
        <v>120018.96</v>
      </c>
      <c r="J382" s="23">
        <v>60009.48</v>
      </c>
      <c r="K382" s="15">
        <f t="shared" si="4"/>
        <v>5020793.354</v>
      </c>
      <c r="L382" s="45"/>
      <c r="M382" s="24">
        <v>45736.0</v>
      </c>
    </row>
    <row r="383" ht="15.75" customHeight="1">
      <c r="A383" s="39">
        <v>45729.0</v>
      </c>
      <c r="B383" s="35" t="s">
        <v>236</v>
      </c>
      <c r="C383" s="31" t="s">
        <v>247</v>
      </c>
      <c r="D383" s="32" t="s">
        <v>99</v>
      </c>
      <c r="E383" s="31" t="s">
        <v>427</v>
      </c>
      <c r="F383" s="30">
        <v>45713.0</v>
      </c>
      <c r="G383" s="22">
        <v>5231980.16</v>
      </c>
      <c r="H383" s="14">
        <f t="shared" si="3"/>
        <v>1098715.834</v>
      </c>
      <c r="I383" s="33"/>
      <c r="J383" s="23" t="s">
        <v>428</v>
      </c>
      <c r="K383" s="15">
        <f t="shared" si="4"/>
        <v>6330695.994</v>
      </c>
      <c r="L383" s="45"/>
      <c r="M383" s="24">
        <v>45736.0</v>
      </c>
    </row>
    <row r="384" ht="15.75" customHeight="1">
      <c r="A384" s="39">
        <v>45729.0</v>
      </c>
      <c r="B384" s="35" t="s">
        <v>236</v>
      </c>
      <c r="C384" s="31" t="s">
        <v>429</v>
      </c>
      <c r="D384" s="32" t="s">
        <v>99</v>
      </c>
      <c r="E384" s="31" t="s">
        <v>430</v>
      </c>
      <c r="F384" s="30">
        <v>45713.0</v>
      </c>
      <c r="G384" s="22">
        <v>3526370.12</v>
      </c>
      <c r="H384" s="14">
        <f t="shared" si="3"/>
        <v>740537.7252</v>
      </c>
      <c r="I384" s="33"/>
      <c r="J384" s="15"/>
      <c r="K384" s="15">
        <f t="shared" si="4"/>
        <v>4266907.845</v>
      </c>
      <c r="L384" s="45"/>
      <c r="M384" s="24">
        <v>45736.0</v>
      </c>
    </row>
    <row r="385" ht="15.75" customHeight="1">
      <c r="A385" s="39">
        <v>45729.0</v>
      </c>
      <c r="B385" s="35" t="s">
        <v>236</v>
      </c>
      <c r="C385" s="31" t="s">
        <v>431</v>
      </c>
      <c r="D385" s="32" t="s">
        <v>99</v>
      </c>
      <c r="E385" s="31" t="s">
        <v>432</v>
      </c>
      <c r="F385" s="30">
        <v>45713.0</v>
      </c>
      <c r="G385" s="22">
        <v>9779530.24</v>
      </c>
      <c r="H385" s="14">
        <f t="shared" si="3"/>
        <v>2053701.35</v>
      </c>
      <c r="I385" s="33"/>
      <c r="J385" s="23">
        <v>146692.95</v>
      </c>
      <c r="K385" s="15">
        <f t="shared" si="4"/>
        <v>11979924.54</v>
      </c>
      <c r="L385" s="45"/>
      <c r="M385" s="24">
        <v>45736.0</v>
      </c>
    </row>
    <row r="386" ht="15.75" customHeight="1">
      <c r="A386" s="39">
        <v>45729.0</v>
      </c>
      <c r="B386" s="35" t="s">
        <v>236</v>
      </c>
      <c r="C386" s="31" t="s">
        <v>431</v>
      </c>
      <c r="D386" s="32" t="s">
        <v>99</v>
      </c>
      <c r="E386" s="31" t="s">
        <v>433</v>
      </c>
      <c r="F386" s="30">
        <v>45713.0</v>
      </c>
      <c r="G386" s="22">
        <v>1.023284071E7</v>
      </c>
      <c r="H386" s="14">
        <f t="shared" si="3"/>
        <v>2148896.549</v>
      </c>
      <c r="I386" s="33"/>
      <c r="J386" s="23">
        <v>153492.61</v>
      </c>
      <c r="K386" s="15">
        <f t="shared" si="4"/>
        <v>12535229.87</v>
      </c>
      <c r="L386" s="45"/>
      <c r="M386" s="24">
        <v>45737.0</v>
      </c>
    </row>
    <row r="387" ht="15.75" customHeight="1">
      <c r="A387" s="39">
        <v>45730.0</v>
      </c>
      <c r="B387" s="45"/>
      <c r="C387" s="31" t="s">
        <v>434</v>
      </c>
      <c r="D387" s="32" t="s">
        <v>99</v>
      </c>
      <c r="E387" s="31" t="s">
        <v>435</v>
      </c>
      <c r="F387" s="30">
        <v>45713.0</v>
      </c>
      <c r="G387" s="22">
        <v>2511960.26</v>
      </c>
      <c r="H387" s="14">
        <f t="shared" si="3"/>
        <v>527511.6546</v>
      </c>
      <c r="I387" s="33"/>
      <c r="J387" s="23">
        <v>30143.52</v>
      </c>
      <c r="K387" s="15">
        <f t="shared" si="4"/>
        <v>3069615.435</v>
      </c>
      <c r="L387" s="45"/>
      <c r="M387" s="24">
        <v>45734.0</v>
      </c>
    </row>
    <row r="388" ht="15.75" customHeight="1">
      <c r="A388" s="39">
        <v>45693.0</v>
      </c>
      <c r="B388" s="19" t="s">
        <v>13</v>
      </c>
      <c r="C388" s="6" t="s">
        <v>210</v>
      </c>
      <c r="D388" s="6" t="s">
        <v>15</v>
      </c>
      <c r="E388" s="6"/>
      <c r="F388" s="13">
        <v>45658.0</v>
      </c>
      <c r="G388" s="14">
        <v>8927953.97</v>
      </c>
      <c r="H388" s="15">
        <f t="shared" si="3"/>
        <v>1874870.334</v>
      </c>
      <c r="I388" s="14">
        <v>267838.62</v>
      </c>
      <c r="J388" s="14"/>
      <c r="K388" s="15">
        <f t="shared" si="4"/>
        <v>11070662.92</v>
      </c>
      <c r="L388" s="18"/>
      <c r="M388" s="11">
        <v>45705.0</v>
      </c>
    </row>
    <row r="389" ht="15.75" customHeight="1">
      <c r="A389" s="39">
        <v>45693.0</v>
      </c>
      <c r="B389" s="19" t="s">
        <v>13</v>
      </c>
      <c r="C389" s="6" t="s">
        <v>210</v>
      </c>
      <c r="D389" s="6" t="s">
        <v>15</v>
      </c>
      <c r="E389" s="6"/>
      <c r="F389" s="13">
        <v>45658.0</v>
      </c>
      <c r="G389" s="14">
        <v>9887112.08</v>
      </c>
      <c r="H389" s="14">
        <f t="shared" si="3"/>
        <v>2076293.537</v>
      </c>
      <c r="I389" s="14"/>
      <c r="J389" s="14"/>
      <c r="K389" s="14">
        <f t="shared" si="4"/>
        <v>11963405.62</v>
      </c>
      <c r="L389" s="18"/>
      <c r="M389" s="11">
        <v>45705.0</v>
      </c>
    </row>
    <row r="390" ht="15.75" customHeight="1">
      <c r="A390" s="39">
        <v>45693.0</v>
      </c>
      <c r="B390" s="19" t="s">
        <v>13</v>
      </c>
      <c r="C390" s="6" t="s">
        <v>210</v>
      </c>
      <c r="D390" s="6" t="s">
        <v>15</v>
      </c>
      <c r="E390" s="6"/>
      <c r="F390" s="13">
        <v>45658.0</v>
      </c>
      <c r="G390" s="15">
        <v>1.288810172E7</v>
      </c>
      <c r="H390" s="15">
        <f t="shared" si="3"/>
        <v>2706501.361</v>
      </c>
      <c r="I390" s="15"/>
      <c r="J390" s="15"/>
      <c r="K390" s="15">
        <f t="shared" si="4"/>
        <v>15594603.08</v>
      </c>
      <c r="L390" s="18"/>
      <c r="M390" s="11">
        <v>45705.0</v>
      </c>
    </row>
    <row r="391" ht="15.75" customHeight="1">
      <c r="A391" s="39">
        <v>45908.0</v>
      </c>
      <c r="B391" s="87"/>
      <c r="C391" s="31" t="s">
        <v>171</v>
      </c>
      <c r="D391" s="32" t="s">
        <v>15</v>
      </c>
      <c r="E391" s="32" t="s">
        <v>436</v>
      </c>
      <c r="F391" s="32" t="s">
        <v>208</v>
      </c>
      <c r="G391" s="53">
        <v>1.322283319E7</v>
      </c>
      <c r="H391" s="14">
        <f t="shared" si="3"/>
        <v>2776794.97</v>
      </c>
      <c r="I391" s="50"/>
      <c r="J391" s="14"/>
      <c r="K391" s="15">
        <f t="shared" si="4"/>
        <v>15999628.16</v>
      </c>
      <c r="L391" s="45"/>
      <c r="M391" s="6"/>
    </row>
    <row r="392" ht="15.75" customHeight="1">
      <c r="A392" s="39">
        <v>45693.0</v>
      </c>
      <c r="B392" s="19" t="s">
        <v>13</v>
      </c>
      <c r="C392" s="6" t="s">
        <v>209</v>
      </c>
      <c r="D392" s="6" t="s">
        <v>15</v>
      </c>
      <c r="E392" s="6" t="s">
        <v>437</v>
      </c>
      <c r="F392" s="13">
        <v>45658.0</v>
      </c>
      <c r="G392" s="14">
        <v>1.014132334E7</v>
      </c>
      <c r="H392" s="15">
        <f t="shared" si="3"/>
        <v>2129677.901</v>
      </c>
      <c r="I392" s="15">
        <v>304239.7</v>
      </c>
      <c r="J392" s="15"/>
      <c r="K392" s="15">
        <f t="shared" si="4"/>
        <v>12575240.94</v>
      </c>
      <c r="L392" s="18"/>
      <c r="M392" s="24">
        <v>45719.0</v>
      </c>
    </row>
    <row r="393" ht="15.75" customHeight="1">
      <c r="A393" s="39">
        <v>45693.0</v>
      </c>
      <c r="B393" s="19" t="s">
        <v>13</v>
      </c>
      <c r="C393" s="6" t="s">
        <v>209</v>
      </c>
      <c r="D393" s="6" t="s">
        <v>15</v>
      </c>
      <c r="E393" s="6" t="s">
        <v>438</v>
      </c>
      <c r="F393" s="13">
        <v>45658.0</v>
      </c>
      <c r="G393" s="14">
        <v>1.300282108E7</v>
      </c>
      <c r="H393" s="14">
        <f t="shared" si="3"/>
        <v>2730592.427</v>
      </c>
      <c r="I393" s="14"/>
      <c r="J393" s="14"/>
      <c r="K393" s="15">
        <f t="shared" si="4"/>
        <v>15733413.51</v>
      </c>
      <c r="L393" s="18"/>
      <c r="M393" s="11">
        <v>45744.0</v>
      </c>
    </row>
    <row r="394" ht="15.75" customHeight="1">
      <c r="A394" s="39">
        <v>45693.0</v>
      </c>
      <c r="B394" s="19" t="s">
        <v>13</v>
      </c>
      <c r="C394" s="6" t="s">
        <v>209</v>
      </c>
      <c r="D394" s="6" t="s">
        <v>15</v>
      </c>
      <c r="E394" s="6" t="s">
        <v>439</v>
      </c>
      <c r="F394" s="13">
        <v>45658.0</v>
      </c>
      <c r="G394" s="14">
        <v>4800112.39</v>
      </c>
      <c r="H394" s="15">
        <f t="shared" si="3"/>
        <v>1008023.602</v>
      </c>
      <c r="I394" s="14"/>
      <c r="J394" s="14"/>
      <c r="K394" s="15">
        <f t="shared" si="4"/>
        <v>5808135.992</v>
      </c>
      <c r="L394" s="18"/>
      <c r="M394" s="24">
        <v>45719.0</v>
      </c>
    </row>
    <row r="395" ht="15.75" customHeight="1">
      <c r="A395" s="39">
        <v>45693.0</v>
      </c>
      <c r="B395" s="19" t="s">
        <v>13</v>
      </c>
      <c r="C395" s="6" t="s">
        <v>210</v>
      </c>
      <c r="D395" s="6" t="s">
        <v>15</v>
      </c>
      <c r="E395" s="6" t="s">
        <v>440</v>
      </c>
      <c r="F395" s="13">
        <v>45658.0</v>
      </c>
      <c r="G395" s="14">
        <v>9133211.16</v>
      </c>
      <c r="H395" s="15">
        <f t="shared" si="3"/>
        <v>1917974.344</v>
      </c>
      <c r="I395" s="14"/>
      <c r="J395" s="14"/>
      <c r="K395" s="15">
        <f t="shared" si="4"/>
        <v>11051185.5</v>
      </c>
      <c r="L395" s="6"/>
      <c r="M395" s="24">
        <v>45719.0</v>
      </c>
    </row>
    <row r="396" ht="15.75" customHeight="1">
      <c r="A396" s="39">
        <v>45730.0</v>
      </c>
      <c r="B396" s="35" t="s">
        <v>200</v>
      </c>
      <c r="C396" s="31" t="s">
        <v>441</v>
      </c>
      <c r="D396" s="32" t="s">
        <v>99</v>
      </c>
      <c r="E396" s="31" t="s">
        <v>442</v>
      </c>
      <c r="F396" s="30">
        <v>45713.0</v>
      </c>
      <c r="G396" s="22">
        <v>5602840.16</v>
      </c>
      <c r="H396" s="14">
        <f t="shared" si="3"/>
        <v>1176596.434</v>
      </c>
      <c r="I396" s="54">
        <v>168085.2</v>
      </c>
      <c r="J396" s="23">
        <v>50425.56</v>
      </c>
      <c r="K396" s="15">
        <f t="shared" si="4"/>
        <v>6997947.354</v>
      </c>
      <c r="L396" s="45"/>
      <c r="M396" s="24">
        <v>45733.0</v>
      </c>
    </row>
    <row r="397" ht="15.75" customHeight="1">
      <c r="A397" s="39">
        <v>45730.0</v>
      </c>
      <c r="B397" s="35" t="s">
        <v>200</v>
      </c>
      <c r="C397" s="31" t="s">
        <v>443</v>
      </c>
      <c r="D397" s="32" t="s">
        <v>99</v>
      </c>
      <c r="E397" s="31" t="s">
        <v>444</v>
      </c>
      <c r="F397" s="30">
        <v>45713.0</v>
      </c>
      <c r="G397" s="22">
        <v>5008720.15</v>
      </c>
      <c r="H397" s="14">
        <f t="shared" si="3"/>
        <v>1051831.232</v>
      </c>
      <c r="I397" s="33"/>
      <c r="J397" s="23">
        <v>45078.48</v>
      </c>
      <c r="K397" s="15">
        <f t="shared" si="4"/>
        <v>6105629.862</v>
      </c>
      <c r="L397" s="45"/>
      <c r="M397" s="24">
        <v>45733.0</v>
      </c>
    </row>
    <row r="398" ht="15.75" customHeight="1">
      <c r="A398" s="39">
        <v>45730.0</v>
      </c>
      <c r="B398" s="35" t="s">
        <v>200</v>
      </c>
      <c r="C398" s="31" t="s">
        <v>140</v>
      </c>
      <c r="D398" s="32" t="s">
        <v>99</v>
      </c>
      <c r="E398" s="31" t="s">
        <v>445</v>
      </c>
      <c r="F398" s="30">
        <v>45713.0</v>
      </c>
      <c r="G398" s="22">
        <v>5010870.13</v>
      </c>
      <c r="H398" s="14">
        <f t="shared" si="3"/>
        <v>1052282.727</v>
      </c>
      <c r="I398" s="33"/>
      <c r="J398" s="23">
        <v>50108.7</v>
      </c>
      <c r="K398" s="15">
        <f t="shared" si="4"/>
        <v>6113261.557</v>
      </c>
      <c r="L398" s="45"/>
      <c r="M398" s="24">
        <v>45733.0</v>
      </c>
    </row>
    <row r="399" ht="15.75" customHeight="1">
      <c r="A399" s="39">
        <v>45693.0</v>
      </c>
      <c r="B399" s="19" t="s">
        <v>13</v>
      </c>
      <c r="C399" s="6" t="s">
        <v>71</v>
      </c>
      <c r="D399" s="6" t="s">
        <v>15</v>
      </c>
      <c r="E399" s="6" t="s">
        <v>446</v>
      </c>
      <c r="F399" s="13">
        <v>45658.0</v>
      </c>
      <c r="G399" s="14">
        <v>1.029480736E7</v>
      </c>
      <c r="H399" s="15">
        <f t="shared" si="3"/>
        <v>2161909.546</v>
      </c>
      <c r="I399" s="14"/>
      <c r="J399" s="14"/>
      <c r="K399" s="15">
        <f t="shared" si="4"/>
        <v>12456716.91</v>
      </c>
      <c r="L399" s="6"/>
      <c r="M399" s="24">
        <v>45719.0</v>
      </c>
    </row>
    <row r="400" ht="15.75" customHeight="1">
      <c r="A400" s="39">
        <v>45693.0</v>
      </c>
      <c r="B400" s="19" t="s">
        <v>13</v>
      </c>
      <c r="C400" s="6" t="s">
        <v>447</v>
      </c>
      <c r="D400" s="6" t="s">
        <v>15</v>
      </c>
      <c r="E400" s="6" t="s">
        <v>448</v>
      </c>
      <c r="F400" s="13">
        <v>45658.0</v>
      </c>
      <c r="G400" s="14">
        <v>1.037261175E7</v>
      </c>
      <c r="H400" s="15">
        <f t="shared" si="3"/>
        <v>2178248.468</v>
      </c>
      <c r="I400" s="14">
        <v>311178.35</v>
      </c>
      <c r="J400" s="14"/>
      <c r="K400" s="15">
        <f t="shared" si="4"/>
        <v>12862038.57</v>
      </c>
      <c r="L400" s="6"/>
      <c r="M400" s="11">
        <v>45701.0</v>
      </c>
    </row>
    <row r="401" ht="15.75" customHeight="1">
      <c r="A401" s="39">
        <v>45763.0</v>
      </c>
      <c r="B401" s="50"/>
      <c r="C401" s="31" t="s">
        <v>74</v>
      </c>
      <c r="D401" s="32" t="s">
        <v>99</v>
      </c>
      <c r="E401" s="31" t="s">
        <v>449</v>
      </c>
      <c r="F401" s="46">
        <v>45772.0</v>
      </c>
      <c r="G401" s="22">
        <v>1.004484018E7</v>
      </c>
      <c r="H401" s="14">
        <f t="shared" si="3"/>
        <v>2109416.438</v>
      </c>
      <c r="I401" s="14"/>
      <c r="J401" s="22">
        <v>160717.44</v>
      </c>
      <c r="K401" s="15">
        <f t="shared" si="4"/>
        <v>12314974.06</v>
      </c>
      <c r="L401" s="45"/>
      <c r="M401" s="24">
        <v>45777.0</v>
      </c>
    </row>
    <row r="402" ht="15.75" customHeight="1">
      <c r="A402" s="39">
        <v>45763.0</v>
      </c>
      <c r="B402" s="50"/>
      <c r="C402" s="31" t="s">
        <v>450</v>
      </c>
      <c r="D402" s="32" t="s">
        <v>99</v>
      </c>
      <c r="E402" s="31" t="s">
        <v>451</v>
      </c>
      <c r="F402" s="46">
        <v>45772.0</v>
      </c>
      <c r="G402" s="22">
        <v>1.501089018E7</v>
      </c>
      <c r="H402" s="14">
        <f t="shared" si="3"/>
        <v>3152286.938</v>
      </c>
      <c r="I402" s="22">
        <v>450326.71</v>
      </c>
      <c r="J402" s="14"/>
      <c r="K402" s="15">
        <f t="shared" si="4"/>
        <v>18613503.83</v>
      </c>
      <c r="L402" s="45"/>
      <c r="M402" s="24">
        <v>45768.0</v>
      </c>
    </row>
    <row r="403" ht="15.75" customHeight="1">
      <c r="A403" s="39">
        <v>45693.0</v>
      </c>
      <c r="B403" s="19" t="s">
        <v>13</v>
      </c>
      <c r="C403" s="6" t="s">
        <v>264</v>
      </c>
      <c r="D403" s="6" t="s">
        <v>15</v>
      </c>
      <c r="E403" s="6" t="s">
        <v>452</v>
      </c>
      <c r="F403" s="13">
        <v>45658.0</v>
      </c>
      <c r="G403" s="14">
        <v>1.026807162E7</v>
      </c>
      <c r="H403" s="15">
        <f t="shared" si="3"/>
        <v>2156295.04</v>
      </c>
      <c r="I403" s="14">
        <v>308042.15</v>
      </c>
      <c r="J403" s="14"/>
      <c r="K403" s="15">
        <f t="shared" si="4"/>
        <v>12732408.81</v>
      </c>
      <c r="L403" s="18"/>
      <c r="M403" s="11">
        <v>45701.0</v>
      </c>
    </row>
    <row r="404" ht="15.75" customHeight="1">
      <c r="A404" s="39">
        <v>45693.0</v>
      </c>
      <c r="B404" s="19" t="s">
        <v>13</v>
      </c>
      <c r="C404" s="6" t="s">
        <v>264</v>
      </c>
      <c r="D404" s="6" t="s">
        <v>15</v>
      </c>
      <c r="E404" s="6" t="s">
        <v>453</v>
      </c>
      <c r="F404" s="13">
        <v>45658.0</v>
      </c>
      <c r="G404" s="14">
        <v>4483821.08</v>
      </c>
      <c r="H404" s="15">
        <f t="shared" si="3"/>
        <v>941602.4268</v>
      </c>
      <c r="I404" s="14">
        <v>134514.63</v>
      </c>
      <c r="J404" s="14"/>
      <c r="K404" s="15">
        <f t="shared" si="4"/>
        <v>5559938.137</v>
      </c>
      <c r="L404" s="18"/>
      <c r="M404" s="11">
        <v>45701.0</v>
      </c>
    </row>
    <row r="405" ht="15.75" customHeight="1">
      <c r="A405" s="55">
        <v>45693.0</v>
      </c>
      <c r="B405" s="25" t="s">
        <v>13</v>
      </c>
      <c r="C405" s="19" t="s">
        <v>209</v>
      </c>
      <c r="D405" s="19" t="s">
        <v>15</v>
      </c>
      <c r="E405" s="20" t="s">
        <v>454</v>
      </c>
      <c r="F405" s="13">
        <v>45662.0</v>
      </c>
      <c r="G405" s="22">
        <v>8919212.12</v>
      </c>
      <c r="H405" s="15">
        <f t="shared" si="3"/>
        <v>1873034.545</v>
      </c>
      <c r="I405" s="15"/>
      <c r="J405" s="15"/>
      <c r="K405" s="15">
        <f t="shared" si="4"/>
        <v>10792246.67</v>
      </c>
      <c r="L405" s="7"/>
      <c r="M405" s="94"/>
    </row>
    <row r="406" ht="15.75" customHeight="1">
      <c r="A406" s="55">
        <v>45693.0</v>
      </c>
      <c r="B406" s="25" t="s">
        <v>13</v>
      </c>
      <c r="C406" s="19" t="s">
        <v>209</v>
      </c>
      <c r="D406" s="19" t="s">
        <v>15</v>
      </c>
      <c r="E406" s="20" t="s">
        <v>455</v>
      </c>
      <c r="F406" s="13">
        <v>45663.0</v>
      </c>
      <c r="G406" s="22">
        <v>1.296357374E7</v>
      </c>
      <c r="H406" s="14">
        <f t="shared" si="3"/>
        <v>2722350.485</v>
      </c>
      <c r="I406" s="22">
        <v>388907.21</v>
      </c>
      <c r="J406" s="14"/>
      <c r="K406" s="14">
        <f t="shared" si="4"/>
        <v>16074831.44</v>
      </c>
      <c r="L406" s="83"/>
      <c r="M406" s="94"/>
    </row>
    <row r="407" ht="15.75" customHeight="1">
      <c r="A407" s="39">
        <v>45693.0</v>
      </c>
      <c r="B407" s="19" t="s">
        <v>13</v>
      </c>
      <c r="C407" s="19" t="s">
        <v>264</v>
      </c>
      <c r="D407" s="19" t="s">
        <v>15</v>
      </c>
      <c r="E407" s="20" t="s">
        <v>456</v>
      </c>
      <c r="F407" s="13">
        <v>45665.0</v>
      </c>
      <c r="G407" s="22">
        <v>4492926.08</v>
      </c>
      <c r="H407" s="14">
        <f t="shared" si="3"/>
        <v>943514.4768</v>
      </c>
      <c r="I407" s="14"/>
      <c r="J407" s="14"/>
      <c r="K407" s="14">
        <f t="shared" si="4"/>
        <v>5436440.557</v>
      </c>
      <c r="L407" s="18"/>
      <c r="M407" s="11">
        <v>45744.0</v>
      </c>
    </row>
    <row r="408" ht="15.75" customHeight="1">
      <c r="A408" s="39">
        <v>45694.0</v>
      </c>
      <c r="B408" s="19" t="s">
        <v>236</v>
      </c>
      <c r="C408" s="19" t="s">
        <v>264</v>
      </c>
      <c r="D408" s="19" t="s">
        <v>15</v>
      </c>
      <c r="E408" s="20" t="s">
        <v>457</v>
      </c>
      <c r="F408" s="13">
        <v>45666.0</v>
      </c>
      <c r="G408" s="22">
        <v>9832957.16</v>
      </c>
      <c r="H408" s="14">
        <f t="shared" si="3"/>
        <v>2064921.004</v>
      </c>
      <c r="I408" s="22">
        <v>294988.71</v>
      </c>
      <c r="J408" s="14"/>
      <c r="K408" s="14">
        <f t="shared" si="4"/>
        <v>12192866.87</v>
      </c>
      <c r="L408" s="6"/>
      <c r="M408" s="11">
        <v>45700.0</v>
      </c>
    </row>
    <row r="409" ht="15.75" customHeight="1">
      <c r="A409" s="39">
        <v>45694.0</v>
      </c>
      <c r="B409" s="19" t="s">
        <v>236</v>
      </c>
      <c r="C409" s="19" t="s">
        <v>71</v>
      </c>
      <c r="D409" s="19" t="s">
        <v>15</v>
      </c>
      <c r="E409" s="20" t="s">
        <v>458</v>
      </c>
      <c r="F409" s="13">
        <v>45670.0</v>
      </c>
      <c r="G409" s="22">
        <v>1.019967368E7</v>
      </c>
      <c r="H409" s="14">
        <f t="shared" si="3"/>
        <v>2141931.473</v>
      </c>
      <c r="I409" s="14"/>
      <c r="J409" s="14"/>
      <c r="K409" s="14">
        <f t="shared" si="4"/>
        <v>12341605.15</v>
      </c>
      <c r="L409" s="6"/>
      <c r="M409" s="11">
        <v>45700.0</v>
      </c>
    </row>
    <row r="410" ht="15.75" customHeight="1">
      <c r="A410" s="39">
        <v>45908.0</v>
      </c>
      <c r="B410" s="87"/>
      <c r="C410" s="31" t="s">
        <v>171</v>
      </c>
      <c r="D410" s="32" t="s">
        <v>15</v>
      </c>
      <c r="E410" s="32" t="s">
        <v>459</v>
      </c>
      <c r="F410" s="32" t="s">
        <v>208</v>
      </c>
      <c r="G410" s="53">
        <v>7437376.43</v>
      </c>
      <c r="H410" s="14">
        <f t="shared" si="3"/>
        <v>1561849.05</v>
      </c>
      <c r="I410" s="22"/>
      <c r="J410" s="14"/>
      <c r="K410" s="15">
        <f t="shared" si="4"/>
        <v>8999225.48</v>
      </c>
      <c r="L410" s="45"/>
      <c r="M410" s="6"/>
    </row>
    <row r="411" ht="15.75" customHeight="1">
      <c r="A411" s="39">
        <v>45814.0</v>
      </c>
      <c r="B411" s="50"/>
      <c r="C411" s="31" t="s">
        <v>171</v>
      </c>
      <c r="D411" s="32" t="s">
        <v>15</v>
      </c>
      <c r="E411" s="31" t="s">
        <v>460</v>
      </c>
      <c r="F411" s="46">
        <v>45833.0</v>
      </c>
      <c r="G411" s="22">
        <v>1.000084675E7</v>
      </c>
      <c r="H411" s="14">
        <f t="shared" si="3"/>
        <v>2100177.818</v>
      </c>
      <c r="I411" s="14"/>
      <c r="J411" s="14"/>
      <c r="K411" s="15">
        <f t="shared" si="4"/>
        <v>12101024.57</v>
      </c>
      <c r="L411" s="45"/>
      <c r="M411" s="24">
        <v>45827.0</v>
      </c>
    </row>
    <row r="412" ht="15.75" customHeight="1">
      <c r="A412" s="39">
        <v>45694.0</v>
      </c>
      <c r="B412" s="19" t="s">
        <v>13</v>
      </c>
      <c r="C412" s="19" t="s">
        <v>209</v>
      </c>
      <c r="D412" s="19" t="s">
        <v>15</v>
      </c>
      <c r="E412" s="105" t="s">
        <v>461</v>
      </c>
      <c r="F412" s="13">
        <v>45677.0</v>
      </c>
      <c r="G412" s="22">
        <v>1.155394608E7</v>
      </c>
      <c r="H412" s="14">
        <f t="shared" si="3"/>
        <v>2426328.677</v>
      </c>
      <c r="I412" s="22">
        <v>346618.38</v>
      </c>
      <c r="J412" s="14"/>
      <c r="K412" s="14">
        <f t="shared" si="4"/>
        <v>14326893.14</v>
      </c>
      <c r="L412" s="95">
        <v>75476.0</v>
      </c>
      <c r="M412" s="11">
        <v>45705.0</v>
      </c>
    </row>
    <row r="413" ht="15.75" customHeight="1">
      <c r="A413" s="55">
        <v>45694.0</v>
      </c>
      <c r="B413" s="25" t="s">
        <v>13</v>
      </c>
      <c r="C413" s="19" t="s">
        <v>264</v>
      </c>
      <c r="D413" s="19" t="s">
        <v>15</v>
      </c>
      <c r="E413" s="20" t="s">
        <v>462</v>
      </c>
      <c r="F413" s="13">
        <v>45681.0</v>
      </c>
      <c r="G413" s="22">
        <v>6738721.08</v>
      </c>
      <c r="H413" s="14">
        <f t="shared" si="3"/>
        <v>1415131.427</v>
      </c>
      <c r="I413" s="14"/>
      <c r="J413" s="14"/>
      <c r="K413" s="14">
        <f t="shared" si="4"/>
        <v>8153852.507</v>
      </c>
      <c r="L413" s="83"/>
      <c r="M413" s="94"/>
    </row>
    <row r="414" ht="15.75" customHeight="1">
      <c r="A414" s="39">
        <v>45694.0</v>
      </c>
      <c r="B414" s="19" t="s">
        <v>13</v>
      </c>
      <c r="C414" s="19" t="s">
        <v>264</v>
      </c>
      <c r="D414" s="19" t="s">
        <v>15</v>
      </c>
      <c r="E414" s="19" t="s">
        <v>463</v>
      </c>
      <c r="F414" s="21">
        <v>45682.0</v>
      </c>
      <c r="G414" s="52">
        <v>9832957.16</v>
      </c>
      <c r="H414" s="15">
        <f t="shared" si="3"/>
        <v>2064921.004</v>
      </c>
      <c r="I414" s="14"/>
      <c r="J414" s="14"/>
      <c r="K414" s="15">
        <f t="shared" si="4"/>
        <v>11897878.16</v>
      </c>
      <c r="L414" s="18"/>
      <c r="M414" s="11">
        <v>45695.0</v>
      </c>
    </row>
    <row r="415" ht="15.75" customHeight="1">
      <c r="A415" s="39">
        <v>45694.0</v>
      </c>
      <c r="B415" s="19" t="s">
        <v>13</v>
      </c>
      <c r="C415" s="19" t="s">
        <v>264</v>
      </c>
      <c r="D415" s="19" t="s">
        <v>15</v>
      </c>
      <c r="E415" s="19" t="s">
        <v>464</v>
      </c>
      <c r="F415" s="21">
        <v>45682.0</v>
      </c>
      <c r="G415" s="52">
        <v>4492926.08</v>
      </c>
      <c r="H415" s="15">
        <f t="shared" si="3"/>
        <v>943514.4768</v>
      </c>
      <c r="I415" s="14"/>
      <c r="J415" s="14"/>
      <c r="K415" s="15">
        <f t="shared" si="4"/>
        <v>5436440.557</v>
      </c>
      <c r="L415" s="18"/>
      <c r="M415" s="11">
        <v>45698.0</v>
      </c>
    </row>
    <row r="416" ht="15.75" customHeight="1">
      <c r="A416" s="39">
        <v>45694.0</v>
      </c>
      <c r="B416" s="19" t="s">
        <v>13</v>
      </c>
      <c r="C416" s="19" t="s">
        <v>209</v>
      </c>
      <c r="D416" s="19" t="s">
        <v>15</v>
      </c>
      <c r="E416" s="19" t="s">
        <v>465</v>
      </c>
      <c r="F416" s="21">
        <v>45682.0</v>
      </c>
      <c r="G416" s="52">
        <v>1.296357374E7</v>
      </c>
      <c r="H416" s="15">
        <f t="shared" si="3"/>
        <v>2722350.485</v>
      </c>
      <c r="I416" s="52">
        <v>388907.21</v>
      </c>
      <c r="J416" s="14"/>
      <c r="K416" s="15">
        <f t="shared" si="4"/>
        <v>16074831.44</v>
      </c>
      <c r="L416" s="18"/>
      <c r="M416" s="11">
        <v>45712.0</v>
      </c>
    </row>
    <row r="417" ht="15.75" customHeight="1">
      <c r="A417" s="39">
        <v>45694.0</v>
      </c>
      <c r="B417" s="19" t="s">
        <v>13</v>
      </c>
      <c r="C417" s="19" t="s">
        <v>209</v>
      </c>
      <c r="D417" s="19" t="s">
        <v>15</v>
      </c>
      <c r="E417" s="19" t="s">
        <v>466</v>
      </c>
      <c r="F417" s="21">
        <v>45682.0</v>
      </c>
      <c r="G417" s="52">
        <v>8919212.12</v>
      </c>
      <c r="H417" s="15">
        <f t="shared" si="3"/>
        <v>1873034.545</v>
      </c>
      <c r="I417" s="14"/>
      <c r="J417" s="14"/>
      <c r="K417" s="15">
        <f t="shared" si="4"/>
        <v>10792246.67</v>
      </c>
      <c r="L417" s="18"/>
      <c r="M417" s="24">
        <v>45701.0</v>
      </c>
    </row>
    <row r="418" ht="15.75" customHeight="1">
      <c r="A418" s="39">
        <v>45712.0</v>
      </c>
      <c r="B418" s="19" t="s">
        <v>13</v>
      </c>
      <c r="C418" s="20" t="s">
        <v>129</v>
      </c>
      <c r="D418" s="19" t="s">
        <v>15</v>
      </c>
      <c r="E418" s="20" t="s">
        <v>467</v>
      </c>
      <c r="F418" s="21">
        <v>45716.0</v>
      </c>
      <c r="G418" s="23">
        <v>1.028328706E7</v>
      </c>
      <c r="H418" s="15">
        <f t="shared" si="3"/>
        <v>2159490.283</v>
      </c>
      <c r="I418" s="15"/>
      <c r="J418" s="15"/>
      <c r="K418" s="15">
        <f t="shared" si="4"/>
        <v>12442777.34</v>
      </c>
      <c r="L418" s="19">
        <v>340472.0</v>
      </c>
      <c r="M418" s="24">
        <v>45713.0</v>
      </c>
    </row>
    <row r="419" ht="15.75" customHeight="1">
      <c r="A419" s="39">
        <v>45712.0</v>
      </c>
      <c r="B419" s="19" t="s">
        <v>13</v>
      </c>
      <c r="C419" s="20" t="s">
        <v>129</v>
      </c>
      <c r="D419" s="19" t="s">
        <v>15</v>
      </c>
      <c r="E419" s="20" t="s">
        <v>468</v>
      </c>
      <c r="F419" s="21">
        <v>45716.0</v>
      </c>
      <c r="G419" s="23">
        <v>4000743.07</v>
      </c>
      <c r="H419" s="15">
        <f t="shared" si="3"/>
        <v>840156.0447</v>
      </c>
      <c r="I419" s="14"/>
      <c r="J419" s="14"/>
      <c r="K419" s="15">
        <f t="shared" si="4"/>
        <v>4840899.115</v>
      </c>
      <c r="L419" s="6"/>
      <c r="M419" s="24">
        <v>45713.0</v>
      </c>
    </row>
    <row r="420" ht="15.75" customHeight="1">
      <c r="A420" s="55">
        <v>45712.0</v>
      </c>
      <c r="B420" s="7"/>
      <c r="C420" s="20" t="s">
        <v>129</v>
      </c>
      <c r="D420" s="19" t="s">
        <v>15</v>
      </c>
      <c r="E420" s="20" t="s">
        <v>469</v>
      </c>
      <c r="F420" s="21">
        <v>45716.0</v>
      </c>
      <c r="G420" s="23">
        <v>1.182032742E7</v>
      </c>
      <c r="H420" s="15">
        <f t="shared" si="3"/>
        <v>2482268.758</v>
      </c>
      <c r="I420" s="14"/>
      <c r="J420" s="14"/>
      <c r="K420" s="15">
        <f t="shared" si="4"/>
        <v>14302596.18</v>
      </c>
      <c r="L420" s="7"/>
      <c r="M420" s="7"/>
    </row>
    <row r="421" ht="15.75" customHeight="1">
      <c r="A421" s="55">
        <v>45712.0</v>
      </c>
      <c r="B421" s="7"/>
      <c r="C421" s="20" t="s">
        <v>129</v>
      </c>
      <c r="D421" s="19" t="s">
        <v>15</v>
      </c>
      <c r="E421" s="20" t="s">
        <v>470</v>
      </c>
      <c r="F421" s="21">
        <v>45716.0</v>
      </c>
      <c r="G421" s="23">
        <v>1.000080673E7</v>
      </c>
      <c r="H421" s="15">
        <f t="shared" si="3"/>
        <v>2100169.413</v>
      </c>
      <c r="I421" s="22">
        <v>300024.2</v>
      </c>
      <c r="J421" s="14"/>
      <c r="K421" s="15">
        <f t="shared" si="4"/>
        <v>12401000.34</v>
      </c>
      <c r="L421" s="7"/>
      <c r="M421" s="7"/>
    </row>
    <row r="422" ht="15.75" customHeight="1">
      <c r="A422" s="55">
        <v>45712.0</v>
      </c>
      <c r="B422" s="7"/>
      <c r="C422" s="20" t="s">
        <v>129</v>
      </c>
      <c r="D422" s="19" t="s">
        <v>15</v>
      </c>
      <c r="E422" s="20" t="s">
        <v>471</v>
      </c>
      <c r="F422" s="21">
        <v>45716.0</v>
      </c>
      <c r="G422" s="23">
        <v>1.206259359E7</v>
      </c>
      <c r="H422" s="15">
        <f t="shared" si="3"/>
        <v>2533144.654</v>
      </c>
      <c r="I422" s="14"/>
      <c r="J422" s="14"/>
      <c r="K422" s="15">
        <f t="shared" si="4"/>
        <v>14595738.24</v>
      </c>
      <c r="L422" s="7"/>
      <c r="M422" s="7"/>
    </row>
    <row r="423" ht="15.75" customHeight="1">
      <c r="A423" s="39">
        <v>45734.0</v>
      </c>
      <c r="B423" s="35" t="s">
        <v>13</v>
      </c>
      <c r="C423" s="34" t="s">
        <v>472</v>
      </c>
      <c r="D423" s="32" t="s">
        <v>99</v>
      </c>
      <c r="E423" s="35" t="s">
        <v>473</v>
      </c>
      <c r="F423" s="30">
        <v>45741.0</v>
      </c>
      <c r="G423" s="22">
        <v>8819281.02</v>
      </c>
      <c r="H423" s="14">
        <f t="shared" si="3"/>
        <v>1852049.014</v>
      </c>
      <c r="I423" s="14"/>
      <c r="J423" s="14"/>
      <c r="K423" s="15">
        <f t="shared" si="4"/>
        <v>10671330.03</v>
      </c>
      <c r="L423" s="45"/>
      <c r="M423" s="24">
        <v>45734.0</v>
      </c>
    </row>
    <row r="424" ht="15.75" customHeight="1">
      <c r="A424" s="39">
        <v>45734.0</v>
      </c>
      <c r="B424" s="35" t="s">
        <v>13</v>
      </c>
      <c r="C424" s="34" t="s">
        <v>472</v>
      </c>
      <c r="D424" s="32" t="s">
        <v>99</v>
      </c>
      <c r="E424" s="35" t="s">
        <v>474</v>
      </c>
      <c r="F424" s="30">
        <v>45741.0</v>
      </c>
      <c r="G424" s="22">
        <v>9927211.0</v>
      </c>
      <c r="H424" s="14">
        <f t="shared" si="3"/>
        <v>2084714.31</v>
      </c>
      <c r="I424" s="14"/>
      <c r="J424" s="14"/>
      <c r="K424" s="15">
        <f t="shared" si="4"/>
        <v>12011925.31</v>
      </c>
      <c r="L424" s="45"/>
      <c r="M424" s="24">
        <v>45734.0</v>
      </c>
    </row>
    <row r="425" ht="15.75" customHeight="1">
      <c r="A425" s="39">
        <v>45734.0</v>
      </c>
      <c r="B425" s="45"/>
      <c r="C425" s="34" t="s">
        <v>472</v>
      </c>
      <c r="D425" s="32" t="s">
        <v>99</v>
      </c>
      <c r="E425" s="35" t="s">
        <v>475</v>
      </c>
      <c r="F425" s="30">
        <v>45741.0</v>
      </c>
      <c r="G425" s="22">
        <v>1.1118281E7</v>
      </c>
      <c r="H425" s="14">
        <f t="shared" si="3"/>
        <v>2334839.01</v>
      </c>
      <c r="I425" s="14"/>
      <c r="J425" s="14"/>
      <c r="K425" s="15">
        <f t="shared" si="4"/>
        <v>13453120.01</v>
      </c>
      <c r="L425" s="45"/>
      <c r="M425" s="24">
        <v>45734.0</v>
      </c>
    </row>
    <row r="426" ht="15.75" customHeight="1">
      <c r="A426" s="39">
        <v>45734.0</v>
      </c>
      <c r="B426" s="45"/>
      <c r="C426" s="34" t="s">
        <v>472</v>
      </c>
      <c r="D426" s="32" t="s">
        <v>99</v>
      </c>
      <c r="E426" s="35" t="s">
        <v>476</v>
      </c>
      <c r="F426" s="30">
        <v>45741.0</v>
      </c>
      <c r="G426" s="22">
        <v>1.0525117E7</v>
      </c>
      <c r="H426" s="14">
        <f t="shared" si="3"/>
        <v>2210274.57</v>
      </c>
      <c r="I426" s="14"/>
      <c r="J426" s="14"/>
      <c r="K426" s="15">
        <f t="shared" si="4"/>
        <v>12735391.57</v>
      </c>
      <c r="L426" s="45"/>
      <c r="M426" s="24">
        <v>45734.0</v>
      </c>
    </row>
    <row r="427" ht="15.75" customHeight="1">
      <c r="A427" s="39">
        <v>45734.0</v>
      </c>
      <c r="B427" s="35" t="s">
        <v>13</v>
      </c>
      <c r="C427" s="34" t="s">
        <v>472</v>
      </c>
      <c r="D427" s="32" t="s">
        <v>99</v>
      </c>
      <c r="E427" s="35" t="s">
        <v>477</v>
      </c>
      <c r="F427" s="30">
        <v>45741.0</v>
      </c>
      <c r="G427" s="22">
        <v>9817827.0</v>
      </c>
      <c r="H427" s="14">
        <f t="shared" si="3"/>
        <v>2061743.67</v>
      </c>
      <c r="I427" s="14"/>
      <c r="J427" s="14"/>
      <c r="K427" s="15">
        <f t="shared" si="4"/>
        <v>11879570.67</v>
      </c>
      <c r="L427" s="45"/>
      <c r="M427" s="24">
        <v>45734.0</v>
      </c>
    </row>
    <row r="428" ht="15.75" customHeight="1">
      <c r="A428" s="55">
        <v>45712.0</v>
      </c>
      <c r="B428" s="7"/>
      <c r="C428" s="20" t="s">
        <v>129</v>
      </c>
      <c r="D428" s="19" t="s">
        <v>15</v>
      </c>
      <c r="E428" s="20" t="s">
        <v>478</v>
      </c>
      <c r="F428" s="21">
        <v>45716.0</v>
      </c>
      <c r="G428" s="23">
        <v>2500262.77</v>
      </c>
      <c r="H428" s="15">
        <f t="shared" si="3"/>
        <v>525055.1817</v>
      </c>
      <c r="I428" s="22">
        <v>75007.88</v>
      </c>
      <c r="J428" s="14"/>
      <c r="K428" s="15">
        <f t="shared" si="4"/>
        <v>3100325.832</v>
      </c>
      <c r="L428" s="7"/>
      <c r="M428" s="7"/>
    </row>
    <row r="429" ht="15.75" customHeight="1">
      <c r="A429" s="39">
        <v>45814.0</v>
      </c>
      <c r="B429" s="50"/>
      <c r="C429" s="31" t="s">
        <v>171</v>
      </c>
      <c r="D429" s="32" t="s">
        <v>15</v>
      </c>
      <c r="E429" s="31" t="s">
        <v>479</v>
      </c>
      <c r="F429" s="46">
        <v>45833.0</v>
      </c>
      <c r="G429" s="22">
        <v>1.000120569E7</v>
      </c>
      <c r="H429" s="14">
        <f t="shared" si="3"/>
        <v>2100253.195</v>
      </c>
      <c r="I429" s="14"/>
      <c r="J429" s="14"/>
      <c r="K429" s="15">
        <f t="shared" si="4"/>
        <v>12101458.88</v>
      </c>
      <c r="L429" s="45"/>
      <c r="M429" s="24">
        <v>45827.0</v>
      </c>
    </row>
    <row r="430" ht="15.75" customHeight="1">
      <c r="A430" s="39">
        <v>45814.0</v>
      </c>
      <c r="B430" s="50"/>
      <c r="C430" s="31" t="s">
        <v>171</v>
      </c>
      <c r="D430" s="32" t="s">
        <v>15</v>
      </c>
      <c r="E430" s="31" t="s">
        <v>480</v>
      </c>
      <c r="F430" s="46">
        <v>45833.0</v>
      </c>
      <c r="G430" s="22">
        <v>1.000100542E7</v>
      </c>
      <c r="H430" s="14">
        <f t="shared" si="3"/>
        <v>2100211.138</v>
      </c>
      <c r="I430" s="14"/>
      <c r="J430" s="14"/>
      <c r="K430" s="15">
        <f t="shared" si="4"/>
        <v>12101216.56</v>
      </c>
      <c r="L430" s="45"/>
      <c r="M430" s="24">
        <v>45827.0</v>
      </c>
    </row>
    <row r="431" ht="15.75" customHeight="1">
      <c r="A431" s="39">
        <v>45734.0</v>
      </c>
      <c r="B431" s="35" t="s">
        <v>13</v>
      </c>
      <c r="C431" s="34" t="s">
        <v>64</v>
      </c>
      <c r="D431" s="32" t="s">
        <v>99</v>
      </c>
      <c r="E431" s="34" t="s">
        <v>481</v>
      </c>
      <c r="F431" s="30">
        <v>45741.0</v>
      </c>
      <c r="G431" s="22">
        <v>8010970.18</v>
      </c>
      <c r="H431" s="14">
        <f t="shared" si="3"/>
        <v>1682303.738</v>
      </c>
      <c r="I431" s="22">
        <v>240329.11</v>
      </c>
      <c r="J431" s="14"/>
      <c r="K431" s="15">
        <f t="shared" si="4"/>
        <v>9933603.028</v>
      </c>
      <c r="L431" s="45"/>
      <c r="M431" s="24">
        <v>45734.0</v>
      </c>
    </row>
    <row r="432" ht="15.75" customHeight="1">
      <c r="A432" s="39">
        <v>45734.0</v>
      </c>
      <c r="B432" s="35" t="s">
        <v>13</v>
      </c>
      <c r="C432" s="34" t="s">
        <v>64</v>
      </c>
      <c r="D432" s="32" t="s">
        <v>99</v>
      </c>
      <c r="E432" s="34" t="s">
        <v>482</v>
      </c>
      <c r="F432" s="30">
        <v>45741.0</v>
      </c>
      <c r="G432" s="22">
        <v>7994640.24</v>
      </c>
      <c r="H432" s="14">
        <f t="shared" si="3"/>
        <v>1678874.45</v>
      </c>
      <c r="I432" s="22">
        <v>239839.21</v>
      </c>
      <c r="J432" s="14"/>
      <c r="K432" s="15">
        <f t="shared" si="4"/>
        <v>9913353.9</v>
      </c>
      <c r="L432" s="45"/>
      <c r="M432" s="24">
        <v>45734.0</v>
      </c>
    </row>
    <row r="433" ht="15.75" customHeight="1">
      <c r="A433" s="39">
        <v>45734.0</v>
      </c>
      <c r="B433" s="35" t="s">
        <v>13</v>
      </c>
      <c r="C433" s="34" t="s">
        <v>431</v>
      </c>
      <c r="D433" s="32" t="s">
        <v>99</v>
      </c>
      <c r="E433" s="34" t="s">
        <v>483</v>
      </c>
      <c r="F433" s="30">
        <v>45741.0</v>
      </c>
      <c r="G433" s="22">
        <v>1.012182015E7</v>
      </c>
      <c r="H433" s="14">
        <f t="shared" si="3"/>
        <v>2125582.232</v>
      </c>
      <c r="I433" s="14"/>
      <c r="J433" s="22">
        <v>131583.66</v>
      </c>
      <c r="K433" s="15">
        <f t="shared" si="4"/>
        <v>12378986.04</v>
      </c>
      <c r="L433" s="45"/>
      <c r="M433" s="24">
        <v>45734.0</v>
      </c>
    </row>
    <row r="434" ht="15.75" customHeight="1">
      <c r="A434" s="39">
        <v>45735.0</v>
      </c>
      <c r="B434" s="35" t="s">
        <v>236</v>
      </c>
      <c r="C434" s="34" t="s">
        <v>332</v>
      </c>
      <c r="D434" s="32" t="s">
        <v>99</v>
      </c>
      <c r="E434" s="34" t="s">
        <v>484</v>
      </c>
      <c r="F434" s="36">
        <v>45741.0</v>
      </c>
      <c r="G434" s="22">
        <v>8260015.23</v>
      </c>
      <c r="H434" s="14">
        <f t="shared" si="3"/>
        <v>1734603.198</v>
      </c>
      <c r="I434" s="22">
        <v>247800.46</v>
      </c>
      <c r="J434" s="14"/>
      <c r="K434" s="15">
        <f t="shared" si="4"/>
        <v>10242418.89</v>
      </c>
      <c r="L434" s="45"/>
      <c r="M434" s="6"/>
    </row>
    <row r="435" ht="15.75" customHeight="1">
      <c r="A435" s="39">
        <v>45735.0</v>
      </c>
      <c r="B435" s="45"/>
      <c r="C435" s="34" t="s">
        <v>332</v>
      </c>
      <c r="D435" s="32" t="s">
        <v>99</v>
      </c>
      <c r="E435" s="34" t="s">
        <v>485</v>
      </c>
      <c r="F435" s="36">
        <v>45741.0</v>
      </c>
      <c r="G435" s="22">
        <v>1.210012308E7</v>
      </c>
      <c r="H435" s="14">
        <f t="shared" si="3"/>
        <v>2541025.847</v>
      </c>
      <c r="I435" s="22">
        <v>363003.69</v>
      </c>
      <c r="J435" s="14"/>
      <c r="K435" s="15">
        <f t="shared" si="4"/>
        <v>15004152.62</v>
      </c>
      <c r="L435" s="45"/>
      <c r="M435" s="24">
        <v>45736.0</v>
      </c>
    </row>
    <row r="436" ht="15.75" customHeight="1">
      <c r="A436" s="39">
        <v>45735.0</v>
      </c>
      <c r="B436" s="45"/>
      <c r="C436" s="34" t="s">
        <v>332</v>
      </c>
      <c r="D436" s="32" t="s">
        <v>99</v>
      </c>
      <c r="E436" s="34" t="s">
        <v>486</v>
      </c>
      <c r="F436" s="36">
        <v>45741.0</v>
      </c>
      <c r="G436" s="22">
        <v>4302002.25</v>
      </c>
      <c r="H436" s="14">
        <f t="shared" si="3"/>
        <v>903420.4725</v>
      </c>
      <c r="I436" s="22">
        <v>129060.07</v>
      </c>
      <c r="J436" s="14"/>
      <c r="K436" s="15">
        <f t="shared" si="4"/>
        <v>5334482.793</v>
      </c>
      <c r="L436" s="45"/>
      <c r="M436" s="24">
        <v>45736.0</v>
      </c>
    </row>
    <row r="437" ht="15.75" customHeight="1">
      <c r="A437" s="39">
        <v>45735.0</v>
      </c>
      <c r="B437" s="45"/>
      <c r="C437" s="34" t="s">
        <v>332</v>
      </c>
      <c r="D437" s="32" t="s">
        <v>99</v>
      </c>
      <c r="E437" s="34" t="s">
        <v>487</v>
      </c>
      <c r="F437" s="36">
        <v>45741.0</v>
      </c>
      <c r="G437" s="22">
        <v>6230192.08</v>
      </c>
      <c r="H437" s="14">
        <f t="shared" si="3"/>
        <v>1308340.337</v>
      </c>
      <c r="I437" s="14"/>
      <c r="J437" s="14"/>
      <c r="K437" s="15">
        <f t="shared" si="4"/>
        <v>7538532.417</v>
      </c>
      <c r="L437" s="45"/>
      <c r="M437" s="24">
        <v>45736.0</v>
      </c>
    </row>
    <row r="438" ht="15.75" customHeight="1">
      <c r="A438" s="55">
        <v>45736.0</v>
      </c>
      <c r="B438" s="41" t="s">
        <v>13</v>
      </c>
      <c r="C438" s="34" t="s">
        <v>332</v>
      </c>
      <c r="D438" s="32" t="s">
        <v>99</v>
      </c>
      <c r="E438" s="34" t="s">
        <v>488</v>
      </c>
      <c r="F438" s="36">
        <v>45741.0</v>
      </c>
      <c r="G438" s="22">
        <v>4700220.36</v>
      </c>
      <c r="H438" s="14">
        <f t="shared" si="3"/>
        <v>987046.2756</v>
      </c>
      <c r="I438" s="14"/>
      <c r="J438" s="14"/>
      <c r="K438" s="15">
        <f t="shared" si="4"/>
        <v>5687266.636</v>
      </c>
      <c r="L438" s="61"/>
      <c r="M438" s="62"/>
    </row>
    <row r="439" ht="15.75" customHeight="1">
      <c r="A439" s="5"/>
      <c r="B439" s="6" t="s">
        <v>13</v>
      </c>
      <c r="C439" s="6" t="s">
        <v>171</v>
      </c>
      <c r="D439" s="6" t="s">
        <v>15</v>
      </c>
      <c r="E439" s="6"/>
      <c r="F439" s="13">
        <v>45658.0</v>
      </c>
      <c r="G439" s="14">
        <v>1.038036812E7</v>
      </c>
      <c r="H439" s="15">
        <f t="shared" si="3"/>
        <v>2179877.305</v>
      </c>
      <c r="I439" s="14"/>
      <c r="J439" s="14"/>
      <c r="K439" s="15">
        <f t="shared" si="4"/>
        <v>12560245.43</v>
      </c>
      <c r="L439" s="6"/>
      <c r="M439" s="16"/>
    </row>
    <row r="440" ht="15.75" customHeight="1">
      <c r="A440" s="39">
        <v>45713.0</v>
      </c>
      <c r="B440" s="106"/>
      <c r="C440" s="19" t="s">
        <v>362</v>
      </c>
      <c r="D440" s="19" t="s">
        <v>15</v>
      </c>
      <c r="E440" s="19" t="s">
        <v>489</v>
      </c>
      <c r="F440" s="21">
        <v>45716.0</v>
      </c>
      <c r="G440" s="22">
        <v>3118320.24</v>
      </c>
      <c r="H440" s="14">
        <f t="shared" si="3"/>
        <v>654847.2504</v>
      </c>
      <c r="I440" s="22">
        <v>93549.61</v>
      </c>
      <c r="J440" s="22">
        <v>9354.96</v>
      </c>
      <c r="K440" s="14">
        <f t="shared" si="4"/>
        <v>3876072.06</v>
      </c>
      <c r="L440" s="106"/>
      <c r="M440" s="24">
        <v>45717.0</v>
      </c>
    </row>
    <row r="441" ht="15.75" customHeight="1">
      <c r="A441" s="55">
        <v>45713.0</v>
      </c>
      <c r="B441" s="117"/>
      <c r="C441" s="20" t="s">
        <v>84</v>
      </c>
      <c r="D441" s="19" t="s">
        <v>15</v>
      </c>
      <c r="E441" s="19" t="s">
        <v>490</v>
      </c>
      <c r="F441" s="21">
        <v>45716.0</v>
      </c>
      <c r="G441" s="22">
        <v>2007280.14</v>
      </c>
      <c r="H441" s="14">
        <f t="shared" si="3"/>
        <v>421528.8294</v>
      </c>
      <c r="I441" s="22">
        <v>60218.4</v>
      </c>
      <c r="J441" s="22">
        <v>6021.84</v>
      </c>
      <c r="K441" s="14">
        <f t="shared" si="4"/>
        <v>2495049.209</v>
      </c>
      <c r="L441" s="117"/>
      <c r="M441" s="7"/>
    </row>
    <row r="442" ht="15.75" customHeight="1">
      <c r="A442" s="55">
        <v>45713.0</v>
      </c>
      <c r="B442" s="117"/>
      <c r="C442" s="20" t="s">
        <v>491</v>
      </c>
      <c r="D442" s="19" t="s">
        <v>15</v>
      </c>
      <c r="E442" s="20" t="s">
        <v>492</v>
      </c>
      <c r="F442" s="21">
        <v>45716.0</v>
      </c>
      <c r="G442" s="23">
        <v>1.4244045E7</v>
      </c>
      <c r="H442" s="15">
        <f t="shared" si="3"/>
        <v>2991249.45</v>
      </c>
      <c r="I442" s="23">
        <v>427321.35</v>
      </c>
      <c r="J442" s="22"/>
      <c r="K442" s="15">
        <f t="shared" si="4"/>
        <v>17662615.8</v>
      </c>
      <c r="L442" s="117"/>
      <c r="M442" s="7"/>
    </row>
    <row r="443" ht="15.75" customHeight="1">
      <c r="A443" s="55">
        <v>45713.0</v>
      </c>
      <c r="B443" s="117"/>
      <c r="C443" s="20" t="s">
        <v>491</v>
      </c>
      <c r="D443" s="19" t="s">
        <v>15</v>
      </c>
      <c r="E443" s="20" t="s">
        <v>493</v>
      </c>
      <c r="F443" s="21">
        <v>45716.0</v>
      </c>
      <c r="G443" s="22">
        <v>1.7092962E7</v>
      </c>
      <c r="H443" s="14">
        <f t="shared" si="3"/>
        <v>3589522.02</v>
      </c>
      <c r="I443" s="22">
        <v>512788.86</v>
      </c>
      <c r="J443" s="22"/>
      <c r="K443" s="14">
        <f t="shared" si="4"/>
        <v>21195272.88</v>
      </c>
      <c r="L443" s="117"/>
      <c r="M443" s="7"/>
    </row>
    <row r="444" ht="15.75" customHeight="1">
      <c r="A444" s="55">
        <v>45713.0</v>
      </c>
      <c r="B444" s="7"/>
      <c r="C444" s="20" t="s">
        <v>491</v>
      </c>
      <c r="D444" s="19" t="s">
        <v>15</v>
      </c>
      <c r="E444" s="19" t="s">
        <v>494</v>
      </c>
      <c r="F444" s="21">
        <v>45716.0</v>
      </c>
      <c r="G444" s="22">
        <v>1.8042552E7</v>
      </c>
      <c r="H444" s="14">
        <f t="shared" si="3"/>
        <v>3788935.92</v>
      </c>
      <c r="I444" s="22">
        <v>541276.56</v>
      </c>
      <c r="J444" s="22"/>
      <c r="K444" s="14">
        <f t="shared" si="4"/>
        <v>22372764.48</v>
      </c>
      <c r="L444" s="7"/>
      <c r="M444" s="7"/>
    </row>
    <row r="445" ht="15.75" customHeight="1">
      <c r="A445" s="39">
        <v>45736.0</v>
      </c>
      <c r="B445" s="35" t="s">
        <v>236</v>
      </c>
      <c r="C445" s="34" t="s">
        <v>332</v>
      </c>
      <c r="D445" s="32" t="s">
        <v>99</v>
      </c>
      <c r="E445" s="34" t="s">
        <v>495</v>
      </c>
      <c r="F445" s="36">
        <v>45741.0</v>
      </c>
      <c r="G445" s="22">
        <v>3819211.23</v>
      </c>
      <c r="H445" s="14">
        <f t="shared" si="3"/>
        <v>802034.3583</v>
      </c>
      <c r="I445" s="14"/>
      <c r="J445" s="14"/>
      <c r="K445" s="15">
        <f t="shared" si="4"/>
        <v>4621245.588</v>
      </c>
      <c r="L445" s="45"/>
      <c r="M445" s="6"/>
    </row>
    <row r="446" ht="15.75" customHeight="1">
      <c r="A446" s="39">
        <v>45736.0</v>
      </c>
      <c r="B446" s="35" t="s">
        <v>236</v>
      </c>
      <c r="C446" s="34" t="s">
        <v>194</v>
      </c>
      <c r="D446" s="32" t="s">
        <v>99</v>
      </c>
      <c r="E446" s="34" t="s">
        <v>496</v>
      </c>
      <c r="F446" s="36">
        <v>45741.0</v>
      </c>
      <c r="G446" s="22">
        <v>6000621.45</v>
      </c>
      <c r="H446" s="14">
        <f t="shared" si="3"/>
        <v>1260130.505</v>
      </c>
      <c r="I446" s="14"/>
      <c r="J446" s="22">
        <v>30003.11</v>
      </c>
      <c r="K446" s="15">
        <f t="shared" si="4"/>
        <v>7290755.065</v>
      </c>
      <c r="L446" s="45"/>
      <c r="M446" s="6"/>
    </row>
    <row r="447" ht="15.75" customHeight="1">
      <c r="A447" s="55">
        <v>45736.0</v>
      </c>
      <c r="B447" s="41" t="s">
        <v>13</v>
      </c>
      <c r="C447" s="34" t="s">
        <v>497</v>
      </c>
      <c r="D447" s="32" t="s">
        <v>99</v>
      </c>
      <c r="E447" s="34" t="s">
        <v>498</v>
      </c>
      <c r="F447" s="36">
        <v>45741.0</v>
      </c>
      <c r="G447" s="22">
        <v>7010820.45</v>
      </c>
      <c r="H447" s="14">
        <f t="shared" si="3"/>
        <v>1472272.295</v>
      </c>
      <c r="I447" s="14"/>
      <c r="J447" s="14"/>
      <c r="K447" s="15">
        <f t="shared" si="4"/>
        <v>8483092.745</v>
      </c>
      <c r="L447" s="61"/>
      <c r="M447" s="62"/>
    </row>
    <row r="448" ht="15.75" customHeight="1">
      <c r="A448" s="55">
        <v>45736.0</v>
      </c>
      <c r="B448" s="41" t="s">
        <v>13</v>
      </c>
      <c r="C448" s="34" t="s">
        <v>194</v>
      </c>
      <c r="D448" s="32" t="s">
        <v>99</v>
      </c>
      <c r="E448" s="34" t="s">
        <v>499</v>
      </c>
      <c r="F448" s="36">
        <v>45741.0</v>
      </c>
      <c r="G448" s="22">
        <v>3604830.26</v>
      </c>
      <c r="H448" s="14">
        <f t="shared" si="3"/>
        <v>757014.3546</v>
      </c>
      <c r="I448" s="22">
        <v>108144.91</v>
      </c>
      <c r="J448" s="22">
        <v>18024.15</v>
      </c>
      <c r="K448" s="15">
        <f t="shared" si="4"/>
        <v>4488013.675</v>
      </c>
      <c r="L448" s="61"/>
      <c r="M448" s="62"/>
    </row>
    <row r="449" ht="15.75" customHeight="1">
      <c r="A449" s="55">
        <v>45713.0</v>
      </c>
      <c r="B449" s="7"/>
      <c r="C449" s="20" t="s">
        <v>491</v>
      </c>
      <c r="D449" s="19" t="s">
        <v>15</v>
      </c>
      <c r="E449" s="20" t="s">
        <v>500</v>
      </c>
      <c r="F449" s="21">
        <v>45716.0</v>
      </c>
      <c r="G449" s="22">
        <v>1.40541836E7</v>
      </c>
      <c r="H449" s="14">
        <f t="shared" si="3"/>
        <v>2951378.556</v>
      </c>
      <c r="I449" s="22">
        <v>421625.51</v>
      </c>
      <c r="J449" s="22"/>
      <c r="K449" s="14">
        <f t="shared" si="4"/>
        <v>17427187.67</v>
      </c>
      <c r="L449" s="7"/>
      <c r="M449" s="7"/>
    </row>
    <row r="450" ht="15.75" customHeight="1">
      <c r="A450" s="39">
        <v>45736.0</v>
      </c>
      <c r="B450" s="35" t="s">
        <v>13</v>
      </c>
      <c r="C450" s="34" t="s">
        <v>211</v>
      </c>
      <c r="D450" s="32" t="s">
        <v>99</v>
      </c>
      <c r="E450" s="34" t="s">
        <v>501</v>
      </c>
      <c r="F450" s="36">
        <v>45741.0</v>
      </c>
      <c r="G450" s="37">
        <f>2009570.37/1.21</f>
        <v>1660801.959</v>
      </c>
      <c r="H450" s="14">
        <f t="shared" si="3"/>
        <v>348768.4113</v>
      </c>
      <c r="I450" s="14"/>
      <c r="J450" s="14"/>
      <c r="K450" s="15">
        <f t="shared" si="4"/>
        <v>2009570.37</v>
      </c>
      <c r="L450" s="45"/>
      <c r="M450" s="6"/>
    </row>
    <row r="451" ht="15.75" customHeight="1">
      <c r="A451" s="39">
        <v>45713.0</v>
      </c>
      <c r="B451" s="6"/>
      <c r="C451" s="19" t="s">
        <v>53</v>
      </c>
      <c r="D451" s="19" t="s">
        <v>15</v>
      </c>
      <c r="E451" s="20" t="s">
        <v>502</v>
      </c>
      <c r="F451" s="21">
        <v>45716.0</v>
      </c>
      <c r="G451" s="22">
        <v>3267784.08</v>
      </c>
      <c r="H451" s="14"/>
      <c r="I451" s="14"/>
      <c r="J451" s="22"/>
      <c r="K451" s="14">
        <f t="shared" si="4"/>
        <v>3267784.08</v>
      </c>
      <c r="L451" s="6"/>
      <c r="M451" s="6"/>
    </row>
    <row r="452" ht="15.75" customHeight="1">
      <c r="A452" s="39">
        <v>45713.0</v>
      </c>
      <c r="B452" s="6"/>
      <c r="C452" s="20" t="s">
        <v>367</v>
      </c>
      <c r="D452" s="19" t="s">
        <v>15</v>
      </c>
      <c r="E452" s="20" t="s">
        <v>503</v>
      </c>
      <c r="F452" s="21">
        <v>45716.0</v>
      </c>
      <c r="G452" s="22">
        <v>1.001296017E7</v>
      </c>
      <c r="H452" s="14">
        <f t="shared" ref="H452:H1126" si="5">G452*0.21</f>
        <v>2102721.636</v>
      </c>
      <c r="I452" s="22">
        <v>300388.81</v>
      </c>
      <c r="J452" s="22">
        <v>500648.01</v>
      </c>
      <c r="K452" s="14">
        <f t="shared" si="4"/>
        <v>12916718.63</v>
      </c>
      <c r="L452" s="6"/>
      <c r="M452" s="24">
        <v>45715.0</v>
      </c>
    </row>
    <row r="453" ht="15.75" customHeight="1">
      <c r="A453" s="39">
        <v>45922.0</v>
      </c>
      <c r="B453" s="87"/>
      <c r="C453" s="31" t="s">
        <v>137</v>
      </c>
      <c r="D453" s="32" t="s">
        <v>15</v>
      </c>
      <c r="E453" s="31" t="s">
        <v>504</v>
      </c>
      <c r="F453" s="32" t="s">
        <v>208</v>
      </c>
      <c r="G453" s="53">
        <v>1.350896036E7</v>
      </c>
      <c r="H453" s="14">
        <f t="shared" si="5"/>
        <v>2836881.676</v>
      </c>
      <c r="I453" s="22">
        <v>405268.81</v>
      </c>
      <c r="J453" s="22">
        <v>270179.21</v>
      </c>
      <c r="K453" s="15">
        <f t="shared" si="4"/>
        <v>17021290.06</v>
      </c>
      <c r="L453" s="45"/>
      <c r="M453" s="6"/>
    </row>
    <row r="454" ht="15.75" customHeight="1">
      <c r="A454" s="39">
        <v>45713.0</v>
      </c>
      <c r="B454" s="50"/>
      <c r="C454" s="20" t="s">
        <v>417</v>
      </c>
      <c r="D454" s="19" t="s">
        <v>15</v>
      </c>
      <c r="E454" s="20" t="s">
        <v>505</v>
      </c>
      <c r="F454" s="21">
        <v>45716.0</v>
      </c>
      <c r="G454" s="23">
        <v>1.800215436E7</v>
      </c>
      <c r="H454" s="15">
        <f t="shared" si="5"/>
        <v>3780452.416</v>
      </c>
      <c r="I454" s="22">
        <v>540064.63</v>
      </c>
      <c r="J454" s="14"/>
      <c r="K454" s="15">
        <f t="shared" si="4"/>
        <v>22322671.41</v>
      </c>
      <c r="L454" s="50"/>
      <c r="M454" s="24">
        <v>45715.0</v>
      </c>
    </row>
    <row r="455" ht="15.75" customHeight="1">
      <c r="A455" s="39">
        <v>45713.0</v>
      </c>
      <c r="B455" s="50"/>
      <c r="C455" s="20" t="s">
        <v>506</v>
      </c>
      <c r="D455" s="19" t="s">
        <v>15</v>
      </c>
      <c r="E455" s="20" t="s">
        <v>507</v>
      </c>
      <c r="F455" s="21">
        <v>45716.0</v>
      </c>
      <c r="G455" s="23">
        <v>9021826.43</v>
      </c>
      <c r="H455" s="15">
        <f t="shared" si="5"/>
        <v>1894583.55</v>
      </c>
      <c r="I455" s="22">
        <v>270654.79</v>
      </c>
      <c r="J455" s="14"/>
      <c r="K455" s="15">
        <f t="shared" si="4"/>
        <v>11187064.77</v>
      </c>
      <c r="L455" s="50"/>
      <c r="M455" s="24">
        <v>45717.0</v>
      </c>
    </row>
    <row r="456" ht="15.75" customHeight="1">
      <c r="A456" s="39">
        <v>45713.0</v>
      </c>
      <c r="B456" s="50"/>
      <c r="C456" s="20" t="s">
        <v>247</v>
      </c>
      <c r="D456" s="19" t="s">
        <v>15</v>
      </c>
      <c r="E456" s="20" t="s">
        <v>508</v>
      </c>
      <c r="F456" s="21">
        <v>45716.0</v>
      </c>
      <c r="G456" s="23">
        <v>9955430.28</v>
      </c>
      <c r="H456" s="15">
        <f t="shared" si="5"/>
        <v>2090640.359</v>
      </c>
      <c r="I456" s="14"/>
      <c r="J456" s="14"/>
      <c r="K456" s="15">
        <f t="shared" si="4"/>
        <v>12046070.64</v>
      </c>
      <c r="L456" s="50"/>
      <c r="M456" s="24">
        <v>45717.0</v>
      </c>
    </row>
    <row r="457" ht="15.75" customHeight="1">
      <c r="A457" s="39">
        <v>45713.0</v>
      </c>
      <c r="B457" s="50"/>
      <c r="C457" s="20" t="s">
        <v>379</v>
      </c>
      <c r="D457" s="19" t="s">
        <v>15</v>
      </c>
      <c r="E457" s="20" t="s">
        <v>509</v>
      </c>
      <c r="F457" s="21">
        <v>45716.0</v>
      </c>
      <c r="G457" s="23">
        <v>3884290.18</v>
      </c>
      <c r="H457" s="15">
        <f t="shared" si="5"/>
        <v>815700.9378</v>
      </c>
      <c r="I457" s="14"/>
      <c r="J457" s="14"/>
      <c r="K457" s="15">
        <f t="shared" si="4"/>
        <v>4699991.118</v>
      </c>
      <c r="L457" s="50"/>
      <c r="M457" s="24">
        <v>45721.0</v>
      </c>
    </row>
    <row r="458" ht="15.75" customHeight="1">
      <c r="A458" s="39">
        <v>45713.0</v>
      </c>
      <c r="B458" s="50"/>
      <c r="C458" s="20" t="s">
        <v>55</v>
      </c>
      <c r="D458" s="19" t="s">
        <v>15</v>
      </c>
      <c r="E458" s="20" t="s">
        <v>510</v>
      </c>
      <c r="F458" s="21">
        <v>45716.0</v>
      </c>
      <c r="G458" s="23">
        <v>1.50048112E7</v>
      </c>
      <c r="H458" s="15">
        <f t="shared" si="5"/>
        <v>3151010.352</v>
      </c>
      <c r="I458" s="22">
        <v>450144.34</v>
      </c>
      <c r="J458" s="22">
        <v>750240.56</v>
      </c>
      <c r="K458" s="15">
        <f t="shared" si="4"/>
        <v>19356206.45</v>
      </c>
      <c r="L458" s="50"/>
      <c r="M458" s="24">
        <v>45721.0</v>
      </c>
    </row>
    <row r="459" ht="15.75" customHeight="1">
      <c r="A459" s="39">
        <v>45713.0</v>
      </c>
      <c r="B459" s="50"/>
      <c r="C459" s="20" t="s">
        <v>242</v>
      </c>
      <c r="D459" s="19" t="s">
        <v>15</v>
      </c>
      <c r="E459" s="20" t="s">
        <v>511</v>
      </c>
      <c r="F459" s="21">
        <v>45716.0</v>
      </c>
      <c r="G459" s="23">
        <v>1.499895287E7</v>
      </c>
      <c r="H459" s="15">
        <f t="shared" si="5"/>
        <v>3149780.103</v>
      </c>
      <c r="I459" s="22">
        <v>449968.59</v>
      </c>
      <c r="J459" s="22">
        <v>749947.64</v>
      </c>
      <c r="K459" s="15">
        <f t="shared" si="4"/>
        <v>19348649.2</v>
      </c>
      <c r="L459" s="50"/>
      <c r="M459" s="24">
        <v>45713.0</v>
      </c>
    </row>
    <row r="460" ht="15.75" customHeight="1">
      <c r="A460" s="115">
        <v>45714.0</v>
      </c>
      <c r="B460" s="50"/>
      <c r="C460" s="20" t="s">
        <v>417</v>
      </c>
      <c r="D460" s="19" t="s">
        <v>15</v>
      </c>
      <c r="E460" s="19" t="s">
        <v>512</v>
      </c>
      <c r="F460" s="21">
        <v>45716.0</v>
      </c>
      <c r="G460" s="23">
        <v>2.00036762E7</v>
      </c>
      <c r="H460" s="15">
        <f t="shared" si="5"/>
        <v>4200772.002</v>
      </c>
      <c r="I460" s="14"/>
      <c r="J460" s="14"/>
      <c r="K460" s="15">
        <f t="shared" si="4"/>
        <v>24204448.2</v>
      </c>
      <c r="L460" s="50"/>
      <c r="M460" s="24">
        <v>45716.0</v>
      </c>
    </row>
    <row r="461" ht="15.75" customHeight="1">
      <c r="A461" s="115">
        <v>45714.0</v>
      </c>
      <c r="B461" s="50"/>
      <c r="C461" s="19" t="s">
        <v>491</v>
      </c>
      <c r="D461" s="19" t="s">
        <v>15</v>
      </c>
      <c r="E461" s="20" t="s">
        <v>513</v>
      </c>
      <c r="F461" s="21">
        <v>45716.0</v>
      </c>
      <c r="G461" s="23">
        <v>1.899218E7</v>
      </c>
      <c r="H461" s="15">
        <f t="shared" si="5"/>
        <v>3988357.8</v>
      </c>
      <c r="I461" s="22">
        <v>569765.4</v>
      </c>
      <c r="J461" s="14"/>
      <c r="K461" s="15">
        <f t="shared" si="4"/>
        <v>23550303.2</v>
      </c>
      <c r="L461" s="50"/>
      <c r="M461" s="24">
        <v>45714.0</v>
      </c>
    </row>
    <row r="462" ht="15.75" customHeight="1">
      <c r="A462" s="115">
        <v>45714.0</v>
      </c>
      <c r="B462" s="50"/>
      <c r="C462" s="20" t="s">
        <v>247</v>
      </c>
      <c r="D462" s="19" t="s">
        <v>15</v>
      </c>
      <c r="E462" s="20" t="s">
        <v>514</v>
      </c>
      <c r="F462" s="21">
        <v>45716.0</v>
      </c>
      <c r="G462" s="23">
        <v>8048720.18</v>
      </c>
      <c r="H462" s="15">
        <f t="shared" si="5"/>
        <v>1690231.238</v>
      </c>
      <c r="I462" s="14"/>
      <c r="J462" s="14"/>
      <c r="K462" s="15">
        <f t="shared" si="4"/>
        <v>9738951.418</v>
      </c>
      <c r="L462" s="50"/>
      <c r="M462" s="24">
        <v>45714.0</v>
      </c>
    </row>
    <row r="463" ht="15.75" customHeight="1">
      <c r="A463" s="115">
        <v>45714.0</v>
      </c>
      <c r="B463" s="50"/>
      <c r="C463" s="20" t="s">
        <v>379</v>
      </c>
      <c r="D463" s="19" t="s">
        <v>15</v>
      </c>
      <c r="E463" s="20" t="s">
        <v>515</v>
      </c>
      <c r="F463" s="21">
        <v>45716.0</v>
      </c>
      <c r="G463" s="23">
        <v>4868980.31</v>
      </c>
      <c r="H463" s="15">
        <f t="shared" si="5"/>
        <v>1022485.865</v>
      </c>
      <c r="I463" s="14"/>
      <c r="J463" s="14"/>
      <c r="K463" s="15">
        <f t="shared" si="4"/>
        <v>5891466.175</v>
      </c>
      <c r="L463" s="50"/>
      <c r="M463" s="24">
        <v>45710.0</v>
      </c>
    </row>
    <row r="464" ht="15.75" customHeight="1">
      <c r="A464" s="115">
        <v>45714.0</v>
      </c>
      <c r="B464" s="50"/>
      <c r="C464" s="19" t="s">
        <v>417</v>
      </c>
      <c r="D464" s="19" t="s">
        <v>15</v>
      </c>
      <c r="E464" s="20" t="s">
        <v>516</v>
      </c>
      <c r="F464" s="21">
        <v>45716.0</v>
      </c>
      <c r="G464" s="23">
        <v>1.780362448E7</v>
      </c>
      <c r="H464" s="15">
        <f t="shared" si="5"/>
        <v>3738761.141</v>
      </c>
      <c r="I464" s="22">
        <v>534108.73</v>
      </c>
      <c r="J464" s="14"/>
      <c r="K464" s="15">
        <f t="shared" si="4"/>
        <v>22076494.35</v>
      </c>
      <c r="L464" s="50"/>
      <c r="M464" s="24">
        <v>45721.0</v>
      </c>
    </row>
    <row r="465" ht="15.75" customHeight="1">
      <c r="A465" s="115">
        <v>45714.0</v>
      </c>
      <c r="B465" s="32" t="s">
        <v>13</v>
      </c>
      <c r="C465" s="19" t="s">
        <v>417</v>
      </c>
      <c r="D465" s="19" t="s">
        <v>15</v>
      </c>
      <c r="E465" s="20" t="s">
        <v>517</v>
      </c>
      <c r="F465" s="21">
        <v>45716.0</v>
      </c>
      <c r="G465" s="22">
        <v>1.000100849E7</v>
      </c>
      <c r="H465" s="15">
        <f t="shared" si="5"/>
        <v>2100211.783</v>
      </c>
      <c r="I465" s="14"/>
      <c r="J465" s="14"/>
      <c r="K465" s="15">
        <f t="shared" si="4"/>
        <v>12101220.27</v>
      </c>
      <c r="L465" s="50"/>
      <c r="M465" s="24">
        <v>45729.0</v>
      </c>
    </row>
    <row r="466" ht="15.75" customHeight="1">
      <c r="A466" s="115">
        <v>45714.0</v>
      </c>
      <c r="B466" s="32" t="s">
        <v>13</v>
      </c>
      <c r="C466" s="19" t="s">
        <v>417</v>
      </c>
      <c r="D466" s="19" t="s">
        <v>15</v>
      </c>
      <c r="E466" s="20" t="s">
        <v>518</v>
      </c>
      <c r="F466" s="21">
        <v>45716.0</v>
      </c>
      <c r="G466" s="22">
        <v>1.824021573E7</v>
      </c>
      <c r="H466" s="14">
        <f t="shared" si="5"/>
        <v>3830445.303</v>
      </c>
      <c r="I466" s="22">
        <v>547206.47</v>
      </c>
      <c r="J466" s="14"/>
      <c r="K466" s="14">
        <f t="shared" si="4"/>
        <v>22617867.5</v>
      </c>
      <c r="L466" s="50"/>
      <c r="M466" s="24">
        <v>45729.0</v>
      </c>
    </row>
    <row r="467" ht="15.75" customHeight="1">
      <c r="A467" s="115">
        <v>45714.0</v>
      </c>
      <c r="B467" s="32" t="s">
        <v>13</v>
      </c>
      <c r="C467" s="19" t="s">
        <v>417</v>
      </c>
      <c r="D467" s="19" t="s">
        <v>15</v>
      </c>
      <c r="E467" s="20" t="s">
        <v>519</v>
      </c>
      <c r="F467" s="21">
        <v>45716.0</v>
      </c>
      <c r="G467" s="22">
        <v>1.792062456E7</v>
      </c>
      <c r="H467" s="14">
        <f t="shared" si="5"/>
        <v>3763331.158</v>
      </c>
      <c r="I467" s="22">
        <v>537618.74</v>
      </c>
      <c r="J467" s="14"/>
      <c r="K467" s="14">
        <f t="shared" si="4"/>
        <v>22221574.46</v>
      </c>
      <c r="L467" s="50"/>
      <c r="M467" s="6"/>
    </row>
    <row r="468" ht="15.75" customHeight="1">
      <c r="A468" s="115">
        <v>45714.0</v>
      </c>
      <c r="B468" s="50"/>
      <c r="C468" s="19" t="s">
        <v>417</v>
      </c>
      <c r="D468" s="19" t="s">
        <v>15</v>
      </c>
      <c r="E468" s="20" t="s">
        <v>520</v>
      </c>
      <c r="F468" s="21">
        <v>45716.0</v>
      </c>
      <c r="G468" s="22">
        <v>1.803392727E7</v>
      </c>
      <c r="H468" s="14">
        <f t="shared" si="5"/>
        <v>3787124.727</v>
      </c>
      <c r="I468" s="22">
        <v>541017.82</v>
      </c>
      <c r="J468" s="14"/>
      <c r="K468" s="14">
        <f t="shared" si="4"/>
        <v>22362069.82</v>
      </c>
      <c r="L468" s="50"/>
      <c r="M468" s="24">
        <v>45716.0</v>
      </c>
    </row>
    <row r="469" ht="15.75" customHeight="1">
      <c r="A469" s="39">
        <v>45741.0</v>
      </c>
      <c r="B469" s="45"/>
      <c r="C469" s="34" t="s">
        <v>247</v>
      </c>
      <c r="D469" s="32" t="s">
        <v>99</v>
      </c>
      <c r="E469" s="34" t="s">
        <v>521</v>
      </c>
      <c r="F469" s="36">
        <v>45741.0</v>
      </c>
      <c r="G469" s="22">
        <v>6895350.14</v>
      </c>
      <c r="H469" s="14">
        <f t="shared" si="5"/>
        <v>1448023.529</v>
      </c>
      <c r="I469" s="14"/>
      <c r="J469" s="14"/>
      <c r="K469" s="15">
        <f t="shared" si="4"/>
        <v>8343373.669</v>
      </c>
      <c r="L469" s="45"/>
      <c r="M469" s="24">
        <v>45743.0</v>
      </c>
    </row>
    <row r="470" ht="15.75" customHeight="1">
      <c r="A470" s="39">
        <v>45741.0</v>
      </c>
      <c r="B470" s="45"/>
      <c r="C470" s="34" t="s">
        <v>247</v>
      </c>
      <c r="D470" s="32" t="s">
        <v>99</v>
      </c>
      <c r="E470" s="34" t="s">
        <v>522</v>
      </c>
      <c r="F470" s="36">
        <v>45741.0</v>
      </c>
      <c r="G470" s="22">
        <v>6408820.14</v>
      </c>
      <c r="H470" s="14">
        <f t="shared" si="5"/>
        <v>1345852.229</v>
      </c>
      <c r="I470" s="14"/>
      <c r="J470" s="14"/>
      <c r="K470" s="15">
        <f t="shared" si="4"/>
        <v>7754672.369</v>
      </c>
      <c r="L470" s="45"/>
      <c r="M470" s="24">
        <v>45742.0</v>
      </c>
    </row>
    <row r="471" ht="15.75" customHeight="1">
      <c r="A471" s="115">
        <v>45714.0</v>
      </c>
      <c r="B471" s="50"/>
      <c r="C471" s="20" t="s">
        <v>506</v>
      </c>
      <c r="D471" s="19" t="s">
        <v>15</v>
      </c>
      <c r="E471" s="20" t="s">
        <v>523</v>
      </c>
      <c r="F471" s="21">
        <v>45716.0</v>
      </c>
      <c r="G471" s="22">
        <v>1.104720389E7</v>
      </c>
      <c r="H471" s="14">
        <f t="shared" si="5"/>
        <v>2319912.817</v>
      </c>
      <c r="I471" s="22">
        <v>331416.12</v>
      </c>
      <c r="J471" s="14"/>
      <c r="K471" s="14">
        <f t="shared" si="4"/>
        <v>13698532.83</v>
      </c>
      <c r="L471" s="107">
        <v>98831.0</v>
      </c>
      <c r="M471" s="24">
        <v>45714.0</v>
      </c>
    </row>
    <row r="472" ht="15.75" customHeight="1">
      <c r="A472" s="115">
        <v>45714.0</v>
      </c>
      <c r="B472" s="50"/>
      <c r="C472" s="20" t="s">
        <v>524</v>
      </c>
      <c r="D472" s="19" t="s">
        <v>15</v>
      </c>
      <c r="E472" s="20" t="s">
        <v>525</v>
      </c>
      <c r="F472" s="21">
        <v>45716.0</v>
      </c>
      <c r="G472" s="22">
        <v>8010921.43</v>
      </c>
      <c r="H472" s="14">
        <f t="shared" si="5"/>
        <v>1682293.5</v>
      </c>
      <c r="I472" s="14"/>
      <c r="J472" s="14"/>
      <c r="K472" s="14">
        <f t="shared" si="4"/>
        <v>9693214.93</v>
      </c>
      <c r="L472" s="50"/>
      <c r="M472" s="24">
        <v>45721.0</v>
      </c>
    </row>
    <row r="473" ht="15.75" customHeight="1">
      <c r="A473" s="115">
        <v>45715.0</v>
      </c>
      <c r="B473" s="50"/>
      <c r="C473" s="20" t="s">
        <v>168</v>
      </c>
      <c r="D473" s="19" t="s">
        <v>15</v>
      </c>
      <c r="E473" s="20" t="s">
        <v>526</v>
      </c>
      <c r="F473" s="21">
        <v>45716.0</v>
      </c>
      <c r="G473" s="23">
        <v>1.173681046E7</v>
      </c>
      <c r="H473" s="15">
        <f t="shared" si="5"/>
        <v>2464730.197</v>
      </c>
      <c r="I473" s="23">
        <v>352104.31</v>
      </c>
      <c r="J473" s="15"/>
      <c r="K473" s="15">
        <f t="shared" si="4"/>
        <v>14553644.97</v>
      </c>
      <c r="L473" s="50"/>
      <c r="M473" s="24">
        <v>45715.0</v>
      </c>
    </row>
    <row r="474" ht="15.75" customHeight="1">
      <c r="A474" s="115">
        <v>45715.0</v>
      </c>
      <c r="B474" s="32" t="s">
        <v>13</v>
      </c>
      <c r="C474" s="20" t="s">
        <v>527</v>
      </c>
      <c r="D474" s="19" t="s">
        <v>15</v>
      </c>
      <c r="E474" s="19" t="s">
        <v>528</v>
      </c>
      <c r="F474" s="21">
        <v>45716.0</v>
      </c>
      <c r="G474" s="22">
        <v>6614890.42</v>
      </c>
      <c r="H474" s="14">
        <f t="shared" si="5"/>
        <v>1389126.988</v>
      </c>
      <c r="I474" s="22">
        <v>198446.71</v>
      </c>
      <c r="J474" s="14"/>
      <c r="K474" s="14">
        <f t="shared" si="4"/>
        <v>8202464.118</v>
      </c>
      <c r="L474" s="50"/>
      <c r="M474" s="24">
        <v>45729.0</v>
      </c>
    </row>
    <row r="475" ht="15.75" customHeight="1">
      <c r="A475" s="39">
        <v>45741.0</v>
      </c>
      <c r="B475" s="45"/>
      <c r="C475" s="34" t="s">
        <v>239</v>
      </c>
      <c r="D475" s="35" t="s">
        <v>99</v>
      </c>
      <c r="E475" s="34" t="s">
        <v>529</v>
      </c>
      <c r="F475" s="36">
        <v>45741.0</v>
      </c>
      <c r="G475" s="22">
        <v>3736212.72</v>
      </c>
      <c r="H475" s="14">
        <f t="shared" si="5"/>
        <v>784604.6712</v>
      </c>
      <c r="I475" s="22">
        <v>112086.38</v>
      </c>
      <c r="J475" s="14"/>
      <c r="K475" s="15">
        <f t="shared" si="4"/>
        <v>4632903.771</v>
      </c>
      <c r="L475" s="45"/>
      <c r="M475" s="24">
        <v>45742.0</v>
      </c>
    </row>
    <row r="476" ht="15.75" customHeight="1">
      <c r="A476" s="39">
        <v>45741.0</v>
      </c>
      <c r="B476" s="45"/>
      <c r="C476" s="34" t="s">
        <v>239</v>
      </c>
      <c r="D476" s="35" t="s">
        <v>99</v>
      </c>
      <c r="E476" s="34" t="s">
        <v>530</v>
      </c>
      <c r="F476" s="36">
        <v>45741.0</v>
      </c>
      <c r="G476" s="22">
        <v>737312.25</v>
      </c>
      <c r="H476" s="14">
        <f t="shared" si="5"/>
        <v>154835.5725</v>
      </c>
      <c r="I476" s="22">
        <v>22119.37</v>
      </c>
      <c r="J476" s="14"/>
      <c r="K476" s="15">
        <f t="shared" si="4"/>
        <v>914267.1925</v>
      </c>
      <c r="L476" s="45"/>
      <c r="M476" s="24">
        <v>45742.0</v>
      </c>
    </row>
    <row r="477" ht="15.75" customHeight="1">
      <c r="A477" s="55">
        <v>45741.0</v>
      </c>
      <c r="B477" s="61"/>
      <c r="C477" s="34" t="s">
        <v>417</v>
      </c>
      <c r="D477" s="35" t="s">
        <v>99</v>
      </c>
      <c r="E477" s="34" t="s">
        <v>531</v>
      </c>
      <c r="F477" s="36">
        <v>45741.0</v>
      </c>
      <c r="G477" s="22">
        <v>6329002.95</v>
      </c>
      <c r="H477" s="14">
        <f t="shared" si="5"/>
        <v>1329090.62</v>
      </c>
      <c r="I477" s="22">
        <v>189870.09</v>
      </c>
      <c r="J477" s="14"/>
      <c r="K477" s="15">
        <f t="shared" si="4"/>
        <v>7847963.66</v>
      </c>
      <c r="L477" s="61"/>
      <c r="M477" s="62"/>
    </row>
    <row r="478" ht="15.75" customHeight="1">
      <c r="A478" s="55">
        <v>45741.0</v>
      </c>
      <c r="B478" s="61"/>
      <c r="C478" s="34" t="s">
        <v>417</v>
      </c>
      <c r="D478" s="35" t="s">
        <v>99</v>
      </c>
      <c r="E478" s="34" t="s">
        <v>532</v>
      </c>
      <c r="F478" s="36">
        <v>45741.0</v>
      </c>
      <c r="G478" s="22">
        <v>7744205.29</v>
      </c>
      <c r="H478" s="14">
        <f t="shared" si="5"/>
        <v>1626283.111</v>
      </c>
      <c r="I478" s="22">
        <v>232326.16</v>
      </c>
      <c r="J478" s="14"/>
      <c r="K478" s="15">
        <f t="shared" si="4"/>
        <v>9602814.561</v>
      </c>
      <c r="L478" s="61"/>
      <c r="M478" s="62"/>
    </row>
    <row r="479" ht="15.75" customHeight="1">
      <c r="A479" s="39">
        <v>45741.0</v>
      </c>
      <c r="B479" s="45"/>
      <c r="C479" s="34" t="s">
        <v>417</v>
      </c>
      <c r="D479" s="35" t="s">
        <v>99</v>
      </c>
      <c r="E479" s="34" t="s">
        <v>533</v>
      </c>
      <c r="F479" s="36">
        <v>45741.0</v>
      </c>
      <c r="G479" s="22">
        <v>1.033392408E7</v>
      </c>
      <c r="H479" s="14">
        <f t="shared" si="5"/>
        <v>2170124.057</v>
      </c>
      <c r="I479" s="22">
        <v>310017.72</v>
      </c>
      <c r="J479" s="14"/>
      <c r="K479" s="15">
        <f t="shared" si="4"/>
        <v>12814065.86</v>
      </c>
      <c r="L479" s="45"/>
      <c r="M479" s="24">
        <v>45742.0</v>
      </c>
    </row>
    <row r="480" ht="15.75" customHeight="1">
      <c r="A480" s="39">
        <v>45741.0</v>
      </c>
      <c r="B480" s="45"/>
      <c r="C480" s="34" t="s">
        <v>239</v>
      </c>
      <c r="D480" s="35" t="s">
        <v>99</v>
      </c>
      <c r="E480" s="34" t="s">
        <v>534</v>
      </c>
      <c r="F480" s="36">
        <v>45741.0</v>
      </c>
      <c r="G480" s="22">
        <v>3848743.19</v>
      </c>
      <c r="H480" s="14">
        <f t="shared" si="5"/>
        <v>808236.0699</v>
      </c>
      <c r="I480" s="22">
        <v>115462.3</v>
      </c>
      <c r="J480" s="14"/>
      <c r="K480" s="15">
        <f t="shared" si="4"/>
        <v>4772441.56</v>
      </c>
      <c r="L480" s="45"/>
      <c r="M480" s="24">
        <v>45742.0</v>
      </c>
    </row>
    <row r="481" ht="15.75" customHeight="1">
      <c r="A481" s="39">
        <v>45741.0</v>
      </c>
      <c r="B481" s="45"/>
      <c r="C481" s="34" t="s">
        <v>239</v>
      </c>
      <c r="D481" s="35" t="s">
        <v>99</v>
      </c>
      <c r="E481" s="34" t="s">
        <v>535</v>
      </c>
      <c r="F481" s="36">
        <v>45741.0</v>
      </c>
      <c r="G481" s="22">
        <v>1737271.25</v>
      </c>
      <c r="H481" s="14">
        <f t="shared" si="5"/>
        <v>364826.9625</v>
      </c>
      <c r="I481" s="14"/>
      <c r="J481" s="14"/>
      <c r="K481" s="15">
        <f t="shared" si="4"/>
        <v>2102098.213</v>
      </c>
      <c r="L481" s="45"/>
      <c r="M481" s="24">
        <v>45742.0</v>
      </c>
    </row>
    <row r="482" ht="15.75" customHeight="1">
      <c r="A482" s="115">
        <v>45715.0</v>
      </c>
      <c r="B482" s="32" t="s">
        <v>13</v>
      </c>
      <c r="C482" s="20" t="s">
        <v>506</v>
      </c>
      <c r="D482" s="19" t="s">
        <v>15</v>
      </c>
      <c r="E482" s="20" t="s">
        <v>536</v>
      </c>
      <c r="F482" s="21">
        <v>45716.0</v>
      </c>
      <c r="G482" s="23">
        <v>9931534.27</v>
      </c>
      <c r="H482" s="15">
        <f t="shared" si="5"/>
        <v>2085622.197</v>
      </c>
      <c r="I482" s="22">
        <v>297946.03</v>
      </c>
      <c r="J482" s="14"/>
      <c r="K482" s="15">
        <f t="shared" si="4"/>
        <v>12315102.5</v>
      </c>
      <c r="L482" s="50"/>
      <c r="M482" s="24">
        <v>45729.0</v>
      </c>
    </row>
    <row r="483" ht="15.75" customHeight="1">
      <c r="A483" s="39">
        <v>45692.0</v>
      </c>
      <c r="B483" s="19" t="s">
        <v>237</v>
      </c>
      <c r="C483" s="6" t="s">
        <v>327</v>
      </c>
      <c r="D483" s="6" t="s">
        <v>15</v>
      </c>
      <c r="E483" s="6"/>
      <c r="F483" s="13">
        <v>45658.0</v>
      </c>
      <c r="G483" s="14">
        <v>1.298766101E7</v>
      </c>
      <c r="H483" s="15">
        <f t="shared" si="5"/>
        <v>2727408.812</v>
      </c>
      <c r="I483" s="14"/>
      <c r="J483" s="14"/>
      <c r="K483" s="15">
        <f t="shared" si="4"/>
        <v>15715069.82</v>
      </c>
      <c r="L483" s="18"/>
      <c r="M483" s="24">
        <v>45702.0</v>
      </c>
    </row>
    <row r="484" ht="15.75" customHeight="1">
      <c r="A484" s="39">
        <v>45693.0</v>
      </c>
      <c r="B484" s="19" t="s">
        <v>236</v>
      </c>
      <c r="C484" s="6" t="s">
        <v>327</v>
      </c>
      <c r="D484" s="6" t="s">
        <v>15</v>
      </c>
      <c r="E484" s="6"/>
      <c r="F484" s="13">
        <v>45658.0</v>
      </c>
      <c r="G484" s="14">
        <v>1.183621105E7</v>
      </c>
      <c r="H484" s="15">
        <f t="shared" si="5"/>
        <v>2485604.321</v>
      </c>
      <c r="I484" s="14"/>
      <c r="J484" s="14"/>
      <c r="K484" s="15">
        <f t="shared" si="4"/>
        <v>14321815.37</v>
      </c>
      <c r="L484" s="18"/>
      <c r="M484" s="24">
        <v>45694.0</v>
      </c>
    </row>
    <row r="485" ht="15.75" customHeight="1">
      <c r="A485" s="39">
        <v>45693.0</v>
      </c>
      <c r="B485" s="19" t="s">
        <v>236</v>
      </c>
      <c r="C485" s="6" t="s">
        <v>327</v>
      </c>
      <c r="D485" s="6" t="s">
        <v>15</v>
      </c>
      <c r="E485" s="6"/>
      <c r="F485" s="13">
        <v>45658.0</v>
      </c>
      <c r="G485" s="14">
        <v>1.382781108E7</v>
      </c>
      <c r="H485" s="15">
        <f t="shared" si="5"/>
        <v>2903840.327</v>
      </c>
      <c r="I485" s="14"/>
      <c r="J485" s="14"/>
      <c r="K485" s="15">
        <f t="shared" si="4"/>
        <v>16731651.41</v>
      </c>
      <c r="L485" s="18"/>
      <c r="M485" s="24">
        <v>45694.0</v>
      </c>
    </row>
    <row r="486" ht="15.75" customHeight="1">
      <c r="A486" s="115">
        <v>45715.0</v>
      </c>
      <c r="B486" s="32" t="s">
        <v>13</v>
      </c>
      <c r="C486" s="20" t="s">
        <v>260</v>
      </c>
      <c r="D486" s="19" t="s">
        <v>15</v>
      </c>
      <c r="E486" s="20" t="s">
        <v>537</v>
      </c>
      <c r="F486" s="21">
        <v>45716.0</v>
      </c>
      <c r="G486" s="23">
        <v>8923239.02</v>
      </c>
      <c r="H486" s="15">
        <f t="shared" si="5"/>
        <v>1873880.194</v>
      </c>
      <c r="I486" s="14"/>
      <c r="J486" s="14"/>
      <c r="K486" s="15">
        <f t="shared" si="4"/>
        <v>10797119.21</v>
      </c>
      <c r="L486" s="50"/>
      <c r="M486" s="24">
        <v>45729.0</v>
      </c>
    </row>
    <row r="487" ht="15.75" customHeight="1">
      <c r="A487" s="115">
        <v>45715.0</v>
      </c>
      <c r="B487" s="32" t="s">
        <v>236</v>
      </c>
      <c r="C487" s="20" t="s">
        <v>538</v>
      </c>
      <c r="D487" s="19" t="s">
        <v>15</v>
      </c>
      <c r="E487" s="20" t="s">
        <v>539</v>
      </c>
      <c r="F487" s="21">
        <v>45716.0</v>
      </c>
      <c r="G487" s="22">
        <v>2621711.71</v>
      </c>
      <c r="H487" s="14">
        <f t="shared" si="5"/>
        <v>550559.4591</v>
      </c>
      <c r="I487" s="14"/>
      <c r="J487" s="14"/>
      <c r="K487" s="14">
        <f t="shared" si="4"/>
        <v>3172271.169</v>
      </c>
      <c r="L487" s="50"/>
      <c r="M487" s="24">
        <v>45722.0</v>
      </c>
    </row>
    <row r="488" ht="15.75" customHeight="1">
      <c r="A488" s="115">
        <v>45715.0</v>
      </c>
      <c r="B488" s="32" t="s">
        <v>236</v>
      </c>
      <c r="C488" s="20" t="s">
        <v>538</v>
      </c>
      <c r="D488" s="19" t="s">
        <v>15</v>
      </c>
      <c r="E488" s="20" t="s">
        <v>540</v>
      </c>
      <c r="F488" s="21">
        <v>45716.0</v>
      </c>
      <c r="G488" s="22">
        <v>2481721.63</v>
      </c>
      <c r="H488" s="14">
        <f t="shared" si="5"/>
        <v>521161.5423</v>
      </c>
      <c r="I488" s="14"/>
      <c r="J488" s="14"/>
      <c r="K488" s="14">
        <f t="shared" si="4"/>
        <v>3002883.172</v>
      </c>
      <c r="L488" s="50"/>
      <c r="M488" s="24">
        <v>45722.0</v>
      </c>
    </row>
    <row r="489" ht="15.75" customHeight="1">
      <c r="A489" s="115">
        <v>45715.0</v>
      </c>
      <c r="B489" s="32" t="s">
        <v>236</v>
      </c>
      <c r="C489" s="20" t="s">
        <v>541</v>
      </c>
      <c r="D489" s="19" t="s">
        <v>15</v>
      </c>
      <c r="E489" s="19" t="s">
        <v>542</v>
      </c>
      <c r="F489" s="21">
        <v>45716.0</v>
      </c>
      <c r="G489" s="22">
        <v>8503720.15</v>
      </c>
      <c r="H489" s="14">
        <f t="shared" si="5"/>
        <v>1785781.232</v>
      </c>
      <c r="I489" s="14"/>
      <c r="J489" s="14"/>
      <c r="K489" s="14">
        <f t="shared" si="4"/>
        <v>10289501.38</v>
      </c>
      <c r="L489" s="50"/>
      <c r="M489" s="24">
        <v>45728.0</v>
      </c>
    </row>
    <row r="490" ht="15.75" customHeight="1">
      <c r="A490" s="115">
        <v>45715.0</v>
      </c>
      <c r="B490" s="32" t="s">
        <v>236</v>
      </c>
      <c r="C490" s="19" t="s">
        <v>122</v>
      </c>
      <c r="D490" s="19" t="s">
        <v>15</v>
      </c>
      <c r="E490" s="20" t="s">
        <v>543</v>
      </c>
      <c r="F490" s="21">
        <v>45716.0</v>
      </c>
      <c r="G490" s="37">
        <f>1998640.68/1.21</f>
        <v>1651769.157</v>
      </c>
      <c r="H490" s="14">
        <f t="shared" si="5"/>
        <v>346871.523</v>
      </c>
      <c r="I490" s="14"/>
      <c r="J490" s="14"/>
      <c r="K490" s="14">
        <f t="shared" si="4"/>
        <v>1998640.68</v>
      </c>
      <c r="L490" s="50"/>
      <c r="M490" s="24">
        <v>45729.0</v>
      </c>
    </row>
    <row r="491" ht="15.75" customHeight="1">
      <c r="A491" s="115">
        <v>45715.0</v>
      </c>
      <c r="B491" s="32" t="s">
        <v>236</v>
      </c>
      <c r="C491" s="19" t="s">
        <v>122</v>
      </c>
      <c r="D491" s="19" t="s">
        <v>15</v>
      </c>
      <c r="E491" s="20" t="s">
        <v>544</v>
      </c>
      <c r="F491" s="21">
        <v>45716.0</v>
      </c>
      <c r="G491" s="118">
        <f>2006800.22/1.21</f>
        <v>1658512.579</v>
      </c>
      <c r="H491" s="15">
        <f t="shared" si="5"/>
        <v>348287.6415</v>
      </c>
      <c r="I491" s="15"/>
      <c r="J491" s="15"/>
      <c r="K491" s="15">
        <f t="shared" si="4"/>
        <v>2006800.22</v>
      </c>
      <c r="L491" s="50"/>
      <c r="M491" s="24">
        <v>45729.0</v>
      </c>
    </row>
    <row r="492" ht="15.75" customHeight="1">
      <c r="A492" s="115">
        <v>45715.0</v>
      </c>
      <c r="B492" s="32" t="s">
        <v>236</v>
      </c>
      <c r="C492" s="19" t="s">
        <v>122</v>
      </c>
      <c r="D492" s="19" t="s">
        <v>15</v>
      </c>
      <c r="E492" s="20" t="s">
        <v>545</v>
      </c>
      <c r="F492" s="21">
        <v>45716.0</v>
      </c>
      <c r="G492" s="37">
        <f>1997480.08/1.21</f>
        <v>1650809.983</v>
      </c>
      <c r="H492" s="14">
        <f t="shared" si="5"/>
        <v>346670.0965</v>
      </c>
      <c r="I492" s="14"/>
      <c r="J492" s="14"/>
      <c r="K492" s="14">
        <f t="shared" si="4"/>
        <v>1997480.08</v>
      </c>
      <c r="L492" s="50"/>
      <c r="M492" s="24">
        <v>45729.0</v>
      </c>
    </row>
    <row r="493" ht="15.75" customHeight="1">
      <c r="A493" s="115">
        <v>45715.0</v>
      </c>
      <c r="B493" s="32" t="s">
        <v>236</v>
      </c>
      <c r="C493" s="20" t="s">
        <v>546</v>
      </c>
      <c r="D493" s="19" t="s">
        <v>15</v>
      </c>
      <c r="E493" s="19" t="s">
        <v>547</v>
      </c>
      <c r="F493" s="21">
        <v>45716.0</v>
      </c>
      <c r="G493" s="22">
        <v>1.237848012E7</v>
      </c>
      <c r="H493" s="14">
        <f t="shared" si="5"/>
        <v>2599480.825</v>
      </c>
      <c r="I493" s="14"/>
      <c r="J493" s="14"/>
      <c r="K493" s="14">
        <f t="shared" si="4"/>
        <v>14977960.95</v>
      </c>
      <c r="L493" s="50"/>
      <c r="M493" s="24">
        <v>45729.0</v>
      </c>
    </row>
    <row r="494" ht="15.75" customHeight="1">
      <c r="A494" s="115">
        <v>45715.0</v>
      </c>
      <c r="B494" s="32" t="s">
        <v>236</v>
      </c>
      <c r="C494" s="20" t="s">
        <v>546</v>
      </c>
      <c r="D494" s="19" t="s">
        <v>15</v>
      </c>
      <c r="E494" s="20" t="s">
        <v>548</v>
      </c>
      <c r="F494" s="21">
        <v>45716.0</v>
      </c>
      <c r="G494" s="22">
        <v>1.264482008E7</v>
      </c>
      <c r="H494" s="14">
        <f t="shared" si="5"/>
        <v>2655412.217</v>
      </c>
      <c r="I494" s="14"/>
      <c r="J494" s="14"/>
      <c r="K494" s="14">
        <f t="shared" si="4"/>
        <v>15300232.3</v>
      </c>
      <c r="L494" s="50"/>
      <c r="M494" s="24">
        <v>45728.0</v>
      </c>
    </row>
    <row r="495" ht="15.75" customHeight="1">
      <c r="A495" s="115">
        <v>45715.0</v>
      </c>
      <c r="B495" s="32" t="s">
        <v>236</v>
      </c>
      <c r="C495" s="20" t="s">
        <v>541</v>
      </c>
      <c r="D495" s="19" t="s">
        <v>15</v>
      </c>
      <c r="E495" s="20" t="s">
        <v>549</v>
      </c>
      <c r="F495" s="21">
        <v>45716.0</v>
      </c>
      <c r="G495" s="22">
        <v>8508980.08</v>
      </c>
      <c r="H495" s="14">
        <f t="shared" si="5"/>
        <v>1786885.817</v>
      </c>
      <c r="I495" s="14"/>
      <c r="J495" s="14"/>
      <c r="K495" s="14">
        <f t="shared" si="4"/>
        <v>10295865.9</v>
      </c>
      <c r="L495" s="50"/>
      <c r="M495" s="24">
        <v>45729.0</v>
      </c>
    </row>
    <row r="496" ht="15.75" customHeight="1">
      <c r="A496" s="39">
        <v>45742.0</v>
      </c>
      <c r="B496" s="45"/>
      <c r="C496" s="34" t="s">
        <v>323</v>
      </c>
      <c r="D496" s="32" t="s">
        <v>99</v>
      </c>
      <c r="E496" s="34" t="s">
        <v>550</v>
      </c>
      <c r="F496" s="36">
        <v>45741.0</v>
      </c>
      <c r="G496" s="22">
        <v>5123329.08</v>
      </c>
      <c r="H496" s="14">
        <f t="shared" si="5"/>
        <v>1075899.107</v>
      </c>
      <c r="I496" s="22">
        <v>153699.87</v>
      </c>
      <c r="J496" s="22">
        <v>61479.95</v>
      </c>
      <c r="K496" s="15">
        <f t="shared" si="4"/>
        <v>6414408.007</v>
      </c>
      <c r="L496" s="45"/>
      <c r="M496" s="24">
        <v>45742.0</v>
      </c>
    </row>
    <row r="497" ht="15.75" customHeight="1">
      <c r="A497" s="39">
        <v>45742.0</v>
      </c>
      <c r="B497" s="45"/>
      <c r="C497" s="34" t="s">
        <v>323</v>
      </c>
      <c r="D497" s="32" t="s">
        <v>99</v>
      </c>
      <c r="E497" s="34" t="s">
        <v>551</v>
      </c>
      <c r="F497" s="36">
        <v>45741.0</v>
      </c>
      <c r="G497" s="22">
        <v>4823929.25</v>
      </c>
      <c r="H497" s="14">
        <f t="shared" si="5"/>
        <v>1013025.143</v>
      </c>
      <c r="I497" s="22">
        <v>144717.88</v>
      </c>
      <c r="J497" s="22">
        <v>57887.15</v>
      </c>
      <c r="K497" s="15">
        <f t="shared" si="4"/>
        <v>6039559.423</v>
      </c>
      <c r="L497" s="45"/>
      <c r="M497" s="24">
        <v>45742.0</v>
      </c>
    </row>
    <row r="498" ht="15.75" customHeight="1">
      <c r="A498" s="39">
        <v>45742.0</v>
      </c>
      <c r="B498" s="45"/>
      <c r="C498" s="34" t="s">
        <v>323</v>
      </c>
      <c r="D498" s="32" t="s">
        <v>99</v>
      </c>
      <c r="E498" s="34" t="s">
        <v>552</v>
      </c>
      <c r="F498" s="36">
        <v>45741.0</v>
      </c>
      <c r="G498" s="22">
        <v>4326121.27</v>
      </c>
      <c r="H498" s="14">
        <f t="shared" si="5"/>
        <v>908485.4667</v>
      </c>
      <c r="I498" s="14"/>
      <c r="J498" s="22">
        <v>51913.46</v>
      </c>
      <c r="K498" s="15">
        <f t="shared" si="4"/>
        <v>5286520.197</v>
      </c>
      <c r="L498" s="45"/>
      <c r="M498" s="24">
        <v>45742.0</v>
      </c>
    </row>
    <row r="499" ht="15.75" customHeight="1">
      <c r="A499" s="39">
        <v>45742.0</v>
      </c>
      <c r="B499" s="45"/>
      <c r="C499" s="34" t="s">
        <v>323</v>
      </c>
      <c r="D499" s="32" t="s">
        <v>99</v>
      </c>
      <c r="E499" s="34" t="s">
        <v>553</v>
      </c>
      <c r="F499" s="36">
        <v>45741.0</v>
      </c>
      <c r="G499" s="22">
        <v>3928726.42</v>
      </c>
      <c r="H499" s="14">
        <f t="shared" si="5"/>
        <v>825032.5482</v>
      </c>
      <c r="I499" s="22">
        <v>117861.79</v>
      </c>
      <c r="J499" s="22">
        <v>47144.72</v>
      </c>
      <c r="K499" s="15">
        <f t="shared" si="4"/>
        <v>4918765.478</v>
      </c>
      <c r="L499" s="45"/>
      <c r="M499" s="24">
        <v>45742.0</v>
      </c>
    </row>
    <row r="500" ht="15.75" customHeight="1">
      <c r="A500" s="115">
        <v>45715.0</v>
      </c>
      <c r="B500" s="32" t="s">
        <v>236</v>
      </c>
      <c r="C500" s="20" t="s">
        <v>554</v>
      </c>
      <c r="D500" s="19" t="s">
        <v>15</v>
      </c>
      <c r="E500" s="20" t="s">
        <v>555</v>
      </c>
      <c r="F500" s="21">
        <v>45716.0</v>
      </c>
      <c r="G500" s="22">
        <v>2292381.08</v>
      </c>
      <c r="H500" s="14">
        <f t="shared" si="5"/>
        <v>481400.0268</v>
      </c>
      <c r="I500" s="14"/>
      <c r="J500" s="14"/>
      <c r="K500" s="14">
        <f t="shared" si="4"/>
        <v>2773781.107</v>
      </c>
      <c r="L500" s="50"/>
      <c r="M500" s="24">
        <v>45730.0</v>
      </c>
    </row>
    <row r="501" ht="15.75" customHeight="1">
      <c r="A501" s="115">
        <v>45715.0</v>
      </c>
      <c r="B501" s="32" t="s">
        <v>236</v>
      </c>
      <c r="C501" s="20" t="s">
        <v>554</v>
      </c>
      <c r="D501" s="19" t="s">
        <v>15</v>
      </c>
      <c r="E501" s="20" t="s">
        <v>556</v>
      </c>
      <c r="F501" s="21">
        <v>45716.0</v>
      </c>
      <c r="G501" s="22">
        <v>1.192921104E7</v>
      </c>
      <c r="H501" s="14">
        <f t="shared" si="5"/>
        <v>2505134.318</v>
      </c>
      <c r="I501" s="22">
        <v>357876.33</v>
      </c>
      <c r="J501" s="22">
        <v>131221.32</v>
      </c>
      <c r="K501" s="14">
        <f t="shared" si="4"/>
        <v>14923443.01</v>
      </c>
      <c r="L501" s="50"/>
      <c r="M501" s="24">
        <v>45730.0</v>
      </c>
    </row>
    <row r="502" ht="15.75" customHeight="1">
      <c r="A502" s="55">
        <v>45721.0</v>
      </c>
      <c r="B502" s="61"/>
      <c r="C502" s="20" t="s">
        <v>554</v>
      </c>
      <c r="D502" s="19" t="s">
        <v>15</v>
      </c>
      <c r="E502" s="20" t="s">
        <v>557</v>
      </c>
      <c r="F502" s="21">
        <v>45716.0</v>
      </c>
      <c r="G502" s="23">
        <v>5328123.08</v>
      </c>
      <c r="H502" s="15">
        <f t="shared" si="5"/>
        <v>1118905.847</v>
      </c>
      <c r="I502" s="15"/>
      <c r="J502" s="23">
        <v>58609.35</v>
      </c>
      <c r="K502" s="15">
        <f t="shared" si="4"/>
        <v>6505638.277</v>
      </c>
      <c r="L502" s="61"/>
      <c r="M502" s="62"/>
    </row>
    <row r="503" ht="15.75" customHeight="1">
      <c r="A503" s="55">
        <v>45721.0</v>
      </c>
      <c r="B503" s="61"/>
      <c r="C503" s="20" t="s">
        <v>524</v>
      </c>
      <c r="D503" s="19" t="s">
        <v>15</v>
      </c>
      <c r="E503" s="20" t="s">
        <v>558</v>
      </c>
      <c r="F503" s="21">
        <v>45716.0</v>
      </c>
      <c r="G503" s="23">
        <v>7620518.42</v>
      </c>
      <c r="H503" s="15">
        <f t="shared" si="5"/>
        <v>1600308.868</v>
      </c>
      <c r="I503" s="15"/>
      <c r="J503" s="15"/>
      <c r="K503" s="15">
        <f t="shared" si="4"/>
        <v>9220827.288</v>
      </c>
      <c r="L503" s="61"/>
      <c r="M503" s="62"/>
    </row>
    <row r="504" ht="15.75" customHeight="1">
      <c r="A504" s="39">
        <v>45742.0</v>
      </c>
      <c r="B504" s="45"/>
      <c r="C504" s="34" t="s">
        <v>559</v>
      </c>
      <c r="D504" s="32" t="s">
        <v>99</v>
      </c>
      <c r="E504" s="20" t="s">
        <v>560</v>
      </c>
      <c r="F504" s="36">
        <v>45741.0</v>
      </c>
      <c r="G504" s="22">
        <v>4122940.29</v>
      </c>
      <c r="H504" s="14">
        <f t="shared" si="5"/>
        <v>865817.4609</v>
      </c>
      <c r="I504" s="22"/>
      <c r="J504" s="22">
        <v>206147.01</v>
      </c>
      <c r="K504" s="15">
        <f t="shared" si="4"/>
        <v>5194904.761</v>
      </c>
      <c r="L504" s="45"/>
      <c r="M504" s="24">
        <v>45742.0</v>
      </c>
    </row>
    <row r="505" ht="15.75" customHeight="1">
      <c r="A505" s="39">
        <v>45742.0</v>
      </c>
      <c r="B505" s="45"/>
      <c r="C505" s="34" t="s">
        <v>561</v>
      </c>
      <c r="D505" s="32" t="s">
        <v>99</v>
      </c>
      <c r="E505" s="20" t="s">
        <v>562</v>
      </c>
      <c r="F505" s="36">
        <v>45741.0</v>
      </c>
      <c r="G505" s="22">
        <v>1.041438309E7</v>
      </c>
      <c r="H505" s="14">
        <f t="shared" si="5"/>
        <v>2187020.449</v>
      </c>
      <c r="I505" s="22">
        <v>312431.49</v>
      </c>
      <c r="J505" s="22"/>
      <c r="K505" s="15">
        <f t="shared" si="4"/>
        <v>12913835.03</v>
      </c>
      <c r="L505" s="45"/>
      <c r="M505" s="24">
        <v>45742.0</v>
      </c>
    </row>
    <row r="506" ht="15.75" customHeight="1">
      <c r="A506" s="39">
        <v>45742.0</v>
      </c>
      <c r="B506" s="45"/>
      <c r="C506" s="34" t="s">
        <v>561</v>
      </c>
      <c r="D506" s="32" t="s">
        <v>99</v>
      </c>
      <c r="E506" s="20" t="s">
        <v>563</v>
      </c>
      <c r="F506" s="36">
        <v>45741.0</v>
      </c>
      <c r="G506" s="22">
        <v>1.039494542E7</v>
      </c>
      <c r="H506" s="14">
        <f t="shared" si="5"/>
        <v>2182938.538</v>
      </c>
      <c r="I506" s="22">
        <v>311848.36</v>
      </c>
      <c r="J506" s="22"/>
      <c r="K506" s="15">
        <f t="shared" si="4"/>
        <v>12889732.32</v>
      </c>
      <c r="L506" s="45"/>
      <c r="M506" s="24">
        <v>45742.0</v>
      </c>
    </row>
    <row r="507" ht="15.75" customHeight="1">
      <c r="A507" s="39">
        <v>45742.0</v>
      </c>
      <c r="B507" s="45"/>
      <c r="C507" s="34" t="s">
        <v>561</v>
      </c>
      <c r="D507" s="32" t="s">
        <v>99</v>
      </c>
      <c r="E507" s="34" t="s">
        <v>564</v>
      </c>
      <c r="F507" s="36">
        <v>45741.0</v>
      </c>
      <c r="G507" s="22">
        <v>1.304577884E7</v>
      </c>
      <c r="H507" s="14">
        <f t="shared" si="5"/>
        <v>2739613.556</v>
      </c>
      <c r="I507" s="22">
        <v>391373.37</v>
      </c>
      <c r="J507" s="22"/>
      <c r="K507" s="15">
        <f t="shared" si="4"/>
        <v>16176765.77</v>
      </c>
      <c r="L507" s="45"/>
      <c r="M507" s="24">
        <v>45742.0</v>
      </c>
    </row>
    <row r="508" ht="15.75" customHeight="1">
      <c r="A508" s="39">
        <v>45742.0</v>
      </c>
      <c r="B508" s="45"/>
      <c r="C508" s="34" t="s">
        <v>561</v>
      </c>
      <c r="D508" s="32" t="s">
        <v>99</v>
      </c>
      <c r="E508" s="20" t="s">
        <v>565</v>
      </c>
      <c r="F508" s="36">
        <v>45741.0</v>
      </c>
      <c r="G508" s="22">
        <v>5000581.27</v>
      </c>
      <c r="H508" s="14">
        <f t="shared" si="5"/>
        <v>1050122.067</v>
      </c>
      <c r="I508" s="22"/>
      <c r="J508" s="22"/>
      <c r="K508" s="15">
        <f t="shared" si="4"/>
        <v>6050703.337</v>
      </c>
      <c r="L508" s="45"/>
      <c r="M508" s="24">
        <v>45742.0</v>
      </c>
    </row>
    <row r="509" ht="15.75" customHeight="1">
      <c r="A509" s="55">
        <v>45742.0</v>
      </c>
      <c r="B509" s="61"/>
      <c r="C509" s="34" t="s">
        <v>561</v>
      </c>
      <c r="D509" s="32" t="s">
        <v>99</v>
      </c>
      <c r="E509" s="20" t="s">
        <v>566</v>
      </c>
      <c r="F509" s="36">
        <v>45741.0</v>
      </c>
      <c r="G509" s="22">
        <v>1.114570799E7</v>
      </c>
      <c r="H509" s="14">
        <f t="shared" si="5"/>
        <v>2340598.678</v>
      </c>
      <c r="I509" s="22">
        <v>334371.24</v>
      </c>
      <c r="J509" s="22"/>
      <c r="K509" s="15">
        <f t="shared" si="4"/>
        <v>13820677.91</v>
      </c>
      <c r="L509" s="61"/>
      <c r="M509" s="62"/>
    </row>
    <row r="510" ht="15.75" customHeight="1">
      <c r="A510" s="55">
        <v>45742.0</v>
      </c>
      <c r="B510" s="61"/>
      <c r="C510" s="34" t="s">
        <v>567</v>
      </c>
      <c r="D510" s="32" t="s">
        <v>99</v>
      </c>
      <c r="E510" s="20" t="s">
        <v>568</v>
      </c>
      <c r="F510" s="36">
        <v>45741.0</v>
      </c>
      <c r="G510" s="22">
        <v>1.043875072E7</v>
      </c>
      <c r="H510" s="14">
        <f t="shared" si="5"/>
        <v>2192137.651</v>
      </c>
      <c r="I510" s="22">
        <v>313162.52</v>
      </c>
      <c r="J510" s="22"/>
      <c r="K510" s="15">
        <f t="shared" si="4"/>
        <v>12944050.89</v>
      </c>
      <c r="L510" s="61"/>
      <c r="M510" s="62"/>
    </row>
    <row r="511" ht="15.75" customHeight="1">
      <c r="A511" s="55">
        <v>45742.0</v>
      </c>
      <c r="B511" s="61"/>
      <c r="C511" s="34" t="s">
        <v>567</v>
      </c>
      <c r="D511" s="32" t="s">
        <v>99</v>
      </c>
      <c r="E511" s="20" t="s">
        <v>569</v>
      </c>
      <c r="F511" s="36">
        <v>45741.0</v>
      </c>
      <c r="G511" s="22">
        <v>1.073018805E7</v>
      </c>
      <c r="H511" s="14">
        <f t="shared" si="5"/>
        <v>2253339.491</v>
      </c>
      <c r="I511" s="22">
        <v>321905.64</v>
      </c>
      <c r="J511" s="22"/>
      <c r="K511" s="15">
        <f t="shared" si="4"/>
        <v>13305433.18</v>
      </c>
      <c r="L511" s="61"/>
      <c r="M511" s="62"/>
    </row>
    <row r="512" ht="15.75" customHeight="1">
      <c r="A512" s="55">
        <v>45742.0</v>
      </c>
      <c r="B512" s="61"/>
      <c r="C512" s="34" t="s">
        <v>567</v>
      </c>
      <c r="D512" s="32" t="s">
        <v>99</v>
      </c>
      <c r="E512" s="20" t="s">
        <v>570</v>
      </c>
      <c r="F512" s="36">
        <v>45741.0</v>
      </c>
      <c r="G512" s="22">
        <v>1.044436881E7</v>
      </c>
      <c r="H512" s="14">
        <f t="shared" si="5"/>
        <v>2193317.45</v>
      </c>
      <c r="I512" s="22">
        <v>313331.06</v>
      </c>
      <c r="J512" s="22"/>
      <c r="K512" s="15">
        <f t="shared" si="4"/>
        <v>12951017.32</v>
      </c>
      <c r="L512" s="61"/>
      <c r="M512" s="62"/>
    </row>
    <row r="513" ht="15.75" customHeight="1">
      <c r="A513" s="55">
        <v>45743.0</v>
      </c>
      <c r="B513" s="61"/>
      <c r="C513" s="34" t="s">
        <v>567</v>
      </c>
      <c r="D513" s="32" t="s">
        <v>99</v>
      </c>
      <c r="E513" s="20" t="s">
        <v>571</v>
      </c>
      <c r="F513" s="36">
        <v>45741.0</v>
      </c>
      <c r="G513" s="22">
        <v>1.061649381E7</v>
      </c>
      <c r="H513" s="14">
        <f t="shared" si="5"/>
        <v>2229463.7</v>
      </c>
      <c r="I513" s="22">
        <v>318494.81</v>
      </c>
      <c r="J513" s="22"/>
      <c r="K513" s="15">
        <f t="shared" si="4"/>
        <v>13164452.32</v>
      </c>
      <c r="L513" s="61"/>
      <c r="M513" s="62"/>
    </row>
    <row r="514" ht="15.75" customHeight="1">
      <c r="A514" s="55">
        <v>45743.0</v>
      </c>
      <c r="B514" s="61"/>
      <c r="C514" s="34" t="s">
        <v>567</v>
      </c>
      <c r="D514" s="32" t="s">
        <v>99</v>
      </c>
      <c r="E514" s="34" t="s">
        <v>572</v>
      </c>
      <c r="F514" s="36">
        <v>45741.0</v>
      </c>
      <c r="G514" s="22">
        <v>1.071728908E7</v>
      </c>
      <c r="H514" s="14">
        <f t="shared" si="5"/>
        <v>2250630.707</v>
      </c>
      <c r="I514" s="22"/>
      <c r="J514" s="22"/>
      <c r="K514" s="15">
        <f t="shared" si="4"/>
        <v>12967919.79</v>
      </c>
      <c r="L514" s="61"/>
      <c r="M514" s="62"/>
    </row>
    <row r="515" ht="15.75" customHeight="1">
      <c r="A515" s="55">
        <v>45743.0</v>
      </c>
      <c r="B515" s="61"/>
      <c r="C515" s="34" t="s">
        <v>567</v>
      </c>
      <c r="D515" s="32" t="s">
        <v>99</v>
      </c>
      <c r="E515" s="34" t="s">
        <v>573</v>
      </c>
      <c r="F515" s="36">
        <v>45741.0</v>
      </c>
      <c r="G515" s="22">
        <v>4246171.19</v>
      </c>
      <c r="H515" s="14">
        <f t="shared" si="5"/>
        <v>891695.9499</v>
      </c>
      <c r="I515" s="22">
        <v>127385.14</v>
      </c>
      <c r="J515" s="22"/>
      <c r="K515" s="15">
        <f t="shared" si="4"/>
        <v>5265252.28</v>
      </c>
      <c r="L515" s="61"/>
      <c r="M515" s="62"/>
    </row>
    <row r="516" ht="15.75" customHeight="1">
      <c r="A516" s="39">
        <v>45743.0</v>
      </c>
      <c r="B516" s="45"/>
      <c r="C516" s="34" t="s">
        <v>567</v>
      </c>
      <c r="D516" s="32" t="s">
        <v>99</v>
      </c>
      <c r="E516" s="19" t="s">
        <v>574</v>
      </c>
      <c r="F516" s="36">
        <v>45741.0</v>
      </c>
      <c r="G516" s="22">
        <v>7910379.41</v>
      </c>
      <c r="H516" s="14">
        <f t="shared" si="5"/>
        <v>1661179.676</v>
      </c>
      <c r="I516" s="22">
        <v>237311.38</v>
      </c>
      <c r="J516" s="22"/>
      <c r="K516" s="15">
        <f t="shared" si="4"/>
        <v>9808870.466</v>
      </c>
      <c r="L516" s="45"/>
      <c r="M516" s="24">
        <v>45744.0</v>
      </c>
    </row>
    <row r="517" ht="15.75" customHeight="1">
      <c r="A517" s="55">
        <v>45721.0</v>
      </c>
      <c r="B517" s="61"/>
      <c r="C517" s="20" t="s">
        <v>524</v>
      </c>
      <c r="D517" s="19" t="s">
        <v>15</v>
      </c>
      <c r="E517" s="20" t="s">
        <v>575</v>
      </c>
      <c r="F517" s="21">
        <v>45716.0</v>
      </c>
      <c r="G517" s="23">
        <v>7392201.76</v>
      </c>
      <c r="H517" s="15">
        <f t="shared" si="5"/>
        <v>1552362.37</v>
      </c>
      <c r="I517" s="15"/>
      <c r="J517" s="15"/>
      <c r="K517" s="15">
        <f t="shared" si="4"/>
        <v>8944564.13</v>
      </c>
      <c r="L517" s="61"/>
      <c r="M517" s="62"/>
    </row>
    <row r="518" ht="15.75" customHeight="1">
      <c r="A518" s="39">
        <v>45721.0</v>
      </c>
      <c r="B518" s="45"/>
      <c r="C518" s="20" t="s">
        <v>410</v>
      </c>
      <c r="D518" s="19" t="s">
        <v>15</v>
      </c>
      <c r="E518" s="20" t="s">
        <v>576</v>
      </c>
      <c r="F518" s="21">
        <v>45716.0</v>
      </c>
      <c r="G518" s="23">
        <v>5912729.08</v>
      </c>
      <c r="H518" s="15">
        <f t="shared" si="5"/>
        <v>1241673.107</v>
      </c>
      <c r="I518" s="15"/>
      <c r="J518" s="15"/>
      <c r="K518" s="15">
        <f t="shared" si="4"/>
        <v>7154402.187</v>
      </c>
      <c r="L518" s="45"/>
      <c r="M518" s="6"/>
    </row>
    <row r="519" ht="15.75" customHeight="1">
      <c r="A519" s="39">
        <v>45727.0</v>
      </c>
      <c r="B519" s="45"/>
      <c r="C519" s="20" t="s">
        <v>417</v>
      </c>
      <c r="D519" s="19" t="s">
        <v>15</v>
      </c>
      <c r="E519" s="19" t="s">
        <v>577</v>
      </c>
      <c r="F519" s="21">
        <v>45713.0</v>
      </c>
      <c r="G519" s="22">
        <v>9403208.13</v>
      </c>
      <c r="H519" s="14">
        <f t="shared" si="5"/>
        <v>1974673.707</v>
      </c>
      <c r="I519" s="22">
        <v>282096.24</v>
      </c>
      <c r="J519" s="14"/>
      <c r="K519" s="15">
        <f t="shared" si="4"/>
        <v>11659978.08</v>
      </c>
      <c r="L519" s="45"/>
      <c r="M519" s="24">
        <v>45727.0</v>
      </c>
    </row>
    <row r="520" ht="15.75" customHeight="1">
      <c r="A520" s="39">
        <v>45727.0</v>
      </c>
      <c r="B520" s="45"/>
      <c r="C520" s="20" t="s">
        <v>417</v>
      </c>
      <c r="D520" s="19" t="s">
        <v>15</v>
      </c>
      <c r="E520" s="19" t="s">
        <v>578</v>
      </c>
      <c r="F520" s="21">
        <v>45713.0</v>
      </c>
      <c r="G520" s="22">
        <v>7620405.42</v>
      </c>
      <c r="H520" s="14">
        <f t="shared" si="5"/>
        <v>1600285.138</v>
      </c>
      <c r="I520" s="22">
        <v>228612.16</v>
      </c>
      <c r="J520" s="14"/>
      <c r="K520" s="15">
        <f t="shared" si="4"/>
        <v>9449302.718</v>
      </c>
      <c r="L520" s="45"/>
      <c r="M520" s="24">
        <v>45728.0</v>
      </c>
    </row>
    <row r="521" ht="15.75" customHeight="1">
      <c r="A521" s="39">
        <v>45727.0</v>
      </c>
      <c r="B521" s="45"/>
      <c r="C521" s="20" t="s">
        <v>423</v>
      </c>
      <c r="D521" s="19" t="s">
        <v>15</v>
      </c>
      <c r="E521" s="20" t="s">
        <v>579</v>
      </c>
      <c r="F521" s="30">
        <v>45713.0</v>
      </c>
      <c r="G521" s="22">
        <v>3978892.13</v>
      </c>
      <c r="H521" s="14">
        <f t="shared" si="5"/>
        <v>835567.3473</v>
      </c>
      <c r="I521" s="22">
        <v>119366.76</v>
      </c>
      <c r="J521" s="23">
        <v>59683.38</v>
      </c>
      <c r="K521" s="15">
        <f t="shared" si="4"/>
        <v>4993509.617</v>
      </c>
      <c r="L521" s="45"/>
      <c r="M521" s="24">
        <v>45727.0</v>
      </c>
    </row>
    <row r="522" ht="15.75" customHeight="1">
      <c r="A522" s="39">
        <v>45727.0</v>
      </c>
      <c r="B522" s="45"/>
      <c r="C522" s="20" t="s">
        <v>423</v>
      </c>
      <c r="D522" s="19" t="s">
        <v>15</v>
      </c>
      <c r="E522" s="20" t="s">
        <v>580</v>
      </c>
      <c r="F522" s="30">
        <v>45713.0</v>
      </c>
      <c r="G522" s="22">
        <v>4221138.27</v>
      </c>
      <c r="H522" s="14">
        <f t="shared" si="5"/>
        <v>886439.0367</v>
      </c>
      <c r="I522" s="22">
        <v>126634.15</v>
      </c>
      <c r="J522" s="23">
        <v>63317.07</v>
      </c>
      <c r="K522" s="15">
        <f t="shared" si="4"/>
        <v>5297528.527</v>
      </c>
      <c r="L522" s="45"/>
      <c r="M522" s="24">
        <v>45727.0</v>
      </c>
    </row>
    <row r="523" ht="15.75" customHeight="1">
      <c r="A523" s="39">
        <v>45727.0</v>
      </c>
      <c r="B523" s="45"/>
      <c r="C523" s="20" t="s">
        <v>423</v>
      </c>
      <c r="D523" s="19" t="s">
        <v>15</v>
      </c>
      <c r="E523" s="20" t="s">
        <v>581</v>
      </c>
      <c r="F523" s="30">
        <v>45713.0</v>
      </c>
      <c r="G523" s="22">
        <v>3891892.32</v>
      </c>
      <c r="H523" s="14">
        <f t="shared" si="5"/>
        <v>817297.3872</v>
      </c>
      <c r="I523" s="22">
        <v>116756.77</v>
      </c>
      <c r="J523" s="23">
        <v>58378.38</v>
      </c>
      <c r="K523" s="15">
        <f t="shared" si="4"/>
        <v>4884324.857</v>
      </c>
      <c r="L523" s="45"/>
      <c r="M523" s="24">
        <v>45727.0</v>
      </c>
    </row>
    <row r="524" ht="15.75" customHeight="1">
      <c r="A524" s="39">
        <v>45729.0</v>
      </c>
      <c r="B524" s="35" t="s">
        <v>236</v>
      </c>
      <c r="C524" s="31" t="s">
        <v>582</v>
      </c>
      <c r="D524" s="32" t="s">
        <v>15</v>
      </c>
      <c r="E524" s="31" t="s">
        <v>583</v>
      </c>
      <c r="F524" s="30">
        <v>45713.0</v>
      </c>
      <c r="G524" s="53">
        <v>8267490.82</v>
      </c>
      <c r="H524" s="14">
        <f t="shared" si="5"/>
        <v>1736173.072</v>
      </c>
      <c r="I524" s="54">
        <v>248024.72</v>
      </c>
      <c r="J524" s="23">
        <v>413374.54</v>
      </c>
      <c r="K524" s="15">
        <f t="shared" si="4"/>
        <v>10665063.15</v>
      </c>
      <c r="L524" s="116">
        <v>786891.0</v>
      </c>
      <c r="M524" s="24">
        <v>45737.0</v>
      </c>
    </row>
    <row r="525" ht="15.75" customHeight="1">
      <c r="A525" s="39">
        <v>45743.0</v>
      </c>
      <c r="B525" s="45"/>
      <c r="C525" s="34" t="s">
        <v>561</v>
      </c>
      <c r="D525" s="32" t="s">
        <v>99</v>
      </c>
      <c r="E525" s="19" t="s">
        <v>584</v>
      </c>
      <c r="F525" s="36">
        <v>45741.0</v>
      </c>
      <c r="G525" s="22">
        <v>-1.114570799E7</v>
      </c>
      <c r="H525" s="14">
        <f t="shared" si="5"/>
        <v>-2340598.678</v>
      </c>
      <c r="I525" s="22">
        <v>-334371.24</v>
      </c>
      <c r="J525" s="45"/>
      <c r="K525" s="15">
        <f t="shared" si="4"/>
        <v>-13820677.91</v>
      </c>
      <c r="L525" s="45"/>
      <c r="M525" s="24">
        <v>45748.0</v>
      </c>
    </row>
    <row r="526" ht="15.75" customHeight="1">
      <c r="A526" s="39">
        <v>45743.0</v>
      </c>
      <c r="B526" s="45"/>
      <c r="C526" s="34" t="s">
        <v>561</v>
      </c>
      <c r="D526" s="32" t="s">
        <v>99</v>
      </c>
      <c r="E526" s="19" t="s">
        <v>585</v>
      </c>
      <c r="F526" s="36">
        <v>45741.0</v>
      </c>
      <c r="G526" s="22">
        <v>-1.304577884E7</v>
      </c>
      <c r="H526" s="14">
        <f t="shared" si="5"/>
        <v>-2739613.556</v>
      </c>
      <c r="I526" s="22">
        <v>-391373.37</v>
      </c>
      <c r="J526" s="45"/>
      <c r="K526" s="15">
        <f t="shared" si="4"/>
        <v>-16176765.77</v>
      </c>
      <c r="L526" s="45"/>
      <c r="M526" s="24">
        <v>45748.0</v>
      </c>
    </row>
    <row r="527" ht="15.75" customHeight="1">
      <c r="A527" s="39">
        <v>45744.0</v>
      </c>
      <c r="B527" s="45"/>
      <c r="C527" s="34" t="s">
        <v>561</v>
      </c>
      <c r="D527" s="32" t="s">
        <v>99</v>
      </c>
      <c r="E527" s="19" t="s">
        <v>586</v>
      </c>
      <c r="F527" s="36">
        <v>45741.0</v>
      </c>
      <c r="G527" s="22">
        <v>-1.041438309E7</v>
      </c>
      <c r="H527" s="14">
        <f t="shared" si="5"/>
        <v>-2187020.449</v>
      </c>
      <c r="I527" s="22">
        <v>-312431.49</v>
      </c>
      <c r="J527" s="45"/>
      <c r="K527" s="15">
        <f t="shared" si="4"/>
        <v>-12913835.03</v>
      </c>
      <c r="L527" s="45"/>
      <c r="M527" s="24">
        <v>45747.0</v>
      </c>
    </row>
    <row r="528" ht="15.75" customHeight="1">
      <c r="A528" s="39">
        <v>45744.0</v>
      </c>
      <c r="B528" s="45"/>
      <c r="C528" s="34" t="s">
        <v>561</v>
      </c>
      <c r="D528" s="32" t="s">
        <v>99</v>
      </c>
      <c r="E528" s="35" t="s">
        <v>587</v>
      </c>
      <c r="F528" s="36">
        <v>45741.0</v>
      </c>
      <c r="G528" s="22">
        <v>-1.039494542E7</v>
      </c>
      <c r="H528" s="14">
        <f t="shared" si="5"/>
        <v>-2182938.538</v>
      </c>
      <c r="I528" s="22">
        <v>-311848.36</v>
      </c>
      <c r="J528" s="45"/>
      <c r="K528" s="15">
        <f t="shared" si="4"/>
        <v>-12889732.32</v>
      </c>
      <c r="L528" s="45"/>
      <c r="M528" s="24">
        <v>45747.0</v>
      </c>
    </row>
    <row r="529" ht="15.75" customHeight="1">
      <c r="A529" s="55">
        <v>45744.0</v>
      </c>
      <c r="B529" s="61"/>
      <c r="C529" s="34" t="s">
        <v>561</v>
      </c>
      <c r="D529" s="32" t="s">
        <v>99</v>
      </c>
      <c r="E529" s="34" t="s">
        <v>588</v>
      </c>
      <c r="F529" s="36">
        <v>45741.0</v>
      </c>
      <c r="G529" s="22">
        <v>1.041438309E7</v>
      </c>
      <c r="H529" s="14">
        <f t="shared" si="5"/>
        <v>2187020.449</v>
      </c>
      <c r="I529" s="22">
        <v>312431.49</v>
      </c>
      <c r="J529" s="14"/>
      <c r="K529" s="15">
        <f t="shared" si="4"/>
        <v>12913835.03</v>
      </c>
      <c r="L529" s="61"/>
      <c r="M529" s="62"/>
    </row>
    <row r="530" ht="15.75" customHeight="1">
      <c r="A530" s="55">
        <v>45744.0</v>
      </c>
      <c r="B530" s="61"/>
      <c r="C530" s="34" t="s">
        <v>561</v>
      </c>
      <c r="D530" s="32" t="s">
        <v>99</v>
      </c>
      <c r="E530" s="20" t="s">
        <v>589</v>
      </c>
      <c r="F530" s="36">
        <v>45741.0</v>
      </c>
      <c r="G530" s="22">
        <v>1.039494542E7</v>
      </c>
      <c r="H530" s="14">
        <f t="shared" si="5"/>
        <v>2182938.538</v>
      </c>
      <c r="I530" s="22">
        <v>311848.36</v>
      </c>
      <c r="J530" s="45"/>
      <c r="K530" s="15">
        <f t="shared" si="4"/>
        <v>12889732.32</v>
      </c>
      <c r="L530" s="61"/>
      <c r="M530" s="62"/>
    </row>
    <row r="531" ht="15.75" customHeight="1">
      <c r="A531" s="55">
        <v>45744.0</v>
      </c>
      <c r="B531" s="61"/>
      <c r="C531" s="34" t="s">
        <v>561</v>
      </c>
      <c r="D531" s="32" t="s">
        <v>99</v>
      </c>
      <c r="E531" s="20" t="s">
        <v>590</v>
      </c>
      <c r="F531" s="36">
        <v>45741.0</v>
      </c>
      <c r="G531" s="22">
        <v>1.304577884E7</v>
      </c>
      <c r="H531" s="14">
        <f t="shared" si="5"/>
        <v>2739613.556</v>
      </c>
      <c r="I531" s="22">
        <v>391373.37</v>
      </c>
      <c r="J531" s="45"/>
      <c r="K531" s="15">
        <f t="shared" si="4"/>
        <v>16176765.77</v>
      </c>
      <c r="L531" s="61"/>
      <c r="M531" s="62"/>
    </row>
    <row r="532" ht="15.75" customHeight="1">
      <c r="A532" s="55">
        <v>45744.0</v>
      </c>
      <c r="B532" s="61"/>
      <c r="C532" s="34" t="s">
        <v>561</v>
      </c>
      <c r="D532" s="32" t="s">
        <v>99</v>
      </c>
      <c r="E532" s="20" t="s">
        <v>591</v>
      </c>
      <c r="F532" s="36">
        <v>45741.0</v>
      </c>
      <c r="G532" s="22">
        <v>1.114570799E7</v>
      </c>
      <c r="H532" s="14">
        <f t="shared" si="5"/>
        <v>2340598.678</v>
      </c>
      <c r="I532" s="22">
        <v>334371.24</v>
      </c>
      <c r="J532" s="45"/>
      <c r="K532" s="15">
        <f t="shared" si="4"/>
        <v>13820677.91</v>
      </c>
      <c r="L532" s="61"/>
      <c r="M532" s="62"/>
    </row>
    <row r="533" ht="15.75" customHeight="1">
      <c r="A533" s="39">
        <v>45729.0</v>
      </c>
      <c r="B533" s="35" t="s">
        <v>236</v>
      </c>
      <c r="C533" s="31" t="s">
        <v>434</v>
      </c>
      <c r="D533" s="32" t="s">
        <v>15</v>
      </c>
      <c r="E533" s="31" t="s">
        <v>592</v>
      </c>
      <c r="F533" s="30">
        <v>45713.0</v>
      </c>
      <c r="G533" s="53">
        <v>3508990.42</v>
      </c>
      <c r="H533" s="14">
        <f t="shared" si="5"/>
        <v>736887.9882</v>
      </c>
      <c r="I533" s="54">
        <v>105269.71</v>
      </c>
      <c r="J533" s="23">
        <v>42107.89</v>
      </c>
      <c r="K533" s="15">
        <f t="shared" si="4"/>
        <v>4393256.008</v>
      </c>
      <c r="L533" s="45"/>
      <c r="M533" s="24">
        <v>45737.0</v>
      </c>
    </row>
    <row r="534" ht="15.75" customHeight="1">
      <c r="A534" s="39">
        <v>45729.0</v>
      </c>
      <c r="B534" s="35" t="s">
        <v>236</v>
      </c>
      <c r="C534" s="31" t="s">
        <v>434</v>
      </c>
      <c r="D534" s="32" t="s">
        <v>15</v>
      </c>
      <c r="E534" s="31" t="s">
        <v>593</v>
      </c>
      <c r="F534" s="30">
        <v>45713.0</v>
      </c>
      <c r="G534" s="53">
        <v>4008930.18</v>
      </c>
      <c r="H534" s="14">
        <f t="shared" si="5"/>
        <v>841875.3378</v>
      </c>
      <c r="I534" s="54">
        <v>120267.91</v>
      </c>
      <c r="J534" s="23">
        <v>48107.16</v>
      </c>
      <c r="K534" s="15">
        <f t="shared" si="4"/>
        <v>5019180.588</v>
      </c>
      <c r="L534" s="45"/>
      <c r="M534" s="24">
        <v>45737.0</v>
      </c>
    </row>
    <row r="535" ht="15.75" customHeight="1">
      <c r="A535" s="39">
        <v>45729.0</v>
      </c>
      <c r="B535" s="35" t="s">
        <v>236</v>
      </c>
      <c r="C535" s="31" t="s">
        <v>379</v>
      </c>
      <c r="D535" s="32" t="s">
        <v>15</v>
      </c>
      <c r="E535" s="31" t="s">
        <v>594</v>
      </c>
      <c r="F535" s="30">
        <v>45713.0</v>
      </c>
      <c r="G535" s="53">
        <v>4012350.71</v>
      </c>
      <c r="H535" s="14">
        <f t="shared" si="5"/>
        <v>842593.6491</v>
      </c>
      <c r="I535" s="33"/>
      <c r="J535" s="15"/>
      <c r="K535" s="15">
        <f t="shared" si="4"/>
        <v>4854944.359</v>
      </c>
      <c r="L535" s="45"/>
      <c r="M535" s="24">
        <v>45737.0</v>
      </c>
    </row>
    <row r="536" ht="15.75" customHeight="1">
      <c r="A536" s="39">
        <v>45744.0</v>
      </c>
      <c r="B536" s="45"/>
      <c r="C536" s="34" t="s">
        <v>567</v>
      </c>
      <c r="D536" s="32" t="s">
        <v>99</v>
      </c>
      <c r="E536" s="35" t="s">
        <v>595</v>
      </c>
      <c r="F536" s="36">
        <v>45741.0</v>
      </c>
      <c r="G536" s="22">
        <v>-1.061649381E7</v>
      </c>
      <c r="H536" s="14">
        <f t="shared" si="5"/>
        <v>-2229463.7</v>
      </c>
      <c r="I536" s="22">
        <v>-318494.81</v>
      </c>
      <c r="J536" s="14"/>
      <c r="K536" s="15">
        <f t="shared" si="4"/>
        <v>-13164452.32</v>
      </c>
      <c r="L536" s="45"/>
      <c r="M536" s="24">
        <v>45749.0</v>
      </c>
    </row>
    <row r="537" ht="15.75" customHeight="1">
      <c r="A537" s="39">
        <v>45744.0</v>
      </c>
      <c r="B537" s="45"/>
      <c r="C537" s="34" t="s">
        <v>567</v>
      </c>
      <c r="D537" s="32" t="s">
        <v>99</v>
      </c>
      <c r="E537" s="35" t="s">
        <v>596</v>
      </c>
      <c r="F537" s="36">
        <v>45741.0</v>
      </c>
      <c r="G537" s="22">
        <v>-1.044436881E7</v>
      </c>
      <c r="H537" s="14">
        <f t="shared" si="5"/>
        <v>-2193317.45</v>
      </c>
      <c r="I537" s="22">
        <v>-313331.06</v>
      </c>
      <c r="J537" s="14"/>
      <c r="K537" s="15">
        <f t="shared" si="4"/>
        <v>-12951017.32</v>
      </c>
      <c r="L537" s="45"/>
      <c r="M537" s="24">
        <v>45748.0</v>
      </c>
    </row>
    <row r="538" ht="15.75" customHeight="1">
      <c r="A538" s="55">
        <v>45744.0</v>
      </c>
      <c r="B538" s="61"/>
      <c r="C538" s="34" t="s">
        <v>567</v>
      </c>
      <c r="D538" s="32" t="s">
        <v>99</v>
      </c>
      <c r="E538" s="19" t="s">
        <v>597</v>
      </c>
      <c r="F538" s="36">
        <v>45741.0</v>
      </c>
      <c r="G538" s="22">
        <v>-1.043875072E7</v>
      </c>
      <c r="H538" s="14">
        <f t="shared" si="5"/>
        <v>-2192137.651</v>
      </c>
      <c r="I538" s="22">
        <v>-313162.52</v>
      </c>
      <c r="J538" s="45"/>
      <c r="K538" s="15">
        <f t="shared" si="4"/>
        <v>-12944050.89</v>
      </c>
      <c r="L538" s="61"/>
      <c r="M538" s="62"/>
    </row>
    <row r="539" ht="15.75" customHeight="1">
      <c r="A539" s="55">
        <v>45744.0</v>
      </c>
      <c r="B539" s="61"/>
      <c r="C539" s="34" t="s">
        <v>567</v>
      </c>
      <c r="D539" s="32" t="s">
        <v>99</v>
      </c>
      <c r="E539" s="19" t="s">
        <v>598</v>
      </c>
      <c r="F539" s="36">
        <v>45741.0</v>
      </c>
      <c r="G539" s="22">
        <v>-1.073018805E7</v>
      </c>
      <c r="H539" s="14">
        <f t="shared" si="5"/>
        <v>-2253339.491</v>
      </c>
      <c r="I539" s="22">
        <v>-321905.64</v>
      </c>
      <c r="J539" s="45"/>
      <c r="K539" s="15">
        <f t="shared" si="4"/>
        <v>-13305433.18</v>
      </c>
      <c r="L539" s="61"/>
      <c r="M539" s="62"/>
    </row>
    <row r="540" ht="15.75" customHeight="1">
      <c r="A540" s="55">
        <v>45744.0</v>
      </c>
      <c r="B540" s="61"/>
      <c r="C540" s="34" t="s">
        <v>567</v>
      </c>
      <c r="D540" s="32" t="s">
        <v>99</v>
      </c>
      <c r="E540" s="20" t="s">
        <v>599</v>
      </c>
      <c r="F540" s="36">
        <v>45741.0</v>
      </c>
      <c r="G540" s="22">
        <v>1.043875072E7</v>
      </c>
      <c r="H540" s="14">
        <f t="shared" si="5"/>
        <v>2192137.651</v>
      </c>
      <c r="I540" s="22">
        <v>313162.52</v>
      </c>
      <c r="J540" s="45"/>
      <c r="K540" s="15">
        <f t="shared" si="4"/>
        <v>12944050.89</v>
      </c>
      <c r="L540" s="61"/>
      <c r="M540" s="62"/>
    </row>
    <row r="541" ht="15.75" customHeight="1">
      <c r="A541" s="55">
        <v>45747.0</v>
      </c>
      <c r="B541" s="61"/>
      <c r="C541" s="34" t="s">
        <v>567</v>
      </c>
      <c r="D541" s="32" t="s">
        <v>99</v>
      </c>
      <c r="E541" s="20" t="s">
        <v>600</v>
      </c>
      <c r="F541" s="36">
        <v>45741.0</v>
      </c>
      <c r="G541" s="22">
        <v>1.061649381E7</v>
      </c>
      <c r="H541" s="14">
        <f t="shared" si="5"/>
        <v>2229463.7</v>
      </c>
      <c r="I541" s="22">
        <v>318494.81</v>
      </c>
      <c r="J541" s="45"/>
      <c r="K541" s="15">
        <f t="shared" si="4"/>
        <v>13164452.32</v>
      </c>
      <c r="L541" s="61"/>
      <c r="M541" s="62"/>
    </row>
    <row r="542" ht="15.75" customHeight="1">
      <c r="A542" s="39">
        <v>45747.0</v>
      </c>
      <c r="B542" s="45"/>
      <c r="C542" s="34" t="s">
        <v>567</v>
      </c>
      <c r="D542" s="32" t="s">
        <v>99</v>
      </c>
      <c r="E542" s="20" t="s">
        <v>601</v>
      </c>
      <c r="F542" s="36">
        <v>45741.0</v>
      </c>
      <c r="G542" s="22">
        <v>1.044436881E7</v>
      </c>
      <c r="H542" s="14">
        <f t="shared" si="5"/>
        <v>2193317.45</v>
      </c>
      <c r="I542" s="22">
        <v>313331.06</v>
      </c>
      <c r="J542" s="45"/>
      <c r="K542" s="15">
        <f t="shared" si="4"/>
        <v>12951017.32</v>
      </c>
      <c r="L542" s="45"/>
      <c r="M542" s="24">
        <v>45747.0</v>
      </c>
    </row>
    <row r="543" ht="15.75" customHeight="1">
      <c r="A543" s="39">
        <v>45747.0</v>
      </c>
      <c r="B543" s="45"/>
      <c r="C543" s="34" t="s">
        <v>567</v>
      </c>
      <c r="D543" s="32" t="s">
        <v>99</v>
      </c>
      <c r="E543" s="20" t="s">
        <v>602</v>
      </c>
      <c r="F543" s="36">
        <v>45741.0</v>
      </c>
      <c r="G543" s="22">
        <v>1.073018805E7</v>
      </c>
      <c r="H543" s="14">
        <f t="shared" si="5"/>
        <v>2253339.491</v>
      </c>
      <c r="I543" s="22">
        <v>321905.64</v>
      </c>
      <c r="J543" s="45"/>
      <c r="K543" s="15">
        <f t="shared" si="4"/>
        <v>13305433.18</v>
      </c>
      <c r="L543" s="45"/>
      <c r="M543" s="24">
        <v>45747.0</v>
      </c>
    </row>
    <row r="544" ht="15.75" customHeight="1">
      <c r="A544" s="39">
        <v>45729.0</v>
      </c>
      <c r="B544" s="35" t="s">
        <v>236</v>
      </c>
      <c r="C544" s="31" t="s">
        <v>247</v>
      </c>
      <c r="D544" s="32" t="s">
        <v>15</v>
      </c>
      <c r="E544" s="31" t="s">
        <v>603</v>
      </c>
      <c r="F544" s="30">
        <v>45713.0</v>
      </c>
      <c r="G544" s="53">
        <v>4778240.18</v>
      </c>
      <c r="H544" s="14">
        <f t="shared" si="5"/>
        <v>1003430.438</v>
      </c>
      <c r="I544" s="33"/>
      <c r="J544" s="15"/>
      <c r="K544" s="15">
        <f t="shared" si="4"/>
        <v>5781670.618</v>
      </c>
      <c r="L544" s="45"/>
      <c r="M544" s="24">
        <v>45737.0</v>
      </c>
    </row>
    <row r="545" ht="15.75" customHeight="1">
      <c r="A545" s="39">
        <v>45730.0</v>
      </c>
      <c r="B545" s="45"/>
      <c r="C545" s="31" t="s">
        <v>441</v>
      </c>
      <c r="D545" s="32" t="s">
        <v>15</v>
      </c>
      <c r="E545" s="31" t="s">
        <v>604</v>
      </c>
      <c r="F545" s="30">
        <v>45713.0</v>
      </c>
      <c r="G545" s="22">
        <v>8309560.87</v>
      </c>
      <c r="H545" s="14">
        <f t="shared" si="5"/>
        <v>1745007.783</v>
      </c>
      <c r="I545" s="33"/>
      <c r="J545" s="23">
        <v>74786.05</v>
      </c>
      <c r="K545" s="15">
        <f t="shared" si="4"/>
        <v>10129354.7</v>
      </c>
      <c r="L545" s="45"/>
      <c r="M545" s="24">
        <v>45744.0</v>
      </c>
    </row>
    <row r="546" ht="15.75" customHeight="1">
      <c r="A546" s="39">
        <v>45730.0</v>
      </c>
      <c r="B546" s="45"/>
      <c r="C546" s="31" t="s">
        <v>196</v>
      </c>
      <c r="D546" s="32" t="s">
        <v>15</v>
      </c>
      <c r="E546" s="31" t="s">
        <v>605</v>
      </c>
      <c r="F546" s="30">
        <v>45713.0</v>
      </c>
      <c r="G546" s="22">
        <v>1002960.42</v>
      </c>
      <c r="H546" s="14">
        <f t="shared" si="5"/>
        <v>210621.6882</v>
      </c>
      <c r="I546" s="33"/>
      <c r="J546" s="15"/>
      <c r="K546" s="15">
        <f t="shared" si="4"/>
        <v>1213582.108</v>
      </c>
      <c r="L546" s="45"/>
      <c r="M546" s="6"/>
    </row>
    <row r="547" ht="15.75" customHeight="1">
      <c r="A547" s="39">
        <v>45730.0</v>
      </c>
      <c r="B547" s="45"/>
      <c r="C547" s="31" t="s">
        <v>196</v>
      </c>
      <c r="D547" s="32" t="s">
        <v>15</v>
      </c>
      <c r="E547" s="31" t="s">
        <v>606</v>
      </c>
      <c r="F547" s="30">
        <v>45713.0</v>
      </c>
      <c r="G547" s="22">
        <v>2005281.43</v>
      </c>
      <c r="H547" s="14">
        <f t="shared" si="5"/>
        <v>421109.1003</v>
      </c>
      <c r="I547" s="54">
        <v>60158.44</v>
      </c>
      <c r="J547" s="23">
        <v>18047.53</v>
      </c>
      <c r="K547" s="15">
        <f t="shared" si="4"/>
        <v>2504596.5</v>
      </c>
      <c r="L547" s="45"/>
      <c r="M547" s="24">
        <v>45734.0</v>
      </c>
    </row>
    <row r="548" ht="15.75" customHeight="1">
      <c r="A548" s="39">
        <v>45730.0</v>
      </c>
      <c r="B548" s="45"/>
      <c r="C548" s="31" t="s">
        <v>607</v>
      </c>
      <c r="D548" s="32" t="s">
        <v>15</v>
      </c>
      <c r="E548" s="31" t="s">
        <v>608</v>
      </c>
      <c r="F548" s="30">
        <v>45713.0</v>
      </c>
      <c r="G548" s="22">
        <v>1.000023863E7</v>
      </c>
      <c r="H548" s="14">
        <f t="shared" si="5"/>
        <v>2100050.112</v>
      </c>
      <c r="I548" s="33"/>
      <c r="J548" s="15"/>
      <c r="K548" s="15">
        <f t="shared" si="4"/>
        <v>12100288.74</v>
      </c>
      <c r="L548" s="45"/>
      <c r="M548" s="24">
        <v>45730.0</v>
      </c>
    </row>
    <row r="549" ht="15.75" customHeight="1">
      <c r="A549" s="55">
        <v>45748.0</v>
      </c>
      <c r="B549" s="61"/>
      <c r="C549" s="34" t="s">
        <v>538</v>
      </c>
      <c r="D549" s="32" t="s">
        <v>99</v>
      </c>
      <c r="E549" s="20" t="s">
        <v>609</v>
      </c>
      <c r="F549" s="36">
        <v>45741.0</v>
      </c>
      <c r="G549" s="22">
        <v>1500046.04</v>
      </c>
      <c r="H549" s="14">
        <f t="shared" si="5"/>
        <v>315009.6684</v>
      </c>
      <c r="I549" s="22">
        <v>45001.38</v>
      </c>
      <c r="J549" s="45"/>
      <c r="K549" s="15">
        <f t="shared" si="4"/>
        <v>1860057.088</v>
      </c>
      <c r="L549" s="61"/>
      <c r="M549" s="62"/>
    </row>
    <row r="550" ht="15.75" customHeight="1">
      <c r="A550" s="55">
        <v>45748.0</v>
      </c>
      <c r="B550" s="61"/>
      <c r="C550" s="34" t="s">
        <v>538</v>
      </c>
      <c r="D550" s="32" t="s">
        <v>99</v>
      </c>
      <c r="E550" s="20" t="s">
        <v>610</v>
      </c>
      <c r="F550" s="36">
        <v>45741.0</v>
      </c>
      <c r="G550" s="22">
        <v>800182.07</v>
      </c>
      <c r="H550" s="14">
        <f t="shared" si="5"/>
        <v>168038.2347</v>
      </c>
      <c r="I550" s="22">
        <v>24005.46</v>
      </c>
      <c r="J550" s="45"/>
      <c r="K550" s="15">
        <f t="shared" si="4"/>
        <v>992225.7647</v>
      </c>
      <c r="L550" s="61"/>
      <c r="M550" s="62"/>
    </row>
    <row r="551" ht="15.75" customHeight="1">
      <c r="A551" s="55">
        <v>45748.0</v>
      </c>
      <c r="B551" s="61"/>
      <c r="C551" s="34" t="s">
        <v>611</v>
      </c>
      <c r="D551" s="32" t="s">
        <v>99</v>
      </c>
      <c r="E551" s="34" t="s">
        <v>612</v>
      </c>
      <c r="F551" s="36">
        <v>45741.0</v>
      </c>
      <c r="G551" s="22">
        <v>1.257953009E7</v>
      </c>
      <c r="H551" s="14">
        <f t="shared" si="5"/>
        <v>2641701.319</v>
      </c>
      <c r="I551" s="22">
        <v>377385.9</v>
      </c>
      <c r="J551" s="14"/>
      <c r="K551" s="15">
        <f t="shared" si="4"/>
        <v>15598617.31</v>
      </c>
      <c r="L551" s="61"/>
      <c r="M551" s="62"/>
    </row>
    <row r="552" ht="15.75" customHeight="1">
      <c r="A552" s="55">
        <v>45748.0</v>
      </c>
      <c r="B552" s="61"/>
      <c r="C552" s="34" t="s">
        <v>611</v>
      </c>
      <c r="D552" s="32" t="s">
        <v>99</v>
      </c>
      <c r="E552" s="20" t="s">
        <v>613</v>
      </c>
      <c r="F552" s="36">
        <v>45741.0</v>
      </c>
      <c r="G552" s="22">
        <v>1.233464002E7</v>
      </c>
      <c r="H552" s="14">
        <f t="shared" si="5"/>
        <v>2590274.404</v>
      </c>
      <c r="I552" s="22">
        <v>370039.2</v>
      </c>
      <c r="J552" s="45"/>
      <c r="K552" s="15">
        <f t="shared" si="4"/>
        <v>15294953.62</v>
      </c>
      <c r="L552" s="61"/>
      <c r="M552" s="62"/>
    </row>
    <row r="553" ht="15.75" customHeight="1">
      <c r="A553" s="39">
        <v>45730.0</v>
      </c>
      <c r="B553" s="45"/>
      <c r="C553" s="31" t="s">
        <v>140</v>
      </c>
      <c r="D553" s="32" t="s">
        <v>15</v>
      </c>
      <c r="E553" s="31" t="s">
        <v>614</v>
      </c>
      <c r="F553" s="30">
        <v>45713.0</v>
      </c>
      <c r="G553" s="22">
        <v>5004980.41</v>
      </c>
      <c r="H553" s="14">
        <f t="shared" si="5"/>
        <v>1051045.886</v>
      </c>
      <c r="I553" s="33"/>
      <c r="J553" s="15"/>
      <c r="K553" s="15">
        <f t="shared" si="4"/>
        <v>6056026.296</v>
      </c>
      <c r="L553" s="45"/>
      <c r="M553" s="24">
        <v>45730.0</v>
      </c>
    </row>
    <row r="554" ht="15.75" customHeight="1">
      <c r="A554" s="39">
        <v>45730.0</v>
      </c>
      <c r="B554" s="35" t="s">
        <v>200</v>
      </c>
      <c r="C554" s="31" t="s">
        <v>417</v>
      </c>
      <c r="D554" s="32" t="s">
        <v>15</v>
      </c>
      <c r="E554" s="31" t="s">
        <v>615</v>
      </c>
      <c r="F554" s="30">
        <v>45713.0</v>
      </c>
      <c r="G554" s="22">
        <v>1.050510824E7</v>
      </c>
      <c r="H554" s="14">
        <f t="shared" si="5"/>
        <v>2206072.73</v>
      </c>
      <c r="I554" s="54">
        <v>315153.25</v>
      </c>
      <c r="J554" s="15"/>
      <c r="K554" s="15">
        <f t="shared" si="4"/>
        <v>13026334.22</v>
      </c>
      <c r="L554" s="45"/>
      <c r="M554" s="24">
        <v>45733.0</v>
      </c>
    </row>
    <row r="555" ht="15.75" customHeight="1">
      <c r="A555" s="55">
        <v>45748.0</v>
      </c>
      <c r="B555" s="61"/>
      <c r="C555" s="34" t="s">
        <v>395</v>
      </c>
      <c r="D555" s="32" t="s">
        <v>99</v>
      </c>
      <c r="E555" s="20" t="s">
        <v>616</v>
      </c>
      <c r="F555" s="36">
        <v>45741.0</v>
      </c>
      <c r="G555" s="22">
        <v>4229430.29</v>
      </c>
      <c r="H555" s="14">
        <f t="shared" si="5"/>
        <v>888180.3609</v>
      </c>
      <c r="I555" s="22">
        <v>126882.91</v>
      </c>
      <c r="J555" s="22">
        <v>12688.29</v>
      </c>
      <c r="K555" s="15">
        <f t="shared" si="4"/>
        <v>5257181.851</v>
      </c>
      <c r="L555" s="61"/>
      <c r="M555" s="62"/>
    </row>
    <row r="556" ht="15.75" customHeight="1">
      <c r="A556" s="55">
        <v>45748.0</v>
      </c>
      <c r="B556" s="61"/>
      <c r="C556" s="34" t="s">
        <v>395</v>
      </c>
      <c r="D556" s="32" t="s">
        <v>99</v>
      </c>
      <c r="E556" s="20" t="s">
        <v>617</v>
      </c>
      <c r="F556" s="36">
        <v>45741.0</v>
      </c>
      <c r="G556" s="22">
        <v>3921960.35</v>
      </c>
      <c r="H556" s="14">
        <f t="shared" si="5"/>
        <v>823611.6735</v>
      </c>
      <c r="I556" s="22">
        <v>117658.81</v>
      </c>
      <c r="J556" s="22">
        <v>11765.88</v>
      </c>
      <c r="K556" s="15">
        <f t="shared" si="4"/>
        <v>4874996.714</v>
      </c>
      <c r="L556" s="61"/>
      <c r="M556" s="62"/>
    </row>
    <row r="557" ht="15.75" customHeight="1">
      <c r="A557" s="55">
        <v>45748.0</v>
      </c>
      <c r="B557" s="61"/>
      <c r="C557" s="34" t="s">
        <v>124</v>
      </c>
      <c r="D557" s="32" t="s">
        <v>99</v>
      </c>
      <c r="E557" s="20" t="s">
        <v>618</v>
      </c>
      <c r="F557" s="36">
        <v>45741.0</v>
      </c>
      <c r="G557" s="22">
        <v>1004880.69</v>
      </c>
      <c r="H557" s="14">
        <f t="shared" si="5"/>
        <v>211024.9449</v>
      </c>
      <c r="I557" s="45"/>
      <c r="J557" s="45"/>
      <c r="K557" s="15">
        <f t="shared" si="4"/>
        <v>1215905.635</v>
      </c>
      <c r="L557" s="61"/>
      <c r="M557" s="62"/>
    </row>
    <row r="558" ht="15.75" customHeight="1">
      <c r="A558" s="39">
        <v>45730.0</v>
      </c>
      <c r="B558" s="35" t="s">
        <v>200</v>
      </c>
      <c r="C558" s="31" t="s">
        <v>417</v>
      </c>
      <c r="D558" s="32" t="s">
        <v>15</v>
      </c>
      <c r="E558" s="31" t="s">
        <v>619</v>
      </c>
      <c r="F558" s="30">
        <v>45713.0</v>
      </c>
      <c r="G558" s="22">
        <v>8710508.15</v>
      </c>
      <c r="H558" s="14">
        <f t="shared" si="5"/>
        <v>1829206.712</v>
      </c>
      <c r="I558" s="54">
        <v>261315.24</v>
      </c>
      <c r="J558" s="15"/>
      <c r="K558" s="15">
        <f t="shared" si="4"/>
        <v>10801030.1</v>
      </c>
      <c r="L558" s="45"/>
      <c r="M558" s="24">
        <v>45733.0</v>
      </c>
    </row>
    <row r="559" ht="15.75" customHeight="1">
      <c r="A559" s="39">
        <v>45730.0</v>
      </c>
      <c r="B559" s="35" t="s">
        <v>200</v>
      </c>
      <c r="C559" s="31" t="s">
        <v>417</v>
      </c>
      <c r="D559" s="32" t="s">
        <v>15</v>
      </c>
      <c r="E559" s="32" t="s">
        <v>620</v>
      </c>
      <c r="F559" s="30">
        <v>45713.0</v>
      </c>
      <c r="G559" s="22">
        <v>1.550014608E7</v>
      </c>
      <c r="H559" s="14">
        <f t="shared" si="5"/>
        <v>3255030.677</v>
      </c>
      <c r="I559" s="54">
        <v>465004.38</v>
      </c>
      <c r="J559" s="15"/>
      <c r="K559" s="15">
        <f t="shared" si="4"/>
        <v>19220181.14</v>
      </c>
      <c r="L559" s="45"/>
      <c r="M559" s="24">
        <v>45733.0</v>
      </c>
    </row>
    <row r="560" ht="15.75" customHeight="1">
      <c r="A560" s="39">
        <v>45763.0</v>
      </c>
      <c r="B560" s="50"/>
      <c r="C560" s="31" t="s">
        <v>118</v>
      </c>
      <c r="D560" s="32" t="s">
        <v>15</v>
      </c>
      <c r="E560" s="31" t="s">
        <v>119</v>
      </c>
      <c r="F560" s="46">
        <v>45772.0</v>
      </c>
      <c r="G560" s="22">
        <v>1.200583012E7</v>
      </c>
      <c r="H560" s="14">
        <f t="shared" si="5"/>
        <v>2521224.325</v>
      </c>
      <c r="I560" s="22">
        <v>360174.9</v>
      </c>
      <c r="J560" s="14"/>
      <c r="K560" s="15">
        <f t="shared" si="4"/>
        <v>14887229.35</v>
      </c>
      <c r="L560" s="45"/>
      <c r="M560" s="24">
        <v>45768.0</v>
      </c>
    </row>
    <row r="561" ht="15.75" customHeight="1">
      <c r="A561" s="39">
        <v>45763.0</v>
      </c>
      <c r="B561" s="50"/>
      <c r="C561" s="31" t="s">
        <v>74</v>
      </c>
      <c r="D561" s="32" t="s">
        <v>15</v>
      </c>
      <c r="E561" s="31" t="s">
        <v>621</v>
      </c>
      <c r="F561" s="46">
        <v>45772.0</v>
      </c>
      <c r="G561" s="22">
        <v>1657370.84</v>
      </c>
      <c r="H561" s="14">
        <f t="shared" si="5"/>
        <v>348047.8764</v>
      </c>
      <c r="I561" s="22">
        <v>49721.13</v>
      </c>
      <c r="J561" s="22">
        <v>26517.93</v>
      </c>
      <c r="K561" s="15">
        <f t="shared" si="4"/>
        <v>2081657.776</v>
      </c>
      <c r="L561" s="45"/>
      <c r="M561" s="24">
        <v>45777.0</v>
      </c>
    </row>
    <row r="562" ht="15.75" customHeight="1">
      <c r="A562" s="55">
        <v>45748.0</v>
      </c>
      <c r="B562" s="61"/>
      <c r="C562" s="34" t="s">
        <v>124</v>
      </c>
      <c r="D562" s="35" t="s">
        <v>99</v>
      </c>
      <c r="E562" s="20" t="s">
        <v>622</v>
      </c>
      <c r="F562" s="36">
        <v>45741.0</v>
      </c>
      <c r="G562" s="22">
        <v>4502640.53</v>
      </c>
      <c r="H562" s="14">
        <f t="shared" si="5"/>
        <v>945554.5113</v>
      </c>
      <c r="I562" s="22">
        <v>135079.22</v>
      </c>
      <c r="J562" s="45"/>
      <c r="K562" s="15">
        <f t="shared" si="4"/>
        <v>5583274.261</v>
      </c>
      <c r="L562" s="61"/>
      <c r="M562" s="62"/>
    </row>
    <row r="563" ht="15.75" customHeight="1">
      <c r="A563" s="39">
        <v>45730.0</v>
      </c>
      <c r="B563" s="35" t="s">
        <v>200</v>
      </c>
      <c r="C563" s="31" t="s">
        <v>623</v>
      </c>
      <c r="D563" s="32" t="s">
        <v>15</v>
      </c>
      <c r="E563" s="31" t="s">
        <v>624</v>
      </c>
      <c r="F563" s="30">
        <v>45713.0</v>
      </c>
      <c r="G563" s="22">
        <v>8763621.26</v>
      </c>
      <c r="H563" s="14">
        <f t="shared" si="5"/>
        <v>1840360.465</v>
      </c>
      <c r="I563" s="54">
        <v>262908.64</v>
      </c>
      <c r="J563" s="23">
        <v>113927.08</v>
      </c>
      <c r="K563" s="15">
        <f t="shared" si="4"/>
        <v>10980817.44</v>
      </c>
      <c r="L563" s="45"/>
      <c r="M563" s="24">
        <v>45733.0</v>
      </c>
    </row>
    <row r="564" ht="15.75" customHeight="1">
      <c r="A564" s="39">
        <v>45730.0</v>
      </c>
      <c r="B564" s="35" t="s">
        <v>200</v>
      </c>
      <c r="C564" s="31" t="s">
        <v>623</v>
      </c>
      <c r="D564" s="32" t="s">
        <v>15</v>
      </c>
      <c r="E564" s="31" t="s">
        <v>625</v>
      </c>
      <c r="F564" s="30">
        <v>45713.0</v>
      </c>
      <c r="G564" s="22">
        <v>4827112.13</v>
      </c>
      <c r="H564" s="14">
        <f t="shared" si="5"/>
        <v>1013693.547</v>
      </c>
      <c r="I564" s="33"/>
      <c r="J564" s="23">
        <v>62752.46</v>
      </c>
      <c r="K564" s="15">
        <f t="shared" si="4"/>
        <v>5903558.137</v>
      </c>
      <c r="L564" s="45"/>
      <c r="M564" s="24">
        <v>45733.0</v>
      </c>
    </row>
    <row r="565" ht="15.75" customHeight="1">
      <c r="A565" s="39">
        <v>45750.0</v>
      </c>
      <c r="B565" s="45"/>
      <c r="C565" s="34" t="s">
        <v>260</v>
      </c>
      <c r="D565" s="35" t="s">
        <v>99</v>
      </c>
      <c r="E565" s="35" t="s">
        <v>626</v>
      </c>
      <c r="F565" s="46">
        <v>45772.0</v>
      </c>
      <c r="G565" s="22">
        <v>8828211.61</v>
      </c>
      <c r="H565" s="14">
        <f t="shared" si="5"/>
        <v>1853924.438</v>
      </c>
      <c r="I565" s="14"/>
      <c r="J565" s="14"/>
      <c r="K565" s="15">
        <f t="shared" si="4"/>
        <v>10682136.05</v>
      </c>
      <c r="L565" s="45"/>
      <c r="M565" s="24">
        <v>45763.0</v>
      </c>
    </row>
    <row r="566" ht="15.75" customHeight="1">
      <c r="A566" s="39">
        <v>45750.0</v>
      </c>
      <c r="B566" s="45"/>
      <c r="C566" s="34" t="s">
        <v>64</v>
      </c>
      <c r="D566" s="35" t="s">
        <v>99</v>
      </c>
      <c r="E566" s="20" t="s">
        <v>627</v>
      </c>
      <c r="F566" s="46">
        <v>45772.0</v>
      </c>
      <c r="G566" s="22">
        <v>9011930.26</v>
      </c>
      <c r="H566" s="14">
        <f t="shared" si="5"/>
        <v>1892505.355</v>
      </c>
      <c r="I566" s="22">
        <v>270357.91</v>
      </c>
      <c r="J566" s="14"/>
      <c r="K566" s="15">
        <f t="shared" si="4"/>
        <v>11174793.52</v>
      </c>
      <c r="L566" s="45"/>
      <c r="M566" s="24">
        <v>45754.0</v>
      </c>
    </row>
    <row r="567" ht="15.75" customHeight="1">
      <c r="A567" s="39">
        <v>45750.0</v>
      </c>
      <c r="B567" s="45"/>
      <c r="C567" s="34" t="s">
        <v>260</v>
      </c>
      <c r="D567" s="35" t="s">
        <v>99</v>
      </c>
      <c r="E567" s="19" t="s">
        <v>628</v>
      </c>
      <c r="F567" s="46">
        <v>45772.0</v>
      </c>
      <c r="G567" s="22">
        <v>1.283626205E7</v>
      </c>
      <c r="H567" s="14">
        <f t="shared" si="5"/>
        <v>2695615.031</v>
      </c>
      <c r="I567" s="45"/>
      <c r="J567" s="45"/>
      <c r="K567" s="15">
        <f t="shared" si="4"/>
        <v>15531877.08</v>
      </c>
      <c r="L567" s="45"/>
      <c r="M567" s="24">
        <v>45763.0</v>
      </c>
    </row>
    <row r="568" ht="15.75" customHeight="1">
      <c r="A568" s="39">
        <v>45750.0</v>
      </c>
      <c r="B568" s="45"/>
      <c r="C568" s="34" t="s">
        <v>64</v>
      </c>
      <c r="D568" s="35" t="s">
        <v>99</v>
      </c>
      <c r="E568" s="20" t="s">
        <v>629</v>
      </c>
      <c r="F568" s="46">
        <v>45772.0</v>
      </c>
      <c r="G568" s="22">
        <v>8009420.16</v>
      </c>
      <c r="H568" s="14">
        <f t="shared" si="5"/>
        <v>1681978.234</v>
      </c>
      <c r="I568" s="22">
        <v>240282.6</v>
      </c>
      <c r="J568" s="45"/>
      <c r="K568" s="15">
        <f t="shared" si="4"/>
        <v>9931680.994</v>
      </c>
      <c r="L568" s="45"/>
      <c r="M568" s="24">
        <v>45754.0</v>
      </c>
    </row>
    <row r="569" ht="15.75" customHeight="1">
      <c r="A569" s="39">
        <v>45730.0</v>
      </c>
      <c r="B569" s="35" t="s">
        <v>200</v>
      </c>
      <c r="C569" s="31" t="s">
        <v>623</v>
      </c>
      <c r="D569" s="32" t="s">
        <v>15</v>
      </c>
      <c r="E569" s="31" t="s">
        <v>630</v>
      </c>
      <c r="F569" s="30">
        <v>45713.0</v>
      </c>
      <c r="G569" s="22">
        <v>3828197.09</v>
      </c>
      <c r="H569" s="14">
        <f t="shared" si="5"/>
        <v>803921.3889</v>
      </c>
      <c r="I569" s="33"/>
      <c r="J569" s="15"/>
      <c r="K569" s="15">
        <f t="shared" si="4"/>
        <v>4632118.479</v>
      </c>
      <c r="L569" s="45"/>
      <c r="M569" s="24">
        <v>45733.0</v>
      </c>
    </row>
    <row r="570" ht="15.75" customHeight="1">
      <c r="A570" s="39">
        <v>45730.0</v>
      </c>
      <c r="B570" s="35" t="s">
        <v>200</v>
      </c>
      <c r="C570" s="31" t="s">
        <v>623</v>
      </c>
      <c r="D570" s="32" t="s">
        <v>15</v>
      </c>
      <c r="E570" s="31" t="s">
        <v>631</v>
      </c>
      <c r="F570" s="30">
        <v>45713.0</v>
      </c>
      <c r="G570" s="22">
        <v>3892819.12</v>
      </c>
      <c r="H570" s="14">
        <f t="shared" si="5"/>
        <v>817492.0152</v>
      </c>
      <c r="I570" s="54">
        <v>116784.57</v>
      </c>
      <c r="J570" s="23">
        <v>50606.65</v>
      </c>
      <c r="K570" s="15">
        <f t="shared" si="4"/>
        <v>4877702.355</v>
      </c>
      <c r="L570" s="45"/>
      <c r="M570" s="24">
        <v>45733.0</v>
      </c>
    </row>
    <row r="571" ht="15.75" customHeight="1">
      <c r="A571" s="39">
        <v>45750.0</v>
      </c>
      <c r="B571" s="32" t="s">
        <v>236</v>
      </c>
      <c r="C571" s="34" t="s">
        <v>260</v>
      </c>
      <c r="D571" s="35" t="s">
        <v>99</v>
      </c>
      <c r="E571" s="19" t="s">
        <v>632</v>
      </c>
      <c r="F571" s="46">
        <v>45772.0</v>
      </c>
      <c r="G571" s="22">
        <v>1.198348709E7</v>
      </c>
      <c r="H571" s="14">
        <f t="shared" si="5"/>
        <v>2516532.289</v>
      </c>
      <c r="I571" s="22"/>
      <c r="J571" s="45"/>
      <c r="K571" s="15">
        <f t="shared" si="4"/>
        <v>14500019.38</v>
      </c>
      <c r="L571" s="45"/>
      <c r="M571" s="24">
        <v>45763.0</v>
      </c>
    </row>
    <row r="572" ht="15.75" customHeight="1">
      <c r="A572" s="39">
        <v>45750.0</v>
      </c>
      <c r="B572" s="45"/>
      <c r="C572" s="34" t="s">
        <v>168</v>
      </c>
      <c r="D572" s="35" t="s">
        <v>99</v>
      </c>
      <c r="E572" s="34" t="s">
        <v>633</v>
      </c>
      <c r="F572" s="46">
        <v>45772.0</v>
      </c>
      <c r="G572" s="22">
        <v>1.074938008E7</v>
      </c>
      <c r="H572" s="14">
        <f t="shared" si="5"/>
        <v>2257369.817</v>
      </c>
      <c r="I572" s="22">
        <v>322481.4</v>
      </c>
      <c r="J572" s="45"/>
      <c r="K572" s="15">
        <f t="shared" si="4"/>
        <v>13329231.3</v>
      </c>
      <c r="L572" s="45"/>
      <c r="M572" s="6"/>
    </row>
    <row r="573" ht="15.75" customHeight="1">
      <c r="A573" s="39">
        <v>45730.0</v>
      </c>
      <c r="B573" s="35" t="s">
        <v>200</v>
      </c>
      <c r="C573" s="31" t="s">
        <v>623</v>
      </c>
      <c r="D573" s="32" t="s">
        <v>15</v>
      </c>
      <c r="E573" s="31" t="s">
        <v>634</v>
      </c>
      <c r="F573" s="30">
        <v>45713.0</v>
      </c>
      <c r="G573" s="22">
        <v>4736262.43</v>
      </c>
      <c r="H573" s="14">
        <f t="shared" si="5"/>
        <v>994615.1103</v>
      </c>
      <c r="I573" s="54">
        <v>142087.87</v>
      </c>
      <c r="J573" s="23">
        <v>61571.41</v>
      </c>
      <c r="K573" s="15">
        <f t="shared" si="4"/>
        <v>5934536.82</v>
      </c>
      <c r="L573" s="45"/>
      <c r="M573" s="24">
        <v>45733.0</v>
      </c>
    </row>
    <row r="574" ht="15.75" customHeight="1">
      <c r="A574" s="39">
        <v>45751.0</v>
      </c>
      <c r="B574" s="45"/>
      <c r="C574" s="34" t="s">
        <v>635</v>
      </c>
      <c r="D574" s="35" t="s">
        <v>99</v>
      </c>
      <c r="E574" s="20" t="s">
        <v>636</v>
      </c>
      <c r="F574" s="46">
        <v>45772.0</v>
      </c>
      <c r="G574" s="22">
        <v>1.382727141E7</v>
      </c>
      <c r="H574" s="14">
        <f t="shared" si="5"/>
        <v>2903726.996</v>
      </c>
      <c r="I574" s="22">
        <v>414818.14</v>
      </c>
      <c r="J574" s="14"/>
      <c r="K574" s="15">
        <f t="shared" si="4"/>
        <v>17145816.55</v>
      </c>
      <c r="L574" s="45"/>
      <c r="M574" s="24">
        <v>45769.0</v>
      </c>
    </row>
    <row r="575" ht="15.75" customHeight="1">
      <c r="A575" s="39">
        <v>45751.0</v>
      </c>
      <c r="B575" s="45"/>
      <c r="C575" s="34" t="s">
        <v>635</v>
      </c>
      <c r="D575" s="35" t="s">
        <v>99</v>
      </c>
      <c r="E575" s="20" t="s">
        <v>637</v>
      </c>
      <c r="F575" s="46">
        <v>45772.0</v>
      </c>
      <c r="G575" s="22">
        <v>7173626.29</v>
      </c>
      <c r="H575" s="14">
        <f t="shared" si="5"/>
        <v>1506461.521</v>
      </c>
      <c r="I575" s="22">
        <v>215208.79</v>
      </c>
      <c r="J575" s="45"/>
      <c r="K575" s="15">
        <f t="shared" si="4"/>
        <v>8895296.601</v>
      </c>
      <c r="L575" s="45"/>
      <c r="M575" s="24">
        <v>45769.0</v>
      </c>
    </row>
    <row r="576" ht="15.75" customHeight="1">
      <c r="A576" s="39">
        <v>45751.0</v>
      </c>
      <c r="B576" s="45"/>
      <c r="C576" s="34" t="s">
        <v>635</v>
      </c>
      <c r="D576" s="35" t="s">
        <v>99</v>
      </c>
      <c r="E576" s="20" t="s">
        <v>638</v>
      </c>
      <c r="F576" s="46">
        <v>45772.0</v>
      </c>
      <c r="G576" s="22">
        <v>1.183762651E7</v>
      </c>
      <c r="H576" s="14">
        <f t="shared" si="5"/>
        <v>2485901.567</v>
      </c>
      <c r="I576" s="22">
        <v>355128.8</v>
      </c>
      <c r="J576" s="45"/>
      <c r="K576" s="15">
        <f t="shared" si="4"/>
        <v>14678656.88</v>
      </c>
      <c r="L576" s="45"/>
      <c r="M576" s="24">
        <v>45769.0</v>
      </c>
    </row>
    <row r="577" ht="15.75" customHeight="1">
      <c r="A577" s="39">
        <v>45751.0</v>
      </c>
      <c r="B577" s="45"/>
      <c r="C577" s="35" t="s">
        <v>635</v>
      </c>
      <c r="D577" s="35" t="s">
        <v>99</v>
      </c>
      <c r="E577" s="20" t="s">
        <v>639</v>
      </c>
      <c r="F577" s="46">
        <v>45772.0</v>
      </c>
      <c r="G577" s="22">
        <v>1.372611814E7</v>
      </c>
      <c r="H577" s="14">
        <f t="shared" si="5"/>
        <v>2882484.809</v>
      </c>
      <c r="I577" s="22">
        <v>411783.54</v>
      </c>
      <c r="J577" s="45"/>
      <c r="K577" s="15">
        <f t="shared" si="4"/>
        <v>17020386.49</v>
      </c>
      <c r="L577" s="45"/>
      <c r="M577" s="24">
        <v>45769.0</v>
      </c>
    </row>
    <row r="578" ht="15.75" customHeight="1">
      <c r="A578" s="39">
        <v>45751.0</v>
      </c>
      <c r="B578" s="45"/>
      <c r="C578" s="34" t="s">
        <v>635</v>
      </c>
      <c r="D578" s="35" t="s">
        <v>99</v>
      </c>
      <c r="E578" s="20" t="s">
        <v>640</v>
      </c>
      <c r="F578" s="46">
        <v>45772.0</v>
      </c>
      <c r="G578" s="22">
        <v>1.762525108E7</v>
      </c>
      <c r="H578" s="14">
        <f t="shared" si="5"/>
        <v>3701302.727</v>
      </c>
      <c r="I578" s="22">
        <v>528757.53</v>
      </c>
      <c r="J578" s="45"/>
      <c r="K578" s="15">
        <f t="shared" si="4"/>
        <v>21855311.34</v>
      </c>
      <c r="L578" s="45"/>
      <c r="M578" s="24">
        <v>45769.0</v>
      </c>
    </row>
    <row r="579" ht="15.75" customHeight="1">
      <c r="A579" s="39">
        <v>45730.0</v>
      </c>
      <c r="B579" s="35" t="s">
        <v>200</v>
      </c>
      <c r="C579" s="31" t="s">
        <v>623</v>
      </c>
      <c r="D579" s="32" t="s">
        <v>15</v>
      </c>
      <c r="E579" s="31" t="s">
        <v>641</v>
      </c>
      <c r="F579" s="30">
        <v>45713.0</v>
      </c>
      <c r="G579" s="22">
        <v>3901921.11</v>
      </c>
      <c r="H579" s="14">
        <f t="shared" si="5"/>
        <v>819403.4331</v>
      </c>
      <c r="I579" s="33"/>
      <c r="J579" s="23">
        <v>50724.97</v>
      </c>
      <c r="K579" s="15">
        <f t="shared" si="4"/>
        <v>4772049.513</v>
      </c>
      <c r="L579" s="45"/>
      <c r="M579" s="24">
        <v>45733.0</v>
      </c>
    </row>
    <row r="580" ht="15.75" customHeight="1">
      <c r="A580" s="39">
        <v>45730.0</v>
      </c>
      <c r="B580" s="35" t="s">
        <v>200</v>
      </c>
      <c r="C580" s="31" t="s">
        <v>332</v>
      </c>
      <c r="D580" s="32" t="s">
        <v>15</v>
      </c>
      <c r="E580" s="31" t="s">
        <v>642</v>
      </c>
      <c r="F580" s="30">
        <v>45713.0</v>
      </c>
      <c r="G580" s="22">
        <v>1.663628115E7</v>
      </c>
      <c r="H580" s="14">
        <f t="shared" si="5"/>
        <v>3493619.042</v>
      </c>
      <c r="I580" s="54">
        <v>499088.43</v>
      </c>
      <c r="J580" s="15"/>
      <c r="K580" s="15">
        <f t="shared" si="4"/>
        <v>20628988.62</v>
      </c>
      <c r="L580" s="45"/>
      <c r="M580" s="24">
        <v>45733.0</v>
      </c>
    </row>
    <row r="581" ht="15.75" customHeight="1">
      <c r="A581" s="39">
        <v>45730.0</v>
      </c>
      <c r="B581" s="35" t="s">
        <v>200</v>
      </c>
      <c r="C581" s="31" t="s">
        <v>332</v>
      </c>
      <c r="D581" s="32" t="s">
        <v>15</v>
      </c>
      <c r="E581" s="31" t="s">
        <v>643</v>
      </c>
      <c r="F581" s="30">
        <v>45713.0</v>
      </c>
      <c r="G581" s="22">
        <v>1.202891809E7</v>
      </c>
      <c r="H581" s="14">
        <f t="shared" si="5"/>
        <v>2526072.799</v>
      </c>
      <c r="I581" s="33"/>
      <c r="J581" s="15"/>
      <c r="K581" s="15">
        <f t="shared" si="4"/>
        <v>14554990.89</v>
      </c>
      <c r="L581" s="45"/>
      <c r="M581" s="24">
        <v>45733.0</v>
      </c>
    </row>
    <row r="582" ht="15.75" customHeight="1">
      <c r="A582" s="55">
        <v>45733.0</v>
      </c>
      <c r="B582" s="61"/>
      <c r="C582" s="31" t="s">
        <v>332</v>
      </c>
      <c r="D582" s="32" t="s">
        <v>15</v>
      </c>
      <c r="E582" s="31" t="s">
        <v>644</v>
      </c>
      <c r="F582" s="30">
        <v>45713.0</v>
      </c>
      <c r="G582" s="22">
        <v>1.109827124E7</v>
      </c>
      <c r="H582" s="14">
        <f t="shared" si="5"/>
        <v>2330636.96</v>
      </c>
      <c r="I582" s="33"/>
      <c r="J582" s="15"/>
      <c r="K582" s="15">
        <f t="shared" si="4"/>
        <v>13428908.2</v>
      </c>
      <c r="L582" s="61"/>
      <c r="M582" s="62"/>
    </row>
    <row r="583" ht="15.75" customHeight="1">
      <c r="A583" s="55">
        <v>45733.0</v>
      </c>
      <c r="B583" s="41" t="s">
        <v>645</v>
      </c>
      <c r="C583" s="31" t="s">
        <v>332</v>
      </c>
      <c r="D583" s="32" t="s">
        <v>15</v>
      </c>
      <c r="E583" s="31" t="s">
        <v>646</v>
      </c>
      <c r="F583" s="30">
        <v>45713.0</v>
      </c>
      <c r="G583" s="22">
        <v>1.401928112E7</v>
      </c>
      <c r="H583" s="14">
        <f t="shared" si="5"/>
        <v>2944049.035</v>
      </c>
      <c r="I583" s="54">
        <v>420578.43</v>
      </c>
      <c r="J583" s="15"/>
      <c r="K583" s="15">
        <f t="shared" si="4"/>
        <v>17383908.59</v>
      </c>
      <c r="L583" s="61"/>
      <c r="M583" s="62"/>
    </row>
    <row r="584" ht="15.75" customHeight="1">
      <c r="A584" s="55">
        <v>45733.0</v>
      </c>
      <c r="B584" s="41" t="s">
        <v>645</v>
      </c>
      <c r="C584" s="31" t="s">
        <v>332</v>
      </c>
      <c r="D584" s="32" t="s">
        <v>15</v>
      </c>
      <c r="E584" s="31" t="s">
        <v>647</v>
      </c>
      <c r="F584" s="30">
        <v>45713.0</v>
      </c>
      <c r="G584" s="22">
        <v>9927271.14</v>
      </c>
      <c r="H584" s="14">
        <f t="shared" si="5"/>
        <v>2084726.939</v>
      </c>
      <c r="I584" s="54">
        <v>297818.13</v>
      </c>
      <c r="J584" s="15"/>
      <c r="K584" s="15">
        <f t="shared" si="4"/>
        <v>12309816.21</v>
      </c>
      <c r="L584" s="61"/>
      <c r="M584" s="62"/>
    </row>
    <row r="585" ht="15.75" customHeight="1">
      <c r="A585" s="39">
        <v>45733.0</v>
      </c>
      <c r="B585" s="45"/>
      <c r="C585" s="31" t="s">
        <v>332</v>
      </c>
      <c r="D585" s="32" t="s">
        <v>15</v>
      </c>
      <c r="E585" s="31" t="s">
        <v>648</v>
      </c>
      <c r="F585" s="30">
        <v>45713.0</v>
      </c>
      <c r="G585" s="22">
        <v>4983823.08</v>
      </c>
      <c r="H585" s="14">
        <f t="shared" si="5"/>
        <v>1046602.847</v>
      </c>
      <c r="I585" s="33"/>
      <c r="J585" s="15"/>
      <c r="K585" s="15">
        <f t="shared" si="4"/>
        <v>6030425.927</v>
      </c>
      <c r="L585" s="45"/>
      <c r="M585" s="24">
        <v>45736.0</v>
      </c>
    </row>
    <row r="586" ht="15.75" customHeight="1">
      <c r="A586" s="39">
        <v>45733.0</v>
      </c>
      <c r="B586" s="45"/>
      <c r="C586" s="31" t="s">
        <v>332</v>
      </c>
      <c r="D586" s="32" t="s">
        <v>15</v>
      </c>
      <c r="E586" s="31" t="s">
        <v>649</v>
      </c>
      <c r="F586" s="30">
        <v>45713.0</v>
      </c>
      <c r="G586" s="22">
        <v>7262611.15</v>
      </c>
      <c r="H586" s="14">
        <f t="shared" si="5"/>
        <v>1525148.342</v>
      </c>
      <c r="I586" s="54">
        <v>217878.33</v>
      </c>
      <c r="J586" s="15"/>
      <c r="K586" s="15">
        <f t="shared" si="4"/>
        <v>9005637.822</v>
      </c>
      <c r="L586" s="45"/>
      <c r="M586" s="24">
        <v>45736.0</v>
      </c>
    </row>
    <row r="587" ht="15.75" customHeight="1">
      <c r="A587" s="39">
        <v>45734.0</v>
      </c>
      <c r="B587" s="45"/>
      <c r="C587" s="31" t="s">
        <v>332</v>
      </c>
      <c r="D587" s="32" t="s">
        <v>15</v>
      </c>
      <c r="E587" s="31" t="s">
        <v>650</v>
      </c>
      <c r="F587" s="30">
        <v>45713.0</v>
      </c>
      <c r="G587" s="22">
        <v>5252611.24</v>
      </c>
      <c r="H587" s="14">
        <f t="shared" si="5"/>
        <v>1103048.36</v>
      </c>
      <c r="I587" s="33"/>
      <c r="J587" s="15"/>
      <c r="K587" s="15">
        <f t="shared" si="4"/>
        <v>6355659.6</v>
      </c>
      <c r="L587" s="45"/>
      <c r="M587" s="24">
        <v>45734.0</v>
      </c>
    </row>
    <row r="588" ht="15.75" customHeight="1">
      <c r="A588" s="39">
        <v>45734.0</v>
      </c>
      <c r="B588" s="45"/>
      <c r="C588" s="31" t="s">
        <v>332</v>
      </c>
      <c r="D588" s="32" t="s">
        <v>15</v>
      </c>
      <c r="E588" s="31" t="s">
        <v>651</v>
      </c>
      <c r="F588" s="30">
        <v>45713.0</v>
      </c>
      <c r="G588" s="22">
        <v>1.525191014E7</v>
      </c>
      <c r="H588" s="14">
        <f t="shared" si="5"/>
        <v>3202901.129</v>
      </c>
      <c r="I588" s="54">
        <v>457557.3</v>
      </c>
      <c r="J588" s="15"/>
      <c r="K588" s="15">
        <f t="shared" si="4"/>
        <v>18912368.57</v>
      </c>
      <c r="L588" s="45"/>
      <c r="M588" s="24">
        <v>45734.0</v>
      </c>
    </row>
    <row r="589" ht="15.75" customHeight="1">
      <c r="A589" s="39">
        <v>45734.0</v>
      </c>
      <c r="B589" s="45"/>
      <c r="C589" s="31" t="s">
        <v>332</v>
      </c>
      <c r="D589" s="32" t="s">
        <v>15</v>
      </c>
      <c r="E589" s="31" t="s">
        <v>652</v>
      </c>
      <c r="F589" s="30">
        <v>45713.0</v>
      </c>
      <c r="G589" s="22">
        <v>8272611.41</v>
      </c>
      <c r="H589" s="14">
        <f t="shared" si="5"/>
        <v>1737248.396</v>
      </c>
      <c r="I589" s="33"/>
      <c r="J589" s="15"/>
      <c r="K589" s="15">
        <f t="shared" si="4"/>
        <v>10009859.81</v>
      </c>
      <c r="L589" s="45"/>
      <c r="M589" s="24">
        <v>45734.0</v>
      </c>
    </row>
    <row r="590" ht="15.75" customHeight="1">
      <c r="A590" s="39">
        <v>45734.0</v>
      </c>
      <c r="B590" s="45"/>
      <c r="C590" s="31" t="s">
        <v>332</v>
      </c>
      <c r="D590" s="32" t="s">
        <v>15</v>
      </c>
      <c r="E590" s="31" t="s">
        <v>653</v>
      </c>
      <c r="F590" s="30">
        <v>45713.0</v>
      </c>
      <c r="G590" s="22">
        <v>7243242.06</v>
      </c>
      <c r="H590" s="14">
        <f t="shared" si="5"/>
        <v>1521080.833</v>
      </c>
      <c r="I590" s="33"/>
      <c r="J590" s="15"/>
      <c r="K590" s="15">
        <f t="shared" si="4"/>
        <v>8764322.893</v>
      </c>
      <c r="L590" s="45"/>
      <c r="M590" s="24">
        <v>45734.0</v>
      </c>
    </row>
    <row r="591" ht="15.75" customHeight="1">
      <c r="A591" s="39">
        <v>45734.0</v>
      </c>
      <c r="B591" s="45"/>
      <c r="C591" s="31" t="s">
        <v>332</v>
      </c>
      <c r="D591" s="32" t="s">
        <v>15</v>
      </c>
      <c r="E591" s="31" t="s">
        <v>654</v>
      </c>
      <c r="F591" s="30">
        <v>45713.0</v>
      </c>
      <c r="G591" s="22">
        <v>6728291.14</v>
      </c>
      <c r="H591" s="14">
        <f t="shared" si="5"/>
        <v>1412941.139</v>
      </c>
      <c r="I591" s="54">
        <v>201848.73</v>
      </c>
      <c r="J591" s="15"/>
      <c r="K591" s="15">
        <f t="shared" si="4"/>
        <v>8343081.009</v>
      </c>
      <c r="L591" s="45"/>
      <c r="M591" s="24">
        <v>45734.0</v>
      </c>
    </row>
    <row r="592" ht="15.75" customHeight="1">
      <c r="A592" s="39">
        <v>45734.0</v>
      </c>
      <c r="B592" s="45"/>
      <c r="C592" s="34" t="s">
        <v>168</v>
      </c>
      <c r="D592" s="35" t="s">
        <v>15</v>
      </c>
      <c r="E592" s="34" t="s">
        <v>655</v>
      </c>
      <c r="F592" s="30">
        <v>45741.0</v>
      </c>
      <c r="G592" s="22">
        <v>1.074798015E7</v>
      </c>
      <c r="H592" s="14">
        <f t="shared" si="5"/>
        <v>2257075.832</v>
      </c>
      <c r="I592" s="22">
        <v>322439.4</v>
      </c>
      <c r="J592" s="14"/>
      <c r="K592" s="15">
        <f t="shared" si="4"/>
        <v>13327495.38</v>
      </c>
      <c r="L592" s="45"/>
      <c r="M592" s="24">
        <v>45734.0</v>
      </c>
    </row>
    <row r="593" ht="15.75" customHeight="1">
      <c r="A593" s="39">
        <v>45734.0</v>
      </c>
      <c r="B593" s="35" t="s">
        <v>13</v>
      </c>
      <c r="C593" s="34" t="s">
        <v>527</v>
      </c>
      <c r="D593" s="35" t="s">
        <v>15</v>
      </c>
      <c r="E593" s="35" t="s">
        <v>656</v>
      </c>
      <c r="F593" s="30">
        <v>45741.0</v>
      </c>
      <c r="G593" s="22">
        <v>9507940.14</v>
      </c>
      <c r="H593" s="14">
        <f t="shared" si="5"/>
        <v>1996667.429</v>
      </c>
      <c r="I593" s="22">
        <v>285238.2</v>
      </c>
      <c r="J593" s="14"/>
      <c r="K593" s="15">
        <f t="shared" si="4"/>
        <v>11789845.77</v>
      </c>
      <c r="L593" s="116">
        <v>488142.0</v>
      </c>
      <c r="M593" s="24">
        <v>45734.0</v>
      </c>
    </row>
    <row r="594" ht="15.75" customHeight="1">
      <c r="A594" s="39">
        <v>45734.0</v>
      </c>
      <c r="B594" s="35" t="s">
        <v>13</v>
      </c>
      <c r="C594" s="34" t="s">
        <v>657</v>
      </c>
      <c r="D594" s="35" t="s">
        <v>15</v>
      </c>
      <c r="E594" s="34" t="s">
        <v>658</v>
      </c>
      <c r="F594" s="30">
        <v>45741.0</v>
      </c>
      <c r="G594" s="22">
        <v>9106922.38</v>
      </c>
      <c r="H594" s="14">
        <f t="shared" si="5"/>
        <v>1912453.7</v>
      </c>
      <c r="I594" s="22">
        <v>273207.67</v>
      </c>
      <c r="J594" s="14"/>
      <c r="K594" s="15">
        <f t="shared" si="4"/>
        <v>11292583.75</v>
      </c>
      <c r="L594" s="116">
        <v>1120111.0</v>
      </c>
      <c r="M594" s="24">
        <v>45734.0</v>
      </c>
    </row>
    <row r="595" ht="15.75" customHeight="1">
      <c r="A595" s="39">
        <v>45734.0</v>
      </c>
      <c r="B595" s="35" t="s">
        <v>13</v>
      </c>
      <c r="C595" s="34" t="s">
        <v>64</v>
      </c>
      <c r="D595" s="35" t="s">
        <v>15</v>
      </c>
      <c r="E595" s="34" t="s">
        <v>659</v>
      </c>
      <c r="F595" s="30">
        <v>45741.0</v>
      </c>
      <c r="G595" s="22">
        <v>1.202194008E7</v>
      </c>
      <c r="H595" s="14">
        <f t="shared" si="5"/>
        <v>2524607.417</v>
      </c>
      <c r="I595" s="14"/>
      <c r="J595" s="14"/>
      <c r="K595" s="15">
        <f t="shared" si="4"/>
        <v>14546547.5</v>
      </c>
      <c r="L595" s="45"/>
      <c r="M595" s="24">
        <v>45734.0</v>
      </c>
    </row>
    <row r="596" ht="15.75" customHeight="1">
      <c r="A596" s="39">
        <v>45734.0</v>
      </c>
      <c r="B596" s="35" t="s">
        <v>13</v>
      </c>
      <c r="C596" s="34" t="s">
        <v>657</v>
      </c>
      <c r="D596" s="35" t="s">
        <v>15</v>
      </c>
      <c r="E596" s="34" t="s">
        <v>660</v>
      </c>
      <c r="F596" s="30">
        <v>45741.0</v>
      </c>
      <c r="G596" s="22">
        <v>6905019.56</v>
      </c>
      <c r="H596" s="14">
        <f t="shared" si="5"/>
        <v>1450054.108</v>
      </c>
      <c r="I596" s="22">
        <v>207150.59</v>
      </c>
      <c r="J596" s="14"/>
      <c r="K596" s="15">
        <f t="shared" si="4"/>
        <v>8562224.258</v>
      </c>
      <c r="L596" s="45"/>
      <c r="M596" s="24">
        <v>45734.0</v>
      </c>
    </row>
    <row r="597" ht="15.75" customHeight="1">
      <c r="A597" s="55">
        <v>45736.0</v>
      </c>
      <c r="B597" s="41" t="s">
        <v>13</v>
      </c>
      <c r="C597" s="34" t="s">
        <v>332</v>
      </c>
      <c r="D597" s="35" t="s">
        <v>15</v>
      </c>
      <c r="E597" s="34" t="s">
        <v>661</v>
      </c>
      <c r="F597" s="36">
        <v>45741.0</v>
      </c>
      <c r="G597" s="22">
        <v>7890241.32</v>
      </c>
      <c r="H597" s="14">
        <f t="shared" si="5"/>
        <v>1656950.677</v>
      </c>
      <c r="I597" s="22">
        <v>236707.24</v>
      </c>
      <c r="J597" s="14"/>
      <c r="K597" s="15">
        <f t="shared" si="4"/>
        <v>9783899.237</v>
      </c>
      <c r="L597" s="61"/>
      <c r="M597" s="62"/>
    </row>
    <row r="598" ht="15.75" customHeight="1">
      <c r="A598" s="55">
        <v>45736.0</v>
      </c>
      <c r="B598" s="41" t="s">
        <v>13</v>
      </c>
      <c r="C598" s="34" t="s">
        <v>332</v>
      </c>
      <c r="D598" s="35" t="s">
        <v>15</v>
      </c>
      <c r="E598" s="34" t="s">
        <v>662</v>
      </c>
      <c r="F598" s="36">
        <v>45741.0</v>
      </c>
      <c r="G598" s="22">
        <v>1.323392802E7</v>
      </c>
      <c r="H598" s="14">
        <f t="shared" si="5"/>
        <v>2779124.884</v>
      </c>
      <c r="I598" s="22">
        <v>397017.84</v>
      </c>
      <c r="J598" s="14"/>
      <c r="K598" s="15">
        <f t="shared" si="4"/>
        <v>16410070.74</v>
      </c>
      <c r="L598" s="61"/>
      <c r="M598" s="62"/>
    </row>
    <row r="599" ht="15.75" customHeight="1">
      <c r="A599" s="55">
        <v>45736.0</v>
      </c>
      <c r="B599" s="41" t="s">
        <v>13</v>
      </c>
      <c r="C599" s="34" t="s">
        <v>332</v>
      </c>
      <c r="D599" s="35" t="s">
        <v>15</v>
      </c>
      <c r="E599" s="34" t="s">
        <v>663</v>
      </c>
      <c r="F599" s="36">
        <v>45741.0</v>
      </c>
      <c r="G599" s="22">
        <v>4212919.02</v>
      </c>
      <c r="H599" s="14">
        <f t="shared" si="5"/>
        <v>884712.9942</v>
      </c>
      <c r="I599" s="14"/>
      <c r="J599" s="14"/>
      <c r="K599" s="15">
        <f t="shared" si="4"/>
        <v>5097632.014</v>
      </c>
      <c r="L599" s="61"/>
      <c r="M599" s="62"/>
    </row>
    <row r="600" ht="15.75" customHeight="1">
      <c r="A600" s="55">
        <v>45736.0</v>
      </c>
      <c r="B600" s="41" t="s">
        <v>13</v>
      </c>
      <c r="C600" s="34" t="s">
        <v>332</v>
      </c>
      <c r="D600" s="35" t="s">
        <v>15</v>
      </c>
      <c r="E600" s="34" t="s">
        <v>664</v>
      </c>
      <c r="F600" s="36">
        <v>45741.0</v>
      </c>
      <c r="G600" s="22">
        <v>3901132.06</v>
      </c>
      <c r="H600" s="14">
        <f t="shared" si="5"/>
        <v>819237.7326</v>
      </c>
      <c r="I600" s="22">
        <v>117033.96</v>
      </c>
      <c r="J600" s="14"/>
      <c r="K600" s="15">
        <f t="shared" si="4"/>
        <v>4837403.753</v>
      </c>
      <c r="L600" s="61"/>
      <c r="M600" s="62"/>
    </row>
    <row r="601" ht="15.75" customHeight="1">
      <c r="A601" s="39">
        <v>45754.0</v>
      </c>
      <c r="B601" s="50"/>
      <c r="C601" s="31" t="s">
        <v>665</v>
      </c>
      <c r="D601" s="32" t="s">
        <v>99</v>
      </c>
      <c r="E601" s="31" t="s">
        <v>666</v>
      </c>
      <c r="F601" s="46">
        <v>45772.0</v>
      </c>
      <c r="G601" s="22">
        <v>3109480.14</v>
      </c>
      <c r="H601" s="14">
        <f t="shared" si="5"/>
        <v>652990.8294</v>
      </c>
      <c r="I601" s="22">
        <v>93284.4</v>
      </c>
      <c r="J601" s="14"/>
      <c r="K601" s="15">
        <f t="shared" si="4"/>
        <v>3855755.369</v>
      </c>
      <c r="L601" s="45"/>
      <c r="M601" s="24">
        <v>45762.0</v>
      </c>
    </row>
    <row r="602" ht="15.75" customHeight="1">
      <c r="A602" s="39">
        <v>45755.0</v>
      </c>
      <c r="B602" s="50"/>
      <c r="C602" s="31" t="s">
        <v>506</v>
      </c>
      <c r="D602" s="32" t="s">
        <v>99</v>
      </c>
      <c r="E602" s="31" t="s">
        <v>667</v>
      </c>
      <c r="F602" s="46">
        <v>45772.0</v>
      </c>
      <c r="G602" s="22">
        <v>1.338271125E7</v>
      </c>
      <c r="H602" s="14">
        <f t="shared" si="5"/>
        <v>2810369.363</v>
      </c>
      <c r="I602" s="22">
        <v>401481.34</v>
      </c>
      <c r="J602" s="14"/>
      <c r="K602" s="15">
        <f t="shared" si="4"/>
        <v>16594561.95</v>
      </c>
      <c r="L602" s="45"/>
      <c r="M602" s="24">
        <v>45758.0</v>
      </c>
    </row>
    <row r="603" ht="15.75" customHeight="1">
      <c r="A603" s="39">
        <v>45755.0</v>
      </c>
      <c r="B603" s="50"/>
      <c r="C603" s="31" t="s">
        <v>506</v>
      </c>
      <c r="D603" s="32" t="s">
        <v>99</v>
      </c>
      <c r="E603" s="31" t="s">
        <v>668</v>
      </c>
      <c r="F603" s="46">
        <v>45772.0</v>
      </c>
      <c r="G603" s="22">
        <v>1.232236151E7</v>
      </c>
      <c r="H603" s="14">
        <f t="shared" si="5"/>
        <v>2587695.917</v>
      </c>
      <c r="I603" s="22">
        <v>369670.85</v>
      </c>
      <c r="J603" s="116"/>
      <c r="K603" s="15">
        <f t="shared" si="4"/>
        <v>15279728.28</v>
      </c>
      <c r="L603" s="45"/>
      <c r="M603" s="24">
        <v>45758.0</v>
      </c>
    </row>
    <row r="604" ht="15.75" customHeight="1">
      <c r="A604" s="39">
        <v>45755.0</v>
      </c>
      <c r="B604" s="50"/>
      <c r="C604" s="31" t="s">
        <v>506</v>
      </c>
      <c r="D604" s="32" t="s">
        <v>99</v>
      </c>
      <c r="E604" s="31" t="s">
        <v>669</v>
      </c>
      <c r="F604" s="46">
        <v>45772.0</v>
      </c>
      <c r="G604" s="22">
        <v>1.028281116E7</v>
      </c>
      <c r="H604" s="14">
        <f t="shared" si="5"/>
        <v>2159390.344</v>
      </c>
      <c r="I604" s="22">
        <v>308484.33</v>
      </c>
      <c r="J604" s="45"/>
      <c r="K604" s="15">
        <f t="shared" si="4"/>
        <v>12750685.83</v>
      </c>
      <c r="L604" s="45"/>
      <c r="M604" s="24">
        <v>45758.0</v>
      </c>
    </row>
    <row r="605" ht="15.75" customHeight="1">
      <c r="A605" s="39">
        <v>45755.0</v>
      </c>
      <c r="B605" s="50"/>
      <c r="C605" s="31" t="s">
        <v>410</v>
      </c>
      <c r="D605" s="32" t="s">
        <v>99</v>
      </c>
      <c r="E605" s="31" t="s">
        <v>670</v>
      </c>
      <c r="F605" s="46">
        <v>45772.0</v>
      </c>
      <c r="G605" s="22">
        <v>6011830.52</v>
      </c>
      <c r="H605" s="14">
        <f t="shared" si="5"/>
        <v>1262484.409</v>
      </c>
      <c r="I605" s="22"/>
      <c r="J605" s="45"/>
      <c r="K605" s="15">
        <f t="shared" si="4"/>
        <v>7274314.929</v>
      </c>
      <c r="L605" s="45"/>
      <c r="M605" s="24">
        <v>45757.0</v>
      </c>
    </row>
    <row r="606" ht="15.75" customHeight="1">
      <c r="A606" s="55">
        <v>45736.0</v>
      </c>
      <c r="B606" s="41" t="s">
        <v>13</v>
      </c>
      <c r="C606" s="34" t="s">
        <v>332</v>
      </c>
      <c r="D606" s="35" t="s">
        <v>15</v>
      </c>
      <c r="E606" s="34" t="s">
        <v>671</v>
      </c>
      <c r="F606" s="36">
        <v>45741.0</v>
      </c>
      <c r="G606" s="22">
        <v>4500365.05</v>
      </c>
      <c r="H606" s="14">
        <f t="shared" si="5"/>
        <v>945076.6605</v>
      </c>
      <c r="I606" s="14"/>
      <c r="J606" s="14"/>
      <c r="K606" s="15">
        <f t="shared" si="4"/>
        <v>5445441.711</v>
      </c>
      <c r="L606" s="61"/>
      <c r="M606" s="62"/>
    </row>
    <row r="607" ht="15.75" customHeight="1">
      <c r="A607" s="39">
        <v>45736.0</v>
      </c>
      <c r="B607" s="35" t="s">
        <v>236</v>
      </c>
      <c r="C607" s="34" t="s">
        <v>332</v>
      </c>
      <c r="D607" s="35" t="s">
        <v>15</v>
      </c>
      <c r="E607" s="34" t="s">
        <v>672</v>
      </c>
      <c r="F607" s="36">
        <v>45741.0</v>
      </c>
      <c r="G607" s="22">
        <v>5817122.05</v>
      </c>
      <c r="H607" s="14">
        <f t="shared" si="5"/>
        <v>1221595.631</v>
      </c>
      <c r="I607" s="14"/>
      <c r="J607" s="14"/>
      <c r="K607" s="15">
        <f t="shared" si="4"/>
        <v>7038717.681</v>
      </c>
      <c r="L607" s="45"/>
      <c r="M607" s="6"/>
    </row>
    <row r="608" ht="15.75" customHeight="1">
      <c r="A608" s="39">
        <v>45736.0</v>
      </c>
      <c r="B608" s="35" t="s">
        <v>13</v>
      </c>
      <c r="C608" s="35" t="s">
        <v>53</v>
      </c>
      <c r="D608" s="35" t="s">
        <v>15</v>
      </c>
      <c r="E608" s="34" t="s">
        <v>673</v>
      </c>
      <c r="F608" s="36">
        <v>45741.0</v>
      </c>
      <c r="G608" s="37">
        <f>2504983.87/1.21</f>
        <v>2070234.603</v>
      </c>
      <c r="H608" s="14">
        <f t="shared" si="5"/>
        <v>434749.2667</v>
      </c>
      <c r="I608" s="14"/>
      <c r="J608" s="14"/>
      <c r="K608" s="15">
        <f t="shared" si="4"/>
        <v>2504983.87</v>
      </c>
      <c r="L608" s="45"/>
      <c r="M608" s="6"/>
    </row>
    <row r="609" ht="15.75" customHeight="1">
      <c r="A609" s="55">
        <v>45736.0</v>
      </c>
      <c r="B609" s="41" t="s">
        <v>13</v>
      </c>
      <c r="C609" s="34" t="s">
        <v>108</v>
      </c>
      <c r="D609" s="35" t="s">
        <v>15</v>
      </c>
      <c r="E609" s="34" t="s">
        <v>674</v>
      </c>
      <c r="F609" s="36">
        <v>45741.0</v>
      </c>
      <c r="G609" s="22">
        <v>5102811.13</v>
      </c>
      <c r="H609" s="14">
        <f t="shared" si="5"/>
        <v>1071590.337</v>
      </c>
      <c r="I609" s="14"/>
      <c r="J609" s="14"/>
      <c r="K609" s="15">
        <f t="shared" si="4"/>
        <v>6174401.467</v>
      </c>
      <c r="L609" s="61"/>
      <c r="M609" s="62"/>
    </row>
    <row r="610" ht="15.75" customHeight="1">
      <c r="A610" s="39">
        <v>45736.0</v>
      </c>
      <c r="B610" s="35" t="s">
        <v>236</v>
      </c>
      <c r="C610" s="34" t="s">
        <v>108</v>
      </c>
      <c r="D610" s="35" t="s">
        <v>15</v>
      </c>
      <c r="E610" s="34" t="s">
        <v>675</v>
      </c>
      <c r="F610" s="36">
        <v>45741.0</v>
      </c>
      <c r="G610" s="22">
        <v>4119281.0</v>
      </c>
      <c r="H610" s="14">
        <f t="shared" si="5"/>
        <v>865049.01</v>
      </c>
      <c r="I610" s="22">
        <v>123578.43</v>
      </c>
      <c r="J610" s="14"/>
      <c r="K610" s="15">
        <f t="shared" si="4"/>
        <v>5107908.44</v>
      </c>
      <c r="L610" s="45"/>
      <c r="M610" s="6"/>
    </row>
    <row r="611" ht="15.75" customHeight="1">
      <c r="A611" s="39">
        <v>45736.0</v>
      </c>
      <c r="B611" s="35" t="s">
        <v>236</v>
      </c>
      <c r="C611" s="34" t="s">
        <v>108</v>
      </c>
      <c r="D611" s="35" t="s">
        <v>15</v>
      </c>
      <c r="E611" s="34" t="s">
        <v>676</v>
      </c>
      <c r="F611" s="36">
        <v>45741.0</v>
      </c>
      <c r="G611" s="22">
        <v>7829129.03</v>
      </c>
      <c r="H611" s="14">
        <f t="shared" si="5"/>
        <v>1644117.096</v>
      </c>
      <c r="I611" s="22">
        <v>234873.87</v>
      </c>
      <c r="J611" s="14"/>
      <c r="K611" s="15">
        <f t="shared" si="4"/>
        <v>9708119.996</v>
      </c>
      <c r="L611" s="45"/>
      <c r="M611" s="6"/>
    </row>
    <row r="612" ht="15.75" customHeight="1">
      <c r="A612" s="39">
        <v>45736.0</v>
      </c>
      <c r="B612" s="35" t="s">
        <v>236</v>
      </c>
      <c r="C612" s="34" t="s">
        <v>108</v>
      </c>
      <c r="D612" s="35" t="s">
        <v>15</v>
      </c>
      <c r="E612" s="34" t="s">
        <v>677</v>
      </c>
      <c r="F612" s="36">
        <v>45741.0</v>
      </c>
      <c r="G612" s="22">
        <v>7219181.34</v>
      </c>
      <c r="H612" s="14">
        <f t="shared" si="5"/>
        <v>1516028.081</v>
      </c>
      <c r="I612" s="14"/>
      <c r="J612" s="14"/>
      <c r="K612" s="15">
        <f t="shared" si="4"/>
        <v>8735209.421</v>
      </c>
      <c r="L612" s="45"/>
      <c r="M612" s="6"/>
    </row>
    <row r="613" ht="15.75" customHeight="1">
      <c r="A613" s="39">
        <v>45736.0</v>
      </c>
      <c r="B613" s="35" t="s">
        <v>236</v>
      </c>
      <c r="C613" s="34" t="s">
        <v>108</v>
      </c>
      <c r="D613" s="35" t="s">
        <v>15</v>
      </c>
      <c r="E613" s="34" t="s">
        <v>678</v>
      </c>
      <c r="F613" s="36">
        <v>45741.0</v>
      </c>
      <c r="G613" s="22">
        <v>3953723.36</v>
      </c>
      <c r="H613" s="14">
        <f t="shared" si="5"/>
        <v>830281.9056</v>
      </c>
      <c r="I613" s="14"/>
      <c r="J613" s="14"/>
      <c r="K613" s="15">
        <f t="shared" si="4"/>
        <v>4784005.266</v>
      </c>
      <c r="L613" s="45"/>
      <c r="M613" s="6"/>
    </row>
    <row r="614" ht="15.75" customHeight="1">
      <c r="A614" s="39">
        <v>45737.0</v>
      </c>
      <c r="B614" s="35" t="s">
        <v>236</v>
      </c>
      <c r="C614" s="34" t="s">
        <v>108</v>
      </c>
      <c r="D614" s="35" t="s">
        <v>15</v>
      </c>
      <c r="E614" s="34" t="s">
        <v>679</v>
      </c>
      <c r="F614" s="36">
        <v>45741.0</v>
      </c>
      <c r="G614" s="22">
        <v>1.272525105E7</v>
      </c>
      <c r="H614" s="14">
        <f t="shared" si="5"/>
        <v>2672302.721</v>
      </c>
      <c r="I614" s="22">
        <v>381757.53</v>
      </c>
      <c r="J614" s="14"/>
      <c r="K614" s="15">
        <f t="shared" si="4"/>
        <v>15779311.3</v>
      </c>
      <c r="L614" s="45"/>
      <c r="M614" s="6"/>
    </row>
    <row r="615" ht="15.75" customHeight="1">
      <c r="A615" s="39">
        <v>45737.0</v>
      </c>
      <c r="B615" s="35" t="s">
        <v>236</v>
      </c>
      <c r="C615" s="34" t="s">
        <v>93</v>
      </c>
      <c r="D615" s="35" t="s">
        <v>15</v>
      </c>
      <c r="E615" s="34" t="s">
        <v>680</v>
      </c>
      <c r="F615" s="36">
        <v>45741.0</v>
      </c>
      <c r="G615" s="22">
        <v>3615129.42</v>
      </c>
      <c r="H615" s="14">
        <f t="shared" si="5"/>
        <v>759177.1782</v>
      </c>
      <c r="I615" s="14"/>
      <c r="J615" s="14"/>
      <c r="K615" s="15">
        <f t="shared" si="4"/>
        <v>4374306.598</v>
      </c>
      <c r="L615" s="45"/>
      <c r="M615" s="6"/>
    </row>
    <row r="616" ht="15.75" customHeight="1">
      <c r="A616" s="39">
        <v>45756.0</v>
      </c>
      <c r="B616" s="50"/>
      <c r="C616" s="31" t="s">
        <v>546</v>
      </c>
      <c r="D616" s="32" t="s">
        <v>99</v>
      </c>
      <c r="E616" s="31" t="s">
        <v>681</v>
      </c>
      <c r="F616" s="46">
        <v>45772.0</v>
      </c>
      <c r="G616" s="22">
        <v>8448250.28</v>
      </c>
      <c r="H616" s="14">
        <f t="shared" si="5"/>
        <v>1774132.559</v>
      </c>
      <c r="I616" s="45"/>
      <c r="J616" s="45"/>
      <c r="K616" s="15">
        <f t="shared" si="4"/>
        <v>10222382.84</v>
      </c>
      <c r="L616" s="45"/>
      <c r="M616" s="24">
        <v>45757.0</v>
      </c>
    </row>
    <row r="617" ht="15.75" customHeight="1">
      <c r="A617" s="39">
        <v>45756.0</v>
      </c>
      <c r="B617" s="50"/>
      <c r="C617" s="31" t="s">
        <v>546</v>
      </c>
      <c r="D617" s="32" t="s">
        <v>99</v>
      </c>
      <c r="E617" s="31" t="s">
        <v>682</v>
      </c>
      <c r="F617" s="46">
        <v>45772.0</v>
      </c>
      <c r="G617" s="22">
        <v>7968820.28</v>
      </c>
      <c r="H617" s="14">
        <f t="shared" si="5"/>
        <v>1673452.259</v>
      </c>
      <c r="I617" s="14"/>
      <c r="J617" s="14"/>
      <c r="K617" s="15">
        <f t="shared" si="4"/>
        <v>9642272.539</v>
      </c>
      <c r="L617" s="45"/>
      <c r="M617" s="24">
        <v>45757.0</v>
      </c>
    </row>
    <row r="618" ht="15.75" customHeight="1">
      <c r="A618" s="39">
        <v>45756.0</v>
      </c>
      <c r="B618" s="50"/>
      <c r="C618" s="31" t="s">
        <v>546</v>
      </c>
      <c r="D618" s="32" t="s">
        <v>99</v>
      </c>
      <c r="E618" s="31" t="s">
        <v>683</v>
      </c>
      <c r="F618" s="46">
        <v>45772.0</v>
      </c>
      <c r="G618" s="22">
        <v>8591340.51</v>
      </c>
      <c r="H618" s="14">
        <f t="shared" si="5"/>
        <v>1804181.507</v>
      </c>
      <c r="I618" s="45"/>
      <c r="J618" s="45"/>
      <c r="K618" s="15">
        <f t="shared" si="4"/>
        <v>10395522.02</v>
      </c>
      <c r="L618" s="45"/>
      <c r="M618" s="24">
        <v>45757.0</v>
      </c>
    </row>
    <row r="619" ht="15.75" customHeight="1">
      <c r="A619" s="39">
        <v>45737.0</v>
      </c>
      <c r="B619" s="35" t="s">
        <v>236</v>
      </c>
      <c r="C619" s="34" t="s">
        <v>93</v>
      </c>
      <c r="D619" s="35" t="s">
        <v>15</v>
      </c>
      <c r="E619" s="34" t="s">
        <v>684</v>
      </c>
      <c r="F619" s="36">
        <v>45741.0</v>
      </c>
      <c r="G619" s="22">
        <v>2681921.09</v>
      </c>
      <c r="H619" s="14">
        <f t="shared" si="5"/>
        <v>563203.4289</v>
      </c>
      <c r="I619" s="14"/>
      <c r="J619" s="14"/>
      <c r="K619" s="15">
        <f t="shared" si="4"/>
        <v>3245124.519</v>
      </c>
      <c r="L619" s="45"/>
      <c r="M619" s="6"/>
    </row>
    <row r="620" ht="15.75" customHeight="1">
      <c r="A620" s="55">
        <v>45741.0</v>
      </c>
      <c r="B620" s="61"/>
      <c r="C620" s="34" t="s">
        <v>93</v>
      </c>
      <c r="D620" s="35" t="s">
        <v>15</v>
      </c>
      <c r="E620" s="34" t="s">
        <v>685</v>
      </c>
      <c r="F620" s="36">
        <v>45741.0</v>
      </c>
      <c r="G620" s="22">
        <v>6382911.04</v>
      </c>
      <c r="H620" s="14">
        <f t="shared" si="5"/>
        <v>1340411.318</v>
      </c>
      <c r="I620" s="22">
        <v>191487.33</v>
      </c>
      <c r="J620" s="14"/>
      <c r="K620" s="15">
        <f t="shared" si="4"/>
        <v>7914809.688</v>
      </c>
      <c r="L620" s="61"/>
      <c r="M620" s="62"/>
    </row>
    <row r="621" ht="15.75" customHeight="1">
      <c r="A621" s="39">
        <v>45757.0</v>
      </c>
      <c r="B621" s="50"/>
      <c r="C621" s="31" t="s">
        <v>332</v>
      </c>
      <c r="D621" s="32" t="s">
        <v>99</v>
      </c>
      <c r="E621" s="31" t="s">
        <v>686</v>
      </c>
      <c r="F621" s="46">
        <v>45772.0</v>
      </c>
      <c r="G621" s="22">
        <v>1.348372012E7</v>
      </c>
      <c r="H621" s="14">
        <f t="shared" si="5"/>
        <v>2831581.225</v>
      </c>
      <c r="I621" s="22">
        <v>404511.6</v>
      </c>
      <c r="J621" s="45"/>
      <c r="K621" s="15">
        <f t="shared" si="4"/>
        <v>16719812.95</v>
      </c>
      <c r="L621" s="45"/>
      <c r="M621" s="24">
        <v>45761.0</v>
      </c>
    </row>
    <row r="622" ht="15.75" customHeight="1">
      <c r="A622" s="39">
        <v>45757.0</v>
      </c>
      <c r="B622" s="50"/>
      <c r="C622" s="31" t="s">
        <v>332</v>
      </c>
      <c r="D622" s="32" t="s">
        <v>99</v>
      </c>
      <c r="E622" s="31" t="s">
        <v>687</v>
      </c>
      <c r="F622" s="46">
        <v>45772.0</v>
      </c>
      <c r="G622" s="22">
        <v>6352513.24</v>
      </c>
      <c r="H622" s="14">
        <f t="shared" si="5"/>
        <v>1334027.78</v>
      </c>
      <c r="I622" s="45"/>
      <c r="J622" s="45"/>
      <c r="K622" s="15">
        <f t="shared" si="4"/>
        <v>7686541.02</v>
      </c>
      <c r="L622" s="45"/>
      <c r="M622" s="24">
        <v>45761.0</v>
      </c>
    </row>
    <row r="623" ht="15.75" customHeight="1">
      <c r="A623" s="39">
        <v>45757.0</v>
      </c>
      <c r="B623" s="50"/>
      <c r="C623" s="31" t="s">
        <v>332</v>
      </c>
      <c r="D623" s="32" t="s">
        <v>99</v>
      </c>
      <c r="E623" s="31" t="s">
        <v>688</v>
      </c>
      <c r="F623" s="46">
        <v>45772.0</v>
      </c>
      <c r="G623" s="22">
        <v>4737262.63</v>
      </c>
      <c r="H623" s="14">
        <f t="shared" si="5"/>
        <v>994825.1523</v>
      </c>
      <c r="I623" s="22">
        <v>142117.88</v>
      </c>
      <c r="J623" s="45"/>
      <c r="K623" s="15">
        <f t="shared" si="4"/>
        <v>5874205.662</v>
      </c>
      <c r="L623" s="45"/>
      <c r="M623" s="24">
        <v>45761.0</v>
      </c>
    </row>
    <row r="624" ht="15.75" customHeight="1">
      <c r="A624" s="39">
        <v>45757.0</v>
      </c>
      <c r="B624" s="50"/>
      <c r="C624" s="31" t="s">
        <v>332</v>
      </c>
      <c r="D624" s="32" t="s">
        <v>99</v>
      </c>
      <c r="E624" s="31" t="s">
        <v>689</v>
      </c>
      <c r="F624" s="46">
        <v>45772.0</v>
      </c>
      <c r="G624" s="22">
        <v>3328171.32</v>
      </c>
      <c r="H624" s="14">
        <f t="shared" si="5"/>
        <v>698915.9772</v>
      </c>
      <c r="I624" s="22">
        <v>99845.14</v>
      </c>
      <c r="J624" s="45"/>
      <c r="K624" s="15">
        <f t="shared" si="4"/>
        <v>4126932.437</v>
      </c>
      <c r="L624" s="45"/>
      <c r="M624" s="24">
        <v>45761.0</v>
      </c>
    </row>
    <row r="625" ht="15.75" customHeight="1">
      <c r="A625" s="39">
        <v>45757.0</v>
      </c>
      <c r="B625" s="50"/>
      <c r="C625" s="31" t="s">
        <v>332</v>
      </c>
      <c r="D625" s="32" t="s">
        <v>99</v>
      </c>
      <c r="E625" s="31" t="s">
        <v>690</v>
      </c>
      <c r="F625" s="46">
        <v>45772.0</v>
      </c>
      <c r="G625" s="22">
        <v>5547372.28</v>
      </c>
      <c r="H625" s="14">
        <f t="shared" si="5"/>
        <v>1164948.179</v>
      </c>
      <c r="I625" s="22">
        <v>166421.17</v>
      </c>
      <c r="J625" s="45"/>
      <c r="K625" s="15">
        <f t="shared" si="4"/>
        <v>6878741.629</v>
      </c>
      <c r="L625" s="45"/>
      <c r="M625" s="24">
        <v>45761.0</v>
      </c>
    </row>
    <row r="626" ht="15.75" customHeight="1">
      <c r="A626" s="39">
        <v>45757.0</v>
      </c>
      <c r="B626" s="50"/>
      <c r="C626" s="31" t="s">
        <v>332</v>
      </c>
      <c r="D626" s="32" t="s">
        <v>99</v>
      </c>
      <c r="E626" s="31" t="s">
        <v>691</v>
      </c>
      <c r="F626" s="46">
        <v>45772.0</v>
      </c>
      <c r="G626" s="22">
        <v>1.427329109E7</v>
      </c>
      <c r="H626" s="14">
        <f t="shared" si="5"/>
        <v>2997391.129</v>
      </c>
      <c r="I626" s="22">
        <v>428198.73</v>
      </c>
      <c r="J626" s="45"/>
      <c r="K626" s="15">
        <f t="shared" si="4"/>
        <v>17698880.95</v>
      </c>
      <c r="L626" s="45"/>
      <c r="M626" s="24">
        <v>45761.0</v>
      </c>
    </row>
    <row r="627" ht="15.75" customHeight="1">
      <c r="A627" s="39">
        <v>45757.0</v>
      </c>
      <c r="B627" s="50"/>
      <c r="C627" s="31" t="s">
        <v>332</v>
      </c>
      <c r="D627" s="32" t="s">
        <v>99</v>
      </c>
      <c r="E627" s="31" t="s">
        <v>692</v>
      </c>
      <c r="F627" s="46">
        <v>45772.0</v>
      </c>
      <c r="G627" s="22">
        <v>3162512.14</v>
      </c>
      <c r="H627" s="14">
        <f t="shared" si="5"/>
        <v>664127.5494</v>
      </c>
      <c r="I627" s="22"/>
      <c r="J627" s="14"/>
      <c r="K627" s="15">
        <f t="shared" si="4"/>
        <v>3826639.689</v>
      </c>
      <c r="L627" s="45"/>
      <c r="M627" s="24">
        <v>45761.0</v>
      </c>
    </row>
    <row r="628" ht="15.75" customHeight="1">
      <c r="A628" s="39">
        <v>45757.0</v>
      </c>
      <c r="B628" s="50"/>
      <c r="C628" s="31" t="s">
        <v>211</v>
      </c>
      <c r="D628" s="32" t="s">
        <v>99</v>
      </c>
      <c r="E628" s="31" t="s">
        <v>693</v>
      </c>
      <c r="F628" s="46">
        <v>45772.0</v>
      </c>
      <c r="G628" s="37">
        <f>2994430/1.21</f>
        <v>2474735.537</v>
      </c>
      <c r="H628" s="14">
        <f t="shared" si="5"/>
        <v>519694.4628</v>
      </c>
      <c r="I628" s="22"/>
      <c r="J628" s="14"/>
      <c r="K628" s="15">
        <f t="shared" si="4"/>
        <v>2994430</v>
      </c>
      <c r="L628" s="45"/>
      <c r="M628" s="24">
        <v>45758.0</v>
      </c>
    </row>
    <row r="629" ht="15.75" customHeight="1">
      <c r="A629" s="55">
        <v>45741.0</v>
      </c>
      <c r="B629" s="61"/>
      <c r="C629" s="34" t="s">
        <v>93</v>
      </c>
      <c r="D629" s="35" t="s">
        <v>15</v>
      </c>
      <c r="E629" s="34" t="s">
        <v>694</v>
      </c>
      <c r="F629" s="36">
        <v>45741.0</v>
      </c>
      <c r="G629" s="22">
        <v>2653521.74</v>
      </c>
      <c r="H629" s="14">
        <f t="shared" si="5"/>
        <v>557239.5654</v>
      </c>
      <c r="I629" s="14"/>
      <c r="J629" s="14"/>
      <c r="K629" s="15">
        <f t="shared" si="4"/>
        <v>3210761.305</v>
      </c>
      <c r="L629" s="61"/>
      <c r="M629" s="62"/>
    </row>
    <row r="630" ht="15.75" customHeight="1">
      <c r="A630" s="39">
        <v>45741.0</v>
      </c>
      <c r="B630" s="45"/>
      <c r="C630" s="34" t="s">
        <v>93</v>
      </c>
      <c r="D630" s="35" t="s">
        <v>15</v>
      </c>
      <c r="E630" s="34" t="s">
        <v>695</v>
      </c>
      <c r="F630" s="36">
        <v>45741.0</v>
      </c>
      <c r="G630" s="22">
        <v>4726221.11</v>
      </c>
      <c r="H630" s="14">
        <f t="shared" si="5"/>
        <v>992506.4331</v>
      </c>
      <c r="I630" s="22">
        <v>141786.63</v>
      </c>
      <c r="J630" s="14"/>
      <c r="K630" s="15">
        <f t="shared" si="4"/>
        <v>5860514.173</v>
      </c>
      <c r="L630" s="45"/>
      <c r="M630" s="24">
        <v>45743.0</v>
      </c>
    </row>
    <row r="631" ht="15.75" customHeight="1">
      <c r="A631" s="39">
        <v>45741.0</v>
      </c>
      <c r="B631" s="45"/>
      <c r="C631" s="34" t="s">
        <v>93</v>
      </c>
      <c r="D631" s="35" t="s">
        <v>15</v>
      </c>
      <c r="E631" s="34" t="s">
        <v>696</v>
      </c>
      <c r="F631" s="36">
        <v>45741.0</v>
      </c>
      <c r="G631" s="22">
        <v>2678921.03</v>
      </c>
      <c r="H631" s="14">
        <f t="shared" si="5"/>
        <v>562573.4163</v>
      </c>
      <c r="I631" s="22">
        <v>80367.63</v>
      </c>
      <c r="J631" s="14"/>
      <c r="K631" s="15">
        <f t="shared" si="4"/>
        <v>3321862.076</v>
      </c>
      <c r="L631" s="45"/>
      <c r="M631" s="24">
        <v>45747.0</v>
      </c>
    </row>
    <row r="632" ht="15.75" customHeight="1">
      <c r="A632" s="55">
        <v>45741.0</v>
      </c>
      <c r="B632" s="61"/>
      <c r="C632" s="34" t="s">
        <v>66</v>
      </c>
      <c r="D632" s="35" t="s">
        <v>15</v>
      </c>
      <c r="E632" s="34" t="s">
        <v>697</v>
      </c>
      <c r="F632" s="36">
        <v>45741.0</v>
      </c>
      <c r="G632" s="22">
        <v>1.178891109E7</v>
      </c>
      <c r="H632" s="14">
        <f t="shared" si="5"/>
        <v>2475671.329</v>
      </c>
      <c r="I632" s="22">
        <v>353667.33</v>
      </c>
      <c r="J632" s="22">
        <v>117889.11</v>
      </c>
      <c r="K632" s="15">
        <f t="shared" si="4"/>
        <v>14736138.86</v>
      </c>
      <c r="L632" s="61"/>
      <c r="M632" s="62"/>
    </row>
    <row r="633" ht="15.75" customHeight="1">
      <c r="A633" s="55">
        <v>45741.0</v>
      </c>
      <c r="B633" s="61"/>
      <c r="C633" s="34" t="s">
        <v>66</v>
      </c>
      <c r="D633" s="35" t="s">
        <v>15</v>
      </c>
      <c r="E633" s="34" t="s">
        <v>698</v>
      </c>
      <c r="F633" s="36">
        <v>45741.0</v>
      </c>
      <c r="G633" s="22">
        <v>9463261.02</v>
      </c>
      <c r="H633" s="14">
        <f t="shared" si="5"/>
        <v>1987284.814</v>
      </c>
      <c r="I633" s="22">
        <v>283897.83</v>
      </c>
      <c r="J633" s="22">
        <v>94632.61</v>
      </c>
      <c r="K633" s="15">
        <f t="shared" si="4"/>
        <v>11829076.27</v>
      </c>
      <c r="L633" s="61"/>
      <c r="M633" s="62"/>
    </row>
    <row r="634" ht="15.75" customHeight="1">
      <c r="A634" s="39">
        <v>45741.0</v>
      </c>
      <c r="B634" s="45"/>
      <c r="C634" s="34" t="s">
        <v>66</v>
      </c>
      <c r="D634" s="35" t="s">
        <v>15</v>
      </c>
      <c r="E634" s="34" t="s">
        <v>699</v>
      </c>
      <c r="F634" s="36">
        <v>45741.0</v>
      </c>
      <c r="G634" s="22">
        <v>5927112.27</v>
      </c>
      <c r="H634" s="14">
        <f t="shared" si="5"/>
        <v>1244693.577</v>
      </c>
      <c r="I634" s="14"/>
      <c r="J634" s="22">
        <v>59271.12</v>
      </c>
      <c r="K634" s="15">
        <f t="shared" si="4"/>
        <v>7231076.967</v>
      </c>
      <c r="L634" s="45"/>
      <c r="M634" s="24">
        <v>45743.0</v>
      </c>
    </row>
    <row r="635" ht="15.75" customHeight="1">
      <c r="A635" s="39">
        <v>45741.0</v>
      </c>
      <c r="B635" s="45"/>
      <c r="C635" s="34" t="s">
        <v>66</v>
      </c>
      <c r="D635" s="35" t="s">
        <v>15</v>
      </c>
      <c r="E635" s="34" t="s">
        <v>700</v>
      </c>
      <c r="F635" s="36">
        <v>45741.0</v>
      </c>
      <c r="G635" s="22">
        <v>6100881.07</v>
      </c>
      <c r="H635" s="14">
        <f t="shared" si="5"/>
        <v>1281185.025</v>
      </c>
      <c r="I635" s="14"/>
      <c r="J635" s="14"/>
      <c r="K635" s="15">
        <f t="shared" si="4"/>
        <v>7382066.095</v>
      </c>
      <c r="L635" s="45"/>
      <c r="M635" s="24">
        <v>45743.0</v>
      </c>
    </row>
    <row r="636" ht="15.75" customHeight="1">
      <c r="A636" s="39">
        <v>45741.0</v>
      </c>
      <c r="B636" s="45"/>
      <c r="C636" s="34" t="s">
        <v>66</v>
      </c>
      <c r="D636" s="35" t="s">
        <v>15</v>
      </c>
      <c r="E636" s="34" t="s">
        <v>701</v>
      </c>
      <c r="F636" s="36">
        <v>45741.0</v>
      </c>
      <c r="G636" s="22">
        <v>4212181.82</v>
      </c>
      <c r="H636" s="14">
        <f t="shared" si="5"/>
        <v>884558.1822</v>
      </c>
      <c r="I636" s="14"/>
      <c r="J636" s="14"/>
      <c r="K636" s="15">
        <f t="shared" si="4"/>
        <v>5096740.002</v>
      </c>
      <c r="L636" s="45"/>
      <c r="M636" s="24">
        <v>45743.0</v>
      </c>
    </row>
    <row r="637" ht="15.75" customHeight="1">
      <c r="A637" s="39">
        <v>45741.0</v>
      </c>
      <c r="B637" s="45"/>
      <c r="C637" s="34" t="s">
        <v>66</v>
      </c>
      <c r="D637" s="35" t="s">
        <v>15</v>
      </c>
      <c r="E637" s="34" t="s">
        <v>702</v>
      </c>
      <c r="F637" s="36">
        <v>45741.0</v>
      </c>
      <c r="G637" s="22">
        <v>3918112.1</v>
      </c>
      <c r="H637" s="14">
        <f t="shared" si="5"/>
        <v>822803.541</v>
      </c>
      <c r="I637" s="22">
        <v>117543.36</v>
      </c>
      <c r="J637" s="22">
        <v>39181.12</v>
      </c>
      <c r="K637" s="15">
        <f t="shared" si="4"/>
        <v>4897640.121</v>
      </c>
      <c r="L637" s="45"/>
      <c r="M637" s="24">
        <v>45743.0</v>
      </c>
    </row>
    <row r="638" ht="15.75" customHeight="1">
      <c r="A638" s="39">
        <v>45741.0</v>
      </c>
      <c r="B638" s="45"/>
      <c r="C638" s="34" t="s">
        <v>524</v>
      </c>
      <c r="D638" s="35" t="s">
        <v>15</v>
      </c>
      <c r="E638" s="34" t="s">
        <v>703</v>
      </c>
      <c r="F638" s="36">
        <v>45741.0</v>
      </c>
      <c r="G638" s="22">
        <v>4803930.12</v>
      </c>
      <c r="H638" s="14">
        <f t="shared" si="5"/>
        <v>1008825.325</v>
      </c>
      <c r="I638" s="14"/>
      <c r="J638" s="14"/>
      <c r="K638" s="15">
        <f t="shared" si="4"/>
        <v>5812755.445</v>
      </c>
      <c r="L638" s="45"/>
      <c r="M638" s="24">
        <v>45742.0</v>
      </c>
    </row>
    <row r="639" ht="15.75" customHeight="1">
      <c r="A639" s="39">
        <v>45741.0</v>
      </c>
      <c r="B639" s="45"/>
      <c r="C639" s="34" t="s">
        <v>524</v>
      </c>
      <c r="D639" s="35" t="s">
        <v>15</v>
      </c>
      <c r="E639" s="34" t="s">
        <v>704</v>
      </c>
      <c r="F639" s="36">
        <v>45741.0</v>
      </c>
      <c r="G639" s="22">
        <v>4310280.71</v>
      </c>
      <c r="H639" s="14">
        <f t="shared" si="5"/>
        <v>905158.9491</v>
      </c>
      <c r="I639" s="14"/>
      <c r="J639" s="14"/>
      <c r="K639" s="15">
        <f t="shared" si="4"/>
        <v>5215439.659</v>
      </c>
      <c r="L639" s="45"/>
      <c r="M639" s="24">
        <v>45742.0</v>
      </c>
    </row>
    <row r="640" ht="15.75" customHeight="1">
      <c r="A640" s="39">
        <v>45741.0</v>
      </c>
      <c r="B640" s="45"/>
      <c r="C640" s="34" t="s">
        <v>546</v>
      </c>
      <c r="D640" s="35" t="s">
        <v>15</v>
      </c>
      <c r="E640" s="34" t="s">
        <v>705</v>
      </c>
      <c r="F640" s="36">
        <v>45741.0</v>
      </c>
      <c r="G640" s="22">
        <v>1.247836043E7</v>
      </c>
      <c r="H640" s="14">
        <f t="shared" si="5"/>
        <v>2620455.69</v>
      </c>
      <c r="I640" s="14"/>
      <c r="J640" s="14"/>
      <c r="K640" s="15">
        <f t="shared" si="4"/>
        <v>15098816.12</v>
      </c>
      <c r="L640" s="45"/>
      <c r="M640" s="24">
        <v>45742.0</v>
      </c>
    </row>
    <row r="641" ht="15.75" customHeight="1">
      <c r="A641" s="39">
        <v>45741.0</v>
      </c>
      <c r="B641" s="45"/>
      <c r="C641" s="34" t="s">
        <v>546</v>
      </c>
      <c r="D641" s="35" t="s">
        <v>15</v>
      </c>
      <c r="E641" s="34" t="s">
        <v>706</v>
      </c>
      <c r="F641" s="36">
        <v>45741.0</v>
      </c>
      <c r="G641" s="22">
        <v>1.253389062E7</v>
      </c>
      <c r="H641" s="14">
        <f t="shared" si="5"/>
        <v>2632117.03</v>
      </c>
      <c r="I641" s="14"/>
      <c r="J641" s="14"/>
      <c r="K641" s="15">
        <f t="shared" si="4"/>
        <v>15166007.65</v>
      </c>
      <c r="L641" s="45"/>
      <c r="M641" s="24">
        <v>45742.0</v>
      </c>
    </row>
    <row r="642" ht="15.75" customHeight="1">
      <c r="A642" s="39">
        <v>45741.0</v>
      </c>
      <c r="B642" s="45"/>
      <c r="C642" s="34" t="s">
        <v>417</v>
      </c>
      <c r="D642" s="35" t="s">
        <v>15</v>
      </c>
      <c r="E642" s="34" t="s">
        <v>707</v>
      </c>
      <c r="F642" s="36">
        <v>45741.0</v>
      </c>
      <c r="G642" s="22">
        <v>8234507.29</v>
      </c>
      <c r="H642" s="14">
        <f t="shared" si="5"/>
        <v>1729246.531</v>
      </c>
      <c r="I642" s="22">
        <v>247035.22</v>
      </c>
      <c r="J642" s="14"/>
      <c r="K642" s="15">
        <f t="shared" si="4"/>
        <v>10210789.04</v>
      </c>
      <c r="L642" s="45"/>
      <c r="M642" s="24">
        <v>45742.0</v>
      </c>
    </row>
    <row r="643" ht="15.75" customHeight="1">
      <c r="A643" s="39">
        <v>45741.0</v>
      </c>
      <c r="B643" s="45"/>
      <c r="C643" s="34" t="s">
        <v>417</v>
      </c>
      <c r="D643" s="35" t="s">
        <v>15</v>
      </c>
      <c r="E643" s="34" t="s">
        <v>708</v>
      </c>
      <c r="F643" s="36">
        <v>45741.0</v>
      </c>
      <c r="G643" s="22">
        <v>4838212.12</v>
      </c>
      <c r="H643" s="14">
        <f t="shared" si="5"/>
        <v>1016024.545</v>
      </c>
      <c r="I643" s="14"/>
      <c r="J643" s="14"/>
      <c r="K643" s="15">
        <f t="shared" si="4"/>
        <v>5854236.665</v>
      </c>
      <c r="L643" s="45"/>
      <c r="M643" s="24">
        <v>45742.0</v>
      </c>
    </row>
    <row r="644" ht="15.75" customHeight="1">
      <c r="A644" s="39">
        <v>45741.0</v>
      </c>
      <c r="B644" s="45"/>
      <c r="C644" s="34" t="s">
        <v>417</v>
      </c>
      <c r="D644" s="35" t="s">
        <v>15</v>
      </c>
      <c r="E644" s="34" t="s">
        <v>709</v>
      </c>
      <c r="F644" s="36">
        <v>45741.0</v>
      </c>
      <c r="G644" s="22">
        <v>4321512.53</v>
      </c>
      <c r="H644" s="14">
        <f t="shared" si="5"/>
        <v>907517.6313</v>
      </c>
      <c r="I644" s="14"/>
      <c r="J644" s="14"/>
      <c r="K644" s="15">
        <f t="shared" si="4"/>
        <v>5229030.161</v>
      </c>
      <c r="L644" s="45"/>
      <c r="M644" s="24">
        <v>45742.0</v>
      </c>
    </row>
    <row r="645" ht="15.75" customHeight="1">
      <c r="A645" s="39">
        <v>45741.0</v>
      </c>
      <c r="B645" s="45"/>
      <c r="C645" s="34" t="s">
        <v>417</v>
      </c>
      <c r="D645" s="35" t="s">
        <v>15</v>
      </c>
      <c r="E645" s="34" t="s">
        <v>710</v>
      </c>
      <c r="F645" s="36">
        <v>45741.0</v>
      </c>
      <c r="G645" s="22">
        <v>1.299028071E7</v>
      </c>
      <c r="H645" s="14">
        <f t="shared" si="5"/>
        <v>2727958.949</v>
      </c>
      <c r="I645" s="22">
        <v>389708.42</v>
      </c>
      <c r="J645" s="14"/>
      <c r="K645" s="15">
        <f t="shared" si="4"/>
        <v>16107948.08</v>
      </c>
      <c r="L645" s="45"/>
      <c r="M645" s="24">
        <v>45747.0</v>
      </c>
    </row>
    <row r="646" ht="15.75" customHeight="1">
      <c r="A646" s="39">
        <v>45741.0</v>
      </c>
      <c r="B646" s="45"/>
      <c r="C646" s="34" t="s">
        <v>417</v>
      </c>
      <c r="D646" s="35" t="s">
        <v>15</v>
      </c>
      <c r="E646" s="34" t="s">
        <v>711</v>
      </c>
      <c r="F646" s="36">
        <v>45741.0</v>
      </c>
      <c r="G646" s="22">
        <v>4122921.85</v>
      </c>
      <c r="H646" s="14">
        <f t="shared" si="5"/>
        <v>865813.5885</v>
      </c>
      <c r="I646" s="14"/>
      <c r="J646" s="14"/>
      <c r="K646" s="15">
        <f t="shared" si="4"/>
        <v>4988735.439</v>
      </c>
      <c r="L646" s="45"/>
      <c r="M646" s="24">
        <v>45747.0</v>
      </c>
    </row>
    <row r="647" ht="15.75" customHeight="1">
      <c r="A647" s="39">
        <v>45742.0</v>
      </c>
      <c r="B647" s="45"/>
      <c r="C647" s="34" t="s">
        <v>417</v>
      </c>
      <c r="D647" s="35" t="s">
        <v>15</v>
      </c>
      <c r="E647" s="34" t="s">
        <v>712</v>
      </c>
      <c r="F647" s="36">
        <v>45741.0</v>
      </c>
      <c r="G647" s="22">
        <v>2594873.16</v>
      </c>
      <c r="H647" s="14">
        <f t="shared" si="5"/>
        <v>544923.3636</v>
      </c>
      <c r="I647" s="14"/>
      <c r="J647" s="14"/>
      <c r="K647" s="15">
        <f t="shared" si="4"/>
        <v>3139796.524</v>
      </c>
      <c r="L647" s="45"/>
      <c r="M647" s="24">
        <v>45743.0</v>
      </c>
    </row>
    <row r="648" ht="15.75" customHeight="1">
      <c r="A648" s="39">
        <v>45742.0</v>
      </c>
      <c r="B648" s="45"/>
      <c r="C648" s="34" t="s">
        <v>417</v>
      </c>
      <c r="D648" s="35" t="s">
        <v>15</v>
      </c>
      <c r="E648" s="34" t="s">
        <v>713</v>
      </c>
      <c r="F648" s="36">
        <v>45741.0</v>
      </c>
      <c r="G648" s="22">
        <v>1.890326102E7</v>
      </c>
      <c r="H648" s="14">
        <f t="shared" si="5"/>
        <v>3969684.814</v>
      </c>
      <c r="I648" s="14"/>
      <c r="J648" s="14"/>
      <c r="K648" s="15">
        <f t="shared" si="4"/>
        <v>22872945.83</v>
      </c>
      <c r="L648" s="45"/>
      <c r="M648" s="24">
        <v>45743.0</v>
      </c>
    </row>
    <row r="649" ht="15.75" customHeight="1">
      <c r="A649" s="39">
        <v>45762.0</v>
      </c>
      <c r="B649" s="50"/>
      <c r="C649" s="31" t="s">
        <v>74</v>
      </c>
      <c r="D649" s="32" t="s">
        <v>99</v>
      </c>
      <c r="E649" s="31" t="s">
        <v>714</v>
      </c>
      <c r="F649" s="46">
        <v>45772.0</v>
      </c>
      <c r="G649" s="22">
        <v>7172640.14</v>
      </c>
      <c r="H649" s="14">
        <f t="shared" si="5"/>
        <v>1506254.429</v>
      </c>
      <c r="I649" s="14"/>
      <c r="J649" s="14"/>
      <c r="K649" s="15">
        <f t="shared" si="4"/>
        <v>8678894.569</v>
      </c>
      <c r="L649" s="45"/>
      <c r="M649" s="24">
        <v>45777.0</v>
      </c>
    </row>
    <row r="650" ht="15.75" customHeight="1">
      <c r="A650" s="39">
        <v>45762.0</v>
      </c>
      <c r="B650" s="50"/>
      <c r="C650" s="31" t="s">
        <v>74</v>
      </c>
      <c r="D650" s="32" t="s">
        <v>99</v>
      </c>
      <c r="E650" s="31" t="s">
        <v>715</v>
      </c>
      <c r="F650" s="46">
        <v>45772.0</v>
      </c>
      <c r="G650" s="22">
        <v>7964570.14</v>
      </c>
      <c r="H650" s="14">
        <f t="shared" si="5"/>
        <v>1672559.729</v>
      </c>
      <c r="I650" s="14"/>
      <c r="J650" s="22">
        <v>127433.12</v>
      </c>
      <c r="K650" s="15">
        <f t="shared" si="4"/>
        <v>9764562.989</v>
      </c>
      <c r="L650" s="45"/>
      <c r="M650" s="24">
        <v>45777.0</v>
      </c>
    </row>
    <row r="651" ht="15.75" customHeight="1">
      <c r="A651" s="39">
        <v>45762.0</v>
      </c>
      <c r="B651" s="50"/>
      <c r="C651" s="31" t="s">
        <v>140</v>
      </c>
      <c r="D651" s="32" t="s">
        <v>99</v>
      </c>
      <c r="E651" s="31" t="s">
        <v>716</v>
      </c>
      <c r="F651" s="46">
        <v>45772.0</v>
      </c>
      <c r="G651" s="22">
        <v>4008230.15</v>
      </c>
      <c r="H651" s="14">
        <f t="shared" si="5"/>
        <v>841728.3315</v>
      </c>
      <c r="I651" s="14"/>
      <c r="J651" s="22">
        <v>36074.07</v>
      </c>
      <c r="K651" s="15">
        <f t="shared" si="4"/>
        <v>4886032.552</v>
      </c>
      <c r="L651" s="45"/>
      <c r="M651" s="24">
        <v>45769.0</v>
      </c>
    </row>
    <row r="652" ht="15.75" customHeight="1">
      <c r="A652" s="39">
        <v>45762.0</v>
      </c>
      <c r="B652" s="50"/>
      <c r="C652" s="31" t="s">
        <v>140</v>
      </c>
      <c r="D652" s="32" t="s">
        <v>99</v>
      </c>
      <c r="E652" s="31" t="s">
        <v>717</v>
      </c>
      <c r="F652" s="46">
        <v>45772.0</v>
      </c>
      <c r="G652" s="22">
        <v>3508990.15</v>
      </c>
      <c r="H652" s="14">
        <f t="shared" si="5"/>
        <v>736887.9315</v>
      </c>
      <c r="I652" s="14"/>
      <c r="J652" s="14"/>
      <c r="K652" s="15">
        <f t="shared" si="4"/>
        <v>4245878.082</v>
      </c>
      <c r="L652" s="45"/>
      <c r="M652" s="24">
        <v>45769.0</v>
      </c>
    </row>
    <row r="653" ht="15.75" customHeight="1">
      <c r="A653" s="39">
        <v>45762.0</v>
      </c>
      <c r="B653" s="50"/>
      <c r="C653" s="31" t="s">
        <v>718</v>
      </c>
      <c r="D653" s="32" t="s">
        <v>99</v>
      </c>
      <c r="E653" s="31" t="s">
        <v>719</v>
      </c>
      <c r="F653" s="46">
        <v>45772.0</v>
      </c>
      <c r="G653" s="22">
        <v>1.301536051E7</v>
      </c>
      <c r="H653" s="14">
        <f t="shared" si="5"/>
        <v>2733225.707</v>
      </c>
      <c r="I653" s="14"/>
      <c r="J653" s="22">
        <v>227768.81</v>
      </c>
      <c r="K653" s="15">
        <f t="shared" si="4"/>
        <v>15976355.03</v>
      </c>
      <c r="L653" s="45"/>
      <c r="M653" s="24">
        <v>45763.0</v>
      </c>
    </row>
    <row r="654" ht="15.75" customHeight="1">
      <c r="A654" s="39">
        <v>45762.0</v>
      </c>
      <c r="B654" s="50"/>
      <c r="C654" s="31" t="s">
        <v>417</v>
      </c>
      <c r="D654" s="32" t="s">
        <v>99</v>
      </c>
      <c r="E654" s="31" t="s">
        <v>720</v>
      </c>
      <c r="F654" s="46">
        <v>45772.0</v>
      </c>
      <c r="G654" s="22">
        <v>1.499282207E7</v>
      </c>
      <c r="H654" s="14">
        <f t="shared" si="5"/>
        <v>3148492.635</v>
      </c>
      <c r="I654" s="22">
        <v>449784.66</v>
      </c>
      <c r="J654" s="14"/>
      <c r="K654" s="15">
        <f t="shared" si="4"/>
        <v>18591099.36</v>
      </c>
      <c r="L654" s="45"/>
      <c r="M654" s="24">
        <v>45763.0</v>
      </c>
    </row>
    <row r="655" ht="15.75" customHeight="1">
      <c r="A655" s="39">
        <v>45762.0</v>
      </c>
      <c r="B655" s="50"/>
      <c r="C655" s="31" t="s">
        <v>417</v>
      </c>
      <c r="D655" s="32" t="s">
        <v>99</v>
      </c>
      <c r="E655" s="31" t="s">
        <v>721</v>
      </c>
      <c r="F655" s="46">
        <v>45772.0</v>
      </c>
      <c r="G655" s="22">
        <v>1.533522107E7</v>
      </c>
      <c r="H655" s="14">
        <f t="shared" si="5"/>
        <v>3220396.425</v>
      </c>
      <c r="I655" s="22">
        <v>460056.63</v>
      </c>
      <c r="J655" s="14"/>
      <c r="K655" s="15">
        <f t="shared" si="4"/>
        <v>19015674.12</v>
      </c>
      <c r="L655" s="45"/>
      <c r="M655" s="24">
        <v>45763.0</v>
      </c>
    </row>
    <row r="656" ht="15.75" customHeight="1">
      <c r="A656" s="39">
        <v>45762.0</v>
      </c>
      <c r="B656" s="50"/>
      <c r="C656" s="31" t="s">
        <v>143</v>
      </c>
      <c r="D656" s="32" t="s">
        <v>99</v>
      </c>
      <c r="E656" s="32" t="s">
        <v>722</v>
      </c>
      <c r="F656" s="46">
        <v>45772.0</v>
      </c>
      <c r="G656" s="37">
        <f>6067496.78/1.21</f>
        <v>5014460.149</v>
      </c>
      <c r="H656" s="14">
        <f t="shared" si="5"/>
        <v>1053036.631</v>
      </c>
      <c r="I656" s="22"/>
      <c r="J656" s="14"/>
      <c r="K656" s="15">
        <f t="shared" si="4"/>
        <v>6067496.78</v>
      </c>
      <c r="L656" s="45"/>
      <c r="M656" s="24">
        <v>45839.0</v>
      </c>
    </row>
    <row r="657" ht="15.75" customHeight="1">
      <c r="A657" s="39">
        <v>45742.0</v>
      </c>
      <c r="B657" s="45"/>
      <c r="C657" s="35" t="s">
        <v>332</v>
      </c>
      <c r="D657" s="35" t="s">
        <v>15</v>
      </c>
      <c r="E657" s="34" t="s">
        <v>723</v>
      </c>
      <c r="F657" s="36">
        <v>45741.0</v>
      </c>
      <c r="G657" s="22">
        <v>1.060519205E7</v>
      </c>
      <c r="H657" s="14">
        <f t="shared" si="5"/>
        <v>2227090.331</v>
      </c>
      <c r="I657" s="22">
        <v>318155.76</v>
      </c>
      <c r="J657" s="14"/>
      <c r="K657" s="15">
        <f t="shared" si="4"/>
        <v>13150438.14</v>
      </c>
      <c r="L657" s="45"/>
      <c r="M657" s="24">
        <v>45743.0</v>
      </c>
    </row>
    <row r="658" ht="15.75" customHeight="1">
      <c r="A658" s="39">
        <v>45742.0</v>
      </c>
      <c r="B658" s="45"/>
      <c r="C658" s="35" t="s">
        <v>122</v>
      </c>
      <c r="D658" s="35" t="s">
        <v>15</v>
      </c>
      <c r="E658" s="34" t="s">
        <v>724</v>
      </c>
      <c r="F658" s="36">
        <v>45741.0</v>
      </c>
      <c r="G658" s="37">
        <f>1996830.31/1.21</f>
        <v>1650272.983</v>
      </c>
      <c r="H658" s="14">
        <f t="shared" si="5"/>
        <v>346557.3265</v>
      </c>
      <c r="I658" s="14"/>
      <c r="J658" s="14"/>
      <c r="K658" s="15">
        <f t="shared" si="4"/>
        <v>1996830.31</v>
      </c>
      <c r="L658" s="45"/>
      <c r="M658" s="24">
        <v>45743.0</v>
      </c>
    </row>
    <row r="659" ht="15.75" customHeight="1">
      <c r="A659" s="55">
        <v>45763.0</v>
      </c>
      <c r="B659" s="56"/>
      <c r="C659" s="57" t="s">
        <v>74</v>
      </c>
      <c r="D659" s="58" t="s">
        <v>99</v>
      </c>
      <c r="E659" s="58" t="s">
        <v>449</v>
      </c>
      <c r="F659" s="59">
        <v>45772.0</v>
      </c>
      <c r="G659" s="44">
        <v>1.004484018E7</v>
      </c>
      <c r="H659" s="9">
        <f t="shared" si="5"/>
        <v>2109416.438</v>
      </c>
      <c r="I659" s="60"/>
      <c r="J659" s="44">
        <v>160717.44</v>
      </c>
      <c r="K659" s="10">
        <f t="shared" si="4"/>
        <v>12314974.06</v>
      </c>
      <c r="L659" s="61"/>
      <c r="M659" s="62"/>
    </row>
    <row r="660" ht="15.75" customHeight="1">
      <c r="A660" s="55">
        <v>45763.0</v>
      </c>
      <c r="B660" s="56"/>
      <c r="C660" s="57" t="s">
        <v>450</v>
      </c>
      <c r="D660" s="58" t="s">
        <v>99</v>
      </c>
      <c r="E660" s="119" t="s">
        <v>451</v>
      </c>
      <c r="F660" s="59">
        <v>45772.0</v>
      </c>
      <c r="G660" s="44">
        <v>1.501089018E7</v>
      </c>
      <c r="H660" s="9">
        <f t="shared" si="5"/>
        <v>3152286.938</v>
      </c>
      <c r="I660" s="44">
        <v>450326.71</v>
      </c>
      <c r="J660" s="60"/>
      <c r="K660" s="10">
        <f t="shared" si="4"/>
        <v>18613503.83</v>
      </c>
      <c r="L660" s="61"/>
      <c r="M660" s="62"/>
    </row>
    <row r="661" ht="15.75" customHeight="1">
      <c r="A661" s="39">
        <v>45707.0</v>
      </c>
      <c r="B661" s="19" t="s">
        <v>236</v>
      </c>
      <c r="C661" s="20" t="s">
        <v>171</v>
      </c>
      <c r="D661" s="19" t="s">
        <v>17</v>
      </c>
      <c r="E661" s="20" t="s">
        <v>725</v>
      </c>
      <c r="F661" s="21">
        <v>45716.0</v>
      </c>
      <c r="G661" s="22">
        <v>1.029824466E7</v>
      </c>
      <c r="H661" s="15">
        <f t="shared" si="5"/>
        <v>2162631.379</v>
      </c>
      <c r="I661" s="14"/>
      <c r="J661" s="14"/>
      <c r="K661" s="15">
        <f t="shared" si="4"/>
        <v>12460876.04</v>
      </c>
      <c r="L661" s="18"/>
      <c r="M661" s="24">
        <v>45709.0</v>
      </c>
    </row>
    <row r="662" ht="15.75" customHeight="1">
      <c r="A662" s="39">
        <v>45707.0</v>
      </c>
      <c r="B662" s="19" t="s">
        <v>236</v>
      </c>
      <c r="C662" s="20" t="s">
        <v>171</v>
      </c>
      <c r="D662" s="19" t="s">
        <v>17</v>
      </c>
      <c r="E662" s="20" t="s">
        <v>726</v>
      </c>
      <c r="F662" s="21">
        <v>45716.0</v>
      </c>
      <c r="G662" s="22">
        <v>1.018830957E7</v>
      </c>
      <c r="H662" s="15">
        <f t="shared" si="5"/>
        <v>2139545.01</v>
      </c>
      <c r="I662" s="14"/>
      <c r="J662" s="14"/>
      <c r="K662" s="15">
        <f t="shared" si="4"/>
        <v>12327854.58</v>
      </c>
      <c r="L662" s="18"/>
      <c r="M662" s="24">
        <v>45709.0</v>
      </c>
    </row>
    <row r="663" ht="15.75" customHeight="1">
      <c r="A663" s="39">
        <v>45709.0</v>
      </c>
      <c r="B663" s="6"/>
      <c r="C663" s="20" t="s">
        <v>171</v>
      </c>
      <c r="D663" s="19" t="s">
        <v>17</v>
      </c>
      <c r="E663" s="20" t="s">
        <v>727</v>
      </c>
      <c r="F663" s="21">
        <v>45716.0</v>
      </c>
      <c r="G663" s="22">
        <v>1.022446549E7</v>
      </c>
      <c r="H663" s="15">
        <f t="shared" si="5"/>
        <v>2147137.753</v>
      </c>
      <c r="I663" s="14"/>
      <c r="J663" s="14"/>
      <c r="K663" s="15">
        <f t="shared" si="4"/>
        <v>12371603.24</v>
      </c>
      <c r="L663" s="18"/>
      <c r="M663" s="6"/>
    </row>
    <row r="664" ht="15.75" customHeight="1">
      <c r="A664" s="39">
        <v>45712.0</v>
      </c>
      <c r="B664" s="19" t="s">
        <v>13</v>
      </c>
      <c r="C664" s="20" t="s">
        <v>171</v>
      </c>
      <c r="D664" s="19" t="s">
        <v>17</v>
      </c>
      <c r="E664" s="20" t="s">
        <v>728</v>
      </c>
      <c r="F664" s="21">
        <v>45716.0</v>
      </c>
      <c r="G664" s="23">
        <v>1.025381635E7</v>
      </c>
      <c r="H664" s="15">
        <f t="shared" si="5"/>
        <v>2153301.434</v>
      </c>
      <c r="I664" s="15"/>
      <c r="J664" s="15"/>
      <c r="K664" s="15">
        <f t="shared" si="4"/>
        <v>12407117.78</v>
      </c>
      <c r="L664" s="19">
        <v>371081.0</v>
      </c>
      <c r="M664" s="24">
        <v>45713.0</v>
      </c>
    </row>
    <row r="665" ht="15.75" customHeight="1">
      <c r="A665" s="39">
        <v>45712.0</v>
      </c>
      <c r="B665" s="19" t="s">
        <v>13</v>
      </c>
      <c r="C665" s="20" t="s">
        <v>171</v>
      </c>
      <c r="D665" s="19" t="s">
        <v>17</v>
      </c>
      <c r="E665" s="20" t="s">
        <v>729</v>
      </c>
      <c r="F665" s="21">
        <v>45716.0</v>
      </c>
      <c r="G665" s="23">
        <v>8826781.16</v>
      </c>
      <c r="H665" s="15">
        <f t="shared" si="5"/>
        <v>1853624.044</v>
      </c>
      <c r="I665" s="15"/>
      <c r="J665" s="15"/>
      <c r="K665" s="15">
        <f t="shared" si="4"/>
        <v>10680405.2</v>
      </c>
      <c r="L665" s="6"/>
      <c r="M665" s="24">
        <v>45713.0</v>
      </c>
    </row>
    <row r="666" ht="15.75" customHeight="1">
      <c r="A666" s="39">
        <v>45768.0</v>
      </c>
      <c r="B666" s="32" t="s">
        <v>236</v>
      </c>
      <c r="C666" s="31" t="s">
        <v>171</v>
      </c>
      <c r="D666" s="32" t="s">
        <v>99</v>
      </c>
      <c r="E666" s="31" t="s">
        <v>730</v>
      </c>
      <c r="F666" s="46">
        <v>45772.0</v>
      </c>
      <c r="G666" s="22">
        <v>1.378836427E7</v>
      </c>
      <c r="H666" s="14">
        <f t="shared" si="5"/>
        <v>2895556.497</v>
      </c>
      <c r="I666" s="14"/>
      <c r="J666" s="14"/>
      <c r="K666" s="15">
        <f t="shared" si="4"/>
        <v>16683920.77</v>
      </c>
      <c r="L666" s="45"/>
      <c r="M666" s="24">
        <v>45804.0</v>
      </c>
    </row>
    <row r="667" ht="15.75" customHeight="1">
      <c r="A667" s="39">
        <v>45742.0</v>
      </c>
      <c r="B667" s="45"/>
      <c r="C667" s="35" t="s">
        <v>122</v>
      </c>
      <c r="D667" s="35" t="s">
        <v>15</v>
      </c>
      <c r="E667" s="34" t="s">
        <v>731</v>
      </c>
      <c r="F667" s="36">
        <v>45741.0</v>
      </c>
      <c r="G667" s="37">
        <f>2011790.06/1.21</f>
        <v>1662636.413</v>
      </c>
      <c r="H667" s="14">
        <f t="shared" si="5"/>
        <v>349153.6468</v>
      </c>
      <c r="I667" s="14"/>
      <c r="J667" s="14"/>
      <c r="K667" s="15">
        <f t="shared" si="4"/>
        <v>2011790.06</v>
      </c>
      <c r="L667" s="45"/>
      <c r="M667" s="24">
        <v>45743.0</v>
      </c>
    </row>
    <row r="668" ht="15.75" customHeight="1">
      <c r="A668" s="39">
        <v>45742.0</v>
      </c>
      <c r="B668" s="45"/>
      <c r="C668" s="35" t="s">
        <v>122</v>
      </c>
      <c r="D668" s="35" t="s">
        <v>15</v>
      </c>
      <c r="E668" s="34" t="s">
        <v>732</v>
      </c>
      <c r="F668" s="36">
        <v>45741.0</v>
      </c>
      <c r="G668" s="37">
        <f>1994940.14/1.21</f>
        <v>1648710.86</v>
      </c>
      <c r="H668" s="14">
        <f t="shared" si="5"/>
        <v>346229.2805</v>
      </c>
      <c r="I668" s="14"/>
      <c r="J668" s="14"/>
      <c r="K668" s="15">
        <f t="shared" si="4"/>
        <v>1994940.14</v>
      </c>
      <c r="L668" s="45"/>
      <c r="M668" s="24">
        <v>45743.0</v>
      </c>
    </row>
    <row r="669" ht="15.75" customHeight="1">
      <c r="A669" s="39">
        <v>45742.0</v>
      </c>
      <c r="B669" s="45"/>
      <c r="C669" s="34" t="s">
        <v>623</v>
      </c>
      <c r="D669" s="35" t="s">
        <v>15</v>
      </c>
      <c r="E669" s="34" t="s">
        <v>733</v>
      </c>
      <c r="F669" s="36">
        <v>45741.0</v>
      </c>
      <c r="G669" s="22">
        <v>3828114.71</v>
      </c>
      <c r="H669" s="14">
        <f t="shared" si="5"/>
        <v>803904.0891</v>
      </c>
      <c r="I669" s="14"/>
      <c r="J669" s="14"/>
      <c r="K669" s="15">
        <f t="shared" si="4"/>
        <v>4632018.799</v>
      </c>
      <c r="L669" s="45"/>
      <c r="M669" s="24">
        <v>45743.0</v>
      </c>
    </row>
    <row r="670" ht="15.75" customHeight="1">
      <c r="A670" s="39">
        <v>45742.0</v>
      </c>
      <c r="B670" s="45"/>
      <c r="C670" s="34" t="s">
        <v>623</v>
      </c>
      <c r="D670" s="35" t="s">
        <v>15</v>
      </c>
      <c r="E670" s="34" t="s">
        <v>734</v>
      </c>
      <c r="F670" s="36">
        <v>45741.0</v>
      </c>
      <c r="G670" s="22">
        <v>6154352.48</v>
      </c>
      <c r="H670" s="14">
        <f t="shared" si="5"/>
        <v>1292414.021</v>
      </c>
      <c r="I670" s="22">
        <v>184630.57</v>
      </c>
      <c r="J670" s="22">
        <v>73852.23</v>
      </c>
      <c r="K670" s="15">
        <f t="shared" si="4"/>
        <v>7705249.301</v>
      </c>
      <c r="L670" s="45"/>
      <c r="M670" s="24">
        <v>45743.0</v>
      </c>
    </row>
    <row r="671" ht="15.75" customHeight="1">
      <c r="A671" s="39">
        <v>45742.0</v>
      </c>
      <c r="B671" s="45"/>
      <c r="C671" s="34" t="s">
        <v>623</v>
      </c>
      <c r="D671" s="35" t="s">
        <v>15</v>
      </c>
      <c r="E671" s="34" t="s">
        <v>735</v>
      </c>
      <c r="F671" s="36">
        <v>45741.0</v>
      </c>
      <c r="G671" s="22">
        <v>1.272712139E7</v>
      </c>
      <c r="H671" s="14">
        <f t="shared" si="5"/>
        <v>2672695.492</v>
      </c>
      <c r="I671" s="22">
        <v>381813.64</v>
      </c>
      <c r="J671" s="22">
        <v>152725.46</v>
      </c>
      <c r="K671" s="15">
        <f t="shared" si="4"/>
        <v>15934355.98</v>
      </c>
      <c r="L671" s="45"/>
      <c r="M671" s="24">
        <v>45742.0</v>
      </c>
    </row>
    <row r="672" ht="15.75" customHeight="1">
      <c r="A672" s="39">
        <v>45742.0</v>
      </c>
      <c r="B672" s="45"/>
      <c r="C672" s="35" t="s">
        <v>332</v>
      </c>
      <c r="D672" s="35" t="s">
        <v>15</v>
      </c>
      <c r="E672" s="34" t="s">
        <v>736</v>
      </c>
      <c r="F672" s="36">
        <v>45741.0</v>
      </c>
      <c r="G672" s="22">
        <v>7450000.0</v>
      </c>
      <c r="H672" s="14">
        <f t="shared" si="5"/>
        <v>1564500</v>
      </c>
      <c r="I672" s="22">
        <v>223500.0</v>
      </c>
      <c r="J672" s="14"/>
      <c r="K672" s="15">
        <f t="shared" si="4"/>
        <v>9238000</v>
      </c>
      <c r="L672" s="45"/>
      <c r="M672" s="24">
        <v>45742.0</v>
      </c>
    </row>
    <row r="673" ht="15.75" customHeight="1">
      <c r="A673" s="55">
        <v>45770.0</v>
      </c>
      <c r="B673" s="56"/>
      <c r="C673" s="57" t="s">
        <v>120</v>
      </c>
      <c r="D673" s="58" t="s">
        <v>99</v>
      </c>
      <c r="E673" s="57" t="s">
        <v>737</v>
      </c>
      <c r="F673" s="59">
        <v>45772.0</v>
      </c>
      <c r="G673" s="44">
        <v>6140804.36</v>
      </c>
      <c r="H673" s="9">
        <f t="shared" si="5"/>
        <v>1289568.916</v>
      </c>
      <c r="I673" s="60"/>
      <c r="J673" s="44">
        <v>98252.87</v>
      </c>
      <c r="K673" s="10">
        <f t="shared" si="4"/>
        <v>7528626.146</v>
      </c>
      <c r="L673" s="61"/>
      <c r="M673" s="62"/>
    </row>
    <row r="674" ht="15.75" customHeight="1">
      <c r="A674" s="39">
        <v>45742.0</v>
      </c>
      <c r="B674" s="45"/>
      <c r="C674" s="35" t="s">
        <v>332</v>
      </c>
      <c r="D674" s="35" t="s">
        <v>15</v>
      </c>
      <c r="E674" s="34" t="s">
        <v>738</v>
      </c>
      <c r="F674" s="36">
        <v>45741.0</v>
      </c>
      <c r="G674" s="22">
        <v>7647099.0</v>
      </c>
      <c r="H674" s="14">
        <f t="shared" si="5"/>
        <v>1605890.79</v>
      </c>
      <c r="I674" s="22">
        <v>229412.97</v>
      </c>
      <c r="J674" s="14"/>
      <c r="K674" s="15">
        <f t="shared" si="4"/>
        <v>9482402.76</v>
      </c>
      <c r="L674" s="45"/>
      <c r="M674" s="24">
        <v>45742.0</v>
      </c>
    </row>
    <row r="675" ht="15.75" customHeight="1">
      <c r="A675" s="39">
        <v>45742.0</v>
      </c>
      <c r="B675" s="45"/>
      <c r="C675" s="35" t="s">
        <v>332</v>
      </c>
      <c r="D675" s="35" t="s">
        <v>15</v>
      </c>
      <c r="E675" s="34" t="s">
        <v>739</v>
      </c>
      <c r="F675" s="36">
        <v>45741.0</v>
      </c>
      <c r="G675" s="22">
        <v>1.283749302E7</v>
      </c>
      <c r="H675" s="14">
        <f t="shared" si="5"/>
        <v>2695873.534</v>
      </c>
      <c r="I675" s="22">
        <v>385124.79</v>
      </c>
      <c r="J675" s="14"/>
      <c r="K675" s="15">
        <f t="shared" si="4"/>
        <v>15918491.34</v>
      </c>
      <c r="L675" s="45"/>
      <c r="M675" s="24">
        <v>45742.0</v>
      </c>
    </row>
    <row r="676" ht="15.75" customHeight="1">
      <c r="A676" s="39">
        <v>45742.0</v>
      </c>
      <c r="B676" s="45"/>
      <c r="C676" s="34" t="s">
        <v>582</v>
      </c>
      <c r="D676" s="35" t="s">
        <v>15</v>
      </c>
      <c r="E676" s="20" t="s">
        <v>740</v>
      </c>
      <c r="F676" s="36">
        <v>45741.0</v>
      </c>
      <c r="G676" s="22">
        <v>5011930.61</v>
      </c>
      <c r="H676" s="14">
        <f t="shared" si="5"/>
        <v>1052505.428</v>
      </c>
      <c r="I676" s="22">
        <v>150357.92</v>
      </c>
      <c r="J676" s="22">
        <v>250596.53</v>
      </c>
      <c r="K676" s="15">
        <f t="shared" si="4"/>
        <v>6465390.488</v>
      </c>
      <c r="L676" s="45"/>
      <c r="M676" s="24">
        <v>45742.0</v>
      </c>
    </row>
    <row r="677" ht="15.75" customHeight="1">
      <c r="A677" s="39">
        <v>45771.0</v>
      </c>
      <c r="B677" s="50"/>
      <c r="C677" s="31" t="s">
        <v>741</v>
      </c>
      <c r="D677" s="32" t="s">
        <v>99</v>
      </c>
      <c r="E677" s="31" t="s">
        <v>742</v>
      </c>
      <c r="F677" s="46">
        <v>45772.0</v>
      </c>
      <c r="G677" s="22">
        <v>5005890.34</v>
      </c>
      <c r="H677" s="14">
        <f t="shared" si="5"/>
        <v>1051236.971</v>
      </c>
      <c r="I677" s="22">
        <v>150176.71</v>
      </c>
      <c r="J677" s="22">
        <v>125147.26</v>
      </c>
      <c r="K677" s="15">
        <f t="shared" si="4"/>
        <v>6332451.281</v>
      </c>
      <c r="L677" s="45"/>
      <c r="M677" s="24">
        <v>45811.0</v>
      </c>
    </row>
    <row r="678" ht="15.75" customHeight="1">
      <c r="A678" s="39">
        <v>45771.0</v>
      </c>
      <c r="B678" s="50"/>
      <c r="C678" s="31" t="s">
        <v>561</v>
      </c>
      <c r="D678" s="32" t="s">
        <v>99</v>
      </c>
      <c r="E678" s="31" t="s">
        <v>743</v>
      </c>
      <c r="F678" s="46">
        <v>45772.0</v>
      </c>
      <c r="G678" s="22">
        <v>5100000.98</v>
      </c>
      <c r="H678" s="14">
        <f t="shared" si="5"/>
        <v>1071000.206</v>
      </c>
      <c r="I678" s="22">
        <v>153000.03</v>
      </c>
      <c r="J678" s="14"/>
      <c r="K678" s="15">
        <f t="shared" si="4"/>
        <v>6324001.216</v>
      </c>
      <c r="L678" s="45"/>
      <c r="M678" s="24">
        <v>45771.0</v>
      </c>
    </row>
    <row r="679" ht="15.75" customHeight="1">
      <c r="A679" s="39">
        <v>45771.0</v>
      </c>
      <c r="B679" s="50"/>
      <c r="C679" s="31" t="s">
        <v>561</v>
      </c>
      <c r="D679" s="32" t="s">
        <v>99</v>
      </c>
      <c r="E679" s="31" t="s">
        <v>744</v>
      </c>
      <c r="F679" s="46">
        <v>45772.0</v>
      </c>
      <c r="G679" s="22">
        <v>8250000.38</v>
      </c>
      <c r="H679" s="14">
        <f t="shared" si="5"/>
        <v>1732500.08</v>
      </c>
      <c r="I679" s="22">
        <v>247500.01</v>
      </c>
      <c r="J679" s="14"/>
      <c r="K679" s="15">
        <f t="shared" si="4"/>
        <v>10230000.47</v>
      </c>
      <c r="L679" s="45"/>
      <c r="M679" s="24">
        <v>45771.0</v>
      </c>
    </row>
    <row r="680" ht="15.75" customHeight="1">
      <c r="A680" s="39">
        <v>45771.0</v>
      </c>
      <c r="B680" s="50"/>
      <c r="C680" s="31" t="s">
        <v>561</v>
      </c>
      <c r="D680" s="32" t="s">
        <v>99</v>
      </c>
      <c r="E680" s="31" t="s">
        <v>745</v>
      </c>
      <c r="F680" s="46">
        <v>45772.0</v>
      </c>
      <c r="G680" s="22">
        <v>8200000.87</v>
      </c>
      <c r="H680" s="14">
        <f t="shared" si="5"/>
        <v>1722000.183</v>
      </c>
      <c r="I680" s="22">
        <v>246000.03</v>
      </c>
      <c r="J680" s="14"/>
      <c r="K680" s="15">
        <f t="shared" si="4"/>
        <v>10168001.08</v>
      </c>
      <c r="L680" s="45"/>
      <c r="M680" s="24">
        <v>45771.0</v>
      </c>
    </row>
    <row r="681" ht="15.75" customHeight="1">
      <c r="A681" s="39">
        <v>45771.0</v>
      </c>
      <c r="B681" s="50"/>
      <c r="C681" s="31" t="s">
        <v>561</v>
      </c>
      <c r="D681" s="32" t="s">
        <v>99</v>
      </c>
      <c r="E681" s="31" t="s">
        <v>746</v>
      </c>
      <c r="F681" s="46">
        <v>45772.0</v>
      </c>
      <c r="G681" s="22">
        <v>7700000.66</v>
      </c>
      <c r="H681" s="14">
        <f t="shared" si="5"/>
        <v>1617000.139</v>
      </c>
      <c r="I681" s="22">
        <v>231000.02</v>
      </c>
      <c r="J681" s="14"/>
      <c r="K681" s="15">
        <f t="shared" si="4"/>
        <v>9548000.819</v>
      </c>
      <c r="L681" s="45"/>
      <c r="M681" s="24">
        <v>45771.0</v>
      </c>
    </row>
    <row r="682" ht="15.75" customHeight="1">
      <c r="A682" s="39">
        <v>45771.0</v>
      </c>
      <c r="B682" s="50"/>
      <c r="C682" s="31" t="s">
        <v>561</v>
      </c>
      <c r="D682" s="32" t="s">
        <v>99</v>
      </c>
      <c r="E682" s="31" t="s">
        <v>747</v>
      </c>
      <c r="F682" s="46">
        <v>45772.0</v>
      </c>
      <c r="G682" s="22">
        <v>8500000.02</v>
      </c>
      <c r="H682" s="14">
        <f t="shared" si="5"/>
        <v>1785000.004</v>
      </c>
      <c r="I682" s="22">
        <v>255000.0</v>
      </c>
      <c r="J682" s="14"/>
      <c r="K682" s="15">
        <f t="shared" si="4"/>
        <v>10540000.02</v>
      </c>
      <c r="L682" s="45"/>
      <c r="M682" s="24">
        <v>45771.0</v>
      </c>
    </row>
    <row r="683" ht="15.75" customHeight="1">
      <c r="A683" s="55">
        <v>45771.0</v>
      </c>
      <c r="B683" s="56"/>
      <c r="C683" s="57" t="s">
        <v>194</v>
      </c>
      <c r="D683" s="58" t="s">
        <v>99</v>
      </c>
      <c r="E683" s="57" t="s">
        <v>748</v>
      </c>
      <c r="F683" s="59">
        <v>45772.0</v>
      </c>
      <c r="G683" s="44">
        <v>6011640.23</v>
      </c>
      <c r="H683" s="9">
        <f t="shared" si="5"/>
        <v>1262444.448</v>
      </c>
      <c r="I683" s="60"/>
      <c r="J683" s="44">
        <v>30058.2</v>
      </c>
      <c r="K683" s="10">
        <f t="shared" si="4"/>
        <v>7304142.878</v>
      </c>
      <c r="L683" s="61"/>
      <c r="M683" s="62"/>
    </row>
    <row r="684" ht="15.75" customHeight="1">
      <c r="A684" s="55">
        <v>45771.0</v>
      </c>
      <c r="B684" s="56"/>
      <c r="C684" s="57" t="s">
        <v>194</v>
      </c>
      <c r="D684" s="58" t="s">
        <v>99</v>
      </c>
      <c r="E684" s="57" t="s">
        <v>749</v>
      </c>
      <c r="F684" s="59">
        <v>45772.0</v>
      </c>
      <c r="G684" s="44">
        <v>1803890.0</v>
      </c>
      <c r="H684" s="9">
        <f t="shared" si="5"/>
        <v>378816.9</v>
      </c>
      <c r="I684" s="44">
        <v>54116.7</v>
      </c>
      <c r="J684" s="44">
        <v>9019.45</v>
      </c>
      <c r="K684" s="10">
        <f t="shared" si="4"/>
        <v>2245843.05</v>
      </c>
      <c r="L684" s="61"/>
      <c r="M684" s="62"/>
    </row>
    <row r="685" ht="15.75" customHeight="1">
      <c r="A685" s="55">
        <v>45771.0</v>
      </c>
      <c r="B685" s="56"/>
      <c r="C685" s="57" t="s">
        <v>124</v>
      </c>
      <c r="D685" s="58" t="s">
        <v>99</v>
      </c>
      <c r="E685" s="57" t="s">
        <v>750</v>
      </c>
      <c r="F685" s="59">
        <v>45772.0</v>
      </c>
      <c r="G685" s="44">
        <v>2003940.74</v>
      </c>
      <c r="H685" s="9">
        <f t="shared" si="5"/>
        <v>420827.5554</v>
      </c>
      <c r="I685" s="44">
        <v>60118.22</v>
      </c>
      <c r="J685" s="60"/>
      <c r="K685" s="10">
        <f t="shared" si="4"/>
        <v>2484886.515</v>
      </c>
      <c r="L685" s="61"/>
      <c r="M685" s="62"/>
    </row>
    <row r="686" ht="15.75" customHeight="1">
      <c r="A686" s="55">
        <v>45771.0</v>
      </c>
      <c r="B686" s="56"/>
      <c r="C686" s="57" t="s">
        <v>124</v>
      </c>
      <c r="D686" s="58" t="s">
        <v>99</v>
      </c>
      <c r="E686" s="57" t="s">
        <v>751</v>
      </c>
      <c r="F686" s="59">
        <v>45772.0</v>
      </c>
      <c r="G686" s="44">
        <v>1003240.53</v>
      </c>
      <c r="H686" s="9">
        <f t="shared" si="5"/>
        <v>210680.5113</v>
      </c>
      <c r="I686" s="60"/>
      <c r="J686" s="60"/>
      <c r="K686" s="10">
        <f t="shared" si="4"/>
        <v>1213921.041</v>
      </c>
      <c r="L686" s="61"/>
      <c r="M686" s="62"/>
    </row>
    <row r="687" ht="15.75" customHeight="1">
      <c r="A687" s="39">
        <v>45743.0</v>
      </c>
      <c r="B687" s="45"/>
      <c r="C687" s="34" t="s">
        <v>567</v>
      </c>
      <c r="D687" s="35" t="s">
        <v>15</v>
      </c>
      <c r="E687" s="20" t="s">
        <v>752</v>
      </c>
      <c r="F687" s="36">
        <v>45741.0</v>
      </c>
      <c r="G687" s="22">
        <v>9827121.0</v>
      </c>
      <c r="H687" s="14">
        <f t="shared" si="5"/>
        <v>2063695.41</v>
      </c>
      <c r="I687" s="22">
        <v>294813.63</v>
      </c>
      <c r="J687" s="22"/>
      <c r="K687" s="15">
        <f t="shared" si="4"/>
        <v>12185630.04</v>
      </c>
      <c r="L687" s="45"/>
      <c r="M687" s="24">
        <v>45744.0</v>
      </c>
    </row>
    <row r="688" ht="15.75" customHeight="1">
      <c r="A688" s="39">
        <v>45743.0</v>
      </c>
      <c r="B688" s="45"/>
      <c r="C688" s="34" t="s">
        <v>567</v>
      </c>
      <c r="D688" s="35" t="s">
        <v>15</v>
      </c>
      <c r="E688" s="20" t="s">
        <v>753</v>
      </c>
      <c r="F688" s="36">
        <v>45741.0</v>
      </c>
      <c r="G688" s="22">
        <v>1.68821992E7</v>
      </c>
      <c r="H688" s="14">
        <f t="shared" si="5"/>
        <v>3545261.832</v>
      </c>
      <c r="I688" s="22">
        <v>506465.98</v>
      </c>
      <c r="J688" s="22"/>
      <c r="K688" s="15">
        <f t="shared" si="4"/>
        <v>20933927.01</v>
      </c>
      <c r="L688" s="45"/>
      <c r="M688" s="24">
        <v>45744.0</v>
      </c>
    </row>
    <row r="689" ht="15.75" customHeight="1">
      <c r="A689" s="39">
        <v>45743.0</v>
      </c>
      <c r="B689" s="45"/>
      <c r="C689" s="34" t="s">
        <v>567</v>
      </c>
      <c r="D689" s="35" t="s">
        <v>15</v>
      </c>
      <c r="E689" s="20" t="s">
        <v>754</v>
      </c>
      <c r="F689" s="36">
        <v>45741.0</v>
      </c>
      <c r="G689" s="22">
        <v>1.236589062E7</v>
      </c>
      <c r="H689" s="14">
        <f t="shared" si="5"/>
        <v>2596837.03</v>
      </c>
      <c r="I689" s="22">
        <v>370976.72</v>
      </c>
      <c r="J689" s="22"/>
      <c r="K689" s="15">
        <f t="shared" si="4"/>
        <v>15333704.37</v>
      </c>
      <c r="L689" s="45"/>
      <c r="M689" s="24">
        <v>45744.0</v>
      </c>
    </row>
    <row r="690" ht="15.75" customHeight="1">
      <c r="A690" s="55">
        <v>45743.0</v>
      </c>
      <c r="B690" s="61"/>
      <c r="C690" s="34" t="s">
        <v>567</v>
      </c>
      <c r="D690" s="35" t="s">
        <v>15</v>
      </c>
      <c r="E690" s="34" t="s">
        <v>755</v>
      </c>
      <c r="F690" s="36">
        <v>45741.0</v>
      </c>
      <c r="G690" s="22">
        <v>1.366211118E7</v>
      </c>
      <c r="H690" s="14">
        <f t="shared" si="5"/>
        <v>2869043.348</v>
      </c>
      <c r="I690" s="22">
        <v>409863.34</v>
      </c>
      <c r="J690" s="22"/>
      <c r="K690" s="15">
        <f t="shared" si="4"/>
        <v>16941017.87</v>
      </c>
      <c r="L690" s="61"/>
      <c r="M690" s="62"/>
    </row>
    <row r="691" ht="15.75" customHeight="1">
      <c r="A691" s="55">
        <v>45743.0</v>
      </c>
      <c r="B691" s="61"/>
      <c r="C691" s="34" t="s">
        <v>567</v>
      </c>
      <c r="D691" s="35" t="s">
        <v>15</v>
      </c>
      <c r="E691" s="34" t="s">
        <v>756</v>
      </c>
      <c r="F691" s="36">
        <v>45741.0</v>
      </c>
      <c r="G691" s="22">
        <v>9282711.09</v>
      </c>
      <c r="H691" s="14">
        <f t="shared" si="5"/>
        <v>1949369.329</v>
      </c>
      <c r="I691" s="22"/>
      <c r="J691" s="22"/>
      <c r="K691" s="15">
        <f t="shared" si="4"/>
        <v>11232080.42</v>
      </c>
      <c r="L691" s="61"/>
      <c r="M691" s="62"/>
    </row>
    <row r="692" ht="15.75" customHeight="1">
      <c r="A692" s="39">
        <v>45771.0</v>
      </c>
      <c r="B692" s="50"/>
      <c r="C692" s="31" t="s">
        <v>757</v>
      </c>
      <c r="D692" s="32" t="s">
        <v>99</v>
      </c>
      <c r="E692" s="31" t="s">
        <v>758</v>
      </c>
      <c r="F692" s="46">
        <v>45772.0</v>
      </c>
      <c r="G692" s="22">
        <v>5178940.24</v>
      </c>
      <c r="H692" s="14">
        <f t="shared" si="5"/>
        <v>1087577.45</v>
      </c>
      <c r="I692" s="14"/>
      <c r="J692" s="14"/>
      <c r="K692" s="15">
        <f t="shared" si="4"/>
        <v>6266517.69</v>
      </c>
      <c r="L692" s="45"/>
      <c r="M692" s="6"/>
    </row>
    <row r="693" ht="15.75" customHeight="1">
      <c r="A693" s="39">
        <v>45771.0</v>
      </c>
      <c r="B693" s="50"/>
      <c r="C693" s="31" t="s">
        <v>757</v>
      </c>
      <c r="D693" s="32" t="s">
        <v>99</v>
      </c>
      <c r="E693" s="31" t="s">
        <v>759</v>
      </c>
      <c r="F693" s="46">
        <v>45772.0</v>
      </c>
      <c r="G693" s="22">
        <v>6404962.14</v>
      </c>
      <c r="H693" s="14">
        <f t="shared" si="5"/>
        <v>1345042.049</v>
      </c>
      <c r="I693" s="22">
        <v>192148.86</v>
      </c>
      <c r="J693" s="14"/>
      <c r="K693" s="15">
        <f t="shared" si="4"/>
        <v>7942153.049</v>
      </c>
      <c r="L693" s="45"/>
      <c r="M693" s="24">
        <v>45776.0</v>
      </c>
    </row>
    <row r="694" ht="15.75" customHeight="1">
      <c r="A694" s="39">
        <v>45771.0</v>
      </c>
      <c r="B694" s="50"/>
      <c r="C694" s="31" t="s">
        <v>757</v>
      </c>
      <c r="D694" s="32" t="s">
        <v>99</v>
      </c>
      <c r="E694" s="31" t="s">
        <v>760</v>
      </c>
      <c r="F694" s="46">
        <v>45772.0</v>
      </c>
      <c r="G694" s="22">
        <v>1.13639773E7</v>
      </c>
      <c r="H694" s="14">
        <f t="shared" si="5"/>
        <v>2386435.233</v>
      </c>
      <c r="I694" s="22">
        <v>340919.32</v>
      </c>
      <c r="J694" s="14"/>
      <c r="K694" s="15">
        <f t="shared" si="4"/>
        <v>14091331.85</v>
      </c>
      <c r="L694" s="45"/>
      <c r="M694" s="24">
        <v>45776.0</v>
      </c>
    </row>
    <row r="695" ht="15.75" customHeight="1">
      <c r="A695" s="39">
        <v>45771.0</v>
      </c>
      <c r="B695" s="50"/>
      <c r="C695" s="31" t="s">
        <v>757</v>
      </c>
      <c r="D695" s="32" t="s">
        <v>99</v>
      </c>
      <c r="E695" s="31" t="s">
        <v>761</v>
      </c>
      <c r="F695" s="46">
        <v>45772.0</v>
      </c>
      <c r="G695" s="22">
        <v>8801660.14</v>
      </c>
      <c r="H695" s="14">
        <f t="shared" si="5"/>
        <v>1848348.629</v>
      </c>
      <c r="I695" s="14"/>
      <c r="J695" s="14"/>
      <c r="K695" s="15">
        <f t="shared" si="4"/>
        <v>10650008.77</v>
      </c>
      <c r="L695" s="45"/>
      <c r="M695" s="6"/>
    </row>
    <row r="696" ht="15.75" customHeight="1">
      <c r="A696" s="39">
        <v>45771.0</v>
      </c>
      <c r="B696" s="50"/>
      <c r="C696" s="31" t="s">
        <v>757</v>
      </c>
      <c r="D696" s="32" t="s">
        <v>99</v>
      </c>
      <c r="E696" s="31" t="s">
        <v>762</v>
      </c>
      <c r="F696" s="46">
        <v>45772.0</v>
      </c>
      <c r="G696" s="22">
        <v>1.231414308E7</v>
      </c>
      <c r="H696" s="14">
        <f t="shared" si="5"/>
        <v>2585970.047</v>
      </c>
      <c r="I696" s="22">
        <v>369424.29</v>
      </c>
      <c r="J696" s="14"/>
      <c r="K696" s="15">
        <f t="shared" si="4"/>
        <v>15269537.42</v>
      </c>
      <c r="L696" s="45"/>
      <c r="M696" s="24">
        <v>45776.0</v>
      </c>
    </row>
    <row r="697" ht="15.75" customHeight="1">
      <c r="A697" s="55">
        <v>45772.0</v>
      </c>
      <c r="B697" s="56"/>
      <c r="C697" s="57" t="s">
        <v>120</v>
      </c>
      <c r="D697" s="58" t="s">
        <v>99</v>
      </c>
      <c r="E697" s="57" t="s">
        <v>763</v>
      </c>
      <c r="F697" s="59">
        <v>45772.0</v>
      </c>
      <c r="G697" s="44">
        <v>1.815090824E7</v>
      </c>
      <c r="H697" s="9">
        <f t="shared" si="5"/>
        <v>3811690.73</v>
      </c>
      <c r="I697" s="60"/>
      <c r="J697" s="44">
        <v>290414.53</v>
      </c>
      <c r="K697" s="10">
        <f t="shared" si="4"/>
        <v>22253013.5</v>
      </c>
      <c r="L697" s="61"/>
      <c r="M697" s="62"/>
    </row>
    <row r="698" ht="15.75" customHeight="1">
      <c r="A698" s="39">
        <v>45772.0</v>
      </c>
      <c r="B698" s="50"/>
      <c r="C698" s="31" t="s">
        <v>757</v>
      </c>
      <c r="D698" s="32" t="s">
        <v>99</v>
      </c>
      <c r="E698" s="31" t="s">
        <v>764</v>
      </c>
      <c r="F698" s="46">
        <v>45772.0</v>
      </c>
      <c r="G698" s="22">
        <v>-8801660.14</v>
      </c>
      <c r="H698" s="14">
        <f t="shared" si="5"/>
        <v>-1848348.629</v>
      </c>
      <c r="I698" s="14"/>
      <c r="J698" s="14"/>
      <c r="K698" s="15">
        <f t="shared" si="4"/>
        <v>-10650008.77</v>
      </c>
      <c r="L698" s="45"/>
      <c r="M698" s="6"/>
    </row>
    <row r="699" ht="15.75" customHeight="1">
      <c r="A699" s="39">
        <v>45772.0</v>
      </c>
      <c r="B699" s="50"/>
      <c r="C699" s="31" t="s">
        <v>757</v>
      </c>
      <c r="D699" s="32" t="s">
        <v>99</v>
      </c>
      <c r="E699" s="31" t="s">
        <v>765</v>
      </c>
      <c r="F699" s="46">
        <v>45772.0</v>
      </c>
      <c r="G699" s="22">
        <v>-5178940.24</v>
      </c>
      <c r="H699" s="14">
        <f t="shared" si="5"/>
        <v>-1087577.45</v>
      </c>
      <c r="I699" s="14"/>
      <c r="J699" s="14"/>
      <c r="K699" s="15">
        <f t="shared" si="4"/>
        <v>-6266517.69</v>
      </c>
      <c r="L699" s="45"/>
      <c r="M699" s="6"/>
    </row>
    <row r="700" ht="15.75" customHeight="1">
      <c r="A700" s="55">
        <v>45772.0</v>
      </c>
      <c r="B700" s="120" t="s">
        <v>766</v>
      </c>
      <c r="C700" s="57" t="s">
        <v>767</v>
      </c>
      <c r="D700" s="57" t="s">
        <v>77</v>
      </c>
      <c r="E700" s="57" t="s">
        <v>768</v>
      </c>
      <c r="F700" s="59">
        <v>45772.0</v>
      </c>
      <c r="G700" s="44">
        <v>1.941953E7</v>
      </c>
      <c r="H700" s="9">
        <f t="shared" si="5"/>
        <v>4078101.3</v>
      </c>
      <c r="I700" s="60"/>
      <c r="J700" s="60"/>
      <c r="K700" s="10">
        <f t="shared" si="4"/>
        <v>23497631.3</v>
      </c>
      <c r="L700" s="61"/>
      <c r="M700" s="62"/>
    </row>
    <row r="701" ht="15.75" customHeight="1">
      <c r="A701" s="55">
        <v>45772.0</v>
      </c>
      <c r="B701" s="120" t="s">
        <v>766</v>
      </c>
      <c r="C701" s="57" t="s">
        <v>767</v>
      </c>
      <c r="D701" s="57" t="s">
        <v>769</v>
      </c>
      <c r="E701" s="58">
        <v>1.00250748E8</v>
      </c>
      <c r="F701" s="59">
        <v>45772.0</v>
      </c>
      <c r="G701" s="44">
        <v>1.210297E7</v>
      </c>
      <c r="H701" s="9">
        <f t="shared" si="5"/>
        <v>2541623.7</v>
      </c>
      <c r="I701" s="60"/>
      <c r="J701" s="60"/>
      <c r="K701" s="10">
        <f t="shared" si="4"/>
        <v>14644593.7</v>
      </c>
      <c r="L701" s="61"/>
      <c r="M701" s="62"/>
    </row>
    <row r="702" ht="15.75" customHeight="1">
      <c r="A702" s="55">
        <v>45772.0</v>
      </c>
      <c r="B702" s="120" t="s">
        <v>766</v>
      </c>
      <c r="C702" s="57" t="s">
        <v>767</v>
      </c>
      <c r="D702" s="57" t="s">
        <v>769</v>
      </c>
      <c r="E702" s="58">
        <v>1.00250747E8</v>
      </c>
      <c r="F702" s="59">
        <v>45772.0</v>
      </c>
      <c r="G702" s="121">
        <v>1.293254E7</v>
      </c>
      <c r="H702" s="9">
        <f t="shared" si="5"/>
        <v>2715833.4</v>
      </c>
      <c r="I702" s="60"/>
      <c r="J702" s="60"/>
      <c r="K702" s="10">
        <f t="shared" si="4"/>
        <v>15648373.4</v>
      </c>
      <c r="L702" s="61"/>
      <c r="M702" s="62"/>
    </row>
    <row r="703" ht="15.75" customHeight="1">
      <c r="A703" s="55">
        <v>45772.0</v>
      </c>
      <c r="B703" s="120" t="s">
        <v>766</v>
      </c>
      <c r="C703" s="57" t="s">
        <v>767</v>
      </c>
      <c r="D703" s="57" t="s">
        <v>77</v>
      </c>
      <c r="E703" s="57" t="s">
        <v>770</v>
      </c>
      <c r="F703" s="59">
        <v>45772.0</v>
      </c>
      <c r="G703" s="44">
        <v>1.946293E7</v>
      </c>
      <c r="H703" s="9">
        <f t="shared" si="5"/>
        <v>4087215.3</v>
      </c>
      <c r="I703" s="60"/>
      <c r="J703" s="60"/>
      <c r="K703" s="10">
        <f t="shared" si="4"/>
        <v>23550145.3</v>
      </c>
      <c r="L703" s="61"/>
      <c r="M703" s="62"/>
    </row>
    <row r="704" ht="15.75" customHeight="1">
      <c r="A704" s="55">
        <v>45772.0</v>
      </c>
      <c r="B704" s="120" t="s">
        <v>766</v>
      </c>
      <c r="C704" s="57" t="s">
        <v>767</v>
      </c>
      <c r="D704" s="57" t="s">
        <v>77</v>
      </c>
      <c r="E704" s="57" t="s">
        <v>771</v>
      </c>
      <c r="F704" s="59">
        <v>45772.0</v>
      </c>
      <c r="G704" s="44">
        <v>1.735475E7</v>
      </c>
      <c r="H704" s="9">
        <f t="shared" si="5"/>
        <v>3644497.5</v>
      </c>
      <c r="I704" s="60"/>
      <c r="J704" s="60"/>
      <c r="K704" s="10">
        <f t="shared" si="4"/>
        <v>20999247.5</v>
      </c>
      <c r="L704" s="61"/>
      <c r="M704" s="62"/>
    </row>
    <row r="705" ht="15.75" customHeight="1">
      <c r="A705" s="55">
        <v>45772.0</v>
      </c>
      <c r="B705" s="120" t="s">
        <v>766</v>
      </c>
      <c r="C705" s="57" t="s">
        <v>767</v>
      </c>
      <c r="D705" s="57" t="s">
        <v>77</v>
      </c>
      <c r="E705" s="57" t="s">
        <v>772</v>
      </c>
      <c r="F705" s="59">
        <v>45772.0</v>
      </c>
      <c r="G705" s="44">
        <v>1.838828E7</v>
      </c>
      <c r="H705" s="9">
        <f t="shared" si="5"/>
        <v>3861538.8</v>
      </c>
      <c r="I705" s="60"/>
      <c r="J705" s="60"/>
      <c r="K705" s="10">
        <f t="shared" si="4"/>
        <v>22249818.8</v>
      </c>
      <c r="L705" s="61"/>
      <c r="M705" s="62"/>
    </row>
    <row r="706" ht="15.75" customHeight="1">
      <c r="A706" s="55">
        <v>45772.0</v>
      </c>
      <c r="B706" s="120" t="s">
        <v>766</v>
      </c>
      <c r="C706" s="57" t="s">
        <v>767</v>
      </c>
      <c r="D706" s="57" t="s">
        <v>77</v>
      </c>
      <c r="E706" s="57" t="s">
        <v>773</v>
      </c>
      <c r="F706" s="59">
        <v>45772.0</v>
      </c>
      <c r="G706" s="44">
        <v>1.538725E7</v>
      </c>
      <c r="H706" s="9">
        <f t="shared" si="5"/>
        <v>3231322.5</v>
      </c>
      <c r="I706" s="60"/>
      <c r="J706" s="60"/>
      <c r="K706" s="10">
        <f t="shared" si="4"/>
        <v>18618572.5</v>
      </c>
      <c r="L706" s="61"/>
      <c r="M706" s="62"/>
    </row>
    <row r="707" ht="15.75" customHeight="1">
      <c r="A707" s="55">
        <v>45772.0</v>
      </c>
      <c r="B707" s="120" t="s">
        <v>766</v>
      </c>
      <c r="C707" s="57" t="s">
        <v>767</v>
      </c>
      <c r="D707" s="58" t="s">
        <v>774</v>
      </c>
      <c r="E707" s="58">
        <v>1.000371948E9</v>
      </c>
      <c r="F707" s="59">
        <v>45772.0</v>
      </c>
      <c r="G707" s="44">
        <v>0.83</v>
      </c>
      <c r="H707" s="9">
        <f t="shared" si="5"/>
        <v>0.1743</v>
      </c>
      <c r="I707" s="60"/>
      <c r="J707" s="60"/>
      <c r="K707" s="10">
        <f t="shared" si="4"/>
        <v>1.0043</v>
      </c>
      <c r="L707" s="61"/>
      <c r="M707" s="62"/>
    </row>
    <row r="708" ht="15.75" customHeight="1">
      <c r="A708" s="55">
        <v>45772.0</v>
      </c>
      <c r="B708" s="120" t="s">
        <v>766</v>
      </c>
      <c r="C708" s="57" t="s">
        <v>767</v>
      </c>
      <c r="D708" s="58" t="s">
        <v>72</v>
      </c>
      <c r="E708" s="58">
        <v>1.00001758E9</v>
      </c>
      <c r="F708" s="59">
        <v>45772.0</v>
      </c>
      <c r="G708" s="44">
        <v>9467430.0</v>
      </c>
      <c r="H708" s="9">
        <f t="shared" si="5"/>
        <v>1988160.3</v>
      </c>
      <c r="I708" s="60"/>
      <c r="J708" s="60"/>
      <c r="K708" s="10">
        <f t="shared" si="4"/>
        <v>11455590.3</v>
      </c>
      <c r="L708" s="61"/>
      <c r="M708" s="62"/>
    </row>
    <row r="709" ht="15.75" customHeight="1">
      <c r="A709" s="55">
        <v>45775.0</v>
      </c>
      <c r="B709" s="120" t="s">
        <v>766</v>
      </c>
      <c r="C709" s="57" t="s">
        <v>767</v>
      </c>
      <c r="D709" s="58" t="s">
        <v>774</v>
      </c>
      <c r="E709" s="58">
        <v>1.000372274E9</v>
      </c>
      <c r="F709" s="59">
        <v>45772.0</v>
      </c>
      <c r="G709" s="44">
        <v>1.499539E7</v>
      </c>
      <c r="H709" s="9">
        <f t="shared" si="5"/>
        <v>3149031.9</v>
      </c>
      <c r="I709" s="60"/>
      <c r="J709" s="60"/>
      <c r="K709" s="10">
        <f t="shared" si="4"/>
        <v>18144421.9</v>
      </c>
      <c r="L709" s="61"/>
      <c r="M709" s="62"/>
    </row>
    <row r="710" ht="15.75" customHeight="1">
      <c r="A710" s="55">
        <v>45775.0</v>
      </c>
      <c r="B710" s="120" t="s">
        <v>766</v>
      </c>
      <c r="C710" s="57" t="s">
        <v>767</v>
      </c>
      <c r="D710" s="58" t="s">
        <v>72</v>
      </c>
      <c r="E710" s="58">
        <v>1.000017624E9</v>
      </c>
      <c r="F710" s="59">
        <v>45772.0</v>
      </c>
      <c r="G710" s="44">
        <v>1.054285E7</v>
      </c>
      <c r="H710" s="9">
        <f t="shared" si="5"/>
        <v>2213998.5</v>
      </c>
      <c r="I710" s="60"/>
      <c r="J710" s="60"/>
      <c r="K710" s="10">
        <f t="shared" si="4"/>
        <v>12756848.5</v>
      </c>
      <c r="L710" s="61"/>
      <c r="M710" s="62"/>
    </row>
    <row r="711" ht="15.75" customHeight="1">
      <c r="A711" s="39">
        <v>45775.0</v>
      </c>
      <c r="B711" s="50"/>
      <c r="C711" s="31" t="s">
        <v>323</v>
      </c>
      <c r="D711" s="32" t="s">
        <v>99</v>
      </c>
      <c r="E711" s="31" t="s">
        <v>775</v>
      </c>
      <c r="F711" s="46">
        <v>45772.0</v>
      </c>
      <c r="G711" s="22">
        <v>4780000.0</v>
      </c>
      <c r="H711" s="14">
        <f t="shared" si="5"/>
        <v>1003800</v>
      </c>
      <c r="I711" s="22">
        <v>143400.0</v>
      </c>
      <c r="J711" s="22">
        <v>38240.0</v>
      </c>
      <c r="K711" s="15">
        <f t="shared" si="4"/>
        <v>5965440</v>
      </c>
      <c r="L711" s="45"/>
      <c r="M711" s="24">
        <v>45777.0</v>
      </c>
    </row>
    <row r="712" ht="15.75" customHeight="1">
      <c r="A712" s="39">
        <v>45775.0</v>
      </c>
      <c r="B712" s="50"/>
      <c r="C712" s="31" t="s">
        <v>323</v>
      </c>
      <c r="D712" s="32" t="s">
        <v>99</v>
      </c>
      <c r="E712" s="31" t="s">
        <v>776</v>
      </c>
      <c r="F712" s="46">
        <v>45772.0</v>
      </c>
      <c r="G712" s="22">
        <v>3822000.0</v>
      </c>
      <c r="H712" s="14">
        <f t="shared" si="5"/>
        <v>802620</v>
      </c>
      <c r="I712" s="14"/>
      <c r="J712" s="14"/>
      <c r="K712" s="15">
        <f t="shared" si="4"/>
        <v>4624620</v>
      </c>
      <c r="L712" s="45"/>
      <c r="M712" s="24">
        <v>45777.0</v>
      </c>
    </row>
    <row r="713" ht="15.75" customHeight="1">
      <c r="A713" s="39">
        <v>45775.0</v>
      </c>
      <c r="B713" s="50"/>
      <c r="C713" s="31" t="s">
        <v>323</v>
      </c>
      <c r="D713" s="32" t="s">
        <v>99</v>
      </c>
      <c r="E713" s="31" t="s">
        <v>777</v>
      </c>
      <c r="F713" s="46">
        <v>45772.0</v>
      </c>
      <c r="G713" s="22">
        <v>5300000.0</v>
      </c>
      <c r="H713" s="14">
        <f t="shared" si="5"/>
        <v>1113000</v>
      </c>
      <c r="I713" s="14"/>
      <c r="J713" s="22">
        <v>42400.0</v>
      </c>
      <c r="K713" s="15">
        <f t="shared" si="4"/>
        <v>6455400</v>
      </c>
      <c r="L713" s="45"/>
      <c r="M713" s="24">
        <v>45777.0</v>
      </c>
    </row>
    <row r="714" ht="15.75" customHeight="1">
      <c r="A714" s="39">
        <v>45775.0</v>
      </c>
      <c r="B714" s="50"/>
      <c r="C714" s="31" t="s">
        <v>323</v>
      </c>
      <c r="D714" s="32" t="s">
        <v>99</v>
      </c>
      <c r="E714" s="31" t="s">
        <v>778</v>
      </c>
      <c r="F714" s="46">
        <v>45772.0</v>
      </c>
      <c r="G714" s="22">
        <v>4773022.0</v>
      </c>
      <c r="H714" s="14">
        <f t="shared" si="5"/>
        <v>1002334.62</v>
      </c>
      <c r="I714" s="22">
        <v>143190.66</v>
      </c>
      <c r="J714" s="22">
        <v>38184.18</v>
      </c>
      <c r="K714" s="15">
        <f t="shared" si="4"/>
        <v>5956731.46</v>
      </c>
      <c r="L714" s="45"/>
      <c r="M714" s="24">
        <v>45777.0</v>
      </c>
    </row>
    <row r="715" ht="15.75" customHeight="1">
      <c r="A715" s="39">
        <v>45775.0</v>
      </c>
      <c r="B715" s="50"/>
      <c r="C715" s="31" t="s">
        <v>323</v>
      </c>
      <c r="D715" s="32" t="s">
        <v>99</v>
      </c>
      <c r="E715" s="31" t="s">
        <v>779</v>
      </c>
      <c r="F715" s="46">
        <v>45772.0</v>
      </c>
      <c r="G715" s="22">
        <v>8448000.0</v>
      </c>
      <c r="H715" s="14">
        <f t="shared" si="5"/>
        <v>1774080</v>
      </c>
      <c r="I715" s="22">
        <v>253440.0</v>
      </c>
      <c r="J715" s="22">
        <v>67584.0</v>
      </c>
      <c r="K715" s="15">
        <f t="shared" si="4"/>
        <v>10543104</v>
      </c>
      <c r="L715" s="45"/>
      <c r="M715" s="24">
        <v>45777.0</v>
      </c>
    </row>
    <row r="716" ht="15.75" customHeight="1">
      <c r="A716" s="55">
        <v>45743.0</v>
      </c>
      <c r="B716" s="61"/>
      <c r="C716" s="34" t="s">
        <v>567</v>
      </c>
      <c r="D716" s="35" t="s">
        <v>15</v>
      </c>
      <c r="E716" s="20" t="s">
        <v>780</v>
      </c>
      <c r="F716" s="36">
        <v>45741.0</v>
      </c>
      <c r="G716" s="22">
        <v>4783829.03</v>
      </c>
      <c r="H716" s="14">
        <f t="shared" si="5"/>
        <v>1004604.096</v>
      </c>
      <c r="I716" s="22">
        <v>143514.87</v>
      </c>
      <c r="J716" s="22"/>
      <c r="K716" s="15">
        <f t="shared" si="4"/>
        <v>5931947.996</v>
      </c>
      <c r="L716" s="61"/>
      <c r="M716" s="62"/>
    </row>
    <row r="717" ht="15.75" customHeight="1">
      <c r="A717" s="39">
        <v>45743.0</v>
      </c>
      <c r="B717" s="45"/>
      <c r="C717" s="34" t="s">
        <v>143</v>
      </c>
      <c r="D717" s="35" t="s">
        <v>15</v>
      </c>
      <c r="E717" s="20" t="s">
        <v>781</v>
      </c>
      <c r="F717" s="36">
        <v>45741.0</v>
      </c>
      <c r="G717" s="22">
        <f>1267320.64/1.21</f>
        <v>1047372.43</v>
      </c>
      <c r="H717" s="14">
        <f t="shared" si="5"/>
        <v>219948.2102</v>
      </c>
      <c r="I717" s="22"/>
      <c r="J717" s="22"/>
      <c r="K717" s="15">
        <f t="shared" si="4"/>
        <v>1267320.64</v>
      </c>
      <c r="L717" s="45"/>
      <c r="M717" s="24">
        <v>45747.0</v>
      </c>
    </row>
    <row r="718" ht="15.75" customHeight="1">
      <c r="A718" s="55">
        <v>45776.0</v>
      </c>
      <c r="B718" s="56"/>
      <c r="C718" s="58" t="s">
        <v>782</v>
      </c>
      <c r="D718" s="58" t="s">
        <v>108</v>
      </c>
      <c r="E718" s="57" t="s">
        <v>783</v>
      </c>
      <c r="F718" s="59">
        <v>45772.0</v>
      </c>
      <c r="G718" s="121">
        <f>20085715.42/1.21</f>
        <v>16599764.81</v>
      </c>
      <c r="H718" s="9">
        <f t="shared" si="5"/>
        <v>3485950.61</v>
      </c>
      <c r="I718" s="60"/>
      <c r="J718" s="60"/>
      <c r="K718" s="10">
        <f t="shared" si="4"/>
        <v>20085715.42</v>
      </c>
      <c r="L718" s="61"/>
      <c r="M718" s="62"/>
    </row>
    <row r="719" ht="15.75" customHeight="1">
      <c r="A719" s="55">
        <v>45776.0</v>
      </c>
      <c r="B719" s="56"/>
      <c r="C719" s="57" t="s">
        <v>784</v>
      </c>
      <c r="D719" s="58" t="s">
        <v>108</v>
      </c>
      <c r="E719" s="57" t="s">
        <v>785</v>
      </c>
      <c r="F719" s="59">
        <v>45772.0</v>
      </c>
      <c r="G719" s="121">
        <v>3.008808949E7</v>
      </c>
      <c r="H719" s="9">
        <f t="shared" si="5"/>
        <v>6318498.793</v>
      </c>
      <c r="I719" s="60"/>
      <c r="J719" s="60"/>
      <c r="K719" s="10">
        <f t="shared" si="4"/>
        <v>36406588.28</v>
      </c>
      <c r="L719" s="61"/>
      <c r="M719" s="62"/>
    </row>
    <row r="720" ht="15.75" customHeight="1">
      <c r="A720" s="55">
        <v>45776.0</v>
      </c>
      <c r="B720" s="56"/>
      <c r="C720" s="122" t="s">
        <v>786</v>
      </c>
      <c r="D720" s="40" t="s">
        <v>787</v>
      </c>
      <c r="E720" s="40" t="s">
        <v>788</v>
      </c>
      <c r="F720" s="59">
        <v>45772.0</v>
      </c>
      <c r="G720" s="123">
        <v>2.053991032E7</v>
      </c>
      <c r="H720" s="9">
        <f t="shared" si="5"/>
        <v>4313381.167</v>
      </c>
      <c r="I720" s="60"/>
      <c r="J720" s="60"/>
      <c r="K720" s="10">
        <f t="shared" si="4"/>
        <v>24853291.49</v>
      </c>
      <c r="L720" s="61"/>
      <c r="M720" s="62"/>
    </row>
    <row r="721" ht="15.75" customHeight="1">
      <c r="A721" s="55">
        <v>45776.0</v>
      </c>
      <c r="B721" s="56"/>
      <c r="C721" s="122" t="s">
        <v>789</v>
      </c>
      <c r="D721" s="40" t="s">
        <v>787</v>
      </c>
      <c r="E721" s="41" t="s">
        <v>790</v>
      </c>
      <c r="F721" s="59">
        <v>45772.0</v>
      </c>
      <c r="G721" s="123">
        <v>9888927.93</v>
      </c>
      <c r="H721" s="9">
        <f t="shared" si="5"/>
        <v>2076674.865</v>
      </c>
      <c r="I721" s="60"/>
      <c r="J721" s="60"/>
      <c r="K721" s="10">
        <f t="shared" si="4"/>
        <v>11965602.8</v>
      </c>
      <c r="L721" s="61"/>
      <c r="M721" s="62"/>
    </row>
    <row r="722" ht="15.75" customHeight="1">
      <c r="A722" s="55">
        <v>45776.0</v>
      </c>
      <c r="B722" s="56"/>
      <c r="C722" s="122" t="s">
        <v>789</v>
      </c>
      <c r="D722" s="40" t="s">
        <v>787</v>
      </c>
      <c r="E722" s="40" t="s">
        <v>791</v>
      </c>
      <c r="F722" s="59">
        <v>45772.0</v>
      </c>
      <c r="G722" s="123">
        <v>1.903497522E7</v>
      </c>
      <c r="H722" s="9">
        <f t="shared" si="5"/>
        <v>3997344.796</v>
      </c>
      <c r="I722" s="60"/>
      <c r="J722" s="60"/>
      <c r="K722" s="10">
        <f t="shared" si="4"/>
        <v>23032320.02</v>
      </c>
      <c r="L722" s="61"/>
      <c r="M722" s="62"/>
    </row>
    <row r="723" ht="15.75" customHeight="1">
      <c r="A723" s="55">
        <v>45776.0</v>
      </c>
      <c r="B723" s="56"/>
      <c r="C723" s="122" t="s">
        <v>789</v>
      </c>
      <c r="D723" s="40" t="s">
        <v>787</v>
      </c>
      <c r="E723" s="40" t="s">
        <v>792</v>
      </c>
      <c r="F723" s="59">
        <v>45772.0</v>
      </c>
      <c r="G723" s="123">
        <v>2.057809389E7</v>
      </c>
      <c r="H723" s="9">
        <f t="shared" si="5"/>
        <v>4321399.717</v>
      </c>
      <c r="I723" s="60"/>
      <c r="J723" s="60"/>
      <c r="K723" s="10">
        <f t="shared" si="4"/>
        <v>24899493.61</v>
      </c>
      <c r="L723" s="61"/>
      <c r="M723" s="62"/>
    </row>
    <row r="724" ht="15.75" customHeight="1">
      <c r="A724" s="55">
        <v>45776.0</v>
      </c>
      <c r="B724" s="56"/>
      <c r="C724" s="124" t="s">
        <v>789</v>
      </c>
      <c r="D724" s="125" t="s">
        <v>787</v>
      </c>
      <c r="E724" s="125" t="s">
        <v>793</v>
      </c>
      <c r="F724" s="59">
        <v>45772.0</v>
      </c>
      <c r="G724" s="126">
        <v>2.047359463E7</v>
      </c>
      <c r="H724" s="9">
        <f t="shared" si="5"/>
        <v>4299454.872</v>
      </c>
      <c r="I724" s="60"/>
      <c r="J724" s="60"/>
      <c r="K724" s="10">
        <f t="shared" si="4"/>
        <v>24773049.5</v>
      </c>
      <c r="L724" s="61"/>
      <c r="M724" s="62"/>
    </row>
    <row r="725" ht="15.75" customHeight="1">
      <c r="A725" s="39">
        <v>45743.0</v>
      </c>
      <c r="B725" s="45"/>
      <c r="C725" s="34" t="s">
        <v>143</v>
      </c>
      <c r="D725" s="35" t="s">
        <v>15</v>
      </c>
      <c r="E725" s="20" t="s">
        <v>794</v>
      </c>
      <c r="F725" s="36">
        <v>45741.0</v>
      </c>
      <c r="G725" s="22">
        <f>1295280.93/1.21</f>
        <v>1070480.107</v>
      </c>
      <c r="H725" s="14">
        <f t="shared" si="5"/>
        <v>224800.8226</v>
      </c>
      <c r="I725" s="22"/>
      <c r="J725" s="22"/>
      <c r="K725" s="15">
        <f t="shared" si="4"/>
        <v>1295280.93</v>
      </c>
      <c r="L725" s="45"/>
      <c r="M725" s="24">
        <v>45747.0</v>
      </c>
    </row>
    <row r="726" ht="15.75" customHeight="1">
      <c r="A726" s="55">
        <v>45744.0</v>
      </c>
      <c r="B726" s="61"/>
      <c r="C726" s="34" t="s">
        <v>567</v>
      </c>
      <c r="D726" s="35" t="s">
        <v>15</v>
      </c>
      <c r="E726" s="19" t="s">
        <v>795</v>
      </c>
      <c r="F726" s="36">
        <v>45741.0</v>
      </c>
      <c r="G726" s="22">
        <v>-1.236589062E7</v>
      </c>
      <c r="H726" s="14">
        <f t="shared" si="5"/>
        <v>-2596837.03</v>
      </c>
      <c r="I726" s="22">
        <v>-370976.72</v>
      </c>
      <c r="J726" s="45"/>
      <c r="K726" s="15">
        <f t="shared" si="4"/>
        <v>-15333704.37</v>
      </c>
      <c r="L726" s="61"/>
      <c r="M726" s="62"/>
    </row>
    <row r="727" ht="15.75" customHeight="1">
      <c r="A727" s="55">
        <v>45744.0</v>
      </c>
      <c r="B727" s="61"/>
      <c r="C727" s="34" t="s">
        <v>567</v>
      </c>
      <c r="D727" s="35" t="s">
        <v>15</v>
      </c>
      <c r="E727" s="19" t="s">
        <v>796</v>
      </c>
      <c r="F727" s="36">
        <v>45741.0</v>
      </c>
      <c r="G727" s="22">
        <v>-1.366211118E7</v>
      </c>
      <c r="H727" s="14">
        <f t="shared" si="5"/>
        <v>-2869043.348</v>
      </c>
      <c r="I727" s="22">
        <v>-409863.34</v>
      </c>
      <c r="J727" s="45"/>
      <c r="K727" s="15">
        <f t="shared" si="4"/>
        <v>-16941017.87</v>
      </c>
      <c r="L727" s="61"/>
      <c r="M727" s="62"/>
    </row>
    <row r="728" ht="15.75" customHeight="1">
      <c r="A728" s="39">
        <v>45744.0</v>
      </c>
      <c r="B728" s="45"/>
      <c r="C728" s="34" t="s">
        <v>567</v>
      </c>
      <c r="D728" s="35" t="s">
        <v>15</v>
      </c>
      <c r="E728" s="19" t="s">
        <v>797</v>
      </c>
      <c r="F728" s="36">
        <v>45741.0</v>
      </c>
      <c r="G728" s="22">
        <v>-1.68821992E7</v>
      </c>
      <c r="H728" s="14">
        <f t="shared" si="5"/>
        <v>-3545261.832</v>
      </c>
      <c r="I728" s="22">
        <v>-506465.98</v>
      </c>
      <c r="J728" s="45"/>
      <c r="K728" s="15">
        <f t="shared" si="4"/>
        <v>-20933927.01</v>
      </c>
      <c r="L728" s="45"/>
      <c r="M728" s="24">
        <v>45747.0</v>
      </c>
    </row>
    <row r="729" ht="15.75" customHeight="1">
      <c r="A729" s="39">
        <v>45747.0</v>
      </c>
      <c r="B729" s="45"/>
      <c r="C729" s="34" t="s">
        <v>567</v>
      </c>
      <c r="D729" s="35" t="s">
        <v>15</v>
      </c>
      <c r="E729" s="34" t="s">
        <v>798</v>
      </c>
      <c r="F729" s="36">
        <v>45741.0</v>
      </c>
      <c r="G729" s="22">
        <v>1.236589062E7</v>
      </c>
      <c r="H729" s="14">
        <f t="shared" si="5"/>
        <v>2596837.03</v>
      </c>
      <c r="I729" s="22">
        <v>370976.72</v>
      </c>
      <c r="J729" s="14"/>
      <c r="K729" s="15">
        <f t="shared" si="4"/>
        <v>15333704.37</v>
      </c>
      <c r="L729" s="45"/>
      <c r="M729" s="24">
        <v>45748.0</v>
      </c>
    </row>
    <row r="730" ht="15.75" customHeight="1">
      <c r="A730" s="55">
        <v>45748.0</v>
      </c>
      <c r="B730" s="61"/>
      <c r="C730" s="34" t="s">
        <v>567</v>
      </c>
      <c r="D730" s="35" t="s">
        <v>15</v>
      </c>
      <c r="E730" s="34" t="s">
        <v>799</v>
      </c>
      <c r="F730" s="36">
        <v>45741.0</v>
      </c>
      <c r="G730" s="22">
        <v>1.366211118E7</v>
      </c>
      <c r="H730" s="14">
        <f t="shared" si="5"/>
        <v>2869043.348</v>
      </c>
      <c r="I730" s="22">
        <v>409863.34</v>
      </c>
      <c r="J730" s="14"/>
      <c r="K730" s="15">
        <f t="shared" si="4"/>
        <v>16941017.87</v>
      </c>
      <c r="L730" s="61"/>
      <c r="M730" s="62"/>
    </row>
    <row r="731" ht="15.75" customHeight="1">
      <c r="A731" s="55">
        <v>45748.0</v>
      </c>
      <c r="B731" s="61"/>
      <c r="C731" s="34" t="s">
        <v>567</v>
      </c>
      <c r="D731" s="35" t="s">
        <v>15</v>
      </c>
      <c r="E731" s="20" t="s">
        <v>800</v>
      </c>
      <c r="F731" s="36">
        <v>45741.0</v>
      </c>
      <c r="G731" s="22">
        <v>1.68821992E7</v>
      </c>
      <c r="H731" s="14">
        <f t="shared" si="5"/>
        <v>3545261.832</v>
      </c>
      <c r="I731" s="22">
        <v>506465.98</v>
      </c>
      <c r="J731" s="45"/>
      <c r="K731" s="15">
        <f t="shared" si="4"/>
        <v>20933927.01</v>
      </c>
      <c r="L731" s="61"/>
      <c r="M731" s="62"/>
    </row>
    <row r="732" ht="15.75" customHeight="1">
      <c r="A732" s="55">
        <v>45748.0</v>
      </c>
      <c r="B732" s="61"/>
      <c r="C732" s="34" t="s">
        <v>538</v>
      </c>
      <c r="D732" s="35" t="s">
        <v>15</v>
      </c>
      <c r="E732" s="20" t="s">
        <v>801</v>
      </c>
      <c r="F732" s="36">
        <v>45741.0</v>
      </c>
      <c r="G732" s="22">
        <v>1700244.0</v>
      </c>
      <c r="H732" s="14">
        <f t="shared" si="5"/>
        <v>357051.24</v>
      </c>
      <c r="I732" s="22">
        <v>51007.32</v>
      </c>
      <c r="J732" s="45"/>
      <c r="K732" s="15">
        <f t="shared" si="4"/>
        <v>2108302.56</v>
      </c>
      <c r="L732" s="61"/>
      <c r="M732" s="62"/>
    </row>
    <row r="733" ht="15.75" customHeight="1">
      <c r="A733" s="55">
        <v>45748.0</v>
      </c>
      <c r="B733" s="61"/>
      <c r="C733" s="34" t="s">
        <v>538</v>
      </c>
      <c r="D733" s="35" t="s">
        <v>15</v>
      </c>
      <c r="E733" s="20" t="s">
        <v>802</v>
      </c>
      <c r="F733" s="36">
        <v>45741.0</v>
      </c>
      <c r="G733" s="22">
        <v>4500745.0</v>
      </c>
      <c r="H733" s="14">
        <f t="shared" si="5"/>
        <v>945156.45</v>
      </c>
      <c r="I733" s="22">
        <v>135022.35</v>
      </c>
      <c r="J733" s="45"/>
      <c r="K733" s="15">
        <f t="shared" si="4"/>
        <v>5580923.8</v>
      </c>
      <c r="L733" s="61"/>
      <c r="M733" s="62"/>
    </row>
    <row r="734" ht="15.75" customHeight="1">
      <c r="A734" s="55">
        <v>45748.0</v>
      </c>
      <c r="B734" s="61"/>
      <c r="C734" s="34" t="s">
        <v>611</v>
      </c>
      <c r="D734" s="35" t="s">
        <v>15</v>
      </c>
      <c r="E734" s="20" t="s">
        <v>803</v>
      </c>
      <c r="F734" s="36">
        <v>45741.0</v>
      </c>
      <c r="G734" s="22">
        <v>1.261163074E7</v>
      </c>
      <c r="H734" s="14">
        <f t="shared" si="5"/>
        <v>2648442.455</v>
      </c>
      <c r="I734" s="22">
        <v>378348.92</v>
      </c>
      <c r="J734" s="45"/>
      <c r="K734" s="15">
        <f t="shared" si="4"/>
        <v>15638422.12</v>
      </c>
      <c r="L734" s="61"/>
      <c r="M734" s="62"/>
    </row>
    <row r="735" ht="15.75" customHeight="1">
      <c r="A735" s="55">
        <v>45748.0</v>
      </c>
      <c r="B735" s="61"/>
      <c r="C735" s="34" t="s">
        <v>611</v>
      </c>
      <c r="D735" s="35" t="s">
        <v>15</v>
      </c>
      <c r="E735" s="20" t="s">
        <v>804</v>
      </c>
      <c r="F735" s="36">
        <v>45741.0</v>
      </c>
      <c r="G735" s="22">
        <v>1.248192103E7</v>
      </c>
      <c r="H735" s="14">
        <f t="shared" si="5"/>
        <v>2621203.416</v>
      </c>
      <c r="I735" s="22">
        <v>374457.63</v>
      </c>
      <c r="J735" s="45"/>
      <c r="K735" s="15">
        <f t="shared" si="4"/>
        <v>15477582.08</v>
      </c>
      <c r="L735" s="61"/>
      <c r="M735" s="62"/>
    </row>
    <row r="736" ht="15.75" customHeight="1">
      <c r="A736" s="55">
        <v>45748.0</v>
      </c>
      <c r="B736" s="61"/>
      <c r="C736" s="34" t="s">
        <v>124</v>
      </c>
      <c r="D736" s="35" t="s">
        <v>15</v>
      </c>
      <c r="E736" s="20" t="s">
        <v>805</v>
      </c>
      <c r="F736" s="36">
        <v>45741.0</v>
      </c>
      <c r="G736" s="22">
        <v>1976650.42</v>
      </c>
      <c r="H736" s="14">
        <f t="shared" si="5"/>
        <v>415096.5882</v>
      </c>
      <c r="I736" s="22">
        <v>59299.51</v>
      </c>
      <c r="J736" s="45"/>
      <c r="K736" s="15">
        <f t="shared" si="4"/>
        <v>2451046.518</v>
      </c>
      <c r="L736" s="61"/>
      <c r="M736" s="62"/>
    </row>
    <row r="737" ht="15.75" customHeight="1">
      <c r="A737" s="55">
        <v>45748.0</v>
      </c>
      <c r="B737" s="61"/>
      <c r="C737" s="34" t="s">
        <v>124</v>
      </c>
      <c r="D737" s="35" t="s">
        <v>15</v>
      </c>
      <c r="E737" s="20" t="s">
        <v>806</v>
      </c>
      <c r="F737" s="36">
        <v>45741.0</v>
      </c>
      <c r="G737" s="22">
        <v>2525990.11</v>
      </c>
      <c r="H737" s="14">
        <f t="shared" si="5"/>
        <v>530457.9231</v>
      </c>
      <c r="I737" s="22">
        <v>75779.7</v>
      </c>
      <c r="J737" s="45"/>
      <c r="K737" s="15">
        <f t="shared" si="4"/>
        <v>3132227.733</v>
      </c>
      <c r="L737" s="61"/>
      <c r="M737" s="62"/>
    </row>
    <row r="738" ht="15.75" customHeight="1">
      <c r="A738" s="55">
        <v>45748.0</v>
      </c>
      <c r="B738" s="61"/>
      <c r="C738" s="34" t="s">
        <v>807</v>
      </c>
      <c r="D738" s="35" t="s">
        <v>15</v>
      </c>
      <c r="E738" s="20" t="s">
        <v>808</v>
      </c>
      <c r="F738" s="36">
        <v>45741.0</v>
      </c>
      <c r="G738" s="22">
        <v>2387430.15</v>
      </c>
      <c r="H738" s="14">
        <f t="shared" si="5"/>
        <v>501360.3315</v>
      </c>
      <c r="I738" s="22">
        <v>71622.9</v>
      </c>
      <c r="J738" s="45"/>
      <c r="K738" s="15">
        <f t="shared" si="4"/>
        <v>2960413.382</v>
      </c>
      <c r="L738" s="61"/>
      <c r="M738" s="62"/>
    </row>
    <row r="739" ht="15.75" customHeight="1">
      <c r="A739" s="55">
        <v>45748.0</v>
      </c>
      <c r="B739" s="61"/>
      <c r="C739" s="34" t="s">
        <v>807</v>
      </c>
      <c r="D739" s="35" t="s">
        <v>15</v>
      </c>
      <c r="E739" s="20" t="s">
        <v>809</v>
      </c>
      <c r="F739" s="36">
        <v>45741.0</v>
      </c>
      <c r="G739" s="22">
        <v>2379540.41</v>
      </c>
      <c r="H739" s="14">
        <f t="shared" si="5"/>
        <v>499703.4861</v>
      </c>
      <c r="I739" s="45"/>
      <c r="J739" s="45"/>
      <c r="K739" s="15">
        <f t="shared" si="4"/>
        <v>2879243.896</v>
      </c>
      <c r="L739" s="61"/>
      <c r="M739" s="62"/>
    </row>
    <row r="740" ht="15.75" customHeight="1">
      <c r="A740" s="127">
        <v>45715.0</v>
      </c>
      <c r="B740" s="128"/>
      <c r="C740" s="20" t="s">
        <v>260</v>
      </c>
      <c r="D740" s="19" t="s">
        <v>15</v>
      </c>
      <c r="E740" s="20" t="s">
        <v>810</v>
      </c>
      <c r="F740" s="21">
        <v>45716.0</v>
      </c>
      <c r="G740" s="23">
        <v>7819211.05</v>
      </c>
      <c r="H740" s="15">
        <f t="shared" si="5"/>
        <v>1642034.321</v>
      </c>
      <c r="I740" s="15"/>
      <c r="J740" s="14"/>
      <c r="K740" s="15">
        <f t="shared" si="4"/>
        <v>9461245.371</v>
      </c>
      <c r="L740" s="128"/>
      <c r="M740" s="62"/>
    </row>
    <row r="741" ht="15.75" customHeight="1">
      <c r="A741" s="39">
        <v>45777.0</v>
      </c>
      <c r="B741" s="50"/>
      <c r="C741" s="31" t="s">
        <v>111</v>
      </c>
      <c r="D741" s="32" t="s">
        <v>99</v>
      </c>
      <c r="E741" s="31" t="s">
        <v>811</v>
      </c>
      <c r="F741" s="46">
        <v>45772.0</v>
      </c>
      <c r="G741" s="22">
        <v>1.299253009E7</v>
      </c>
      <c r="H741" s="14">
        <f t="shared" si="5"/>
        <v>2728431.319</v>
      </c>
      <c r="I741" s="22">
        <v>389775.9</v>
      </c>
      <c r="J741" s="14"/>
      <c r="K741" s="15">
        <f t="shared" si="4"/>
        <v>16110737.31</v>
      </c>
      <c r="L741" s="45"/>
      <c r="M741" s="24">
        <v>45803.0</v>
      </c>
    </row>
    <row r="742" ht="15.75" customHeight="1">
      <c r="A742" s="39">
        <v>45777.0</v>
      </c>
      <c r="B742" s="50"/>
      <c r="C742" s="31" t="s">
        <v>111</v>
      </c>
      <c r="D742" s="32" t="s">
        <v>99</v>
      </c>
      <c r="E742" s="31" t="s">
        <v>812</v>
      </c>
      <c r="F742" s="46">
        <v>45772.0</v>
      </c>
      <c r="G742" s="22">
        <v>1.348138019E7</v>
      </c>
      <c r="H742" s="14">
        <f t="shared" si="5"/>
        <v>2831089.84</v>
      </c>
      <c r="I742" s="22">
        <v>404441.41</v>
      </c>
      <c r="J742" s="14"/>
      <c r="K742" s="15">
        <f t="shared" si="4"/>
        <v>16716911.44</v>
      </c>
      <c r="L742" s="45"/>
      <c r="M742" s="24">
        <v>45803.0</v>
      </c>
    </row>
    <row r="743" ht="15.75" customHeight="1">
      <c r="A743" s="39">
        <v>45777.0</v>
      </c>
      <c r="B743" s="50"/>
      <c r="C743" s="31" t="s">
        <v>111</v>
      </c>
      <c r="D743" s="32" t="s">
        <v>99</v>
      </c>
      <c r="E743" s="31" t="s">
        <v>813</v>
      </c>
      <c r="F743" s="46">
        <v>45772.0</v>
      </c>
      <c r="G743" s="22">
        <v>1.352966008E7</v>
      </c>
      <c r="H743" s="14">
        <f t="shared" si="5"/>
        <v>2841228.617</v>
      </c>
      <c r="I743" s="22">
        <v>405889.8</v>
      </c>
      <c r="J743" s="14"/>
      <c r="K743" s="15">
        <f t="shared" si="4"/>
        <v>16776778.5</v>
      </c>
      <c r="L743" s="45"/>
      <c r="M743" s="24">
        <v>45803.0</v>
      </c>
    </row>
    <row r="744" ht="15.75" customHeight="1">
      <c r="A744" s="55">
        <v>45777.0</v>
      </c>
      <c r="B744" s="56"/>
      <c r="C744" s="57" t="s">
        <v>395</v>
      </c>
      <c r="D744" s="58" t="s">
        <v>99</v>
      </c>
      <c r="E744" s="57" t="s">
        <v>814</v>
      </c>
      <c r="F744" s="59">
        <v>45772.0</v>
      </c>
      <c r="G744" s="44">
        <v>3971420.24</v>
      </c>
      <c r="H744" s="9">
        <f t="shared" si="5"/>
        <v>833998.2504</v>
      </c>
      <c r="I744" s="44">
        <v>119142.61</v>
      </c>
      <c r="J744" s="44">
        <v>11914.26</v>
      </c>
      <c r="K744" s="10">
        <f t="shared" si="4"/>
        <v>4936475.36</v>
      </c>
      <c r="L744" s="61"/>
      <c r="M744" s="62"/>
    </row>
    <row r="745" ht="15.75" customHeight="1">
      <c r="A745" s="39">
        <v>45777.0</v>
      </c>
      <c r="B745" s="50"/>
      <c r="C745" s="31" t="s">
        <v>395</v>
      </c>
      <c r="D745" s="32" t="s">
        <v>99</v>
      </c>
      <c r="E745" s="31" t="s">
        <v>815</v>
      </c>
      <c r="F745" s="46">
        <v>45772.0</v>
      </c>
      <c r="G745" s="22">
        <v>4009580.29</v>
      </c>
      <c r="H745" s="14">
        <f t="shared" si="5"/>
        <v>842011.8609</v>
      </c>
      <c r="I745" s="22">
        <v>120287.41</v>
      </c>
      <c r="J745" s="22">
        <v>12028.74</v>
      </c>
      <c r="K745" s="15">
        <f t="shared" si="4"/>
        <v>4983908.301</v>
      </c>
      <c r="L745" s="45"/>
      <c r="M745" s="24">
        <v>45840.0</v>
      </c>
    </row>
    <row r="746" ht="15.75" customHeight="1">
      <c r="A746" s="39">
        <v>45777.0</v>
      </c>
      <c r="B746" s="50"/>
      <c r="C746" s="31" t="s">
        <v>84</v>
      </c>
      <c r="D746" s="32" t="s">
        <v>99</v>
      </c>
      <c r="E746" s="31" t="s">
        <v>816</v>
      </c>
      <c r="F746" s="46">
        <v>45772.0</v>
      </c>
      <c r="G746" s="22">
        <v>1732790.25</v>
      </c>
      <c r="H746" s="14">
        <f t="shared" si="5"/>
        <v>363885.9525</v>
      </c>
      <c r="I746" s="22">
        <v>51983.71</v>
      </c>
      <c r="J746" s="22">
        <v>5198.37</v>
      </c>
      <c r="K746" s="15">
        <f t="shared" si="4"/>
        <v>2153858.283</v>
      </c>
      <c r="L746" s="45"/>
      <c r="M746" s="24">
        <v>45793.0</v>
      </c>
    </row>
    <row r="747" ht="15.75" customHeight="1">
      <c r="A747" s="39">
        <v>45777.0</v>
      </c>
      <c r="B747" s="50"/>
      <c r="C747" s="31" t="s">
        <v>84</v>
      </c>
      <c r="D747" s="32" t="s">
        <v>99</v>
      </c>
      <c r="E747" s="31" t="s">
        <v>817</v>
      </c>
      <c r="F747" s="46">
        <v>45772.0</v>
      </c>
      <c r="G747" s="22">
        <v>1688350.56</v>
      </c>
      <c r="H747" s="14">
        <f t="shared" si="5"/>
        <v>354553.6176</v>
      </c>
      <c r="I747" s="22">
        <v>50650.52</v>
      </c>
      <c r="J747" s="22">
        <v>5065.05</v>
      </c>
      <c r="K747" s="15">
        <f t="shared" si="4"/>
        <v>2098619.748</v>
      </c>
      <c r="L747" s="45"/>
      <c r="M747" s="24">
        <v>45793.0</v>
      </c>
    </row>
    <row r="748" ht="15.75" customHeight="1">
      <c r="A748" s="39">
        <v>45777.0</v>
      </c>
      <c r="B748" s="50"/>
      <c r="C748" s="31" t="s">
        <v>497</v>
      </c>
      <c r="D748" s="32" t="s">
        <v>99</v>
      </c>
      <c r="E748" s="32" t="s">
        <v>818</v>
      </c>
      <c r="F748" s="46">
        <v>45772.0</v>
      </c>
      <c r="G748" s="22">
        <v>6000754.05</v>
      </c>
      <c r="H748" s="14">
        <f t="shared" si="5"/>
        <v>1260158.351</v>
      </c>
      <c r="I748" s="14"/>
      <c r="J748" s="22"/>
      <c r="K748" s="15">
        <f t="shared" si="4"/>
        <v>7260912.401</v>
      </c>
      <c r="L748" s="61"/>
      <c r="M748" s="62"/>
    </row>
    <row r="749" ht="15.75" customHeight="1">
      <c r="A749" s="127">
        <v>45715.0</v>
      </c>
      <c r="B749" s="129" t="s">
        <v>236</v>
      </c>
      <c r="C749" s="20" t="s">
        <v>260</v>
      </c>
      <c r="D749" s="19" t="s">
        <v>15</v>
      </c>
      <c r="E749" s="20" t="s">
        <v>819</v>
      </c>
      <c r="F749" s="21">
        <v>45716.0</v>
      </c>
      <c r="G749" s="23">
        <v>1.092828107E7</v>
      </c>
      <c r="H749" s="15">
        <f t="shared" si="5"/>
        <v>2294939.025</v>
      </c>
      <c r="I749" s="15"/>
      <c r="J749" s="14"/>
      <c r="K749" s="15">
        <f t="shared" si="4"/>
        <v>13223220.09</v>
      </c>
      <c r="L749" s="128"/>
      <c r="M749" s="62"/>
    </row>
    <row r="750" ht="15.75" customHeight="1">
      <c r="A750" s="115">
        <v>45715.0</v>
      </c>
      <c r="B750" s="32" t="s">
        <v>236</v>
      </c>
      <c r="C750" s="20" t="s">
        <v>260</v>
      </c>
      <c r="D750" s="19" t="s">
        <v>15</v>
      </c>
      <c r="E750" s="20" t="s">
        <v>820</v>
      </c>
      <c r="F750" s="21">
        <v>45716.0</v>
      </c>
      <c r="G750" s="22">
        <v>9726271.05</v>
      </c>
      <c r="H750" s="14">
        <f t="shared" si="5"/>
        <v>2042516.921</v>
      </c>
      <c r="I750" s="14"/>
      <c r="J750" s="14"/>
      <c r="K750" s="14">
        <f t="shared" si="4"/>
        <v>11768787.97</v>
      </c>
      <c r="L750" s="50"/>
      <c r="M750" s="24">
        <v>45722.0</v>
      </c>
    </row>
    <row r="751" ht="15.75" customHeight="1">
      <c r="A751" s="39">
        <v>45750.0</v>
      </c>
      <c r="B751" s="45"/>
      <c r="C751" s="34" t="s">
        <v>527</v>
      </c>
      <c r="D751" s="35" t="s">
        <v>15</v>
      </c>
      <c r="E751" s="34" t="s">
        <v>821</v>
      </c>
      <c r="F751" s="46">
        <v>45772.0</v>
      </c>
      <c r="G751" s="22">
        <v>9918490.16</v>
      </c>
      <c r="H751" s="14">
        <f t="shared" si="5"/>
        <v>2082882.934</v>
      </c>
      <c r="I751" s="22">
        <v>297554.7</v>
      </c>
      <c r="J751" s="14"/>
      <c r="K751" s="15">
        <f t="shared" si="4"/>
        <v>12298927.79</v>
      </c>
      <c r="L751" s="45"/>
      <c r="M751" s="24">
        <v>45751.0</v>
      </c>
    </row>
    <row r="752" ht="15.75" customHeight="1">
      <c r="A752" s="39">
        <v>45754.0</v>
      </c>
      <c r="B752" s="50"/>
      <c r="C752" s="31" t="s">
        <v>665</v>
      </c>
      <c r="D752" s="35" t="s">
        <v>15</v>
      </c>
      <c r="E752" s="31" t="s">
        <v>822</v>
      </c>
      <c r="F752" s="46">
        <v>45772.0</v>
      </c>
      <c r="G752" s="22">
        <v>9822970.14</v>
      </c>
      <c r="H752" s="14">
        <f t="shared" si="5"/>
        <v>2062823.729</v>
      </c>
      <c r="I752" s="22">
        <v>294689.1</v>
      </c>
      <c r="J752" s="14"/>
      <c r="K752" s="15">
        <f t="shared" si="4"/>
        <v>12180482.97</v>
      </c>
      <c r="L752" s="45"/>
      <c r="M752" s="24">
        <v>45762.0</v>
      </c>
    </row>
    <row r="753" ht="15.75" customHeight="1">
      <c r="A753" s="39">
        <v>45754.0</v>
      </c>
      <c r="B753" s="50"/>
      <c r="C753" s="31" t="s">
        <v>665</v>
      </c>
      <c r="D753" s="35" t="s">
        <v>15</v>
      </c>
      <c r="E753" s="31" t="s">
        <v>823</v>
      </c>
      <c r="F753" s="46">
        <v>45772.0</v>
      </c>
      <c r="G753" s="22">
        <v>8121530.05</v>
      </c>
      <c r="H753" s="14">
        <f t="shared" si="5"/>
        <v>1705521.311</v>
      </c>
      <c r="I753" s="22">
        <v>243645.9</v>
      </c>
      <c r="J753" s="14"/>
      <c r="K753" s="15">
        <f t="shared" si="4"/>
        <v>10070697.26</v>
      </c>
      <c r="L753" s="45"/>
      <c r="M753" s="24">
        <v>45762.0</v>
      </c>
    </row>
    <row r="754" ht="15.75" customHeight="1">
      <c r="A754" s="55">
        <v>45777.0</v>
      </c>
      <c r="B754" s="120" t="s">
        <v>381</v>
      </c>
      <c r="C754" s="58" t="s">
        <v>824</v>
      </c>
      <c r="D754" s="58" t="s">
        <v>825</v>
      </c>
      <c r="E754" s="57">
        <v>2.00502623E8</v>
      </c>
      <c r="F754" s="59">
        <v>45772.0</v>
      </c>
      <c r="G754" s="44">
        <v>5708460.0</v>
      </c>
      <c r="H754" s="9">
        <f t="shared" si="5"/>
        <v>1198776.6</v>
      </c>
      <c r="I754" s="44">
        <v>171253.8</v>
      </c>
      <c r="J754" s="60"/>
      <c r="K754" s="10">
        <f t="shared" si="4"/>
        <v>7078490.4</v>
      </c>
      <c r="L754" s="61"/>
      <c r="M754" s="62"/>
    </row>
    <row r="755" ht="15.75" customHeight="1">
      <c r="A755" s="55">
        <v>45777.0</v>
      </c>
      <c r="B755" s="120" t="s">
        <v>381</v>
      </c>
      <c r="C755" s="58" t="s">
        <v>824</v>
      </c>
      <c r="D755" s="58" t="s">
        <v>825</v>
      </c>
      <c r="E755" s="57">
        <v>2.00502622E8</v>
      </c>
      <c r="F755" s="59">
        <v>45772.0</v>
      </c>
      <c r="G755" s="44">
        <v>6508740.0</v>
      </c>
      <c r="H755" s="9">
        <f t="shared" si="5"/>
        <v>1366835.4</v>
      </c>
      <c r="I755" s="60"/>
      <c r="J755" s="60"/>
      <c r="K755" s="10">
        <f t="shared" si="4"/>
        <v>7875575.4</v>
      </c>
      <c r="L755" s="61"/>
      <c r="M755" s="62"/>
    </row>
    <row r="756" ht="15.75" customHeight="1">
      <c r="A756" s="55">
        <v>45781.0</v>
      </c>
      <c r="B756" s="58" t="s">
        <v>826</v>
      </c>
      <c r="C756" s="58" t="s">
        <v>827</v>
      </c>
      <c r="D756" s="58" t="s">
        <v>828</v>
      </c>
      <c r="E756" s="58">
        <v>963.0</v>
      </c>
      <c r="F756" s="59">
        <v>45772.0</v>
      </c>
      <c r="G756" s="44">
        <v>1.00004E7</v>
      </c>
      <c r="H756" s="9">
        <f t="shared" si="5"/>
        <v>2100084</v>
      </c>
      <c r="I756" s="60"/>
      <c r="J756" s="60"/>
      <c r="K756" s="10">
        <f t="shared" si="4"/>
        <v>12100484</v>
      </c>
      <c r="L756" s="61"/>
      <c r="M756" s="62"/>
    </row>
    <row r="757" ht="15.75" customHeight="1">
      <c r="A757" s="55">
        <v>45781.0</v>
      </c>
      <c r="B757" s="58" t="s">
        <v>826</v>
      </c>
      <c r="C757" s="58" t="s">
        <v>829</v>
      </c>
      <c r="D757" s="58" t="s">
        <v>828</v>
      </c>
      <c r="E757" s="58">
        <v>965.0</v>
      </c>
      <c r="F757" s="59">
        <v>45772.0</v>
      </c>
      <c r="G757" s="44">
        <v>5000450.0</v>
      </c>
      <c r="H757" s="9">
        <f t="shared" si="5"/>
        <v>1050094.5</v>
      </c>
      <c r="I757" s="60"/>
      <c r="J757" s="60"/>
      <c r="K757" s="10">
        <f t="shared" si="4"/>
        <v>6050544.5</v>
      </c>
      <c r="L757" s="61"/>
      <c r="M757" s="62"/>
    </row>
    <row r="758" ht="15.75" customHeight="1">
      <c r="A758" s="55">
        <v>45781.0</v>
      </c>
      <c r="B758" s="58" t="s">
        <v>826</v>
      </c>
      <c r="C758" s="58" t="s">
        <v>830</v>
      </c>
      <c r="D758" s="58" t="s">
        <v>831</v>
      </c>
      <c r="E758" s="58">
        <v>15915.0</v>
      </c>
      <c r="F758" s="59">
        <v>45772.0</v>
      </c>
      <c r="G758" s="44">
        <v>3321477.0</v>
      </c>
      <c r="H758" s="9">
        <f t="shared" si="5"/>
        <v>697510.17</v>
      </c>
      <c r="I758" s="60"/>
      <c r="J758" s="44">
        <v>99644.0</v>
      </c>
      <c r="K758" s="10">
        <f t="shared" si="4"/>
        <v>4118631.17</v>
      </c>
      <c r="L758" s="61"/>
      <c r="M758" s="62"/>
    </row>
    <row r="759" ht="15.75" customHeight="1">
      <c r="A759" s="55">
        <v>45781.0</v>
      </c>
      <c r="B759" s="58" t="s">
        <v>826</v>
      </c>
      <c r="C759" s="58" t="s">
        <v>832</v>
      </c>
      <c r="D759" s="58" t="s">
        <v>831</v>
      </c>
      <c r="E759" s="58">
        <v>15914.0</v>
      </c>
      <c r="F759" s="59">
        <v>45772.0</v>
      </c>
      <c r="G759" s="44">
        <v>7535842.0</v>
      </c>
      <c r="H759" s="9">
        <f t="shared" si="5"/>
        <v>1582526.82</v>
      </c>
      <c r="I759" s="60"/>
      <c r="J759" s="60"/>
      <c r="K759" s="10">
        <f t="shared" si="4"/>
        <v>9118368.82</v>
      </c>
      <c r="L759" s="61"/>
      <c r="M759" s="62"/>
    </row>
    <row r="760" ht="15.75" customHeight="1">
      <c r="A760" s="55">
        <v>45781.0</v>
      </c>
      <c r="B760" s="58" t="s">
        <v>826</v>
      </c>
      <c r="C760" s="58" t="s">
        <v>833</v>
      </c>
      <c r="D760" s="58" t="s">
        <v>831</v>
      </c>
      <c r="E760" s="58">
        <v>15913.0</v>
      </c>
      <c r="F760" s="59">
        <v>45772.0</v>
      </c>
      <c r="G760" s="44">
        <v>7046483.0</v>
      </c>
      <c r="H760" s="9">
        <f t="shared" si="5"/>
        <v>1479761.43</v>
      </c>
      <c r="I760" s="60"/>
      <c r="J760" s="60">
        <f>49325+352324</f>
        <v>401649</v>
      </c>
      <c r="K760" s="10">
        <f t="shared" si="4"/>
        <v>8927893.43</v>
      </c>
      <c r="L760" s="61"/>
      <c r="M760" s="62"/>
    </row>
    <row r="761" ht="15.75" customHeight="1">
      <c r="A761" s="55">
        <v>45781.0</v>
      </c>
      <c r="B761" s="58" t="s">
        <v>826</v>
      </c>
      <c r="C761" s="58" t="s">
        <v>834</v>
      </c>
      <c r="D761" s="58" t="s">
        <v>831</v>
      </c>
      <c r="E761" s="58">
        <v>15912.0</v>
      </c>
      <c r="F761" s="59">
        <v>45772.0</v>
      </c>
      <c r="G761" s="44">
        <v>3318774.0</v>
      </c>
      <c r="H761" s="9">
        <f t="shared" si="5"/>
        <v>696942.54</v>
      </c>
      <c r="I761" s="60"/>
      <c r="J761" s="60">
        <f>132750+199126</f>
        <v>331876</v>
      </c>
      <c r="K761" s="10">
        <f t="shared" si="4"/>
        <v>4347592.54</v>
      </c>
      <c r="L761" s="61"/>
      <c r="M761" s="62"/>
    </row>
    <row r="762" ht="15.75" customHeight="1">
      <c r="A762" s="55">
        <v>45781.0</v>
      </c>
      <c r="B762" s="58" t="s">
        <v>835</v>
      </c>
      <c r="C762" s="58" t="s">
        <v>835</v>
      </c>
      <c r="D762" s="58" t="s">
        <v>836</v>
      </c>
      <c r="E762" s="58">
        <v>359.0</v>
      </c>
      <c r="F762" s="59">
        <v>45772.0</v>
      </c>
      <c r="G762" s="44">
        <v>3628101.0</v>
      </c>
      <c r="H762" s="9">
        <f t="shared" si="5"/>
        <v>761901.21</v>
      </c>
      <c r="I762" s="60"/>
      <c r="J762" s="60"/>
      <c r="K762" s="10">
        <f t="shared" si="4"/>
        <v>4390002.21</v>
      </c>
      <c r="L762" s="61"/>
      <c r="M762" s="62"/>
    </row>
    <row r="763" ht="15.75" customHeight="1">
      <c r="A763" s="55">
        <v>45781.0</v>
      </c>
      <c r="B763" s="58" t="s">
        <v>835</v>
      </c>
      <c r="C763" s="58" t="s">
        <v>835</v>
      </c>
      <c r="D763" s="58" t="s">
        <v>836</v>
      </c>
      <c r="E763" s="58">
        <v>358.0</v>
      </c>
      <c r="F763" s="59">
        <v>45772.0</v>
      </c>
      <c r="G763" s="44">
        <v>4006900.0</v>
      </c>
      <c r="H763" s="9">
        <f t="shared" si="5"/>
        <v>841449</v>
      </c>
      <c r="I763" s="60"/>
      <c r="J763" s="60"/>
      <c r="K763" s="10">
        <f t="shared" si="4"/>
        <v>4848349</v>
      </c>
      <c r="L763" s="61"/>
      <c r="M763" s="62"/>
    </row>
    <row r="764" ht="15.75" customHeight="1">
      <c r="A764" s="55">
        <v>45781.0</v>
      </c>
      <c r="B764" s="58" t="s">
        <v>835</v>
      </c>
      <c r="C764" s="58" t="s">
        <v>835</v>
      </c>
      <c r="D764" s="58" t="s">
        <v>836</v>
      </c>
      <c r="E764" s="58">
        <v>357.0</v>
      </c>
      <c r="F764" s="59">
        <v>45772.0</v>
      </c>
      <c r="G764" s="44">
        <v>4129635.0</v>
      </c>
      <c r="H764" s="9">
        <f t="shared" si="5"/>
        <v>867223.35</v>
      </c>
      <c r="I764" s="60"/>
      <c r="J764" s="60"/>
      <c r="K764" s="10">
        <f t="shared" si="4"/>
        <v>4996858.35</v>
      </c>
      <c r="L764" s="61"/>
      <c r="M764" s="62"/>
    </row>
    <row r="765" ht="15.75" customHeight="1">
      <c r="A765" s="55">
        <v>45781.0</v>
      </c>
      <c r="B765" s="58" t="s">
        <v>835</v>
      </c>
      <c r="C765" s="58" t="s">
        <v>835</v>
      </c>
      <c r="D765" s="58" t="s">
        <v>836</v>
      </c>
      <c r="E765" s="58">
        <v>356.0</v>
      </c>
      <c r="F765" s="59">
        <v>45772.0</v>
      </c>
      <c r="G765" s="44">
        <v>4349958.0</v>
      </c>
      <c r="H765" s="9">
        <f t="shared" si="5"/>
        <v>913491.18</v>
      </c>
      <c r="I765" s="60"/>
      <c r="J765" s="60"/>
      <c r="K765" s="10">
        <f t="shared" si="4"/>
        <v>5263449.18</v>
      </c>
      <c r="L765" s="61"/>
      <c r="M765" s="62"/>
    </row>
    <row r="766" ht="15.75" customHeight="1">
      <c r="A766" s="55">
        <v>45782.0</v>
      </c>
      <c r="B766" s="58" t="s">
        <v>837</v>
      </c>
      <c r="C766" s="58" t="s">
        <v>838</v>
      </c>
      <c r="D766" s="58" t="s">
        <v>787</v>
      </c>
      <c r="E766" s="58">
        <v>681.0</v>
      </c>
      <c r="F766" s="59">
        <v>45772.0</v>
      </c>
      <c r="G766" s="44">
        <v>1713838.0</v>
      </c>
      <c r="H766" s="9">
        <f t="shared" si="5"/>
        <v>359905.98</v>
      </c>
      <c r="I766" s="60"/>
      <c r="J766" s="60"/>
      <c r="K766" s="10">
        <f t="shared" si="4"/>
        <v>2073743.98</v>
      </c>
      <c r="L766" s="61"/>
      <c r="M766" s="62"/>
    </row>
    <row r="767" ht="15.75" customHeight="1">
      <c r="A767" s="39">
        <v>45782.0</v>
      </c>
      <c r="B767" s="32" t="s">
        <v>381</v>
      </c>
      <c r="C767" s="32" t="s">
        <v>839</v>
      </c>
      <c r="D767" s="32" t="s">
        <v>787</v>
      </c>
      <c r="E767" s="32">
        <v>680.0</v>
      </c>
      <c r="F767" s="46">
        <v>45772.0</v>
      </c>
      <c r="G767" s="22">
        <v>1840693.0</v>
      </c>
      <c r="H767" s="14">
        <f t="shared" si="5"/>
        <v>386545.53</v>
      </c>
      <c r="I767" s="14"/>
      <c r="J767" s="14"/>
      <c r="K767" s="15">
        <f t="shared" si="4"/>
        <v>2227238.53</v>
      </c>
      <c r="L767" s="45"/>
      <c r="M767" s="6"/>
    </row>
    <row r="768" ht="15.75" customHeight="1">
      <c r="A768" s="39">
        <v>45783.0</v>
      </c>
      <c r="B768" s="32"/>
      <c r="C768" s="32" t="s">
        <v>635</v>
      </c>
      <c r="D768" s="32" t="s">
        <v>99</v>
      </c>
      <c r="E768" s="32" t="s">
        <v>840</v>
      </c>
      <c r="F768" s="46">
        <v>45802.0</v>
      </c>
      <c r="G768" s="22">
        <v>1.283723708E7</v>
      </c>
      <c r="H768" s="14">
        <f t="shared" si="5"/>
        <v>2695819.787</v>
      </c>
      <c r="I768" s="22">
        <v>385117.11</v>
      </c>
      <c r="J768" s="14"/>
      <c r="K768" s="15">
        <f t="shared" si="4"/>
        <v>15918173.98</v>
      </c>
      <c r="L768" s="45"/>
      <c r="M768" s="24">
        <v>45814.0</v>
      </c>
    </row>
    <row r="769" ht="15.75" customHeight="1">
      <c r="A769" s="39">
        <v>45783.0</v>
      </c>
      <c r="B769" s="32"/>
      <c r="C769" s="32" t="s">
        <v>635</v>
      </c>
      <c r="D769" s="32" t="s">
        <v>99</v>
      </c>
      <c r="E769" s="32" t="s">
        <v>841</v>
      </c>
      <c r="F769" s="46">
        <v>45802.0</v>
      </c>
      <c r="G769" s="22">
        <v>1.728372241E7</v>
      </c>
      <c r="H769" s="14">
        <f t="shared" si="5"/>
        <v>3629581.706</v>
      </c>
      <c r="I769" s="22">
        <v>518511.67</v>
      </c>
      <c r="J769" s="14"/>
      <c r="K769" s="15">
        <f t="shared" si="4"/>
        <v>21431815.79</v>
      </c>
      <c r="L769" s="45"/>
      <c r="M769" s="24">
        <v>45814.0</v>
      </c>
    </row>
    <row r="770" ht="15.75" customHeight="1">
      <c r="A770" s="39">
        <v>45783.0</v>
      </c>
      <c r="B770" s="32"/>
      <c r="C770" s="32" t="s">
        <v>168</v>
      </c>
      <c r="D770" s="32" t="s">
        <v>99</v>
      </c>
      <c r="E770" s="32" t="s">
        <v>842</v>
      </c>
      <c r="F770" s="46">
        <v>45802.0</v>
      </c>
      <c r="G770" s="22">
        <v>1.115989012E7</v>
      </c>
      <c r="H770" s="14">
        <f t="shared" si="5"/>
        <v>2343576.925</v>
      </c>
      <c r="I770" s="22">
        <v>334796.7</v>
      </c>
      <c r="J770" s="14"/>
      <c r="K770" s="15">
        <f t="shared" si="4"/>
        <v>13838263.75</v>
      </c>
      <c r="L770" s="45"/>
      <c r="M770" s="24">
        <v>45785.0</v>
      </c>
    </row>
    <row r="771" ht="15.75" customHeight="1">
      <c r="A771" s="39">
        <v>45783.0</v>
      </c>
      <c r="B771" s="32"/>
      <c r="C771" s="32" t="s">
        <v>211</v>
      </c>
      <c r="D771" s="32" t="s">
        <v>99</v>
      </c>
      <c r="E771" s="32" t="s">
        <v>843</v>
      </c>
      <c r="F771" s="46">
        <v>45802.0</v>
      </c>
      <c r="G771" s="22">
        <f>3643697.43/1.21</f>
        <v>3011320.19</v>
      </c>
      <c r="H771" s="14">
        <f t="shared" si="5"/>
        <v>632377.2399</v>
      </c>
      <c r="I771" s="14"/>
      <c r="J771" s="14"/>
      <c r="K771" s="15">
        <f t="shared" si="4"/>
        <v>3643697.43</v>
      </c>
      <c r="L771" s="45"/>
      <c r="M771" s="24">
        <v>45783.0</v>
      </c>
    </row>
    <row r="772" ht="15.75" customHeight="1">
      <c r="A772" s="39">
        <v>45754.0</v>
      </c>
      <c r="B772" s="50"/>
      <c r="C772" s="31" t="s">
        <v>665</v>
      </c>
      <c r="D772" s="35" t="s">
        <v>15</v>
      </c>
      <c r="E772" s="31" t="s">
        <v>844</v>
      </c>
      <c r="F772" s="46">
        <v>45772.0</v>
      </c>
      <c r="G772" s="22">
        <v>8786040.06</v>
      </c>
      <c r="H772" s="14">
        <f t="shared" si="5"/>
        <v>1845068.413</v>
      </c>
      <c r="I772" s="22">
        <v>263581.2</v>
      </c>
      <c r="J772" s="45"/>
      <c r="K772" s="15">
        <f t="shared" si="4"/>
        <v>10894689.67</v>
      </c>
      <c r="L772" s="45"/>
      <c r="M772" s="24">
        <v>45762.0</v>
      </c>
    </row>
    <row r="773" ht="15.75" customHeight="1">
      <c r="A773" s="39">
        <v>45754.0</v>
      </c>
      <c r="B773" s="50"/>
      <c r="C773" s="31" t="s">
        <v>665</v>
      </c>
      <c r="D773" s="35" t="s">
        <v>15</v>
      </c>
      <c r="E773" s="31" t="s">
        <v>845</v>
      </c>
      <c r="F773" s="46">
        <v>45772.0</v>
      </c>
      <c r="G773" s="22">
        <v>9789460.02</v>
      </c>
      <c r="H773" s="14">
        <f t="shared" si="5"/>
        <v>2055786.604</v>
      </c>
      <c r="I773" s="22">
        <v>293683.8</v>
      </c>
      <c r="J773" s="45"/>
      <c r="K773" s="15">
        <f t="shared" si="4"/>
        <v>12138930.42</v>
      </c>
      <c r="L773" s="45"/>
      <c r="M773" s="24">
        <v>45762.0</v>
      </c>
    </row>
    <row r="774" ht="15.75" customHeight="1">
      <c r="A774" s="39">
        <v>45755.0</v>
      </c>
      <c r="B774" s="50"/>
      <c r="C774" s="31" t="s">
        <v>491</v>
      </c>
      <c r="D774" s="32" t="s">
        <v>15</v>
      </c>
      <c r="E774" s="31" t="s">
        <v>846</v>
      </c>
      <c r="F774" s="46">
        <v>45772.0</v>
      </c>
      <c r="G774" s="22">
        <v>1.8042628E7</v>
      </c>
      <c r="H774" s="14">
        <f t="shared" si="5"/>
        <v>3788951.88</v>
      </c>
      <c r="I774" s="22">
        <v>541278.84</v>
      </c>
      <c r="J774" s="45"/>
      <c r="K774" s="15">
        <f t="shared" si="4"/>
        <v>22372858.72</v>
      </c>
      <c r="L774" s="45"/>
      <c r="M774" s="24">
        <v>45757.0</v>
      </c>
    </row>
    <row r="775" ht="15.75" customHeight="1">
      <c r="A775" s="39">
        <v>45755.0</v>
      </c>
      <c r="B775" s="50"/>
      <c r="C775" s="31" t="s">
        <v>491</v>
      </c>
      <c r="D775" s="32" t="s">
        <v>15</v>
      </c>
      <c r="E775" s="31" t="s">
        <v>847</v>
      </c>
      <c r="F775" s="46">
        <v>45772.0</v>
      </c>
      <c r="G775" s="22">
        <v>1.6143319E7</v>
      </c>
      <c r="H775" s="14">
        <f t="shared" si="5"/>
        <v>3390096.99</v>
      </c>
      <c r="I775" s="22">
        <v>484299.57</v>
      </c>
      <c r="J775" s="45"/>
      <c r="K775" s="15">
        <f t="shared" si="4"/>
        <v>20017715.56</v>
      </c>
      <c r="L775" s="45"/>
      <c r="M775" s="24">
        <v>45757.0</v>
      </c>
    </row>
    <row r="776" ht="15.75" customHeight="1">
      <c r="A776" s="39">
        <v>45783.0</v>
      </c>
      <c r="B776" s="50"/>
      <c r="C776" s="31" t="s">
        <v>635</v>
      </c>
      <c r="D776" s="32" t="s">
        <v>99</v>
      </c>
      <c r="E776" s="31" t="s">
        <v>848</v>
      </c>
      <c r="F776" s="46">
        <v>45802.0</v>
      </c>
      <c r="G776" s="22">
        <v>1.348472216E7</v>
      </c>
      <c r="H776" s="14">
        <f t="shared" si="5"/>
        <v>2831791.654</v>
      </c>
      <c r="I776" s="22">
        <v>404541.66</v>
      </c>
      <c r="J776" s="14"/>
      <c r="K776" s="15">
        <f t="shared" si="4"/>
        <v>16721055.47</v>
      </c>
      <c r="L776" s="45"/>
      <c r="M776" s="24">
        <v>45814.0</v>
      </c>
    </row>
    <row r="777" ht="15.75" customHeight="1">
      <c r="A777" s="39">
        <v>45783.0</v>
      </c>
      <c r="B777" s="50"/>
      <c r="C777" s="31" t="s">
        <v>635</v>
      </c>
      <c r="D777" s="32" t="s">
        <v>99</v>
      </c>
      <c r="E777" s="31" t="s">
        <v>849</v>
      </c>
      <c r="F777" s="46">
        <v>45802.0</v>
      </c>
      <c r="G777" s="22">
        <v>1.493932805E7</v>
      </c>
      <c r="H777" s="14">
        <f t="shared" si="5"/>
        <v>3137258.891</v>
      </c>
      <c r="I777" s="22">
        <v>448179.84</v>
      </c>
      <c r="J777" s="14"/>
      <c r="K777" s="15">
        <f t="shared" si="4"/>
        <v>18524766.78</v>
      </c>
      <c r="L777" s="45"/>
      <c r="M777" s="24">
        <v>45814.0</v>
      </c>
    </row>
    <row r="778" ht="15.75" customHeight="1">
      <c r="A778" s="39">
        <v>45783.0</v>
      </c>
      <c r="B778" s="50"/>
      <c r="C778" s="31" t="s">
        <v>635</v>
      </c>
      <c r="D778" s="32" t="s">
        <v>99</v>
      </c>
      <c r="E778" s="31" t="s">
        <v>850</v>
      </c>
      <c r="F778" s="46">
        <v>45802.0</v>
      </c>
      <c r="G778" s="22">
        <v>1.573636218E7</v>
      </c>
      <c r="H778" s="14">
        <f t="shared" si="5"/>
        <v>3304636.058</v>
      </c>
      <c r="I778" s="22">
        <v>472090.87</v>
      </c>
      <c r="J778" s="14"/>
      <c r="K778" s="15">
        <f t="shared" si="4"/>
        <v>19513089.11</v>
      </c>
      <c r="L778" s="45"/>
      <c r="M778" s="24">
        <v>45814.0</v>
      </c>
    </row>
    <row r="779" ht="15.75" customHeight="1">
      <c r="A779" s="39">
        <v>45784.0</v>
      </c>
      <c r="B779" s="50"/>
      <c r="C779" s="31" t="s">
        <v>332</v>
      </c>
      <c r="D779" s="32" t="s">
        <v>99</v>
      </c>
      <c r="E779" s="31" t="s">
        <v>851</v>
      </c>
      <c r="F779" s="46">
        <v>45802.0</v>
      </c>
      <c r="G779" s="22">
        <v>7262561.21</v>
      </c>
      <c r="H779" s="14">
        <f t="shared" si="5"/>
        <v>1525137.854</v>
      </c>
      <c r="I779" s="22">
        <v>217876.84</v>
      </c>
      <c r="J779" s="14"/>
      <c r="K779" s="15">
        <f t="shared" si="4"/>
        <v>9005575.904</v>
      </c>
      <c r="L779" s="45"/>
      <c r="M779" s="24">
        <v>45789.0</v>
      </c>
    </row>
    <row r="780" ht="15.75" customHeight="1">
      <c r="A780" s="39">
        <v>45784.0</v>
      </c>
      <c r="B780" s="50"/>
      <c r="C780" s="31" t="s">
        <v>332</v>
      </c>
      <c r="D780" s="32" t="s">
        <v>99</v>
      </c>
      <c r="E780" s="31" t="s">
        <v>852</v>
      </c>
      <c r="F780" s="46">
        <v>45802.0</v>
      </c>
      <c r="G780" s="22">
        <v>2982713.02</v>
      </c>
      <c r="H780" s="14">
        <f t="shared" si="5"/>
        <v>626369.7342</v>
      </c>
      <c r="I780" s="22">
        <v>89481.39</v>
      </c>
      <c r="J780" s="14"/>
      <c r="K780" s="15">
        <f t="shared" si="4"/>
        <v>3698564.144</v>
      </c>
      <c r="L780" s="45"/>
      <c r="M780" s="24">
        <v>45789.0</v>
      </c>
    </row>
    <row r="781" ht="15.75" customHeight="1">
      <c r="A781" s="39">
        <v>45784.0</v>
      </c>
      <c r="B781" s="50"/>
      <c r="C781" s="31" t="s">
        <v>332</v>
      </c>
      <c r="D781" s="32" t="s">
        <v>99</v>
      </c>
      <c r="E781" s="31" t="s">
        <v>853</v>
      </c>
      <c r="F781" s="46">
        <v>45802.0</v>
      </c>
      <c r="G781" s="22">
        <v>1493824.18</v>
      </c>
      <c r="H781" s="14">
        <f t="shared" si="5"/>
        <v>313703.0778</v>
      </c>
      <c r="I781" s="22">
        <v>44814.73</v>
      </c>
      <c r="J781" s="14"/>
      <c r="K781" s="15">
        <f t="shared" si="4"/>
        <v>1852341.988</v>
      </c>
      <c r="L781" s="45"/>
      <c r="M781" s="24">
        <v>45789.0</v>
      </c>
    </row>
    <row r="782" ht="15.75" customHeight="1">
      <c r="A782" s="39">
        <v>45784.0</v>
      </c>
      <c r="B782" s="50"/>
      <c r="C782" s="31" t="s">
        <v>332</v>
      </c>
      <c r="D782" s="32" t="s">
        <v>99</v>
      </c>
      <c r="E782" s="31" t="s">
        <v>854</v>
      </c>
      <c r="F782" s="46">
        <v>45802.0</v>
      </c>
      <c r="G782" s="22">
        <v>3827126.16</v>
      </c>
      <c r="H782" s="14">
        <f t="shared" si="5"/>
        <v>803696.4936</v>
      </c>
      <c r="I782" s="14"/>
      <c r="J782" s="14"/>
      <c r="K782" s="15">
        <f t="shared" si="4"/>
        <v>4630822.654</v>
      </c>
      <c r="L782" s="45"/>
      <c r="M782" s="24">
        <v>45789.0</v>
      </c>
    </row>
    <row r="783" ht="15.75" customHeight="1">
      <c r="A783" s="39">
        <v>45784.0</v>
      </c>
      <c r="B783" s="50"/>
      <c r="C783" s="31" t="s">
        <v>332</v>
      </c>
      <c r="D783" s="32" t="s">
        <v>99</v>
      </c>
      <c r="E783" s="31" t="s">
        <v>855</v>
      </c>
      <c r="F783" s="46">
        <v>45802.0</v>
      </c>
      <c r="G783" s="22">
        <v>2872613.15</v>
      </c>
      <c r="H783" s="14">
        <f t="shared" si="5"/>
        <v>603248.7615</v>
      </c>
      <c r="I783" s="22">
        <v>86178.39</v>
      </c>
      <c r="J783" s="14"/>
      <c r="K783" s="15">
        <f t="shared" si="4"/>
        <v>3562040.302</v>
      </c>
      <c r="L783" s="45"/>
      <c r="M783" s="24">
        <v>45789.0</v>
      </c>
    </row>
    <row r="784" ht="15.75" customHeight="1">
      <c r="A784" s="39">
        <v>45784.0</v>
      </c>
      <c r="B784" s="50"/>
      <c r="C784" s="31" t="s">
        <v>332</v>
      </c>
      <c r="D784" s="32" t="s">
        <v>99</v>
      </c>
      <c r="E784" s="31" t="s">
        <v>856</v>
      </c>
      <c r="F784" s="46">
        <v>45802.0</v>
      </c>
      <c r="G784" s="22">
        <v>7625251.08</v>
      </c>
      <c r="H784" s="14">
        <f t="shared" si="5"/>
        <v>1601302.727</v>
      </c>
      <c r="I784" s="22">
        <v>228757.53</v>
      </c>
      <c r="J784" s="14"/>
      <c r="K784" s="15">
        <f t="shared" si="4"/>
        <v>9455311.337</v>
      </c>
      <c r="L784" s="45"/>
      <c r="M784" s="24">
        <v>45789.0</v>
      </c>
    </row>
    <row r="785" ht="15.75" customHeight="1">
      <c r="A785" s="39">
        <v>45784.0</v>
      </c>
      <c r="B785" s="50"/>
      <c r="C785" s="31" t="s">
        <v>332</v>
      </c>
      <c r="D785" s="32" t="s">
        <v>99</v>
      </c>
      <c r="E785" s="31" t="s">
        <v>857</v>
      </c>
      <c r="F785" s="46">
        <v>45802.0</v>
      </c>
      <c r="G785" s="22">
        <v>1598276.08</v>
      </c>
      <c r="H785" s="14">
        <f t="shared" si="5"/>
        <v>335637.9768</v>
      </c>
      <c r="I785" s="14"/>
      <c r="J785" s="14"/>
      <c r="K785" s="15">
        <f t="shared" si="4"/>
        <v>1933914.057</v>
      </c>
      <c r="L785" s="45"/>
      <c r="M785" s="24">
        <v>45789.0</v>
      </c>
    </row>
    <row r="786" ht="15.75" customHeight="1">
      <c r="A786" s="39">
        <v>45755.0</v>
      </c>
      <c r="B786" s="50"/>
      <c r="C786" s="31" t="s">
        <v>491</v>
      </c>
      <c r="D786" s="32" t="s">
        <v>15</v>
      </c>
      <c r="E786" s="31" t="s">
        <v>858</v>
      </c>
      <c r="F786" s="46">
        <v>45772.0</v>
      </c>
      <c r="G786" s="22">
        <v>1.8042609E7</v>
      </c>
      <c r="H786" s="14">
        <f t="shared" si="5"/>
        <v>3788947.89</v>
      </c>
      <c r="I786" s="22">
        <v>541278.27</v>
      </c>
      <c r="J786" s="45"/>
      <c r="K786" s="15">
        <f t="shared" si="4"/>
        <v>22372835.16</v>
      </c>
      <c r="L786" s="45"/>
      <c r="M786" s="24">
        <v>45757.0</v>
      </c>
    </row>
    <row r="787" ht="15.75" customHeight="1">
      <c r="A787" s="39">
        <v>45755.0</v>
      </c>
      <c r="B787" s="50"/>
      <c r="C787" s="31" t="s">
        <v>491</v>
      </c>
      <c r="D787" s="32" t="s">
        <v>15</v>
      </c>
      <c r="E787" s="31" t="s">
        <v>859</v>
      </c>
      <c r="F787" s="46">
        <v>45772.0</v>
      </c>
      <c r="G787" s="22">
        <v>1.4244345E7</v>
      </c>
      <c r="H787" s="14">
        <f t="shared" si="5"/>
        <v>2991312.45</v>
      </c>
      <c r="I787" s="22">
        <v>427330.35</v>
      </c>
      <c r="J787" s="14"/>
      <c r="K787" s="15">
        <f t="shared" si="4"/>
        <v>17662987.8</v>
      </c>
      <c r="L787" s="45"/>
      <c r="M787" s="24">
        <v>45757.0</v>
      </c>
    </row>
    <row r="788" ht="15.75" customHeight="1">
      <c r="A788" s="39">
        <v>45755.0</v>
      </c>
      <c r="B788" s="50"/>
      <c r="C788" s="31" t="s">
        <v>491</v>
      </c>
      <c r="D788" s="32" t="s">
        <v>15</v>
      </c>
      <c r="E788" s="31" t="s">
        <v>860</v>
      </c>
      <c r="F788" s="46">
        <v>45772.0</v>
      </c>
      <c r="G788" s="22">
        <v>8546679.0</v>
      </c>
      <c r="H788" s="14">
        <f t="shared" si="5"/>
        <v>1794802.59</v>
      </c>
      <c r="I788" s="22">
        <v>256400.37</v>
      </c>
      <c r="J788" s="14"/>
      <c r="K788" s="15">
        <f t="shared" si="4"/>
        <v>10597881.96</v>
      </c>
      <c r="L788" s="45"/>
      <c r="M788" s="24">
        <v>45757.0</v>
      </c>
    </row>
    <row r="789" ht="15.75" customHeight="1">
      <c r="A789" s="39">
        <v>45755.0</v>
      </c>
      <c r="B789" s="50"/>
      <c r="C789" s="31" t="s">
        <v>506</v>
      </c>
      <c r="D789" s="32" t="s">
        <v>15</v>
      </c>
      <c r="E789" s="31" t="s">
        <v>861</v>
      </c>
      <c r="F789" s="46">
        <v>45772.0</v>
      </c>
      <c r="G789" s="22">
        <v>8032642.62</v>
      </c>
      <c r="H789" s="14">
        <f t="shared" si="5"/>
        <v>1686854.95</v>
      </c>
      <c r="I789" s="22">
        <v>240979.28</v>
      </c>
      <c r="J789" s="45"/>
      <c r="K789" s="15">
        <f t="shared" si="4"/>
        <v>9960476.85</v>
      </c>
      <c r="L789" s="45"/>
      <c r="M789" s="24">
        <v>45758.0</v>
      </c>
    </row>
    <row r="790" ht="15.75" customHeight="1">
      <c r="A790" s="39">
        <v>45755.0</v>
      </c>
      <c r="B790" s="50"/>
      <c r="C790" s="31" t="s">
        <v>506</v>
      </c>
      <c r="D790" s="32" t="s">
        <v>15</v>
      </c>
      <c r="E790" s="31" t="s">
        <v>862</v>
      </c>
      <c r="F790" s="46">
        <v>45772.0</v>
      </c>
      <c r="G790" s="22">
        <v>9205739.95</v>
      </c>
      <c r="H790" s="14">
        <f t="shared" si="5"/>
        <v>1933205.39</v>
      </c>
      <c r="I790" s="22">
        <v>276172.2</v>
      </c>
      <c r="J790" s="45"/>
      <c r="K790" s="15">
        <f t="shared" si="4"/>
        <v>11415117.54</v>
      </c>
      <c r="L790" s="45"/>
      <c r="M790" s="24">
        <v>45758.0</v>
      </c>
    </row>
    <row r="791" ht="15.75" customHeight="1">
      <c r="A791" s="39">
        <v>45755.0</v>
      </c>
      <c r="B791" s="50"/>
      <c r="C791" s="31" t="s">
        <v>506</v>
      </c>
      <c r="D791" s="32" t="s">
        <v>15</v>
      </c>
      <c r="E791" s="31" t="s">
        <v>863</v>
      </c>
      <c r="F791" s="46">
        <v>45772.0</v>
      </c>
      <c r="G791" s="22">
        <v>1.313325896E7</v>
      </c>
      <c r="H791" s="14">
        <f t="shared" si="5"/>
        <v>2757984.382</v>
      </c>
      <c r="I791" s="22">
        <v>393997.77</v>
      </c>
      <c r="J791" s="45"/>
      <c r="K791" s="15">
        <f t="shared" si="4"/>
        <v>16285241.11</v>
      </c>
      <c r="L791" s="45"/>
      <c r="M791" s="24">
        <v>45758.0</v>
      </c>
    </row>
    <row r="792" ht="15.75" customHeight="1">
      <c r="A792" s="39">
        <v>45784.0</v>
      </c>
      <c r="B792" s="50"/>
      <c r="C792" s="31" t="s">
        <v>864</v>
      </c>
      <c r="D792" s="32" t="s">
        <v>99</v>
      </c>
      <c r="E792" s="31" t="s">
        <v>865</v>
      </c>
      <c r="F792" s="46">
        <v>45802.0</v>
      </c>
      <c r="G792" s="22">
        <v>1882726.14</v>
      </c>
      <c r="H792" s="14">
        <f t="shared" si="5"/>
        <v>395372.4894</v>
      </c>
      <c r="I792" s="22">
        <v>56481.78</v>
      </c>
      <c r="J792" s="14"/>
      <c r="K792" s="15">
        <f t="shared" si="4"/>
        <v>2334580.409</v>
      </c>
      <c r="L792" s="45"/>
      <c r="M792" s="24">
        <v>45789.0</v>
      </c>
    </row>
    <row r="793" ht="15.75" customHeight="1">
      <c r="A793" s="39">
        <v>45784.0</v>
      </c>
      <c r="B793" s="50"/>
      <c r="C793" s="31" t="s">
        <v>864</v>
      </c>
      <c r="D793" s="32" t="s">
        <v>99</v>
      </c>
      <c r="E793" s="31" t="s">
        <v>866</v>
      </c>
      <c r="F793" s="46">
        <v>45802.0</v>
      </c>
      <c r="G793" s="22">
        <v>2238372.41</v>
      </c>
      <c r="H793" s="14">
        <f t="shared" si="5"/>
        <v>470058.2061</v>
      </c>
      <c r="I793" s="22">
        <v>67151.17</v>
      </c>
      <c r="J793" s="14"/>
      <c r="K793" s="15">
        <f t="shared" si="4"/>
        <v>2775581.786</v>
      </c>
      <c r="L793" s="45"/>
      <c r="M793" s="24">
        <v>45789.0</v>
      </c>
    </row>
    <row r="794" ht="15.75" customHeight="1">
      <c r="A794" s="39">
        <v>45784.0</v>
      </c>
      <c r="B794" s="50"/>
      <c r="C794" s="31" t="s">
        <v>864</v>
      </c>
      <c r="D794" s="32" t="s">
        <v>99</v>
      </c>
      <c r="E794" s="31" t="s">
        <v>867</v>
      </c>
      <c r="F794" s="46">
        <v>45802.0</v>
      </c>
      <c r="G794" s="22">
        <v>2726265.15</v>
      </c>
      <c r="H794" s="14">
        <f t="shared" si="5"/>
        <v>572515.6815</v>
      </c>
      <c r="I794" s="22">
        <v>81787.95</v>
      </c>
      <c r="J794" s="14"/>
      <c r="K794" s="15">
        <f t="shared" si="4"/>
        <v>3380568.782</v>
      </c>
      <c r="L794" s="45"/>
      <c r="M794" s="24">
        <v>45789.0</v>
      </c>
    </row>
    <row r="795" ht="15.75" customHeight="1">
      <c r="A795" s="39">
        <v>45755.0</v>
      </c>
      <c r="B795" s="50"/>
      <c r="C795" s="31" t="s">
        <v>506</v>
      </c>
      <c r="D795" s="32" t="s">
        <v>15</v>
      </c>
      <c r="E795" s="31" t="s">
        <v>868</v>
      </c>
      <c r="F795" s="46">
        <v>45772.0</v>
      </c>
      <c r="G795" s="22">
        <v>1.420915239E7</v>
      </c>
      <c r="H795" s="14">
        <f t="shared" si="5"/>
        <v>2983922.002</v>
      </c>
      <c r="I795" s="22">
        <v>426274.57</v>
      </c>
      <c r="J795" s="45"/>
      <c r="K795" s="15">
        <f t="shared" si="4"/>
        <v>17619348.96</v>
      </c>
      <c r="L795" s="45"/>
      <c r="M795" s="24">
        <v>45757.0</v>
      </c>
    </row>
    <row r="796" ht="15.75" customHeight="1">
      <c r="A796" s="39">
        <v>45755.0</v>
      </c>
      <c r="B796" s="50"/>
      <c r="C796" s="31" t="s">
        <v>410</v>
      </c>
      <c r="D796" s="32" t="s">
        <v>15</v>
      </c>
      <c r="E796" s="31" t="s">
        <v>869</v>
      </c>
      <c r="F796" s="46">
        <v>45772.0</v>
      </c>
      <c r="G796" s="22">
        <v>3009272.63</v>
      </c>
      <c r="H796" s="14">
        <f t="shared" si="5"/>
        <v>631947.2523</v>
      </c>
      <c r="I796" s="45"/>
      <c r="J796" s="45"/>
      <c r="K796" s="15">
        <f t="shared" si="4"/>
        <v>3641219.882</v>
      </c>
      <c r="L796" s="45"/>
      <c r="M796" s="24">
        <v>45757.0</v>
      </c>
    </row>
    <row r="797" ht="15.75" customHeight="1">
      <c r="A797" s="39">
        <v>45756.0</v>
      </c>
      <c r="B797" s="50"/>
      <c r="C797" s="31" t="s">
        <v>546</v>
      </c>
      <c r="D797" s="32" t="s">
        <v>15</v>
      </c>
      <c r="E797" s="31" t="s">
        <v>870</v>
      </c>
      <c r="F797" s="46">
        <v>45772.0</v>
      </c>
      <c r="G797" s="22">
        <v>1.266126133E7</v>
      </c>
      <c r="H797" s="14">
        <f t="shared" si="5"/>
        <v>2658864.879</v>
      </c>
      <c r="I797" s="14"/>
      <c r="J797" s="14"/>
      <c r="K797" s="15">
        <f t="shared" si="4"/>
        <v>15320126.21</v>
      </c>
      <c r="L797" s="45"/>
      <c r="M797" s="24">
        <v>45757.0</v>
      </c>
    </row>
    <row r="798" ht="15.75" customHeight="1">
      <c r="A798" s="39">
        <v>45756.0</v>
      </c>
      <c r="B798" s="50"/>
      <c r="C798" s="31" t="s">
        <v>546</v>
      </c>
      <c r="D798" s="32" t="s">
        <v>15</v>
      </c>
      <c r="E798" s="31" t="s">
        <v>871</v>
      </c>
      <c r="F798" s="46">
        <v>45772.0</v>
      </c>
      <c r="G798" s="22">
        <v>1.234899013E7</v>
      </c>
      <c r="H798" s="14">
        <f t="shared" si="5"/>
        <v>2593287.927</v>
      </c>
      <c r="I798" s="14"/>
      <c r="J798" s="14"/>
      <c r="K798" s="15">
        <f t="shared" si="4"/>
        <v>14942278.06</v>
      </c>
      <c r="L798" s="45"/>
      <c r="M798" s="24">
        <v>45757.0</v>
      </c>
    </row>
    <row r="799" ht="15.75" customHeight="1">
      <c r="A799" s="39">
        <v>45757.0</v>
      </c>
      <c r="B799" s="50"/>
      <c r="C799" s="31" t="s">
        <v>332</v>
      </c>
      <c r="D799" s="32" t="s">
        <v>15</v>
      </c>
      <c r="E799" s="31" t="s">
        <v>872</v>
      </c>
      <c r="F799" s="46">
        <v>45772.0</v>
      </c>
      <c r="G799" s="37">
        <v>4382821.41</v>
      </c>
      <c r="H799" s="14">
        <f t="shared" si="5"/>
        <v>920392.4961</v>
      </c>
      <c r="I799" s="22">
        <v>131484.64</v>
      </c>
      <c r="J799" s="22"/>
      <c r="K799" s="15">
        <f t="shared" si="4"/>
        <v>5434698.546</v>
      </c>
      <c r="L799" s="45"/>
      <c r="M799" s="24">
        <v>45761.0</v>
      </c>
    </row>
    <row r="800" ht="15.75" customHeight="1">
      <c r="A800" s="39">
        <v>45922.0</v>
      </c>
      <c r="B800" s="87"/>
      <c r="C800" s="31" t="s">
        <v>137</v>
      </c>
      <c r="D800" s="32" t="s">
        <v>15</v>
      </c>
      <c r="E800" s="31" t="s">
        <v>873</v>
      </c>
      <c r="F800" s="32" t="s">
        <v>208</v>
      </c>
      <c r="G800" s="53">
        <v>1.412689023E7</v>
      </c>
      <c r="H800" s="14">
        <f t="shared" si="5"/>
        <v>2966646.948</v>
      </c>
      <c r="I800" s="22"/>
      <c r="J800" s="14"/>
      <c r="K800" s="15">
        <f t="shared" si="4"/>
        <v>17093537.18</v>
      </c>
      <c r="L800" s="45"/>
      <c r="M800" s="6"/>
    </row>
    <row r="801" ht="15.75" customHeight="1">
      <c r="A801" s="39">
        <v>45785.0</v>
      </c>
      <c r="B801" s="50"/>
      <c r="C801" s="31" t="s">
        <v>247</v>
      </c>
      <c r="D801" s="32" t="s">
        <v>99</v>
      </c>
      <c r="E801" s="31" t="s">
        <v>874</v>
      </c>
      <c r="F801" s="46">
        <v>45802.0</v>
      </c>
      <c r="G801" s="22">
        <v>1.075067574E7</v>
      </c>
      <c r="H801" s="14">
        <f t="shared" si="5"/>
        <v>2257641.905</v>
      </c>
      <c r="I801" s="14"/>
      <c r="J801" s="22"/>
      <c r="K801" s="15">
        <f t="shared" si="4"/>
        <v>13008317.65</v>
      </c>
      <c r="L801" s="45"/>
      <c r="M801" s="24">
        <v>45730.0</v>
      </c>
    </row>
    <row r="802" ht="15.75" customHeight="1">
      <c r="A802" s="39">
        <v>45785.0</v>
      </c>
      <c r="B802" s="50"/>
      <c r="C802" s="31" t="s">
        <v>247</v>
      </c>
      <c r="D802" s="32" t="s">
        <v>99</v>
      </c>
      <c r="E802" s="31" t="s">
        <v>875</v>
      </c>
      <c r="F802" s="46">
        <v>45802.0</v>
      </c>
      <c r="G802" s="22">
        <v>1.163189739E7</v>
      </c>
      <c r="H802" s="14">
        <f t="shared" si="5"/>
        <v>2442698.452</v>
      </c>
      <c r="I802" s="14"/>
      <c r="J802" s="22"/>
      <c r="K802" s="15">
        <f t="shared" si="4"/>
        <v>14074595.84</v>
      </c>
      <c r="L802" s="45"/>
      <c r="M802" s="24">
        <v>45730.0</v>
      </c>
    </row>
    <row r="803" ht="15.75" customHeight="1">
      <c r="A803" s="39">
        <v>45785.0</v>
      </c>
      <c r="B803" s="50"/>
      <c r="C803" s="31" t="s">
        <v>247</v>
      </c>
      <c r="D803" s="32" t="s">
        <v>99</v>
      </c>
      <c r="E803" s="31" t="s">
        <v>876</v>
      </c>
      <c r="F803" s="46">
        <v>45802.0</v>
      </c>
      <c r="G803" s="22">
        <v>1.254765466E7</v>
      </c>
      <c r="H803" s="14">
        <f t="shared" si="5"/>
        <v>2635007.479</v>
      </c>
      <c r="I803" s="14"/>
      <c r="J803" s="22"/>
      <c r="K803" s="15">
        <f t="shared" si="4"/>
        <v>15182662.14</v>
      </c>
      <c r="L803" s="45"/>
      <c r="M803" s="24">
        <v>45730.0</v>
      </c>
    </row>
    <row r="804" ht="15.75" customHeight="1">
      <c r="A804" s="39">
        <v>45757.0</v>
      </c>
      <c r="B804" s="50"/>
      <c r="C804" s="31" t="s">
        <v>332</v>
      </c>
      <c r="D804" s="32" t="s">
        <v>15</v>
      </c>
      <c r="E804" s="31" t="s">
        <v>877</v>
      </c>
      <c r="F804" s="46">
        <v>45772.0</v>
      </c>
      <c r="G804" s="22">
        <v>1.128372715E7</v>
      </c>
      <c r="H804" s="14">
        <f t="shared" si="5"/>
        <v>2369582.702</v>
      </c>
      <c r="I804" s="22">
        <v>338511.81</v>
      </c>
      <c r="J804" s="22"/>
      <c r="K804" s="15">
        <f t="shared" si="4"/>
        <v>13991821.66</v>
      </c>
      <c r="L804" s="45"/>
      <c r="M804" s="24">
        <v>45761.0</v>
      </c>
    </row>
    <row r="805" ht="15.75" customHeight="1">
      <c r="A805" s="39">
        <v>45757.0</v>
      </c>
      <c r="B805" s="50"/>
      <c r="C805" s="31" t="s">
        <v>332</v>
      </c>
      <c r="D805" s="32" t="s">
        <v>15</v>
      </c>
      <c r="E805" s="31" t="s">
        <v>878</v>
      </c>
      <c r="F805" s="46">
        <v>45772.0</v>
      </c>
      <c r="G805" s="22">
        <v>8817362.42</v>
      </c>
      <c r="H805" s="14">
        <f t="shared" si="5"/>
        <v>1851646.108</v>
      </c>
      <c r="I805" s="22">
        <v>264520.87</v>
      </c>
      <c r="J805" s="45"/>
      <c r="K805" s="15">
        <f t="shared" si="4"/>
        <v>10933529.4</v>
      </c>
      <c r="L805" s="45"/>
      <c r="M805" s="24">
        <v>45761.0</v>
      </c>
    </row>
    <row r="806" ht="15.75" customHeight="1">
      <c r="A806" s="39">
        <v>45757.0</v>
      </c>
      <c r="B806" s="50"/>
      <c r="C806" s="31" t="s">
        <v>332</v>
      </c>
      <c r="D806" s="32" t="s">
        <v>15</v>
      </c>
      <c r="E806" s="31" t="s">
        <v>879</v>
      </c>
      <c r="F806" s="46">
        <v>45772.0</v>
      </c>
      <c r="G806" s="22">
        <v>4437212.58</v>
      </c>
      <c r="H806" s="14">
        <f t="shared" si="5"/>
        <v>931814.6418</v>
      </c>
      <c r="I806" s="22"/>
      <c r="J806" s="45"/>
      <c r="K806" s="15">
        <f t="shared" si="4"/>
        <v>5369027.222</v>
      </c>
      <c r="L806" s="45"/>
      <c r="M806" s="24">
        <v>45761.0</v>
      </c>
    </row>
    <row r="807" ht="15.75" customHeight="1">
      <c r="A807" s="39">
        <v>45757.0</v>
      </c>
      <c r="B807" s="50"/>
      <c r="C807" s="31" t="s">
        <v>332</v>
      </c>
      <c r="D807" s="32" t="s">
        <v>15</v>
      </c>
      <c r="E807" s="31" t="s">
        <v>880</v>
      </c>
      <c r="F807" s="46">
        <v>45772.0</v>
      </c>
      <c r="G807" s="22">
        <v>1.321216171E7</v>
      </c>
      <c r="H807" s="14">
        <f t="shared" si="5"/>
        <v>2774553.959</v>
      </c>
      <c r="I807" s="22">
        <v>396364.85</v>
      </c>
      <c r="J807" s="45"/>
      <c r="K807" s="15">
        <f t="shared" si="4"/>
        <v>16383080.52</v>
      </c>
      <c r="L807" s="45"/>
      <c r="M807" s="24">
        <v>45761.0</v>
      </c>
    </row>
    <row r="808" ht="15.75" customHeight="1">
      <c r="A808" s="39">
        <v>45785.0</v>
      </c>
      <c r="B808" s="50"/>
      <c r="C808" s="31" t="s">
        <v>64</v>
      </c>
      <c r="D808" s="32" t="s">
        <v>99</v>
      </c>
      <c r="E808" s="31" t="s">
        <v>881</v>
      </c>
      <c r="F808" s="46">
        <v>45802.0</v>
      </c>
      <c r="G808" s="22">
        <v>9006240.16</v>
      </c>
      <c r="H808" s="14">
        <f t="shared" si="5"/>
        <v>1891310.434</v>
      </c>
      <c r="I808" s="22">
        <v>270187.2</v>
      </c>
      <c r="J808" s="22"/>
      <c r="K808" s="15">
        <f t="shared" si="4"/>
        <v>11167737.79</v>
      </c>
      <c r="L808" s="45"/>
      <c r="M808" s="24">
        <v>45803.0</v>
      </c>
    </row>
    <row r="809" ht="15.75" customHeight="1">
      <c r="A809" s="39">
        <v>45785.0</v>
      </c>
      <c r="B809" s="50"/>
      <c r="C809" s="31" t="s">
        <v>64</v>
      </c>
      <c r="D809" s="32" t="s">
        <v>99</v>
      </c>
      <c r="E809" s="31" t="s">
        <v>882</v>
      </c>
      <c r="F809" s="46">
        <v>45802.0</v>
      </c>
      <c r="G809" s="22">
        <v>8012910.16</v>
      </c>
      <c r="H809" s="14">
        <f t="shared" si="5"/>
        <v>1682711.134</v>
      </c>
      <c r="I809" s="22">
        <v>240387.3</v>
      </c>
      <c r="J809" s="22"/>
      <c r="K809" s="15">
        <f t="shared" si="4"/>
        <v>9936008.594</v>
      </c>
      <c r="L809" s="45"/>
      <c r="M809" s="24">
        <v>45803.0</v>
      </c>
    </row>
    <row r="810" ht="15.75" customHeight="1">
      <c r="A810" s="39">
        <v>45785.0</v>
      </c>
      <c r="B810" s="50"/>
      <c r="C810" s="31" t="s">
        <v>429</v>
      </c>
      <c r="D810" s="32" t="s">
        <v>99</v>
      </c>
      <c r="E810" s="31" t="s">
        <v>883</v>
      </c>
      <c r="F810" s="46">
        <v>45802.0</v>
      </c>
      <c r="G810" s="22">
        <v>1.435004348E7</v>
      </c>
      <c r="H810" s="14">
        <f t="shared" si="5"/>
        <v>3013509.131</v>
      </c>
      <c r="I810" s="14"/>
      <c r="J810" s="22">
        <v>5740.02</v>
      </c>
      <c r="K810" s="15">
        <f t="shared" si="4"/>
        <v>17369292.63</v>
      </c>
      <c r="L810" s="45"/>
      <c r="M810" s="24">
        <v>45804.0</v>
      </c>
    </row>
    <row r="811" ht="15.75" customHeight="1">
      <c r="A811" s="39">
        <v>45757.0</v>
      </c>
      <c r="B811" s="50"/>
      <c r="C811" s="31" t="s">
        <v>332</v>
      </c>
      <c r="D811" s="32" t="s">
        <v>15</v>
      </c>
      <c r="E811" s="31" t="s">
        <v>884</v>
      </c>
      <c r="F811" s="46">
        <v>45772.0</v>
      </c>
      <c r="G811" s="22">
        <v>5245242.24</v>
      </c>
      <c r="H811" s="14">
        <f t="shared" si="5"/>
        <v>1101500.87</v>
      </c>
      <c r="I811" s="22"/>
      <c r="J811" s="45"/>
      <c r="K811" s="15">
        <f t="shared" si="4"/>
        <v>6346743.11</v>
      </c>
      <c r="L811" s="45"/>
      <c r="M811" s="24">
        <v>45761.0</v>
      </c>
    </row>
    <row r="812" ht="15.75" customHeight="1">
      <c r="A812" s="55">
        <v>45785.0</v>
      </c>
      <c r="B812" s="56"/>
      <c r="C812" s="57" t="s">
        <v>885</v>
      </c>
      <c r="D812" s="57" t="s">
        <v>886</v>
      </c>
      <c r="E812" s="58" t="s">
        <v>887</v>
      </c>
      <c r="F812" s="59">
        <v>45802.0</v>
      </c>
      <c r="G812" s="121">
        <v>1.694127887E7</v>
      </c>
      <c r="H812" s="9">
        <f t="shared" si="5"/>
        <v>3557668.563</v>
      </c>
      <c r="I812" s="60"/>
      <c r="J812" s="60"/>
      <c r="K812" s="10">
        <f t="shared" si="4"/>
        <v>20498947.43</v>
      </c>
      <c r="L812" s="61"/>
      <c r="M812" s="62"/>
    </row>
    <row r="813" ht="15.75" customHeight="1">
      <c r="A813" s="55">
        <v>45785.0</v>
      </c>
      <c r="B813" s="56"/>
      <c r="C813" s="57" t="s">
        <v>885</v>
      </c>
      <c r="D813" s="57" t="s">
        <v>886</v>
      </c>
      <c r="E813" s="58" t="s">
        <v>888</v>
      </c>
      <c r="F813" s="59">
        <v>45802.0</v>
      </c>
      <c r="G813" s="121">
        <v>1.689034655E7</v>
      </c>
      <c r="H813" s="9">
        <f t="shared" si="5"/>
        <v>3546972.776</v>
      </c>
      <c r="I813" s="60"/>
      <c r="J813" s="60"/>
      <c r="K813" s="10">
        <f t="shared" si="4"/>
        <v>20437319.33</v>
      </c>
      <c r="L813" s="61"/>
      <c r="M813" s="62"/>
    </row>
    <row r="814" ht="15.75" customHeight="1">
      <c r="A814" s="55">
        <v>45785.0</v>
      </c>
      <c r="B814" s="56"/>
      <c r="C814" s="57" t="s">
        <v>885</v>
      </c>
      <c r="D814" s="57" t="s">
        <v>886</v>
      </c>
      <c r="E814" s="58" t="s">
        <v>889</v>
      </c>
      <c r="F814" s="59">
        <v>45802.0</v>
      </c>
      <c r="G814" s="121">
        <v>1.69336108E7</v>
      </c>
      <c r="H814" s="9">
        <f t="shared" si="5"/>
        <v>3556058.268</v>
      </c>
      <c r="I814" s="60"/>
      <c r="J814" s="60"/>
      <c r="K814" s="10">
        <f t="shared" si="4"/>
        <v>20489669.07</v>
      </c>
      <c r="L814" s="61"/>
      <c r="M814" s="62"/>
    </row>
    <row r="815" ht="15.75" customHeight="1">
      <c r="A815" s="39">
        <v>45786.0</v>
      </c>
      <c r="B815" s="50"/>
      <c r="C815" s="31" t="s">
        <v>890</v>
      </c>
      <c r="D815" s="32" t="s">
        <v>99</v>
      </c>
      <c r="E815" s="31" t="s">
        <v>891</v>
      </c>
      <c r="F815" s="46">
        <v>45802.0</v>
      </c>
      <c r="G815" s="22">
        <v>9875012.08</v>
      </c>
      <c r="H815" s="14">
        <f t="shared" si="5"/>
        <v>2073752.537</v>
      </c>
      <c r="I815" s="14"/>
      <c r="J815" s="14"/>
      <c r="K815" s="15">
        <f t="shared" si="4"/>
        <v>11948764.62</v>
      </c>
      <c r="L815" s="45"/>
      <c r="M815" s="24">
        <v>45791.0</v>
      </c>
    </row>
    <row r="816" ht="15.75" customHeight="1">
      <c r="A816" s="39">
        <v>45757.0</v>
      </c>
      <c r="B816" s="50"/>
      <c r="C816" s="31" t="s">
        <v>211</v>
      </c>
      <c r="D816" s="32" t="s">
        <v>15</v>
      </c>
      <c r="E816" s="31" t="s">
        <v>892</v>
      </c>
      <c r="F816" s="46">
        <v>45772.0</v>
      </c>
      <c r="G816" s="22">
        <v>2509092.3</v>
      </c>
      <c r="H816" s="14">
        <f t="shared" si="5"/>
        <v>526909.383</v>
      </c>
      <c r="I816" s="14"/>
      <c r="J816" s="14"/>
      <c r="K816" s="15">
        <f t="shared" si="4"/>
        <v>3036001.683</v>
      </c>
      <c r="L816" s="45"/>
      <c r="M816" s="24">
        <v>45758.0</v>
      </c>
    </row>
    <row r="817" ht="15.75" customHeight="1">
      <c r="A817" s="39">
        <v>45758.0</v>
      </c>
      <c r="B817" s="50"/>
      <c r="C817" s="31" t="s">
        <v>893</v>
      </c>
      <c r="D817" s="32" t="s">
        <v>15</v>
      </c>
      <c r="E817" s="31" t="s">
        <v>894</v>
      </c>
      <c r="F817" s="46">
        <v>45772.0</v>
      </c>
      <c r="G817" s="22">
        <v>2892728.24</v>
      </c>
      <c r="H817" s="14">
        <f t="shared" si="5"/>
        <v>607472.9304</v>
      </c>
      <c r="I817" s="22">
        <v>86781.85</v>
      </c>
      <c r="J817" s="14"/>
      <c r="K817" s="15">
        <f t="shared" si="4"/>
        <v>3586983.02</v>
      </c>
      <c r="L817" s="45"/>
      <c r="M817" s="24">
        <v>45761.0</v>
      </c>
    </row>
    <row r="818" ht="15.75" customHeight="1">
      <c r="A818" s="55">
        <v>45786.0</v>
      </c>
      <c r="B818" s="56"/>
      <c r="C818" s="57" t="s">
        <v>71</v>
      </c>
      <c r="D818" s="57" t="s">
        <v>886</v>
      </c>
      <c r="E818" s="58" t="s">
        <v>895</v>
      </c>
      <c r="F818" s="59">
        <v>45802.0</v>
      </c>
      <c r="G818" s="121">
        <v>4530000.0</v>
      </c>
      <c r="H818" s="9">
        <f t="shared" si="5"/>
        <v>951300</v>
      </c>
      <c r="I818" s="60"/>
      <c r="J818" s="60"/>
      <c r="K818" s="10">
        <f t="shared" si="4"/>
        <v>5481300</v>
      </c>
      <c r="L818" s="61"/>
      <c r="M818" s="62"/>
    </row>
    <row r="819" ht="15.75" customHeight="1">
      <c r="A819" s="55">
        <v>45786.0</v>
      </c>
      <c r="B819" s="56"/>
      <c r="C819" s="57" t="s">
        <v>71</v>
      </c>
      <c r="D819" s="57" t="s">
        <v>886</v>
      </c>
      <c r="E819" s="58" t="s">
        <v>896</v>
      </c>
      <c r="F819" s="59">
        <v>45802.0</v>
      </c>
      <c r="G819" s="121">
        <v>4485000.0</v>
      </c>
      <c r="H819" s="9">
        <f t="shared" si="5"/>
        <v>941850</v>
      </c>
      <c r="I819" s="60"/>
      <c r="J819" s="60"/>
      <c r="K819" s="10">
        <f t="shared" si="4"/>
        <v>5426850</v>
      </c>
      <c r="L819" s="61"/>
      <c r="M819" s="62"/>
    </row>
    <row r="820" ht="15.75" customHeight="1">
      <c r="A820" s="55">
        <v>45786.0</v>
      </c>
      <c r="B820" s="56"/>
      <c r="C820" s="57" t="s">
        <v>71</v>
      </c>
      <c r="D820" s="57" t="s">
        <v>886</v>
      </c>
      <c r="E820" s="58" t="s">
        <v>897</v>
      </c>
      <c r="F820" s="59">
        <v>45802.0</v>
      </c>
      <c r="G820" s="121">
        <v>4545000.0</v>
      </c>
      <c r="H820" s="9">
        <f t="shared" si="5"/>
        <v>954450</v>
      </c>
      <c r="I820" s="60"/>
      <c r="J820" s="60"/>
      <c r="K820" s="10">
        <f t="shared" si="4"/>
        <v>5499450</v>
      </c>
      <c r="L820" s="61"/>
      <c r="M820" s="62"/>
    </row>
    <row r="821" ht="15.75" customHeight="1">
      <c r="A821" s="55">
        <v>45786.0</v>
      </c>
      <c r="B821" s="56"/>
      <c r="C821" s="57" t="s">
        <v>71</v>
      </c>
      <c r="D821" s="57" t="s">
        <v>886</v>
      </c>
      <c r="E821" s="58" t="s">
        <v>898</v>
      </c>
      <c r="F821" s="59">
        <v>45802.0</v>
      </c>
      <c r="G821" s="121">
        <v>4395000.0</v>
      </c>
      <c r="H821" s="9">
        <f t="shared" si="5"/>
        <v>922950</v>
      </c>
      <c r="I821" s="60"/>
      <c r="J821" s="60"/>
      <c r="K821" s="10">
        <f t="shared" si="4"/>
        <v>5317950</v>
      </c>
      <c r="L821" s="61"/>
      <c r="M821" s="62"/>
    </row>
    <row r="822" ht="15.75" customHeight="1">
      <c r="A822" s="55">
        <v>45786.0</v>
      </c>
      <c r="B822" s="56"/>
      <c r="C822" s="57" t="s">
        <v>71</v>
      </c>
      <c r="D822" s="57" t="s">
        <v>886</v>
      </c>
      <c r="E822" s="58" t="s">
        <v>899</v>
      </c>
      <c r="F822" s="59">
        <v>45802.0</v>
      </c>
      <c r="G822" s="121">
        <v>4650000.0</v>
      </c>
      <c r="H822" s="9">
        <f t="shared" si="5"/>
        <v>976500</v>
      </c>
      <c r="I822" s="60"/>
      <c r="J822" s="60"/>
      <c r="K822" s="10">
        <f t="shared" si="4"/>
        <v>5626500</v>
      </c>
      <c r="L822" s="61"/>
      <c r="M822" s="62"/>
    </row>
    <row r="823" ht="15.75" customHeight="1">
      <c r="A823" s="55">
        <v>45786.0</v>
      </c>
      <c r="B823" s="56"/>
      <c r="C823" s="57" t="s">
        <v>71</v>
      </c>
      <c r="D823" s="57" t="s">
        <v>886</v>
      </c>
      <c r="E823" s="58" t="s">
        <v>900</v>
      </c>
      <c r="F823" s="59">
        <v>45802.0</v>
      </c>
      <c r="G823" s="121">
        <v>5040000.0</v>
      </c>
      <c r="H823" s="9">
        <f t="shared" si="5"/>
        <v>1058400</v>
      </c>
      <c r="I823" s="60"/>
      <c r="J823" s="60"/>
      <c r="K823" s="10">
        <f t="shared" si="4"/>
        <v>6098400</v>
      </c>
      <c r="L823" s="61"/>
      <c r="M823" s="62"/>
    </row>
    <row r="824" ht="15.75" customHeight="1">
      <c r="A824" s="55">
        <v>45786.0</v>
      </c>
      <c r="B824" s="56"/>
      <c r="C824" s="57" t="s">
        <v>71</v>
      </c>
      <c r="D824" s="57" t="s">
        <v>886</v>
      </c>
      <c r="E824" s="58" t="s">
        <v>901</v>
      </c>
      <c r="F824" s="59">
        <v>45802.0</v>
      </c>
      <c r="G824" s="121">
        <v>6060000.0</v>
      </c>
      <c r="H824" s="9">
        <f t="shared" si="5"/>
        <v>1272600</v>
      </c>
      <c r="I824" s="60"/>
      <c r="J824" s="60"/>
      <c r="K824" s="10">
        <f t="shared" si="4"/>
        <v>7332600</v>
      </c>
      <c r="L824" s="61"/>
      <c r="M824" s="62"/>
    </row>
    <row r="825" ht="15.75" customHeight="1">
      <c r="A825" s="55">
        <v>45786.0</v>
      </c>
      <c r="B825" s="56"/>
      <c r="C825" s="57" t="s">
        <v>71</v>
      </c>
      <c r="D825" s="57" t="s">
        <v>886</v>
      </c>
      <c r="E825" s="58" t="s">
        <v>902</v>
      </c>
      <c r="F825" s="59">
        <v>45802.0</v>
      </c>
      <c r="G825" s="44">
        <v>-6060000.0</v>
      </c>
      <c r="H825" s="9">
        <f t="shared" si="5"/>
        <v>-1272600</v>
      </c>
      <c r="I825" s="60"/>
      <c r="J825" s="60"/>
      <c r="K825" s="10">
        <f t="shared" si="4"/>
        <v>-7332600</v>
      </c>
      <c r="L825" s="61"/>
      <c r="M825" s="62"/>
    </row>
    <row r="826" ht="15.75" customHeight="1">
      <c r="A826" s="55">
        <v>45786.0</v>
      </c>
      <c r="B826" s="56"/>
      <c r="C826" s="57" t="s">
        <v>71</v>
      </c>
      <c r="D826" s="57" t="s">
        <v>886</v>
      </c>
      <c r="E826" s="58" t="s">
        <v>903</v>
      </c>
      <c r="F826" s="59">
        <v>45802.0</v>
      </c>
      <c r="G826" s="121">
        <v>4530000.0</v>
      </c>
      <c r="H826" s="9">
        <f t="shared" si="5"/>
        <v>951300</v>
      </c>
      <c r="I826" s="60"/>
      <c r="J826" s="60"/>
      <c r="K826" s="10">
        <f t="shared" si="4"/>
        <v>5481300</v>
      </c>
      <c r="L826" s="61"/>
      <c r="M826" s="62"/>
    </row>
    <row r="827" ht="15.75" customHeight="1">
      <c r="A827" s="55">
        <v>45786.0</v>
      </c>
      <c r="B827" s="56"/>
      <c r="C827" s="57" t="s">
        <v>71</v>
      </c>
      <c r="D827" s="57" t="s">
        <v>886</v>
      </c>
      <c r="E827" s="58" t="s">
        <v>904</v>
      </c>
      <c r="F827" s="59">
        <v>45802.0</v>
      </c>
      <c r="G827" s="121">
        <v>4813247.56</v>
      </c>
      <c r="H827" s="9">
        <f t="shared" si="5"/>
        <v>1010781.988</v>
      </c>
      <c r="I827" s="60"/>
      <c r="J827" s="60"/>
      <c r="K827" s="10">
        <f t="shared" si="4"/>
        <v>5824029.548</v>
      </c>
      <c r="L827" s="61"/>
      <c r="M827" s="62"/>
    </row>
    <row r="828" ht="15.75" customHeight="1">
      <c r="A828" s="55">
        <v>45786.0</v>
      </c>
      <c r="B828" s="56"/>
      <c r="C828" s="57" t="s">
        <v>71</v>
      </c>
      <c r="D828" s="57" t="s">
        <v>886</v>
      </c>
      <c r="E828" s="58" t="s">
        <v>905</v>
      </c>
      <c r="F828" s="59">
        <v>45802.0</v>
      </c>
      <c r="G828" s="121">
        <v>4793126.87</v>
      </c>
      <c r="H828" s="9">
        <f t="shared" si="5"/>
        <v>1006556.643</v>
      </c>
      <c r="I828" s="60"/>
      <c r="J828" s="60"/>
      <c r="K828" s="10">
        <f t="shared" si="4"/>
        <v>5799683.513</v>
      </c>
      <c r="L828" s="61"/>
      <c r="M828" s="62"/>
    </row>
    <row r="829" ht="15.75" customHeight="1">
      <c r="A829" s="55">
        <v>45786.0</v>
      </c>
      <c r="B829" s="56"/>
      <c r="C829" s="57" t="s">
        <v>71</v>
      </c>
      <c r="D829" s="57" t="s">
        <v>886</v>
      </c>
      <c r="E829" s="58" t="s">
        <v>906</v>
      </c>
      <c r="F829" s="59">
        <v>45802.0</v>
      </c>
      <c r="G829" s="121">
        <v>4837459.43</v>
      </c>
      <c r="H829" s="9">
        <f t="shared" si="5"/>
        <v>1015866.48</v>
      </c>
      <c r="I829" s="60"/>
      <c r="J829" s="60"/>
      <c r="K829" s="10">
        <f t="shared" si="4"/>
        <v>5853325.91</v>
      </c>
      <c r="L829" s="61"/>
      <c r="M829" s="62"/>
    </row>
    <row r="830" ht="15.75" customHeight="1">
      <c r="A830" s="55">
        <v>45786.0</v>
      </c>
      <c r="B830" s="56"/>
      <c r="C830" s="57" t="s">
        <v>71</v>
      </c>
      <c r="D830" s="57" t="s">
        <v>886</v>
      </c>
      <c r="E830" s="58" t="s">
        <v>907</v>
      </c>
      <c r="F830" s="59">
        <v>45802.0</v>
      </c>
      <c r="G830" s="121">
        <v>4729876.54</v>
      </c>
      <c r="H830" s="9">
        <f t="shared" si="5"/>
        <v>993274.0734</v>
      </c>
      <c r="I830" s="60"/>
      <c r="J830" s="60"/>
      <c r="K830" s="10">
        <f t="shared" si="4"/>
        <v>5723150.613</v>
      </c>
      <c r="L830" s="61"/>
      <c r="M830" s="62"/>
    </row>
    <row r="831" ht="15.75" customHeight="1">
      <c r="A831" s="55">
        <v>45786.0</v>
      </c>
      <c r="B831" s="56"/>
      <c r="C831" s="57" t="s">
        <v>71</v>
      </c>
      <c r="D831" s="57" t="s">
        <v>886</v>
      </c>
      <c r="E831" s="58" t="s">
        <v>908</v>
      </c>
      <c r="F831" s="59">
        <v>45802.0</v>
      </c>
      <c r="G831" s="121">
        <v>4948791.73</v>
      </c>
      <c r="H831" s="9">
        <f t="shared" si="5"/>
        <v>1039246.263</v>
      </c>
      <c r="I831" s="60"/>
      <c r="J831" s="60"/>
      <c r="K831" s="10">
        <f t="shared" si="4"/>
        <v>5988037.993</v>
      </c>
      <c r="L831" s="61"/>
      <c r="M831" s="62"/>
    </row>
    <row r="832" ht="15.75" customHeight="1">
      <c r="A832" s="55">
        <v>45786.0</v>
      </c>
      <c r="B832" s="56"/>
      <c r="C832" s="57" t="s">
        <v>71</v>
      </c>
      <c r="D832" s="57" t="s">
        <v>886</v>
      </c>
      <c r="E832" s="58" t="s">
        <v>909</v>
      </c>
      <c r="F832" s="59">
        <v>45802.0</v>
      </c>
      <c r="G832" s="121">
        <v>4824315.78</v>
      </c>
      <c r="H832" s="9">
        <f t="shared" si="5"/>
        <v>1013106.314</v>
      </c>
      <c r="I832" s="60"/>
      <c r="J832" s="60"/>
      <c r="K832" s="10">
        <f t="shared" si="4"/>
        <v>5837422.094</v>
      </c>
      <c r="L832" s="61"/>
      <c r="M832" s="62"/>
    </row>
    <row r="833" ht="15.75" customHeight="1">
      <c r="A833" s="55">
        <v>45786.0</v>
      </c>
      <c r="B833" s="56"/>
      <c r="C833" s="57" t="s">
        <v>71</v>
      </c>
      <c r="D833" s="57" t="s">
        <v>886</v>
      </c>
      <c r="E833" s="58" t="s">
        <v>910</v>
      </c>
      <c r="F833" s="59">
        <v>45802.0</v>
      </c>
      <c r="G833" s="121">
        <v>4754682.09</v>
      </c>
      <c r="H833" s="9">
        <f t="shared" si="5"/>
        <v>998483.2389</v>
      </c>
      <c r="I833" s="60"/>
      <c r="J833" s="60"/>
      <c r="K833" s="10">
        <f t="shared" si="4"/>
        <v>5753165.329</v>
      </c>
      <c r="L833" s="61"/>
      <c r="M833" s="62"/>
    </row>
    <row r="834" ht="15.75" customHeight="1">
      <c r="A834" s="55">
        <v>45786.0</v>
      </c>
      <c r="B834" s="56"/>
      <c r="C834" s="57" t="s">
        <v>71</v>
      </c>
      <c r="D834" s="57" t="s">
        <v>886</v>
      </c>
      <c r="E834" s="58" t="s">
        <v>911</v>
      </c>
      <c r="F834" s="59">
        <v>45802.0</v>
      </c>
      <c r="G834" s="44">
        <v>-5040000.0</v>
      </c>
      <c r="H834" s="9">
        <f t="shared" si="5"/>
        <v>-1058400</v>
      </c>
      <c r="I834" s="60"/>
      <c r="J834" s="60"/>
      <c r="K834" s="10">
        <f t="shared" si="4"/>
        <v>-6098400</v>
      </c>
      <c r="L834" s="61"/>
      <c r="M834" s="62"/>
    </row>
    <row r="835" ht="15.75" customHeight="1">
      <c r="A835" s="55">
        <v>45786.0</v>
      </c>
      <c r="B835" s="56"/>
      <c r="C835" s="57" t="s">
        <v>71</v>
      </c>
      <c r="D835" s="57" t="s">
        <v>886</v>
      </c>
      <c r="E835" s="58" t="s">
        <v>912</v>
      </c>
      <c r="F835" s="59">
        <v>45802.0</v>
      </c>
      <c r="G835" s="44">
        <v>-4650000.0</v>
      </c>
      <c r="H835" s="9">
        <f t="shared" si="5"/>
        <v>-976500</v>
      </c>
      <c r="I835" s="60"/>
      <c r="J835" s="60"/>
      <c r="K835" s="10">
        <f t="shared" si="4"/>
        <v>-5626500</v>
      </c>
      <c r="L835" s="61"/>
      <c r="M835" s="62"/>
    </row>
    <row r="836" ht="15.75" customHeight="1">
      <c r="A836" s="55">
        <v>45786.0</v>
      </c>
      <c r="B836" s="56"/>
      <c r="C836" s="57" t="s">
        <v>71</v>
      </c>
      <c r="D836" s="57" t="s">
        <v>886</v>
      </c>
      <c r="E836" s="58" t="s">
        <v>913</v>
      </c>
      <c r="F836" s="59">
        <v>45802.0</v>
      </c>
      <c r="G836" s="44">
        <v>-4395000.0</v>
      </c>
      <c r="H836" s="9">
        <f t="shared" si="5"/>
        <v>-922950</v>
      </c>
      <c r="I836" s="60"/>
      <c r="J836" s="60"/>
      <c r="K836" s="10">
        <f t="shared" si="4"/>
        <v>-5317950</v>
      </c>
      <c r="L836" s="61"/>
      <c r="M836" s="62"/>
    </row>
    <row r="837" ht="15.75" customHeight="1">
      <c r="A837" s="55">
        <v>45786.0</v>
      </c>
      <c r="B837" s="56"/>
      <c r="C837" s="57" t="s">
        <v>71</v>
      </c>
      <c r="D837" s="57" t="s">
        <v>886</v>
      </c>
      <c r="E837" s="58" t="s">
        <v>914</v>
      </c>
      <c r="F837" s="59">
        <v>45802.0</v>
      </c>
      <c r="G837" s="44">
        <v>-4545000.0</v>
      </c>
      <c r="H837" s="9">
        <f t="shared" si="5"/>
        <v>-954450</v>
      </c>
      <c r="I837" s="60"/>
      <c r="J837" s="60"/>
      <c r="K837" s="10">
        <f t="shared" si="4"/>
        <v>-5499450</v>
      </c>
      <c r="L837" s="61"/>
      <c r="M837" s="62"/>
    </row>
    <row r="838" ht="15.75" customHeight="1">
      <c r="A838" s="55">
        <v>45786.0</v>
      </c>
      <c r="B838" s="56"/>
      <c r="C838" s="57" t="s">
        <v>71</v>
      </c>
      <c r="D838" s="57" t="s">
        <v>886</v>
      </c>
      <c r="E838" s="58" t="s">
        <v>915</v>
      </c>
      <c r="F838" s="59">
        <v>45802.0</v>
      </c>
      <c r="G838" s="44">
        <v>-4485000.0</v>
      </c>
      <c r="H838" s="9">
        <f t="shared" si="5"/>
        <v>-941850</v>
      </c>
      <c r="I838" s="60"/>
      <c r="J838" s="60"/>
      <c r="K838" s="10">
        <f t="shared" si="4"/>
        <v>-5426850</v>
      </c>
      <c r="L838" s="61"/>
      <c r="M838" s="62"/>
    </row>
    <row r="839" ht="15.75" customHeight="1">
      <c r="A839" s="55">
        <v>45786.0</v>
      </c>
      <c r="B839" s="56"/>
      <c r="C839" s="57" t="s">
        <v>71</v>
      </c>
      <c r="D839" s="57" t="s">
        <v>886</v>
      </c>
      <c r="E839" s="58" t="s">
        <v>916</v>
      </c>
      <c r="F839" s="59">
        <v>45802.0</v>
      </c>
      <c r="G839" s="44">
        <v>-4530000.0</v>
      </c>
      <c r="H839" s="9">
        <f t="shared" si="5"/>
        <v>-951300</v>
      </c>
      <c r="I839" s="60"/>
      <c r="J839" s="60"/>
      <c r="K839" s="10">
        <f t="shared" si="4"/>
        <v>-5481300</v>
      </c>
      <c r="L839" s="61"/>
      <c r="M839" s="62"/>
    </row>
    <row r="840" ht="15.75" customHeight="1">
      <c r="A840" s="55">
        <v>45786.0</v>
      </c>
      <c r="B840" s="56"/>
      <c r="C840" s="57" t="s">
        <v>71</v>
      </c>
      <c r="D840" s="57" t="s">
        <v>886</v>
      </c>
      <c r="E840" s="58" t="s">
        <v>917</v>
      </c>
      <c r="F840" s="59">
        <v>45802.0</v>
      </c>
      <c r="G840" s="44">
        <v>-4530000.0</v>
      </c>
      <c r="H840" s="9">
        <f t="shared" si="5"/>
        <v>-951300</v>
      </c>
      <c r="I840" s="60"/>
      <c r="J840" s="60"/>
      <c r="K840" s="10">
        <f t="shared" si="4"/>
        <v>-5481300</v>
      </c>
      <c r="L840" s="61"/>
      <c r="M840" s="62"/>
    </row>
    <row r="841" ht="15.75" customHeight="1">
      <c r="A841" s="55">
        <v>45786.0</v>
      </c>
      <c r="B841" s="56"/>
      <c r="C841" s="57" t="s">
        <v>71</v>
      </c>
      <c r="D841" s="58" t="s">
        <v>774</v>
      </c>
      <c r="E841" s="130">
        <v>1.000375773E9</v>
      </c>
      <c r="F841" s="59">
        <v>45802.0</v>
      </c>
      <c r="G841" s="131">
        <v>8240420.0</v>
      </c>
      <c r="H841" s="9">
        <f t="shared" si="5"/>
        <v>1730488.2</v>
      </c>
      <c r="I841" s="60"/>
      <c r="J841" s="60"/>
      <c r="K841" s="10">
        <f t="shared" si="4"/>
        <v>9970908.2</v>
      </c>
      <c r="L841" s="61"/>
      <c r="M841" s="62"/>
    </row>
    <row r="842" ht="15.75" customHeight="1">
      <c r="A842" s="55">
        <v>45786.0</v>
      </c>
      <c r="B842" s="56"/>
      <c r="C842" s="57" t="s">
        <v>71</v>
      </c>
      <c r="D842" s="58" t="s">
        <v>72</v>
      </c>
      <c r="E842" s="130">
        <v>1.000017967E9</v>
      </c>
      <c r="F842" s="59">
        <v>45802.0</v>
      </c>
      <c r="G842" s="131">
        <v>8341960.0</v>
      </c>
      <c r="H842" s="9">
        <f t="shared" si="5"/>
        <v>1751811.6</v>
      </c>
      <c r="I842" s="60"/>
      <c r="J842" s="60"/>
      <c r="K842" s="10">
        <f t="shared" si="4"/>
        <v>10093771.6</v>
      </c>
      <c r="L842" s="61"/>
      <c r="M842" s="62"/>
    </row>
    <row r="843" ht="15.75" customHeight="1">
      <c r="A843" s="55">
        <v>45786.0</v>
      </c>
      <c r="B843" s="56"/>
      <c r="C843" s="57" t="s">
        <v>71</v>
      </c>
      <c r="D843" s="58" t="s">
        <v>72</v>
      </c>
      <c r="E843" s="130">
        <v>1.000017966E9</v>
      </c>
      <c r="F843" s="59">
        <v>45802.0</v>
      </c>
      <c r="G843" s="131">
        <v>7682530.0</v>
      </c>
      <c r="H843" s="9">
        <f t="shared" si="5"/>
        <v>1613331.3</v>
      </c>
      <c r="I843" s="60"/>
      <c r="J843" s="60"/>
      <c r="K843" s="10">
        <f t="shared" si="4"/>
        <v>9295861.3</v>
      </c>
      <c r="L843" s="61"/>
      <c r="M843" s="62"/>
    </row>
    <row r="844" ht="15.75" customHeight="1">
      <c r="A844" s="55">
        <v>45786.0</v>
      </c>
      <c r="B844" s="56"/>
      <c r="C844" s="57" t="s">
        <v>71</v>
      </c>
      <c r="D844" s="58" t="s">
        <v>774</v>
      </c>
      <c r="E844" s="130">
        <v>1.000375774E9</v>
      </c>
      <c r="F844" s="59">
        <v>45802.0</v>
      </c>
      <c r="G844" s="44">
        <v>7909680.0</v>
      </c>
      <c r="H844" s="9">
        <f t="shared" si="5"/>
        <v>1661032.8</v>
      </c>
      <c r="I844" s="60"/>
      <c r="J844" s="60"/>
      <c r="K844" s="10">
        <f t="shared" si="4"/>
        <v>9570712.8</v>
      </c>
      <c r="L844" s="61"/>
      <c r="M844" s="62"/>
    </row>
    <row r="845" ht="15.75" customHeight="1">
      <c r="A845" s="39">
        <v>45789.0</v>
      </c>
      <c r="B845" s="50"/>
      <c r="C845" s="31" t="s">
        <v>918</v>
      </c>
      <c r="D845" s="32" t="s">
        <v>99</v>
      </c>
      <c r="E845" s="31" t="s">
        <v>919</v>
      </c>
      <c r="F845" s="46">
        <v>45802.0</v>
      </c>
      <c r="G845" s="22">
        <v>1.006101741E7</v>
      </c>
      <c r="H845" s="14">
        <f t="shared" si="5"/>
        <v>2112813.656</v>
      </c>
      <c r="I845" s="14"/>
      <c r="J845" s="22">
        <v>62265.16</v>
      </c>
      <c r="K845" s="15">
        <f t="shared" si="4"/>
        <v>12236096.23</v>
      </c>
      <c r="L845" s="45"/>
      <c r="M845" s="24">
        <v>45796.0</v>
      </c>
    </row>
    <row r="846" ht="15.75" customHeight="1">
      <c r="A846" s="39">
        <v>45758.0</v>
      </c>
      <c r="B846" s="50"/>
      <c r="C846" s="31" t="s">
        <v>864</v>
      </c>
      <c r="D846" s="32" t="s">
        <v>15</v>
      </c>
      <c r="E846" s="31" t="s">
        <v>920</v>
      </c>
      <c r="F846" s="46">
        <v>45772.0</v>
      </c>
      <c r="G846" s="22">
        <v>1.047372607E7</v>
      </c>
      <c r="H846" s="14">
        <f t="shared" si="5"/>
        <v>2199482.475</v>
      </c>
      <c r="I846" s="22">
        <v>314211.78</v>
      </c>
      <c r="J846" s="14"/>
      <c r="K846" s="15">
        <f t="shared" si="4"/>
        <v>12987420.32</v>
      </c>
      <c r="L846" s="45"/>
      <c r="M846" s="24">
        <v>45761.0</v>
      </c>
    </row>
    <row r="847" ht="15.75" customHeight="1">
      <c r="A847" s="39">
        <v>45758.0</v>
      </c>
      <c r="B847" s="50"/>
      <c r="C847" s="31" t="s">
        <v>247</v>
      </c>
      <c r="D847" s="32" t="s">
        <v>15</v>
      </c>
      <c r="E847" s="31" t="s">
        <v>921</v>
      </c>
      <c r="F847" s="46">
        <v>45772.0</v>
      </c>
      <c r="G847" s="22">
        <v>8895350.54</v>
      </c>
      <c r="H847" s="14">
        <f t="shared" si="5"/>
        <v>1868023.613</v>
      </c>
      <c r="I847" s="14"/>
      <c r="J847" s="14"/>
      <c r="K847" s="15">
        <f t="shared" si="4"/>
        <v>10763374.15</v>
      </c>
      <c r="L847" s="45"/>
      <c r="M847" s="24">
        <v>45771.0</v>
      </c>
    </row>
    <row r="848" ht="15.75" customHeight="1">
      <c r="A848" s="39">
        <v>45792.0</v>
      </c>
      <c r="B848" s="50"/>
      <c r="C848" s="31" t="s">
        <v>74</v>
      </c>
      <c r="D848" s="32" t="s">
        <v>99</v>
      </c>
      <c r="E848" s="31" t="s">
        <v>922</v>
      </c>
      <c r="F848" s="46">
        <v>45802.0</v>
      </c>
      <c r="G848" s="22">
        <v>1.009253012E7</v>
      </c>
      <c r="H848" s="14">
        <f t="shared" si="5"/>
        <v>2119431.325</v>
      </c>
      <c r="I848" s="14"/>
      <c r="J848" s="22">
        <v>161480.48</v>
      </c>
      <c r="K848" s="15">
        <f t="shared" si="4"/>
        <v>12373441.93</v>
      </c>
      <c r="L848" s="45"/>
      <c r="M848" s="24">
        <v>45834.0</v>
      </c>
    </row>
    <row r="849" ht="15.75" customHeight="1">
      <c r="A849" s="39">
        <v>45792.0</v>
      </c>
      <c r="B849" s="50"/>
      <c r="C849" s="31" t="s">
        <v>74</v>
      </c>
      <c r="D849" s="32" t="s">
        <v>99</v>
      </c>
      <c r="E849" s="31" t="s">
        <v>923</v>
      </c>
      <c r="F849" s="46">
        <v>45802.0</v>
      </c>
      <c r="G849" s="22">
        <v>7209420.21</v>
      </c>
      <c r="H849" s="14">
        <f t="shared" si="5"/>
        <v>1513978.244</v>
      </c>
      <c r="I849" s="14"/>
      <c r="J849" s="14"/>
      <c r="K849" s="15">
        <f t="shared" si="4"/>
        <v>8723398.454</v>
      </c>
      <c r="L849" s="45"/>
      <c r="M849" s="24">
        <v>45834.0</v>
      </c>
    </row>
    <row r="850" ht="15.75" customHeight="1">
      <c r="A850" s="39">
        <v>45792.0</v>
      </c>
      <c r="B850" s="50"/>
      <c r="C850" s="31" t="s">
        <v>74</v>
      </c>
      <c r="D850" s="32" t="s">
        <v>99</v>
      </c>
      <c r="E850" s="31" t="s">
        <v>924</v>
      </c>
      <c r="F850" s="46">
        <v>45802.0</v>
      </c>
      <c r="G850" s="22">
        <v>7988590.51</v>
      </c>
      <c r="H850" s="14">
        <f t="shared" si="5"/>
        <v>1677604.007</v>
      </c>
      <c r="I850" s="14"/>
      <c r="J850" s="22">
        <v>127817.45</v>
      </c>
      <c r="K850" s="15">
        <f t="shared" si="4"/>
        <v>9794011.967</v>
      </c>
      <c r="L850" s="45"/>
      <c r="M850" s="24">
        <v>45805.0</v>
      </c>
    </row>
    <row r="851" ht="15.75" customHeight="1">
      <c r="A851" s="39">
        <v>45758.0</v>
      </c>
      <c r="B851" s="50"/>
      <c r="C851" s="31" t="s">
        <v>247</v>
      </c>
      <c r="D851" s="32" t="s">
        <v>15</v>
      </c>
      <c r="E851" s="31" t="s">
        <v>925</v>
      </c>
      <c r="F851" s="46">
        <v>45772.0</v>
      </c>
      <c r="G851" s="22">
        <v>9807810.42</v>
      </c>
      <c r="H851" s="14">
        <f t="shared" si="5"/>
        <v>2059640.188</v>
      </c>
      <c r="I851" s="14"/>
      <c r="J851" s="14"/>
      <c r="K851" s="15">
        <f t="shared" si="4"/>
        <v>11867450.61</v>
      </c>
      <c r="L851" s="45"/>
      <c r="M851" s="24">
        <v>45771.0</v>
      </c>
    </row>
    <row r="852" ht="15.75" customHeight="1">
      <c r="A852" s="39">
        <v>45923.0</v>
      </c>
      <c r="B852" s="87"/>
      <c r="C852" s="31" t="s">
        <v>137</v>
      </c>
      <c r="D852" s="32" t="s">
        <v>99</v>
      </c>
      <c r="E852" s="32" t="s">
        <v>926</v>
      </c>
      <c r="F852" s="32" t="s">
        <v>208</v>
      </c>
      <c r="G852" s="53">
        <v>1.520298082E7</v>
      </c>
      <c r="H852" s="14">
        <f t="shared" si="5"/>
        <v>3192625.972</v>
      </c>
      <c r="I852" s="50"/>
      <c r="J852" s="22">
        <v>304059.62</v>
      </c>
      <c r="K852" s="15">
        <f t="shared" si="4"/>
        <v>18699666.41</v>
      </c>
      <c r="L852" s="45"/>
      <c r="M852" s="6"/>
    </row>
    <row r="853" ht="15.75" customHeight="1">
      <c r="A853" s="39">
        <v>45761.0</v>
      </c>
      <c r="B853" s="50"/>
      <c r="C853" s="31" t="s">
        <v>379</v>
      </c>
      <c r="D853" s="32" t="s">
        <v>15</v>
      </c>
      <c r="E853" s="31" t="s">
        <v>927</v>
      </c>
      <c r="F853" s="46">
        <v>45772.0</v>
      </c>
      <c r="G853" s="22">
        <v>3978430.41</v>
      </c>
      <c r="H853" s="14">
        <f t="shared" si="5"/>
        <v>835470.3861</v>
      </c>
      <c r="I853" s="14"/>
      <c r="J853" s="14"/>
      <c r="K853" s="15">
        <f t="shared" si="4"/>
        <v>4813900.796</v>
      </c>
      <c r="L853" s="45"/>
      <c r="M853" s="24">
        <v>45777.0</v>
      </c>
    </row>
    <row r="854" ht="15.75" customHeight="1">
      <c r="A854" s="39">
        <v>45761.0</v>
      </c>
      <c r="B854" s="50"/>
      <c r="C854" s="31" t="s">
        <v>379</v>
      </c>
      <c r="D854" s="32" t="s">
        <v>15</v>
      </c>
      <c r="E854" s="31" t="s">
        <v>928</v>
      </c>
      <c r="F854" s="46">
        <v>45772.0</v>
      </c>
      <c r="G854" s="22">
        <v>4749390.14</v>
      </c>
      <c r="H854" s="14">
        <f t="shared" si="5"/>
        <v>997371.9294</v>
      </c>
      <c r="I854" s="14"/>
      <c r="J854" s="14"/>
      <c r="K854" s="15">
        <f t="shared" si="4"/>
        <v>5746762.069</v>
      </c>
      <c r="L854" s="45"/>
      <c r="M854" s="24">
        <v>45777.0</v>
      </c>
    </row>
    <row r="855" ht="15.75" customHeight="1">
      <c r="A855" s="39">
        <v>45792.0</v>
      </c>
      <c r="B855" s="50"/>
      <c r="C855" s="31" t="s">
        <v>417</v>
      </c>
      <c r="D855" s="32" t="s">
        <v>99</v>
      </c>
      <c r="E855" s="31" t="s">
        <v>929</v>
      </c>
      <c r="F855" s="46">
        <v>45802.0</v>
      </c>
      <c r="G855" s="22">
        <v>3.620145845E7</v>
      </c>
      <c r="H855" s="14">
        <f t="shared" si="5"/>
        <v>7602306.275</v>
      </c>
      <c r="I855" s="22">
        <v>1086043.75</v>
      </c>
      <c r="J855" s="14"/>
      <c r="K855" s="15">
        <f t="shared" si="4"/>
        <v>44889808.47</v>
      </c>
      <c r="L855" s="45"/>
      <c r="M855" s="24">
        <v>45797.0</v>
      </c>
    </row>
    <row r="856" ht="15.75" customHeight="1">
      <c r="A856" s="39">
        <v>45792.0</v>
      </c>
      <c r="B856" s="50"/>
      <c r="C856" s="31" t="s">
        <v>417</v>
      </c>
      <c r="D856" s="32" t="s">
        <v>99</v>
      </c>
      <c r="E856" s="31" t="s">
        <v>930</v>
      </c>
      <c r="F856" s="46">
        <v>45802.0</v>
      </c>
      <c r="G856" s="22">
        <v>3.379880456E7</v>
      </c>
      <c r="H856" s="14">
        <f t="shared" si="5"/>
        <v>7097748.958</v>
      </c>
      <c r="I856" s="22">
        <v>1013964.14</v>
      </c>
      <c r="J856" s="14"/>
      <c r="K856" s="15">
        <f t="shared" si="4"/>
        <v>41910517.66</v>
      </c>
      <c r="L856" s="45"/>
      <c r="M856" s="24">
        <v>45797.0</v>
      </c>
    </row>
    <row r="857" ht="15.75" customHeight="1">
      <c r="A857" s="55">
        <v>45793.0</v>
      </c>
      <c r="B857" s="56"/>
      <c r="C857" s="57" t="s">
        <v>931</v>
      </c>
      <c r="D857" s="58" t="s">
        <v>99</v>
      </c>
      <c r="E857" s="57" t="s">
        <v>932</v>
      </c>
      <c r="F857" s="59">
        <v>45802.0</v>
      </c>
      <c r="G857" s="44">
        <v>6265136.13</v>
      </c>
      <c r="H857" s="9">
        <f t="shared" si="5"/>
        <v>1315678.587</v>
      </c>
      <c r="I857" s="44">
        <v>187954.08</v>
      </c>
      <c r="J857" s="60"/>
      <c r="K857" s="10">
        <f t="shared" si="4"/>
        <v>7768768.797</v>
      </c>
      <c r="L857" s="61"/>
      <c r="M857" s="62"/>
    </row>
    <row r="858" ht="15.75" customHeight="1">
      <c r="A858" s="55">
        <v>45793.0</v>
      </c>
      <c r="B858" s="56"/>
      <c r="C858" s="57" t="s">
        <v>931</v>
      </c>
      <c r="D858" s="58" t="s">
        <v>99</v>
      </c>
      <c r="E858" s="57" t="s">
        <v>933</v>
      </c>
      <c r="F858" s="59">
        <v>45802.0</v>
      </c>
      <c r="G858" s="44">
        <v>5621645.08</v>
      </c>
      <c r="H858" s="9">
        <f t="shared" si="5"/>
        <v>1180545.467</v>
      </c>
      <c r="I858" s="44">
        <v>168649.35</v>
      </c>
      <c r="J858" s="60"/>
      <c r="K858" s="10">
        <f t="shared" si="4"/>
        <v>6970839.897</v>
      </c>
      <c r="L858" s="61"/>
      <c r="M858" s="62"/>
    </row>
    <row r="859" ht="15.75" customHeight="1">
      <c r="A859" s="55">
        <v>45793.0</v>
      </c>
      <c r="B859" s="56"/>
      <c r="C859" s="57" t="s">
        <v>931</v>
      </c>
      <c r="D859" s="58" t="s">
        <v>99</v>
      </c>
      <c r="E859" s="57" t="s">
        <v>934</v>
      </c>
      <c r="F859" s="59">
        <v>45802.0</v>
      </c>
      <c r="G859" s="44">
        <v>4854221.65</v>
      </c>
      <c r="H859" s="9">
        <f t="shared" si="5"/>
        <v>1019386.547</v>
      </c>
      <c r="I859" s="44">
        <v>145626.65</v>
      </c>
      <c r="J859" s="60"/>
      <c r="K859" s="10">
        <f t="shared" si="4"/>
        <v>6019234.847</v>
      </c>
      <c r="L859" s="61"/>
      <c r="M859" s="62"/>
    </row>
    <row r="860" ht="15.75" customHeight="1">
      <c r="A860" s="55">
        <v>45793.0</v>
      </c>
      <c r="B860" s="56"/>
      <c r="C860" s="57" t="s">
        <v>931</v>
      </c>
      <c r="D860" s="58" t="s">
        <v>99</v>
      </c>
      <c r="E860" s="57" t="s">
        <v>935</v>
      </c>
      <c r="F860" s="59">
        <v>45802.0</v>
      </c>
      <c r="G860" s="44">
        <v>3344196.26</v>
      </c>
      <c r="H860" s="9">
        <f t="shared" si="5"/>
        <v>702281.2146</v>
      </c>
      <c r="I860" s="44">
        <v>100325.89</v>
      </c>
      <c r="J860" s="60"/>
      <c r="K860" s="10">
        <f t="shared" si="4"/>
        <v>4146803.365</v>
      </c>
      <c r="L860" s="61"/>
      <c r="M860" s="62"/>
    </row>
    <row r="861" ht="15.75" customHeight="1">
      <c r="A861" s="39">
        <v>45793.0</v>
      </c>
      <c r="B861" s="50"/>
      <c r="C861" s="31" t="s">
        <v>561</v>
      </c>
      <c r="D861" s="32" t="s">
        <v>99</v>
      </c>
      <c r="E861" s="31" t="s">
        <v>936</v>
      </c>
      <c r="F861" s="46">
        <v>45802.0</v>
      </c>
      <c r="G861" s="22">
        <v>1.240536819E7</v>
      </c>
      <c r="H861" s="14">
        <f t="shared" si="5"/>
        <v>2605127.32</v>
      </c>
      <c r="I861" s="14"/>
      <c r="J861" s="14"/>
      <c r="K861" s="15">
        <f t="shared" si="4"/>
        <v>15010495.51</v>
      </c>
      <c r="L861" s="45"/>
      <c r="M861" s="24">
        <v>45799.0</v>
      </c>
    </row>
    <row r="862" ht="15.75" customHeight="1">
      <c r="A862" s="39">
        <v>45793.0</v>
      </c>
      <c r="B862" s="50"/>
      <c r="C862" s="31" t="s">
        <v>561</v>
      </c>
      <c r="D862" s="32" t="s">
        <v>99</v>
      </c>
      <c r="E862" s="31" t="s">
        <v>937</v>
      </c>
      <c r="F862" s="46">
        <v>45802.0</v>
      </c>
      <c r="G862" s="22">
        <v>1.259472875E7</v>
      </c>
      <c r="H862" s="14">
        <f t="shared" si="5"/>
        <v>2644893.038</v>
      </c>
      <c r="I862" s="14"/>
      <c r="J862" s="14"/>
      <c r="K862" s="15">
        <f t="shared" si="4"/>
        <v>15239621.79</v>
      </c>
      <c r="L862" s="45"/>
      <c r="M862" s="24">
        <v>45799.0</v>
      </c>
    </row>
    <row r="863" ht="15.75" customHeight="1">
      <c r="A863" s="39">
        <v>45793.0</v>
      </c>
      <c r="B863" s="50"/>
      <c r="C863" s="31" t="s">
        <v>497</v>
      </c>
      <c r="D863" s="32" t="s">
        <v>99</v>
      </c>
      <c r="E863" s="31" t="s">
        <v>938</v>
      </c>
      <c r="F863" s="46">
        <v>45802.0</v>
      </c>
      <c r="G863" s="22">
        <v>7000592.75</v>
      </c>
      <c r="H863" s="14">
        <f t="shared" si="5"/>
        <v>1470124.478</v>
      </c>
      <c r="I863" s="14"/>
      <c r="J863" s="22">
        <v>112009.48</v>
      </c>
      <c r="K863" s="15">
        <f t="shared" si="4"/>
        <v>8582726.708</v>
      </c>
      <c r="L863" s="45"/>
      <c r="M863" s="24">
        <v>45833.0</v>
      </c>
    </row>
    <row r="864" ht="15.75" customHeight="1">
      <c r="A864" s="39">
        <v>45796.0</v>
      </c>
      <c r="B864" s="50"/>
      <c r="C864" s="31" t="s">
        <v>410</v>
      </c>
      <c r="D864" s="32" t="s">
        <v>99</v>
      </c>
      <c r="E864" s="31" t="s">
        <v>939</v>
      </c>
      <c r="F864" s="46">
        <v>45802.0</v>
      </c>
      <c r="G864" s="22">
        <v>7019830.06</v>
      </c>
      <c r="H864" s="14">
        <f t="shared" si="5"/>
        <v>1474164.313</v>
      </c>
      <c r="I864" s="14"/>
      <c r="J864" s="14"/>
      <c r="K864" s="15">
        <f t="shared" si="4"/>
        <v>8493994.373</v>
      </c>
      <c r="L864" s="45"/>
      <c r="M864" s="24">
        <v>45800.0</v>
      </c>
    </row>
    <row r="865" ht="15.75" customHeight="1">
      <c r="A865" s="39">
        <v>45762.0</v>
      </c>
      <c r="B865" s="50"/>
      <c r="C865" s="31" t="s">
        <v>74</v>
      </c>
      <c r="D865" s="32" t="s">
        <v>15</v>
      </c>
      <c r="E865" s="31" t="s">
        <v>940</v>
      </c>
      <c r="F865" s="46">
        <v>45772.0</v>
      </c>
      <c r="G865" s="22">
        <v>3183750.34</v>
      </c>
      <c r="H865" s="14">
        <f t="shared" si="5"/>
        <v>668587.5714</v>
      </c>
      <c r="I865" s="14"/>
      <c r="J865" s="14"/>
      <c r="K865" s="15">
        <f t="shared" si="4"/>
        <v>3852337.911</v>
      </c>
      <c r="L865" s="45"/>
      <c r="M865" s="24">
        <v>45777.0</v>
      </c>
    </row>
    <row r="866" ht="15.75" customHeight="1">
      <c r="A866" s="39">
        <v>45768.0</v>
      </c>
      <c r="B866" s="32" t="s">
        <v>236</v>
      </c>
      <c r="C866" s="31" t="s">
        <v>171</v>
      </c>
      <c r="D866" s="32" t="s">
        <v>99</v>
      </c>
      <c r="E866" s="31" t="s">
        <v>941</v>
      </c>
      <c r="F866" s="46">
        <v>45772.0</v>
      </c>
      <c r="G866" s="22">
        <v>1.121189376E7</v>
      </c>
      <c r="H866" s="14">
        <f t="shared" si="5"/>
        <v>2354497.69</v>
      </c>
      <c r="I866" s="14"/>
      <c r="J866" s="14"/>
      <c r="K866" s="15">
        <f t="shared" si="4"/>
        <v>13566391.45</v>
      </c>
      <c r="L866" s="45"/>
      <c r="M866" s="24">
        <v>45804.0</v>
      </c>
    </row>
    <row r="867" ht="15.75" customHeight="1">
      <c r="A867" s="39">
        <v>45768.0</v>
      </c>
      <c r="B867" s="32" t="s">
        <v>236</v>
      </c>
      <c r="C867" s="31" t="s">
        <v>171</v>
      </c>
      <c r="D867" s="32" t="s">
        <v>99</v>
      </c>
      <c r="E867" s="31" t="s">
        <v>942</v>
      </c>
      <c r="F867" s="46">
        <v>45772.0</v>
      </c>
      <c r="G867" s="22">
        <v>1.219315861E7</v>
      </c>
      <c r="H867" s="14">
        <f t="shared" si="5"/>
        <v>2560563.308</v>
      </c>
      <c r="I867" s="14"/>
      <c r="J867" s="14"/>
      <c r="K867" s="15">
        <f t="shared" si="4"/>
        <v>14753721.92</v>
      </c>
      <c r="L867" s="45"/>
      <c r="M867" s="24">
        <v>45839.0</v>
      </c>
    </row>
    <row r="868" ht="15.75" customHeight="1">
      <c r="A868" s="39">
        <v>45768.0</v>
      </c>
      <c r="B868" s="32" t="s">
        <v>236</v>
      </c>
      <c r="C868" s="31" t="s">
        <v>171</v>
      </c>
      <c r="D868" s="32" t="s">
        <v>99</v>
      </c>
      <c r="E868" s="31" t="s">
        <v>943</v>
      </c>
      <c r="F868" s="46">
        <v>45772.0</v>
      </c>
      <c r="G868" s="22">
        <v>1.280697421E7</v>
      </c>
      <c r="H868" s="14">
        <f t="shared" si="5"/>
        <v>2689464.584</v>
      </c>
      <c r="I868" s="14"/>
      <c r="J868" s="14"/>
      <c r="K868" s="15">
        <f t="shared" si="4"/>
        <v>15496438.79</v>
      </c>
      <c r="L868" s="45"/>
      <c r="M868" s="24">
        <v>45804.0</v>
      </c>
    </row>
    <row r="869" ht="15.75" customHeight="1">
      <c r="A869" s="39">
        <v>45762.0</v>
      </c>
      <c r="B869" s="50"/>
      <c r="C869" s="31" t="s">
        <v>417</v>
      </c>
      <c r="D869" s="32" t="s">
        <v>15</v>
      </c>
      <c r="E869" s="31" t="s">
        <v>944</v>
      </c>
      <c r="F869" s="46">
        <v>45772.0</v>
      </c>
      <c r="G869" s="22">
        <v>1.248438205E7</v>
      </c>
      <c r="H869" s="14">
        <f t="shared" si="5"/>
        <v>2621720.231</v>
      </c>
      <c r="I869" s="22">
        <v>374531.46</v>
      </c>
      <c r="J869" s="14"/>
      <c r="K869" s="15">
        <f t="shared" si="4"/>
        <v>15480633.74</v>
      </c>
      <c r="L869" s="45"/>
      <c r="M869" s="24">
        <v>45769.0</v>
      </c>
    </row>
    <row r="870" ht="15.75" customHeight="1">
      <c r="A870" s="39">
        <v>45762.0</v>
      </c>
      <c r="B870" s="50"/>
      <c r="C870" s="31" t="s">
        <v>417</v>
      </c>
      <c r="D870" s="32" t="s">
        <v>15</v>
      </c>
      <c r="E870" s="32" t="s">
        <v>945</v>
      </c>
      <c r="F870" s="46">
        <v>45772.0</v>
      </c>
      <c r="G870" s="22">
        <v>1.483723741E7</v>
      </c>
      <c r="H870" s="14">
        <f t="shared" si="5"/>
        <v>3115819.856</v>
      </c>
      <c r="I870" s="22">
        <v>445117.12</v>
      </c>
      <c r="J870" s="14"/>
      <c r="K870" s="15">
        <f t="shared" si="4"/>
        <v>18398174.39</v>
      </c>
      <c r="L870" s="45"/>
      <c r="M870" s="24">
        <v>45769.0</v>
      </c>
    </row>
    <row r="871" ht="15.75" customHeight="1">
      <c r="A871" s="39">
        <v>45762.0</v>
      </c>
      <c r="B871" s="50"/>
      <c r="C871" s="31" t="s">
        <v>417</v>
      </c>
      <c r="D871" s="32" t="s">
        <v>15</v>
      </c>
      <c r="E871" s="31" t="s">
        <v>946</v>
      </c>
      <c r="F871" s="46">
        <v>45772.0</v>
      </c>
      <c r="G871" s="22">
        <v>1.293273607E7</v>
      </c>
      <c r="H871" s="14">
        <f t="shared" si="5"/>
        <v>2715874.575</v>
      </c>
      <c r="I871" s="22">
        <v>387982.08</v>
      </c>
      <c r="J871" s="14"/>
      <c r="K871" s="15">
        <f t="shared" si="4"/>
        <v>16036592.72</v>
      </c>
      <c r="L871" s="45"/>
      <c r="M871" s="24">
        <v>45769.0</v>
      </c>
    </row>
    <row r="872" ht="15.75" customHeight="1">
      <c r="A872" s="39">
        <v>45762.0</v>
      </c>
      <c r="B872" s="50"/>
      <c r="C872" s="31" t="s">
        <v>140</v>
      </c>
      <c r="D872" s="32" t="s">
        <v>15</v>
      </c>
      <c r="E872" s="31" t="s">
        <v>947</v>
      </c>
      <c r="F872" s="46">
        <v>45772.0</v>
      </c>
      <c r="G872" s="22">
        <v>5010460.47</v>
      </c>
      <c r="H872" s="14">
        <f t="shared" si="5"/>
        <v>1052196.699</v>
      </c>
      <c r="I872" s="22">
        <v>150313.81</v>
      </c>
      <c r="J872" s="22">
        <v>45094.14</v>
      </c>
      <c r="K872" s="15">
        <f t="shared" si="4"/>
        <v>6258065.119</v>
      </c>
      <c r="L872" s="45"/>
      <c r="M872" s="24">
        <v>45776.0</v>
      </c>
    </row>
    <row r="873" ht="15.75" customHeight="1">
      <c r="A873" s="39">
        <v>45762.0</v>
      </c>
      <c r="B873" s="50"/>
      <c r="C873" s="31" t="s">
        <v>948</v>
      </c>
      <c r="D873" s="32" t="s">
        <v>15</v>
      </c>
      <c r="E873" s="31" t="s">
        <v>949</v>
      </c>
      <c r="F873" s="46">
        <v>45772.0</v>
      </c>
      <c r="G873" s="22">
        <v>6512960.21</v>
      </c>
      <c r="H873" s="14">
        <f t="shared" si="5"/>
        <v>1367721.644</v>
      </c>
      <c r="I873" s="22">
        <v>195388.81</v>
      </c>
      <c r="J873" s="22">
        <v>113976.8</v>
      </c>
      <c r="K873" s="15">
        <f t="shared" si="4"/>
        <v>8190047.464</v>
      </c>
      <c r="L873" s="45"/>
      <c r="M873" s="24">
        <v>45763.0</v>
      </c>
    </row>
    <row r="874" ht="15.75" customHeight="1">
      <c r="A874" s="39">
        <v>45763.0</v>
      </c>
      <c r="B874" s="50"/>
      <c r="C874" s="31" t="s">
        <v>74</v>
      </c>
      <c r="D874" s="32" t="s">
        <v>15</v>
      </c>
      <c r="E874" s="32" t="s">
        <v>621</v>
      </c>
      <c r="F874" s="46">
        <v>45772.0</v>
      </c>
      <c r="G874" s="22">
        <v>1657370.84</v>
      </c>
      <c r="H874" s="14">
        <f t="shared" si="5"/>
        <v>348047.8764</v>
      </c>
      <c r="I874" s="22">
        <v>49721.13</v>
      </c>
      <c r="J874" s="22">
        <v>26517.93</v>
      </c>
      <c r="K874" s="15">
        <f t="shared" si="4"/>
        <v>2081657.776</v>
      </c>
      <c r="L874" s="45"/>
      <c r="M874" s="24">
        <v>45777.0</v>
      </c>
    </row>
    <row r="875" ht="15.75" customHeight="1">
      <c r="A875" s="5"/>
      <c r="B875" s="6" t="s">
        <v>13</v>
      </c>
      <c r="C875" s="19" t="s">
        <v>171</v>
      </c>
      <c r="D875" s="19" t="s">
        <v>15</v>
      </c>
      <c r="E875" s="20" t="s">
        <v>950</v>
      </c>
      <c r="F875" s="21">
        <v>45716.0</v>
      </c>
      <c r="G875" s="23">
        <v>1.026019588E7</v>
      </c>
      <c r="H875" s="15">
        <f t="shared" si="5"/>
        <v>2154641.135</v>
      </c>
      <c r="I875" s="15"/>
      <c r="J875" s="15"/>
      <c r="K875" s="15">
        <f t="shared" si="4"/>
        <v>12414837.01</v>
      </c>
      <c r="L875" s="18"/>
      <c r="M875" s="16">
        <v>45670.0</v>
      </c>
    </row>
    <row r="876" ht="15.75" customHeight="1">
      <c r="A876" s="39">
        <v>45797.0</v>
      </c>
      <c r="B876" s="50"/>
      <c r="C876" s="31" t="s">
        <v>718</v>
      </c>
      <c r="D876" s="32" t="s">
        <v>99</v>
      </c>
      <c r="E876" s="31" t="s">
        <v>951</v>
      </c>
      <c r="F876" s="46">
        <v>45802.0</v>
      </c>
      <c r="G876" s="22">
        <v>9578350.16</v>
      </c>
      <c r="H876" s="14">
        <f t="shared" si="5"/>
        <v>2011453.534</v>
      </c>
      <c r="I876" s="14"/>
      <c r="J876" s="22">
        <v>167621.13</v>
      </c>
      <c r="K876" s="15">
        <f t="shared" si="4"/>
        <v>11757424.82</v>
      </c>
      <c r="L876" s="45"/>
      <c r="M876" s="24">
        <v>45800.0</v>
      </c>
    </row>
    <row r="877" ht="15.75" customHeight="1">
      <c r="A877" s="39">
        <v>45797.0</v>
      </c>
      <c r="B877" s="50"/>
      <c r="C877" s="31" t="s">
        <v>718</v>
      </c>
      <c r="D877" s="32" t="s">
        <v>99</v>
      </c>
      <c r="E877" s="31" t="s">
        <v>952</v>
      </c>
      <c r="F877" s="46">
        <v>45802.0</v>
      </c>
      <c r="G877" s="22">
        <v>7829690.26</v>
      </c>
      <c r="H877" s="14">
        <f t="shared" si="5"/>
        <v>1644234.955</v>
      </c>
      <c r="I877" s="14"/>
      <c r="J877" s="22">
        <v>137019.58</v>
      </c>
      <c r="K877" s="15">
        <f t="shared" si="4"/>
        <v>9610944.795</v>
      </c>
      <c r="L877" s="45"/>
      <c r="M877" s="24">
        <v>45800.0</v>
      </c>
    </row>
    <row r="878" ht="15.75" customHeight="1">
      <c r="A878" s="5"/>
      <c r="B878" s="6" t="s">
        <v>13</v>
      </c>
      <c r="C878" s="19" t="s">
        <v>171</v>
      </c>
      <c r="D878" s="19" t="s">
        <v>15</v>
      </c>
      <c r="E878" s="20" t="s">
        <v>953</v>
      </c>
      <c r="F878" s="21">
        <v>45716.0</v>
      </c>
      <c r="G878" s="23">
        <v>1.014301074E7</v>
      </c>
      <c r="H878" s="15">
        <f t="shared" si="5"/>
        <v>2130032.255</v>
      </c>
      <c r="I878" s="15"/>
      <c r="J878" s="14"/>
      <c r="K878" s="15">
        <f t="shared" si="4"/>
        <v>12273043</v>
      </c>
      <c r="L878" s="18"/>
      <c r="M878" s="16">
        <v>45667.0</v>
      </c>
    </row>
    <row r="879" ht="15.75" customHeight="1">
      <c r="A879" s="5"/>
      <c r="B879" s="6" t="s">
        <v>13</v>
      </c>
      <c r="C879" s="19" t="s">
        <v>171</v>
      </c>
      <c r="D879" s="19" t="s">
        <v>15</v>
      </c>
      <c r="E879" s="20" t="s">
        <v>954</v>
      </c>
      <c r="F879" s="21">
        <v>45716.0</v>
      </c>
      <c r="G879" s="23">
        <v>9984650.29</v>
      </c>
      <c r="H879" s="15">
        <f t="shared" si="5"/>
        <v>2096776.561</v>
      </c>
      <c r="I879" s="15"/>
      <c r="J879" s="14"/>
      <c r="K879" s="15">
        <f t="shared" si="4"/>
        <v>12081426.85</v>
      </c>
      <c r="L879" s="18"/>
      <c r="M879" s="16" t="s">
        <v>955</v>
      </c>
    </row>
    <row r="880" ht="15.75" customHeight="1">
      <c r="A880" s="39">
        <v>45768.0</v>
      </c>
      <c r="B880" s="32" t="s">
        <v>236</v>
      </c>
      <c r="C880" s="31" t="s">
        <v>171</v>
      </c>
      <c r="D880" s="32" t="s">
        <v>99</v>
      </c>
      <c r="E880" s="31" t="s">
        <v>956</v>
      </c>
      <c r="F880" s="46">
        <v>45772.0</v>
      </c>
      <c r="G880" s="22">
        <v>1.044248861E7</v>
      </c>
      <c r="H880" s="14">
        <f t="shared" si="5"/>
        <v>2192922.608</v>
      </c>
      <c r="I880" s="14"/>
      <c r="J880" s="14"/>
      <c r="K880" s="15">
        <f t="shared" si="4"/>
        <v>12635411.22</v>
      </c>
      <c r="L880" s="45"/>
      <c r="M880" s="24">
        <v>45779.0</v>
      </c>
    </row>
    <row r="881" ht="15.75" customHeight="1">
      <c r="A881" s="39">
        <v>45692.0</v>
      </c>
      <c r="B881" s="19" t="s">
        <v>200</v>
      </c>
      <c r="C881" s="6" t="s">
        <v>171</v>
      </c>
      <c r="D881" s="6" t="s">
        <v>15</v>
      </c>
      <c r="E881" s="6"/>
      <c r="F881" s="13">
        <v>45658.0</v>
      </c>
      <c r="G881" s="15">
        <v>1.003642288E7</v>
      </c>
      <c r="H881" s="15">
        <f t="shared" si="5"/>
        <v>2107648.805</v>
      </c>
      <c r="I881" s="15"/>
      <c r="J881" s="15"/>
      <c r="K881" s="15">
        <f t="shared" si="4"/>
        <v>12144071.68</v>
      </c>
      <c r="L881" s="18"/>
      <c r="M881" s="11">
        <v>45695.0</v>
      </c>
    </row>
    <row r="882" ht="15.75" customHeight="1">
      <c r="A882" s="39">
        <v>45768.0</v>
      </c>
      <c r="B882" s="32" t="s">
        <v>236</v>
      </c>
      <c r="C882" s="31" t="s">
        <v>171</v>
      </c>
      <c r="D882" s="32" t="s">
        <v>99</v>
      </c>
      <c r="E882" s="31" t="s">
        <v>957</v>
      </c>
      <c r="F882" s="46">
        <v>45772.0</v>
      </c>
      <c r="G882" s="22">
        <v>9557759.34</v>
      </c>
      <c r="H882" s="14">
        <f t="shared" si="5"/>
        <v>2007129.461</v>
      </c>
      <c r="I882" s="14"/>
      <c r="J882" s="14"/>
      <c r="K882" s="15">
        <f t="shared" si="4"/>
        <v>11564888.8</v>
      </c>
      <c r="L882" s="45"/>
      <c r="M882" s="24">
        <v>45779.0</v>
      </c>
    </row>
    <row r="883" ht="15.75" customHeight="1">
      <c r="A883" s="39">
        <v>45692.0</v>
      </c>
      <c r="B883" s="19" t="s">
        <v>200</v>
      </c>
      <c r="C883" s="6" t="s">
        <v>171</v>
      </c>
      <c r="D883" s="6" t="s">
        <v>15</v>
      </c>
      <c r="E883" s="6"/>
      <c r="F883" s="13">
        <v>45658.0</v>
      </c>
      <c r="G883" s="15">
        <v>1.004497027E7</v>
      </c>
      <c r="H883" s="15">
        <f t="shared" si="5"/>
        <v>2109443.757</v>
      </c>
      <c r="I883" s="14"/>
      <c r="J883" s="14"/>
      <c r="K883" s="15">
        <f t="shared" si="4"/>
        <v>12154414.03</v>
      </c>
      <c r="L883" s="18"/>
      <c r="M883" s="11">
        <v>45695.0</v>
      </c>
    </row>
    <row r="884" ht="15.75" customHeight="1">
      <c r="A884" s="39">
        <v>45797.0</v>
      </c>
      <c r="B884" s="50"/>
      <c r="C884" s="31" t="s">
        <v>171</v>
      </c>
      <c r="D884" s="32" t="s">
        <v>99</v>
      </c>
      <c r="E884" s="31" t="s">
        <v>958</v>
      </c>
      <c r="F884" s="46">
        <v>45802.0</v>
      </c>
      <c r="G884" s="22">
        <v>1.250280162E7</v>
      </c>
      <c r="H884" s="14">
        <f t="shared" si="5"/>
        <v>2625588.34</v>
      </c>
      <c r="I884" s="14"/>
      <c r="J884" s="14"/>
      <c r="K884" s="15">
        <f t="shared" si="4"/>
        <v>15128389.96</v>
      </c>
      <c r="L884" s="45"/>
      <c r="M884" s="6"/>
    </row>
    <row r="885" ht="15.75" customHeight="1">
      <c r="A885" s="39">
        <v>45798.0</v>
      </c>
      <c r="B885" s="50"/>
      <c r="C885" s="31" t="s">
        <v>443</v>
      </c>
      <c r="D885" s="32" t="s">
        <v>99</v>
      </c>
      <c r="E885" s="31" t="s">
        <v>959</v>
      </c>
      <c r="F885" s="46">
        <v>45802.0</v>
      </c>
      <c r="G885" s="22">
        <v>5009390.24</v>
      </c>
      <c r="H885" s="14">
        <f t="shared" si="5"/>
        <v>1051971.95</v>
      </c>
      <c r="I885" s="14"/>
      <c r="J885" s="22">
        <v>40075.12</v>
      </c>
      <c r="K885" s="15">
        <f t="shared" si="4"/>
        <v>6101437.31</v>
      </c>
      <c r="L885" s="45"/>
      <c r="M885" s="24">
        <v>45811.0</v>
      </c>
    </row>
    <row r="886" ht="15.75" customHeight="1">
      <c r="A886" s="39">
        <v>45693.0</v>
      </c>
      <c r="B886" s="19" t="s">
        <v>13</v>
      </c>
      <c r="C886" s="6" t="s">
        <v>171</v>
      </c>
      <c r="D886" s="6" t="s">
        <v>15</v>
      </c>
      <c r="E886" s="6" t="s">
        <v>960</v>
      </c>
      <c r="F886" s="13">
        <v>45658.0</v>
      </c>
      <c r="G886" s="14">
        <v>1.028273507E7</v>
      </c>
      <c r="H886" s="15">
        <f t="shared" si="5"/>
        <v>2159374.365</v>
      </c>
      <c r="I886" s="14"/>
      <c r="J886" s="14"/>
      <c r="K886" s="15">
        <f t="shared" si="4"/>
        <v>12442109.43</v>
      </c>
      <c r="L886" s="18"/>
      <c r="M886" s="24">
        <v>45719.0</v>
      </c>
    </row>
    <row r="887" ht="15.75" customHeight="1">
      <c r="A887" s="55">
        <v>45798.0</v>
      </c>
      <c r="B887" s="56"/>
      <c r="C887" s="58" t="s">
        <v>71</v>
      </c>
      <c r="D887" s="58" t="s">
        <v>886</v>
      </c>
      <c r="E887" s="58" t="s">
        <v>961</v>
      </c>
      <c r="F887" s="59">
        <v>45802.0</v>
      </c>
      <c r="G887" s="121">
        <v>5372815.63</v>
      </c>
      <c r="H887" s="9">
        <f t="shared" si="5"/>
        <v>1128291.282</v>
      </c>
      <c r="I887" s="60"/>
      <c r="J887" s="60"/>
      <c r="K887" s="10">
        <f t="shared" si="4"/>
        <v>6501106.912</v>
      </c>
      <c r="L887" s="61"/>
      <c r="M887" s="62"/>
    </row>
    <row r="888" ht="15.75" customHeight="1">
      <c r="A888" s="55">
        <v>45798.0</v>
      </c>
      <c r="B888" s="56"/>
      <c r="C888" s="58" t="s">
        <v>71</v>
      </c>
      <c r="D888" s="58" t="s">
        <v>886</v>
      </c>
      <c r="E888" s="58" t="s">
        <v>962</v>
      </c>
      <c r="F888" s="59">
        <v>45802.0</v>
      </c>
      <c r="G888" s="121">
        <v>5426291.48</v>
      </c>
      <c r="H888" s="9">
        <f t="shared" si="5"/>
        <v>1139521.211</v>
      </c>
      <c r="I888" s="60"/>
      <c r="J888" s="60"/>
      <c r="K888" s="10">
        <f t="shared" si="4"/>
        <v>6565812.691</v>
      </c>
      <c r="L888" s="61"/>
      <c r="M888" s="62"/>
    </row>
    <row r="889" ht="15.75" customHeight="1">
      <c r="A889" s="55">
        <v>45798.0</v>
      </c>
      <c r="B889" s="56"/>
      <c r="C889" s="58" t="s">
        <v>71</v>
      </c>
      <c r="D889" s="58" t="s">
        <v>886</v>
      </c>
      <c r="E889" s="58" t="s">
        <v>963</v>
      </c>
      <c r="F889" s="59">
        <v>45802.0</v>
      </c>
      <c r="G889" s="121">
        <v>5380976.24</v>
      </c>
      <c r="H889" s="9">
        <f t="shared" si="5"/>
        <v>1130005.01</v>
      </c>
      <c r="I889" s="60"/>
      <c r="J889" s="60"/>
      <c r="K889" s="10">
        <f t="shared" si="4"/>
        <v>6510981.25</v>
      </c>
      <c r="L889" s="61"/>
      <c r="M889" s="62"/>
    </row>
    <row r="890" ht="15.75" customHeight="1">
      <c r="A890" s="55">
        <v>45798.0</v>
      </c>
      <c r="B890" s="56"/>
      <c r="C890" s="58" t="s">
        <v>71</v>
      </c>
      <c r="D890" s="58" t="s">
        <v>886</v>
      </c>
      <c r="E890" s="58" t="s">
        <v>964</v>
      </c>
      <c r="F890" s="59">
        <v>45802.0</v>
      </c>
      <c r="G890" s="121">
        <v>5535287.19</v>
      </c>
      <c r="H890" s="9">
        <f t="shared" si="5"/>
        <v>1162410.31</v>
      </c>
      <c r="I890" s="60"/>
      <c r="J890" s="60"/>
      <c r="K890" s="10">
        <f t="shared" si="4"/>
        <v>6697697.5</v>
      </c>
      <c r="L890" s="61"/>
      <c r="M890" s="62"/>
    </row>
    <row r="891" ht="15.75" customHeight="1">
      <c r="A891" s="55">
        <v>45798.0</v>
      </c>
      <c r="B891" s="56"/>
      <c r="C891" s="58" t="s">
        <v>71</v>
      </c>
      <c r="D891" s="58" t="s">
        <v>886</v>
      </c>
      <c r="E891" s="58" t="s">
        <v>965</v>
      </c>
      <c r="F891" s="59">
        <v>45802.0</v>
      </c>
      <c r="G891" s="121">
        <v>5206852.93</v>
      </c>
      <c r="H891" s="9">
        <f t="shared" si="5"/>
        <v>1093439.115</v>
      </c>
      <c r="I891" s="60"/>
      <c r="J891" s="60"/>
      <c r="K891" s="10">
        <f t="shared" si="4"/>
        <v>6300292.045</v>
      </c>
      <c r="L891" s="61"/>
      <c r="M891" s="62"/>
    </row>
    <row r="892" ht="15.75" customHeight="1">
      <c r="A892" s="55">
        <v>45798.0</v>
      </c>
      <c r="B892" s="56"/>
      <c r="C892" s="58" t="s">
        <v>71</v>
      </c>
      <c r="D892" s="58" t="s">
        <v>886</v>
      </c>
      <c r="E892" s="58" t="s">
        <v>966</v>
      </c>
      <c r="F892" s="59">
        <v>45802.0</v>
      </c>
      <c r="G892" s="121">
        <v>5321748.92</v>
      </c>
      <c r="H892" s="9">
        <f t="shared" si="5"/>
        <v>1117567.273</v>
      </c>
      <c r="I892" s="60"/>
      <c r="J892" s="60"/>
      <c r="K892" s="10">
        <f t="shared" si="4"/>
        <v>6439316.193</v>
      </c>
      <c r="L892" s="61"/>
      <c r="M892" s="62"/>
    </row>
    <row r="893" ht="15.75" customHeight="1">
      <c r="A893" s="55">
        <v>45798.0</v>
      </c>
      <c r="B893" s="56"/>
      <c r="C893" s="58" t="s">
        <v>71</v>
      </c>
      <c r="D893" s="58" t="s">
        <v>886</v>
      </c>
      <c r="E893" s="58" t="s">
        <v>967</v>
      </c>
      <c r="F893" s="59">
        <v>45802.0</v>
      </c>
      <c r="G893" s="121">
        <v>5467193.05</v>
      </c>
      <c r="H893" s="9">
        <f t="shared" si="5"/>
        <v>1148110.541</v>
      </c>
      <c r="I893" s="60"/>
      <c r="J893" s="60"/>
      <c r="K893" s="10">
        <f t="shared" si="4"/>
        <v>6615303.591</v>
      </c>
      <c r="L893" s="61"/>
      <c r="M893" s="62"/>
    </row>
    <row r="894" ht="15.75" customHeight="1">
      <c r="A894" s="55">
        <v>45798.0</v>
      </c>
      <c r="B894" s="56"/>
      <c r="C894" s="58" t="s">
        <v>71</v>
      </c>
      <c r="D894" s="58" t="s">
        <v>886</v>
      </c>
      <c r="E894" s="58" t="s">
        <v>968</v>
      </c>
      <c r="F894" s="59">
        <v>45802.0</v>
      </c>
      <c r="G894" s="121">
        <v>5309684.17</v>
      </c>
      <c r="H894" s="9">
        <f t="shared" si="5"/>
        <v>1115033.676</v>
      </c>
      <c r="I894" s="60"/>
      <c r="J894" s="60"/>
      <c r="K894" s="10">
        <f t="shared" si="4"/>
        <v>6424717.846</v>
      </c>
      <c r="L894" s="61"/>
      <c r="M894" s="62"/>
    </row>
    <row r="895" ht="15.75" customHeight="1">
      <c r="A895" s="39">
        <v>45770.0</v>
      </c>
      <c r="B895" s="50"/>
      <c r="C895" s="31" t="s">
        <v>969</v>
      </c>
      <c r="D895" s="32" t="s">
        <v>15</v>
      </c>
      <c r="E895" s="31" t="s">
        <v>970</v>
      </c>
      <c r="F895" s="46">
        <v>45772.0</v>
      </c>
      <c r="G895" s="22">
        <v>3450019.27</v>
      </c>
      <c r="H895" s="14">
        <f t="shared" si="5"/>
        <v>724504.0467</v>
      </c>
      <c r="I895" s="22">
        <v>103500.58</v>
      </c>
      <c r="J895" s="14"/>
      <c r="K895" s="15">
        <f t="shared" si="4"/>
        <v>4278023.897</v>
      </c>
      <c r="L895" s="45"/>
      <c r="M895" s="24">
        <v>45789.0</v>
      </c>
    </row>
    <row r="896" ht="15.75" customHeight="1">
      <c r="A896" s="39">
        <v>45800.0</v>
      </c>
      <c r="B896" s="50"/>
      <c r="C896" s="31" t="s">
        <v>194</v>
      </c>
      <c r="D896" s="32" t="s">
        <v>99</v>
      </c>
      <c r="E896" s="31" t="s">
        <v>971</v>
      </c>
      <c r="F896" s="46">
        <v>45802.0</v>
      </c>
      <c r="G896" s="22">
        <v>6012800.12</v>
      </c>
      <c r="H896" s="14">
        <f t="shared" si="5"/>
        <v>1262688.025</v>
      </c>
      <c r="I896" s="14"/>
      <c r="J896" s="22">
        <v>30064.0</v>
      </c>
      <c r="K896" s="15">
        <f t="shared" si="4"/>
        <v>7305552.145</v>
      </c>
      <c r="L896" s="45"/>
      <c r="M896" s="24">
        <v>45821.0</v>
      </c>
    </row>
    <row r="897" ht="15.75" customHeight="1">
      <c r="A897" s="39">
        <v>45771.0</v>
      </c>
      <c r="B897" s="50"/>
      <c r="C897" s="31" t="s">
        <v>757</v>
      </c>
      <c r="D897" s="32" t="s">
        <v>15</v>
      </c>
      <c r="E897" s="31" t="s">
        <v>972</v>
      </c>
      <c r="F897" s="46">
        <v>45772.0</v>
      </c>
      <c r="G897" s="22">
        <v>1.945021448E7</v>
      </c>
      <c r="H897" s="14">
        <f t="shared" si="5"/>
        <v>4084545.041</v>
      </c>
      <c r="I897" s="22">
        <v>583506.43</v>
      </c>
      <c r="J897" s="14"/>
      <c r="K897" s="15">
        <f t="shared" si="4"/>
        <v>24118265.95</v>
      </c>
      <c r="L897" s="45"/>
      <c r="M897" s="24">
        <v>45780.0</v>
      </c>
    </row>
    <row r="898" ht="15.75" customHeight="1">
      <c r="A898" s="39">
        <v>45803.0</v>
      </c>
      <c r="B898" s="50"/>
      <c r="C898" s="31" t="s">
        <v>973</v>
      </c>
      <c r="D898" s="32" t="s">
        <v>99</v>
      </c>
      <c r="E898" s="32" t="s">
        <v>974</v>
      </c>
      <c r="F898" s="46">
        <v>45802.0</v>
      </c>
      <c r="G898" s="22">
        <v>5.417686952E7</v>
      </c>
      <c r="H898" s="14">
        <f t="shared" si="5"/>
        <v>11377142.6</v>
      </c>
      <c r="I898" s="22">
        <v>1625306.09</v>
      </c>
      <c r="J898" s="22">
        <v>270884.35</v>
      </c>
      <c r="K898" s="15">
        <f t="shared" si="4"/>
        <v>67450202.56</v>
      </c>
      <c r="L898" s="45"/>
      <c r="M898" s="24">
        <v>45818.0</v>
      </c>
    </row>
    <row r="899" ht="15.75" customHeight="1">
      <c r="A899" s="39">
        <v>45803.0</v>
      </c>
      <c r="B899" s="50"/>
      <c r="C899" s="31" t="s">
        <v>973</v>
      </c>
      <c r="D899" s="32" t="s">
        <v>99</v>
      </c>
      <c r="E899" s="32" t="s">
        <v>975</v>
      </c>
      <c r="F899" s="46">
        <v>45802.0</v>
      </c>
      <c r="G899" s="22">
        <v>5.89882134E7</v>
      </c>
      <c r="H899" s="14">
        <f t="shared" si="5"/>
        <v>12387524.81</v>
      </c>
      <c r="I899" s="22">
        <v>1769646.4</v>
      </c>
      <c r="J899" s="22">
        <v>294941.07</v>
      </c>
      <c r="K899" s="15">
        <f t="shared" si="4"/>
        <v>73440325.68</v>
      </c>
      <c r="L899" s="45"/>
      <c r="M899" s="24">
        <v>45822.0</v>
      </c>
    </row>
    <row r="900" ht="15.75" customHeight="1">
      <c r="A900" s="39">
        <v>45803.0</v>
      </c>
      <c r="B900" s="50"/>
      <c r="C900" s="31" t="s">
        <v>973</v>
      </c>
      <c r="D900" s="32" t="s">
        <v>99</v>
      </c>
      <c r="E900" s="32" t="s">
        <v>976</v>
      </c>
      <c r="F900" s="46">
        <v>45802.0</v>
      </c>
      <c r="G900" s="22">
        <v>5.315351768E7</v>
      </c>
      <c r="H900" s="14">
        <f t="shared" si="5"/>
        <v>11162238.71</v>
      </c>
      <c r="I900" s="22">
        <v>1594605.53</v>
      </c>
      <c r="J900" s="22">
        <v>265767.59</v>
      </c>
      <c r="K900" s="15">
        <f t="shared" si="4"/>
        <v>66176129.51</v>
      </c>
      <c r="L900" s="45"/>
      <c r="M900" s="24">
        <v>45829.0</v>
      </c>
    </row>
    <row r="901" ht="15.75" customHeight="1">
      <c r="A901" s="39">
        <v>45803.0</v>
      </c>
      <c r="B901" s="50"/>
      <c r="C901" s="31" t="s">
        <v>973</v>
      </c>
      <c r="D901" s="32" t="s">
        <v>99</v>
      </c>
      <c r="E901" s="32" t="s">
        <v>977</v>
      </c>
      <c r="F901" s="46">
        <v>45802.0</v>
      </c>
      <c r="G901" s="22">
        <v>3.37624866E7</v>
      </c>
      <c r="H901" s="14">
        <f t="shared" si="5"/>
        <v>7090122.186</v>
      </c>
      <c r="I901" s="22">
        <v>1012874.6</v>
      </c>
      <c r="J901" s="22">
        <v>168812.43</v>
      </c>
      <c r="K901" s="15">
        <f t="shared" si="4"/>
        <v>42034295.82</v>
      </c>
      <c r="L901" s="45"/>
      <c r="M901" s="24">
        <v>45836.0</v>
      </c>
    </row>
    <row r="902" ht="15.75" customHeight="1">
      <c r="A902" s="39">
        <v>45771.0</v>
      </c>
      <c r="B902" s="50"/>
      <c r="C902" s="31" t="s">
        <v>757</v>
      </c>
      <c r="D902" s="32" t="s">
        <v>15</v>
      </c>
      <c r="E902" s="31" t="s">
        <v>978</v>
      </c>
      <c r="F902" s="46">
        <v>45772.0</v>
      </c>
      <c r="G902" s="22">
        <v>2.001260555E7</v>
      </c>
      <c r="H902" s="14">
        <f t="shared" si="5"/>
        <v>4202647.166</v>
      </c>
      <c r="I902" s="22">
        <v>600378.17</v>
      </c>
      <c r="J902" s="14"/>
      <c r="K902" s="15">
        <f t="shared" si="4"/>
        <v>24815630.89</v>
      </c>
      <c r="L902" s="45"/>
      <c r="M902" s="24">
        <v>45780.0</v>
      </c>
    </row>
    <row r="903" ht="15.75" customHeight="1">
      <c r="A903" s="39">
        <v>45771.0</v>
      </c>
      <c r="B903" s="50"/>
      <c r="C903" s="31" t="s">
        <v>757</v>
      </c>
      <c r="D903" s="32" t="s">
        <v>15</v>
      </c>
      <c r="E903" s="31" t="s">
        <v>979</v>
      </c>
      <c r="F903" s="46">
        <v>45772.0</v>
      </c>
      <c r="G903" s="22">
        <v>6096220.42</v>
      </c>
      <c r="H903" s="14">
        <f t="shared" si="5"/>
        <v>1280206.288</v>
      </c>
      <c r="I903" s="22">
        <v>182886.61</v>
      </c>
      <c r="J903" s="14"/>
      <c r="K903" s="15">
        <f t="shared" si="4"/>
        <v>7559313.318</v>
      </c>
      <c r="L903" s="45"/>
      <c r="M903" s="24">
        <v>45780.0</v>
      </c>
    </row>
    <row r="904" ht="15.75" customHeight="1">
      <c r="A904" s="39">
        <v>45777.0</v>
      </c>
      <c r="B904" s="107" t="s">
        <v>837</v>
      </c>
      <c r="C904" s="31" t="s">
        <v>980</v>
      </c>
      <c r="D904" s="32" t="s">
        <v>15</v>
      </c>
      <c r="E904" s="31" t="s">
        <v>981</v>
      </c>
      <c r="F904" s="46">
        <v>45772.0</v>
      </c>
      <c r="G904" s="22">
        <v>6262618.71</v>
      </c>
      <c r="H904" s="14">
        <f t="shared" si="5"/>
        <v>1315149.929</v>
      </c>
      <c r="I904" s="22">
        <v>187878.56</v>
      </c>
      <c r="J904" s="14"/>
      <c r="K904" s="15">
        <f t="shared" si="4"/>
        <v>7765647.199</v>
      </c>
      <c r="L904" s="45"/>
      <c r="M904" s="24">
        <v>45797.0</v>
      </c>
    </row>
    <row r="905" ht="15.75" customHeight="1">
      <c r="A905" s="39">
        <v>45777.0</v>
      </c>
      <c r="B905" s="107" t="s">
        <v>837</v>
      </c>
      <c r="C905" s="31" t="s">
        <v>980</v>
      </c>
      <c r="D905" s="32" t="s">
        <v>15</v>
      </c>
      <c r="E905" s="31" t="s">
        <v>982</v>
      </c>
      <c r="F905" s="46">
        <v>45772.0</v>
      </c>
      <c r="G905" s="22">
        <v>2827229.12</v>
      </c>
      <c r="H905" s="14">
        <f t="shared" si="5"/>
        <v>593718.1152</v>
      </c>
      <c r="I905" s="14"/>
      <c r="J905" s="14"/>
      <c r="K905" s="15">
        <f t="shared" si="4"/>
        <v>3420947.235</v>
      </c>
      <c r="L905" s="45"/>
      <c r="M905" s="24">
        <v>45797.0</v>
      </c>
    </row>
    <row r="906" ht="15.75" customHeight="1">
      <c r="A906" s="39">
        <v>45777.0</v>
      </c>
      <c r="B906" s="107" t="s">
        <v>837</v>
      </c>
      <c r="C906" s="31" t="s">
        <v>980</v>
      </c>
      <c r="D906" s="32" t="s">
        <v>15</v>
      </c>
      <c r="E906" s="31" t="s">
        <v>983</v>
      </c>
      <c r="F906" s="46">
        <v>45772.0</v>
      </c>
      <c r="G906" s="22">
        <v>1635251.15</v>
      </c>
      <c r="H906" s="14">
        <f t="shared" si="5"/>
        <v>343402.7415</v>
      </c>
      <c r="I906" s="22">
        <v>49057.53</v>
      </c>
      <c r="J906" s="14"/>
      <c r="K906" s="15">
        <f t="shared" si="4"/>
        <v>2027711.422</v>
      </c>
      <c r="L906" s="45"/>
      <c r="M906" s="24">
        <v>45797.0</v>
      </c>
    </row>
    <row r="907" ht="15.75" customHeight="1">
      <c r="A907" s="39">
        <v>45777.0</v>
      </c>
      <c r="B907" s="50"/>
      <c r="C907" s="31" t="s">
        <v>247</v>
      </c>
      <c r="D907" s="32" t="s">
        <v>15</v>
      </c>
      <c r="E907" s="31" t="s">
        <v>984</v>
      </c>
      <c r="F907" s="46">
        <v>45772.0</v>
      </c>
      <c r="G907" s="22">
        <v>9994790.27</v>
      </c>
      <c r="H907" s="14">
        <f t="shared" si="5"/>
        <v>2098905.957</v>
      </c>
      <c r="I907" s="14"/>
      <c r="J907" s="14"/>
      <c r="K907" s="15">
        <f t="shared" si="4"/>
        <v>12093696.23</v>
      </c>
      <c r="L907" s="45"/>
      <c r="M907" s="24">
        <v>45804.0</v>
      </c>
    </row>
    <row r="908" ht="15.75" customHeight="1">
      <c r="A908" s="39">
        <v>45777.0</v>
      </c>
      <c r="B908" s="50"/>
      <c r="C908" s="31" t="s">
        <v>247</v>
      </c>
      <c r="D908" s="32" t="s">
        <v>15</v>
      </c>
      <c r="E908" s="31" t="s">
        <v>985</v>
      </c>
      <c r="F908" s="46">
        <v>45772.0</v>
      </c>
      <c r="G908" s="22">
        <v>1.000953243E7</v>
      </c>
      <c r="H908" s="14">
        <f t="shared" si="5"/>
        <v>2102001.81</v>
      </c>
      <c r="I908" s="14"/>
      <c r="J908" s="14"/>
      <c r="K908" s="15">
        <f t="shared" si="4"/>
        <v>12111534.24</v>
      </c>
      <c r="L908" s="45"/>
      <c r="M908" s="24">
        <v>45784.0</v>
      </c>
    </row>
    <row r="909" ht="15.75" customHeight="1">
      <c r="A909" s="39">
        <v>45777.0</v>
      </c>
      <c r="B909" s="50"/>
      <c r="C909" s="31" t="s">
        <v>111</v>
      </c>
      <c r="D909" s="32" t="s">
        <v>15</v>
      </c>
      <c r="E909" s="31" t="s">
        <v>986</v>
      </c>
      <c r="F909" s="46">
        <v>45772.0</v>
      </c>
      <c r="G909" s="22">
        <v>1.393197009E7</v>
      </c>
      <c r="H909" s="14">
        <f t="shared" si="5"/>
        <v>2925713.719</v>
      </c>
      <c r="I909" s="14"/>
      <c r="J909" s="14"/>
      <c r="K909" s="15">
        <f t="shared" si="4"/>
        <v>16857683.81</v>
      </c>
      <c r="L909" s="45"/>
      <c r="M909" s="24">
        <v>45786.0</v>
      </c>
    </row>
    <row r="910" ht="15.75" customHeight="1">
      <c r="A910" s="39">
        <v>45777.0</v>
      </c>
      <c r="B910" s="50"/>
      <c r="C910" s="31" t="s">
        <v>111</v>
      </c>
      <c r="D910" s="32" t="s">
        <v>15</v>
      </c>
      <c r="E910" s="31" t="s">
        <v>987</v>
      </c>
      <c r="F910" s="46">
        <v>45772.0</v>
      </c>
      <c r="G910" s="22">
        <v>1.377285304E7</v>
      </c>
      <c r="H910" s="14">
        <f t="shared" si="5"/>
        <v>2892299.138</v>
      </c>
      <c r="I910" s="14"/>
      <c r="J910" s="14"/>
      <c r="K910" s="15">
        <f t="shared" si="4"/>
        <v>16665152.18</v>
      </c>
      <c r="L910" s="45"/>
      <c r="M910" s="24">
        <v>45786.0</v>
      </c>
    </row>
    <row r="911" ht="15.75" customHeight="1">
      <c r="A911" s="39">
        <v>45777.0</v>
      </c>
      <c r="B911" s="50"/>
      <c r="C911" s="92" t="s">
        <v>111</v>
      </c>
      <c r="D911" s="32" t="s">
        <v>15</v>
      </c>
      <c r="E911" s="31" t="s">
        <v>988</v>
      </c>
      <c r="F911" s="46">
        <v>45772.0</v>
      </c>
      <c r="G911" s="22">
        <v>1.230314005E7</v>
      </c>
      <c r="H911" s="14">
        <f t="shared" si="5"/>
        <v>2583659.411</v>
      </c>
      <c r="I911" s="14"/>
      <c r="J911" s="14"/>
      <c r="K911" s="15">
        <f t="shared" si="4"/>
        <v>14886799.46</v>
      </c>
      <c r="L911" s="45"/>
      <c r="M911" s="24">
        <v>45786.0</v>
      </c>
    </row>
    <row r="912" ht="15.75" customHeight="1">
      <c r="A912" s="39">
        <v>45777.0</v>
      </c>
      <c r="B912" s="50"/>
      <c r="C912" s="92" t="s">
        <v>111</v>
      </c>
      <c r="D912" s="32" t="s">
        <v>15</v>
      </c>
      <c r="E912" s="31" t="s">
        <v>989</v>
      </c>
      <c r="F912" s="46">
        <v>45772.0</v>
      </c>
      <c r="G912" s="22">
        <v>7311980.39</v>
      </c>
      <c r="H912" s="14">
        <f t="shared" si="5"/>
        <v>1535515.882</v>
      </c>
      <c r="I912" s="14"/>
      <c r="J912" s="14"/>
      <c r="K912" s="15">
        <f t="shared" si="4"/>
        <v>8847496.272</v>
      </c>
      <c r="L912" s="45"/>
      <c r="M912" s="24">
        <v>45786.0</v>
      </c>
    </row>
    <row r="913" ht="15.75" customHeight="1">
      <c r="A913" s="39">
        <v>45777.0</v>
      </c>
      <c r="B913" s="50"/>
      <c r="C913" s="31" t="s">
        <v>146</v>
      </c>
      <c r="D913" s="32" t="s">
        <v>15</v>
      </c>
      <c r="E913" s="31" t="s">
        <v>990</v>
      </c>
      <c r="F913" s="46">
        <v>45772.0</v>
      </c>
      <c r="G913" s="22">
        <v>1.376936211E7</v>
      </c>
      <c r="H913" s="14">
        <f t="shared" si="5"/>
        <v>2891566.043</v>
      </c>
      <c r="I913" s="14"/>
      <c r="J913" s="14"/>
      <c r="K913" s="15">
        <f t="shared" si="4"/>
        <v>16660928.15</v>
      </c>
      <c r="L913" s="45"/>
      <c r="M913" s="24">
        <v>45791.0</v>
      </c>
    </row>
    <row r="914" ht="15.75" customHeight="1">
      <c r="A914" s="55">
        <v>45777.0</v>
      </c>
      <c r="B914" s="56"/>
      <c r="C914" s="31" t="s">
        <v>807</v>
      </c>
      <c r="D914" s="32" t="s">
        <v>15</v>
      </c>
      <c r="E914" s="31" t="s">
        <v>991</v>
      </c>
      <c r="F914" s="46">
        <v>45772.0</v>
      </c>
      <c r="G914" s="22">
        <v>2348790.17</v>
      </c>
      <c r="H914" s="14">
        <f t="shared" si="5"/>
        <v>493245.9357</v>
      </c>
      <c r="I914" s="14"/>
      <c r="J914" s="14"/>
      <c r="K914" s="15">
        <f t="shared" si="4"/>
        <v>2842036.106</v>
      </c>
      <c r="L914" s="45"/>
      <c r="M914" s="24">
        <v>45786.0</v>
      </c>
    </row>
    <row r="915" ht="15.75" customHeight="1">
      <c r="A915" s="55">
        <v>45777.0</v>
      </c>
      <c r="B915" s="56"/>
      <c r="C915" s="31" t="s">
        <v>807</v>
      </c>
      <c r="D915" s="32" t="s">
        <v>15</v>
      </c>
      <c r="E915" s="31" t="s">
        <v>992</v>
      </c>
      <c r="F915" s="46">
        <v>45772.0</v>
      </c>
      <c r="G915" s="22">
        <v>2411543.14</v>
      </c>
      <c r="H915" s="14">
        <f t="shared" si="5"/>
        <v>506424.0594</v>
      </c>
      <c r="I915" s="22">
        <v>72346.29</v>
      </c>
      <c r="J915" s="14"/>
      <c r="K915" s="15">
        <f t="shared" si="4"/>
        <v>2990313.489</v>
      </c>
      <c r="L915" s="45"/>
      <c r="M915" s="24">
        <v>45786.0</v>
      </c>
    </row>
    <row r="916" ht="15.75" customHeight="1">
      <c r="A916" s="39">
        <v>45777.0</v>
      </c>
      <c r="B916" s="50"/>
      <c r="C916" s="31" t="s">
        <v>159</v>
      </c>
      <c r="D916" s="32" t="s">
        <v>15</v>
      </c>
      <c r="E916" s="31" t="s">
        <v>993</v>
      </c>
      <c r="F916" s="46">
        <v>45772.0</v>
      </c>
      <c r="G916" s="22">
        <v>1.001183108E7</v>
      </c>
      <c r="H916" s="14">
        <f t="shared" si="5"/>
        <v>2102484.527</v>
      </c>
      <c r="I916" s="22">
        <v>300354.93</v>
      </c>
      <c r="J916" s="22">
        <v>130153.8</v>
      </c>
      <c r="K916" s="15">
        <f t="shared" si="4"/>
        <v>12544824.34</v>
      </c>
      <c r="L916" s="45"/>
      <c r="M916" s="24">
        <v>45786.0</v>
      </c>
    </row>
    <row r="917" ht="15.75" customHeight="1">
      <c r="A917" s="39">
        <v>45777.0</v>
      </c>
      <c r="B917" s="50"/>
      <c r="C917" s="31" t="s">
        <v>395</v>
      </c>
      <c r="D917" s="32" t="s">
        <v>15</v>
      </c>
      <c r="E917" s="31" t="s">
        <v>994</v>
      </c>
      <c r="F917" s="46">
        <v>45772.0</v>
      </c>
      <c r="G917" s="22">
        <v>4022362.41</v>
      </c>
      <c r="H917" s="14">
        <f t="shared" si="5"/>
        <v>844696.1061</v>
      </c>
      <c r="I917" s="22">
        <v>120670.87</v>
      </c>
      <c r="J917" s="22">
        <v>12067.09</v>
      </c>
      <c r="K917" s="15">
        <f t="shared" si="4"/>
        <v>4999796.476</v>
      </c>
      <c r="L917" s="45"/>
      <c r="M917" s="11">
        <v>45807.0</v>
      </c>
    </row>
    <row r="918" ht="15.75" customHeight="1">
      <c r="A918" s="39">
        <v>45777.0</v>
      </c>
      <c r="B918" s="107" t="s">
        <v>837</v>
      </c>
      <c r="C918" s="31" t="s">
        <v>980</v>
      </c>
      <c r="D918" s="32" t="s">
        <v>15</v>
      </c>
      <c r="E918" s="32" t="s">
        <v>995</v>
      </c>
      <c r="F918" s="46">
        <v>45772.0</v>
      </c>
      <c r="G918" s="22">
        <v>-6262618.71</v>
      </c>
      <c r="H918" s="14">
        <f t="shared" si="5"/>
        <v>-1315149.929</v>
      </c>
      <c r="I918" s="22">
        <v>-187878.56</v>
      </c>
      <c r="J918" s="22"/>
      <c r="K918" s="15">
        <f t="shared" si="4"/>
        <v>-7765647.199</v>
      </c>
      <c r="L918" s="45"/>
      <c r="M918" s="24">
        <v>45797.0</v>
      </c>
    </row>
    <row r="919" ht="15.75" customHeight="1">
      <c r="A919" s="39">
        <v>45804.0</v>
      </c>
      <c r="B919" s="50"/>
      <c r="C919" s="31" t="s">
        <v>111</v>
      </c>
      <c r="D919" s="32" t="s">
        <v>99</v>
      </c>
      <c r="E919" s="31" t="s">
        <v>996</v>
      </c>
      <c r="F919" s="46">
        <v>45802.0</v>
      </c>
      <c r="G919" s="22">
        <v>8793360.26</v>
      </c>
      <c r="H919" s="14">
        <f t="shared" si="5"/>
        <v>1846605.655</v>
      </c>
      <c r="I919" s="14"/>
      <c r="J919" s="14"/>
      <c r="K919" s="15">
        <f t="shared" si="4"/>
        <v>10639965.91</v>
      </c>
      <c r="L919" s="45"/>
      <c r="M919" s="24">
        <v>45841.0</v>
      </c>
    </row>
    <row r="920" ht="15.75" customHeight="1">
      <c r="A920" s="39">
        <v>45804.0</v>
      </c>
      <c r="B920" s="50"/>
      <c r="C920" s="31" t="s">
        <v>111</v>
      </c>
      <c r="D920" s="32" t="s">
        <v>99</v>
      </c>
      <c r="E920" s="31" t="s">
        <v>997</v>
      </c>
      <c r="F920" s="46">
        <v>45802.0</v>
      </c>
      <c r="G920" s="22">
        <v>7946890.12</v>
      </c>
      <c r="H920" s="14">
        <f t="shared" si="5"/>
        <v>1668846.925</v>
      </c>
      <c r="I920" s="14"/>
      <c r="J920" s="14"/>
      <c r="K920" s="15">
        <f t="shared" si="4"/>
        <v>9615737.045</v>
      </c>
      <c r="L920" s="45"/>
      <c r="M920" s="24">
        <v>45841.0</v>
      </c>
    </row>
    <row r="921" ht="15.75" customHeight="1">
      <c r="A921" s="39">
        <v>45804.0</v>
      </c>
      <c r="B921" s="50"/>
      <c r="C921" s="31" t="s">
        <v>111</v>
      </c>
      <c r="D921" s="32" t="s">
        <v>99</v>
      </c>
      <c r="E921" s="31" t="s">
        <v>998</v>
      </c>
      <c r="F921" s="46">
        <v>45802.0</v>
      </c>
      <c r="G921" s="22">
        <v>8365920.62</v>
      </c>
      <c r="H921" s="14">
        <f t="shared" si="5"/>
        <v>1756843.33</v>
      </c>
      <c r="I921" s="14"/>
      <c r="J921" s="14"/>
      <c r="K921" s="15">
        <f t="shared" si="4"/>
        <v>10122763.95</v>
      </c>
      <c r="L921" s="45"/>
      <c r="M921" s="24">
        <v>45841.0</v>
      </c>
    </row>
    <row r="922" ht="15.75" customHeight="1">
      <c r="A922" s="39">
        <v>45804.0</v>
      </c>
      <c r="B922" s="50"/>
      <c r="C922" s="31" t="s">
        <v>111</v>
      </c>
      <c r="D922" s="32" t="s">
        <v>99</v>
      </c>
      <c r="E922" s="31" t="s">
        <v>999</v>
      </c>
      <c r="F922" s="46">
        <v>45802.0</v>
      </c>
      <c r="G922" s="22">
        <v>9895830.28</v>
      </c>
      <c r="H922" s="14">
        <f t="shared" si="5"/>
        <v>2078124.359</v>
      </c>
      <c r="I922" s="14"/>
      <c r="J922" s="14"/>
      <c r="K922" s="15">
        <f t="shared" si="4"/>
        <v>11973954.64</v>
      </c>
      <c r="L922" s="45"/>
      <c r="M922" s="24">
        <v>45846.0</v>
      </c>
    </row>
    <row r="923" ht="15.75" customHeight="1">
      <c r="A923" s="39">
        <v>45777.0</v>
      </c>
      <c r="B923" s="107" t="s">
        <v>837</v>
      </c>
      <c r="C923" s="31" t="s">
        <v>980</v>
      </c>
      <c r="D923" s="32" t="s">
        <v>15</v>
      </c>
      <c r="E923" s="31" t="s">
        <v>1000</v>
      </c>
      <c r="F923" s="46">
        <v>45772.0</v>
      </c>
      <c r="G923" s="22">
        <v>6262618.71</v>
      </c>
      <c r="H923" s="14">
        <f t="shared" si="5"/>
        <v>1315149.929</v>
      </c>
      <c r="I923" s="22">
        <v>187878.56</v>
      </c>
      <c r="J923" s="14"/>
      <c r="K923" s="15">
        <f t="shared" si="4"/>
        <v>7765647.199</v>
      </c>
      <c r="L923" s="45"/>
      <c r="M923" s="24">
        <v>45797.0</v>
      </c>
    </row>
    <row r="924" ht="15.75" customHeight="1">
      <c r="A924" s="39">
        <v>45804.0</v>
      </c>
      <c r="B924" s="50"/>
      <c r="C924" s="31" t="s">
        <v>159</v>
      </c>
      <c r="D924" s="32" t="s">
        <v>99</v>
      </c>
      <c r="E924" s="31" t="s">
        <v>1001</v>
      </c>
      <c r="F924" s="46">
        <v>45802.0</v>
      </c>
      <c r="G924" s="22">
        <v>2505940.82</v>
      </c>
      <c r="H924" s="14">
        <f t="shared" si="5"/>
        <v>526247.5722</v>
      </c>
      <c r="I924" s="22">
        <v>75178.22</v>
      </c>
      <c r="J924" s="22">
        <v>32577.23</v>
      </c>
      <c r="K924" s="15">
        <f t="shared" si="4"/>
        <v>3139943.842</v>
      </c>
      <c r="L924" s="45"/>
      <c r="M924" s="24">
        <v>45835.0</v>
      </c>
    </row>
    <row r="925" ht="15.75" customHeight="1">
      <c r="A925" s="39">
        <v>45783.0</v>
      </c>
      <c r="B925" s="50"/>
      <c r="C925" s="32" t="s">
        <v>53</v>
      </c>
      <c r="D925" s="32" t="s">
        <v>15</v>
      </c>
      <c r="E925" s="31" t="s">
        <v>1002</v>
      </c>
      <c r="F925" s="46">
        <v>45802.0</v>
      </c>
      <c r="G925" s="22">
        <v>2486768.6</v>
      </c>
      <c r="H925" s="14">
        <f t="shared" si="5"/>
        <v>522221.406</v>
      </c>
      <c r="I925" s="14"/>
      <c r="J925" s="14"/>
      <c r="K925" s="15">
        <f t="shared" si="4"/>
        <v>3008990.006</v>
      </c>
      <c r="L925" s="45"/>
      <c r="M925" s="24">
        <v>45783.0</v>
      </c>
    </row>
    <row r="926" ht="15.75" customHeight="1">
      <c r="A926" s="39">
        <v>45783.0</v>
      </c>
      <c r="B926" s="50"/>
      <c r="C926" s="31" t="s">
        <v>260</v>
      </c>
      <c r="D926" s="32" t="s">
        <v>15</v>
      </c>
      <c r="E926" s="31" t="s">
        <v>1003</v>
      </c>
      <c r="F926" s="46">
        <v>45802.0</v>
      </c>
      <c r="G926" s="22">
        <v>1.635434209E7</v>
      </c>
      <c r="H926" s="14">
        <f t="shared" si="5"/>
        <v>3434411.839</v>
      </c>
      <c r="I926" s="14"/>
      <c r="J926" s="14"/>
      <c r="K926" s="15">
        <f t="shared" si="4"/>
        <v>19788753.93</v>
      </c>
      <c r="L926" s="45"/>
      <c r="M926" s="24">
        <v>45790.0</v>
      </c>
    </row>
    <row r="927" ht="15.75" customHeight="1">
      <c r="A927" s="55">
        <v>45804.0</v>
      </c>
      <c r="B927" s="56"/>
      <c r="C927" s="58" t="s">
        <v>1004</v>
      </c>
      <c r="D927" s="58" t="s">
        <v>1005</v>
      </c>
      <c r="E927" s="132" t="s">
        <v>1006</v>
      </c>
      <c r="F927" s="59">
        <v>45802.0</v>
      </c>
      <c r="G927" s="121">
        <v>1.005698969E8</v>
      </c>
      <c r="H927" s="9">
        <f t="shared" si="5"/>
        <v>21119678.35</v>
      </c>
      <c r="I927" s="60"/>
      <c r="J927" s="60"/>
      <c r="K927" s="10">
        <f t="shared" si="4"/>
        <v>121689575.2</v>
      </c>
      <c r="L927" s="61"/>
      <c r="M927" s="62"/>
    </row>
    <row r="928" ht="15.75" customHeight="1">
      <c r="A928" s="55">
        <v>45804.0</v>
      </c>
      <c r="B928" s="56"/>
      <c r="C928" s="58" t="s">
        <v>1004</v>
      </c>
      <c r="D928" s="58" t="s">
        <v>1005</v>
      </c>
      <c r="E928" s="132" t="s">
        <v>1007</v>
      </c>
      <c r="F928" s="59">
        <v>45802.0</v>
      </c>
      <c r="G928" s="44">
        <v>5.42959308E7</v>
      </c>
      <c r="H928" s="9">
        <f t="shared" si="5"/>
        <v>11402145.47</v>
      </c>
      <c r="I928" s="60"/>
      <c r="J928" s="60"/>
      <c r="K928" s="10">
        <f t="shared" si="4"/>
        <v>65698076.27</v>
      </c>
      <c r="L928" s="61"/>
      <c r="M928" s="62"/>
    </row>
    <row r="929" ht="15.75" customHeight="1">
      <c r="A929" s="55">
        <v>45804.0</v>
      </c>
      <c r="B929" s="56"/>
      <c r="C929" s="58" t="s">
        <v>1004</v>
      </c>
      <c r="D929" s="58" t="s">
        <v>1005</v>
      </c>
      <c r="E929" s="132" t="s">
        <v>1008</v>
      </c>
      <c r="F929" s="59">
        <v>45802.0</v>
      </c>
      <c r="G929" s="121">
        <v>4.584875925E7</v>
      </c>
      <c r="H929" s="9">
        <f t="shared" si="5"/>
        <v>9628239.443</v>
      </c>
      <c r="I929" s="60"/>
      <c r="J929" s="60"/>
      <c r="K929" s="10">
        <f t="shared" si="4"/>
        <v>55476998.69</v>
      </c>
      <c r="L929" s="61"/>
      <c r="M929" s="62"/>
    </row>
    <row r="930" ht="15.75" customHeight="1">
      <c r="A930" s="39">
        <v>45805.0</v>
      </c>
      <c r="B930" s="50"/>
      <c r="C930" s="31" t="s">
        <v>1009</v>
      </c>
      <c r="D930" s="32" t="s">
        <v>99</v>
      </c>
      <c r="E930" s="31" t="s">
        <v>1010</v>
      </c>
      <c r="F930" s="46">
        <v>45802.0</v>
      </c>
      <c r="G930" s="22">
        <v>8719970.06</v>
      </c>
      <c r="H930" s="14">
        <f t="shared" si="5"/>
        <v>1831193.713</v>
      </c>
      <c r="I930" s="14"/>
      <c r="J930" s="14"/>
      <c r="K930" s="15">
        <f t="shared" si="4"/>
        <v>10551163.77</v>
      </c>
      <c r="L930" s="45"/>
      <c r="M930" s="24">
        <v>45827.0</v>
      </c>
    </row>
    <row r="931" ht="15.75" customHeight="1">
      <c r="A931" s="39">
        <v>45805.0</v>
      </c>
      <c r="B931" s="50"/>
      <c r="C931" s="31" t="s">
        <v>1009</v>
      </c>
      <c r="D931" s="32" t="s">
        <v>99</v>
      </c>
      <c r="E931" s="31" t="s">
        <v>1011</v>
      </c>
      <c r="F931" s="46">
        <v>45802.0</v>
      </c>
      <c r="G931" s="22">
        <v>8283540.12</v>
      </c>
      <c r="H931" s="14">
        <f t="shared" si="5"/>
        <v>1739543.425</v>
      </c>
      <c r="I931" s="14"/>
      <c r="J931" s="14"/>
      <c r="K931" s="15">
        <f t="shared" si="4"/>
        <v>10023083.55</v>
      </c>
      <c r="L931" s="45"/>
      <c r="M931" s="24">
        <v>45827.0</v>
      </c>
    </row>
    <row r="932" ht="15.75" customHeight="1">
      <c r="A932" s="39">
        <v>45783.0</v>
      </c>
      <c r="B932" s="50"/>
      <c r="C932" s="31" t="s">
        <v>260</v>
      </c>
      <c r="D932" s="32" t="s">
        <v>15</v>
      </c>
      <c r="E932" s="31" t="s">
        <v>1012</v>
      </c>
      <c r="F932" s="46">
        <v>45802.0</v>
      </c>
      <c r="G932" s="22">
        <v>1.376635206E7</v>
      </c>
      <c r="H932" s="14">
        <f t="shared" si="5"/>
        <v>2890933.933</v>
      </c>
      <c r="I932" s="14"/>
      <c r="J932" s="14"/>
      <c r="K932" s="15">
        <f t="shared" si="4"/>
        <v>16657285.99</v>
      </c>
      <c r="L932" s="45"/>
      <c r="M932" s="24">
        <v>45790.0</v>
      </c>
    </row>
    <row r="933" ht="15.75" customHeight="1">
      <c r="A933" s="39">
        <v>45784.0</v>
      </c>
      <c r="B933" s="50"/>
      <c r="C933" s="31" t="s">
        <v>332</v>
      </c>
      <c r="D933" s="32" t="s">
        <v>15</v>
      </c>
      <c r="E933" s="31" t="s">
        <v>1013</v>
      </c>
      <c r="F933" s="46">
        <v>45802.0</v>
      </c>
      <c r="G933" s="22">
        <v>2817161.14</v>
      </c>
      <c r="H933" s="14">
        <f t="shared" si="5"/>
        <v>591603.8394</v>
      </c>
      <c r="I933" s="22">
        <v>84514.83</v>
      </c>
      <c r="J933" s="14"/>
      <c r="K933" s="15">
        <f t="shared" si="4"/>
        <v>3493279.809</v>
      </c>
      <c r="L933" s="45"/>
      <c r="M933" s="24">
        <v>45789.0</v>
      </c>
    </row>
    <row r="934" ht="15.75" customHeight="1">
      <c r="A934" s="39">
        <v>45784.0</v>
      </c>
      <c r="B934" s="50"/>
      <c r="C934" s="31" t="s">
        <v>332</v>
      </c>
      <c r="D934" s="32" t="s">
        <v>15</v>
      </c>
      <c r="E934" s="31" t="s">
        <v>1014</v>
      </c>
      <c r="F934" s="46">
        <v>45802.0</v>
      </c>
      <c r="G934" s="22">
        <v>6346265.14</v>
      </c>
      <c r="H934" s="14">
        <f t="shared" si="5"/>
        <v>1332715.679</v>
      </c>
      <c r="I934" s="22">
        <v>190387.95</v>
      </c>
      <c r="J934" s="14"/>
      <c r="K934" s="15">
        <f t="shared" si="4"/>
        <v>7869368.769</v>
      </c>
      <c r="L934" s="45"/>
      <c r="M934" s="24">
        <v>45789.0</v>
      </c>
    </row>
    <row r="935" ht="15.75" customHeight="1">
      <c r="A935" s="39">
        <v>45784.0</v>
      </c>
      <c r="B935" s="50"/>
      <c r="C935" s="31" t="s">
        <v>332</v>
      </c>
      <c r="D935" s="32" t="s">
        <v>15</v>
      </c>
      <c r="E935" s="31" t="s">
        <v>1015</v>
      </c>
      <c r="F935" s="46">
        <v>45802.0</v>
      </c>
      <c r="G935" s="22">
        <v>4839287.17</v>
      </c>
      <c r="H935" s="14">
        <f t="shared" si="5"/>
        <v>1016250.306</v>
      </c>
      <c r="I935" s="22">
        <v>145178.62</v>
      </c>
      <c r="J935" s="14"/>
      <c r="K935" s="15">
        <f t="shared" si="4"/>
        <v>6000716.096</v>
      </c>
      <c r="L935" s="45"/>
      <c r="M935" s="24">
        <v>45789.0</v>
      </c>
    </row>
    <row r="936" ht="15.75" customHeight="1">
      <c r="A936" s="39">
        <v>45784.0</v>
      </c>
      <c r="B936" s="50"/>
      <c r="C936" s="31" t="s">
        <v>332</v>
      </c>
      <c r="D936" s="32" t="s">
        <v>15</v>
      </c>
      <c r="E936" s="31" t="s">
        <v>1016</v>
      </c>
      <c r="F936" s="46">
        <v>45802.0</v>
      </c>
      <c r="G936" s="22">
        <v>3912821.21</v>
      </c>
      <c r="H936" s="14">
        <f t="shared" si="5"/>
        <v>821692.4541</v>
      </c>
      <c r="I936" s="14"/>
      <c r="J936" s="14"/>
      <c r="K936" s="15">
        <f t="shared" si="4"/>
        <v>4734513.664</v>
      </c>
      <c r="L936" s="45"/>
      <c r="M936" s="24">
        <v>45789.0</v>
      </c>
    </row>
    <row r="937" ht="15.75" customHeight="1">
      <c r="A937" s="39">
        <v>45784.0</v>
      </c>
      <c r="B937" s="50"/>
      <c r="C937" s="31" t="s">
        <v>332</v>
      </c>
      <c r="D937" s="32" t="s">
        <v>15</v>
      </c>
      <c r="E937" s="31" t="s">
        <v>1017</v>
      </c>
      <c r="F937" s="46">
        <v>45802.0</v>
      </c>
      <c r="G937" s="22">
        <v>7352511.12</v>
      </c>
      <c r="H937" s="14">
        <f t="shared" si="5"/>
        <v>1544027.335</v>
      </c>
      <c r="I937" s="22">
        <v>220575.33</v>
      </c>
      <c r="J937" s="14"/>
      <c r="K937" s="15">
        <f t="shared" si="4"/>
        <v>9117113.785</v>
      </c>
      <c r="L937" s="45"/>
      <c r="M937" s="24">
        <v>45789.0</v>
      </c>
    </row>
    <row r="938" ht="15.75" customHeight="1">
      <c r="A938" s="39">
        <v>45784.0</v>
      </c>
      <c r="B938" s="50"/>
      <c r="C938" s="31" t="s">
        <v>332</v>
      </c>
      <c r="D938" s="32" t="s">
        <v>15</v>
      </c>
      <c r="E938" s="31" t="s">
        <v>1018</v>
      </c>
      <c r="F938" s="46">
        <v>45802.0</v>
      </c>
      <c r="G938" s="22">
        <v>3221118.12</v>
      </c>
      <c r="H938" s="14">
        <f t="shared" si="5"/>
        <v>676434.8052</v>
      </c>
      <c r="I938" s="14"/>
      <c r="J938" s="14"/>
      <c r="K938" s="15">
        <f t="shared" si="4"/>
        <v>3897552.925</v>
      </c>
      <c r="L938" s="45"/>
      <c r="M938" s="24">
        <v>45789.0</v>
      </c>
    </row>
    <row r="939" ht="15.75" customHeight="1">
      <c r="A939" s="39">
        <v>45784.0</v>
      </c>
      <c r="B939" s="50"/>
      <c r="C939" s="31" t="s">
        <v>864</v>
      </c>
      <c r="D939" s="32" t="s">
        <v>15</v>
      </c>
      <c r="E939" s="31" t="s">
        <v>1019</v>
      </c>
      <c r="F939" s="46">
        <v>45802.0</v>
      </c>
      <c r="G939" s="22">
        <v>9917272.08</v>
      </c>
      <c r="H939" s="14">
        <f t="shared" si="5"/>
        <v>2082627.137</v>
      </c>
      <c r="I939" s="22">
        <v>297518.16</v>
      </c>
      <c r="J939" s="14"/>
      <c r="K939" s="15">
        <f t="shared" si="4"/>
        <v>12297417.38</v>
      </c>
      <c r="L939" s="45"/>
      <c r="M939" s="24">
        <v>45789.0</v>
      </c>
    </row>
    <row r="940" ht="15.75" customHeight="1">
      <c r="A940" s="39">
        <v>45784.0</v>
      </c>
      <c r="B940" s="50"/>
      <c r="C940" s="31" t="s">
        <v>864</v>
      </c>
      <c r="D940" s="32" t="s">
        <v>15</v>
      </c>
      <c r="E940" s="31" t="s">
        <v>1020</v>
      </c>
      <c r="F940" s="46">
        <v>45802.0</v>
      </c>
      <c r="G940" s="22">
        <v>2281712.06</v>
      </c>
      <c r="H940" s="14">
        <f t="shared" si="5"/>
        <v>479159.5326</v>
      </c>
      <c r="I940" s="22">
        <v>68451.36</v>
      </c>
      <c r="J940" s="14"/>
      <c r="K940" s="15">
        <f t="shared" si="4"/>
        <v>2829322.953</v>
      </c>
      <c r="L940" s="45"/>
      <c r="M940" s="24">
        <v>45789.0</v>
      </c>
    </row>
    <row r="941" ht="15.75" customHeight="1">
      <c r="A941" s="55">
        <v>45806.0</v>
      </c>
      <c r="B941" s="56"/>
      <c r="C941" s="57" t="s">
        <v>789</v>
      </c>
      <c r="D941" s="57" t="s">
        <v>1021</v>
      </c>
      <c r="E941" s="58" t="s">
        <v>1022</v>
      </c>
      <c r="F941" s="59">
        <v>45802.0</v>
      </c>
      <c r="G941" s="121">
        <v>1.340757026E7</v>
      </c>
      <c r="H941" s="9">
        <f t="shared" si="5"/>
        <v>2815589.755</v>
      </c>
      <c r="I941" s="60"/>
      <c r="J941" s="60"/>
      <c r="K941" s="10">
        <f t="shared" si="4"/>
        <v>16223160.01</v>
      </c>
      <c r="L941" s="61"/>
      <c r="M941" s="62"/>
    </row>
    <row r="942" ht="15.75" customHeight="1">
      <c r="A942" s="55">
        <v>45806.0</v>
      </c>
      <c r="B942" s="56"/>
      <c r="C942" s="57" t="s">
        <v>789</v>
      </c>
      <c r="D942" s="57" t="s">
        <v>1021</v>
      </c>
      <c r="E942" s="57" t="s">
        <v>1023</v>
      </c>
      <c r="F942" s="59">
        <v>45802.0</v>
      </c>
      <c r="G942" s="121">
        <v>7528066.12</v>
      </c>
      <c r="H942" s="9">
        <f t="shared" si="5"/>
        <v>1580893.885</v>
      </c>
      <c r="I942" s="60"/>
      <c r="J942" s="60"/>
      <c r="K942" s="10">
        <f t="shared" si="4"/>
        <v>9108960.005</v>
      </c>
      <c r="L942" s="61"/>
      <c r="M942" s="62"/>
    </row>
    <row r="943" ht="15.75" customHeight="1">
      <c r="A943" s="55">
        <v>45806.0</v>
      </c>
      <c r="B943" s="56"/>
      <c r="C943" s="57" t="s">
        <v>786</v>
      </c>
      <c r="D943" s="57" t="s">
        <v>1021</v>
      </c>
      <c r="E943" s="58" t="s">
        <v>1024</v>
      </c>
      <c r="F943" s="59">
        <v>45802.0</v>
      </c>
      <c r="G943" s="121">
        <v>2.07354898E7</v>
      </c>
      <c r="H943" s="9">
        <f t="shared" si="5"/>
        <v>4354452.858</v>
      </c>
      <c r="I943" s="60"/>
      <c r="J943" s="60"/>
      <c r="K943" s="10">
        <f t="shared" si="4"/>
        <v>25089942.66</v>
      </c>
      <c r="L943" s="61"/>
      <c r="M943" s="62"/>
    </row>
    <row r="944" ht="15.75" customHeight="1">
      <c r="A944" s="39">
        <v>45784.0</v>
      </c>
      <c r="B944" s="50"/>
      <c r="C944" s="31" t="s">
        <v>864</v>
      </c>
      <c r="D944" s="32" t="s">
        <v>15</v>
      </c>
      <c r="E944" s="31" t="s">
        <v>1025</v>
      </c>
      <c r="F944" s="46">
        <v>45802.0</v>
      </c>
      <c r="G944" s="23">
        <v>1748289.05</v>
      </c>
      <c r="H944" s="14">
        <f t="shared" si="5"/>
        <v>367140.7005</v>
      </c>
      <c r="I944" s="14"/>
      <c r="J944" s="14"/>
      <c r="K944" s="15">
        <f t="shared" si="4"/>
        <v>2115429.751</v>
      </c>
      <c r="L944" s="45"/>
      <c r="M944" s="24">
        <v>45789.0</v>
      </c>
    </row>
    <row r="945" ht="15.75" customHeight="1">
      <c r="A945" s="39">
        <v>45784.0</v>
      </c>
      <c r="B945" s="50"/>
      <c r="C945" s="31" t="s">
        <v>527</v>
      </c>
      <c r="D945" s="32" t="s">
        <v>15</v>
      </c>
      <c r="E945" s="31" t="s">
        <v>1026</v>
      </c>
      <c r="F945" s="46">
        <v>45802.0</v>
      </c>
      <c r="G945" s="22">
        <v>1.273076008E7</v>
      </c>
      <c r="H945" s="14">
        <f t="shared" si="5"/>
        <v>2673459.617</v>
      </c>
      <c r="I945" s="22">
        <v>381922.8</v>
      </c>
      <c r="J945" s="14"/>
      <c r="K945" s="15">
        <f t="shared" si="4"/>
        <v>15786142.5</v>
      </c>
      <c r="L945" s="45"/>
      <c r="M945" s="24">
        <v>45785.0</v>
      </c>
    </row>
    <row r="946" ht="15.75" customHeight="1">
      <c r="A946" s="39">
        <v>45785.0</v>
      </c>
      <c r="B946" s="50"/>
      <c r="C946" s="31" t="s">
        <v>247</v>
      </c>
      <c r="D946" s="32" t="s">
        <v>15</v>
      </c>
      <c r="E946" s="31" t="s">
        <v>1027</v>
      </c>
      <c r="F946" s="46">
        <v>45802.0</v>
      </c>
      <c r="G946" s="22">
        <v>1.345021843E7</v>
      </c>
      <c r="H946" s="14">
        <f t="shared" si="5"/>
        <v>2824545.87</v>
      </c>
      <c r="I946" s="14"/>
      <c r="J946" s="22"/>
      <c r="K946" s="15">
        <f t="shared" si="4"/>
        <v>16274764.3</v>
      </c>
      <c r="L946" s="45"/>
      <c r="M946" s="24">
        <v>45790.0</v>
      </c>
    </row>
    <row r="947" ht="15.75" customHeight="1">
      <c r="A947" s="39">
        <v>45785.0</v>
      </c>
      <c r="B947" s="50"/>
      <c r="C947" s="31" t="s">
        <v>247</v>
      </c>
      <c r="D947" s="32" t="s">
        <v>15</v>
      </c>
      <c r="E947" s="31" t="s">
        <v>1028</v>
      </c>
      <c r="F947" s="46">
        <v>45802.0</v>
      </c>
      <c r="G947" s="22">
        <v>9162548.05</v>
      </c>
      <c r="H947" s="14">
        <f t="shared" si="5"/>
        <v>1924135.091</v>
      </c>
      <c r="I947" s="14"/>
      <c r="J947" s="22"/>
      <c r="K947" s="15">
        <f t="shared" si="4"/>
        <v>11086683.14</v>
      </c>
      <c r="L947" s="45"/>
      <c r="M947" s="24">
        <v>45790.0</v>
      </c>
    </row>
    <row r="948" ht="15.75" customHeight="1">
      <c r="A948" s="39">
        <v>45785.0</v>
      </c>
      <c r="B948" s="50"/>
      <c r="C948" s="31" t="s">
        <v>247</v>
      </c>
      <c r="D948" s="32" t="s">
        <v>15</v>
      </c>
      <c r="E948" s="31" t="s">
        <v>1029</v>
      </c>
      <c r="F948" s="46">
        <v>45802.0</v>
      </c>
      <c r="G948" s="22">
        <v>1.258782916E7</v>
      </c>
      <c r="H948" s="14">
        <f t="shared" si="5"/>
        <v>2643444.124</v>
      </c>
      <c r="I948" s="14"/>
      <c r="J948" s="22"/>
      <c r="K948" s="15">
        <f t="shared" si="4"/>
        <v>15231273.28</v>
      </c>
      <c r="L948" s="45"/>
      <c r="M948" s="24">
        <v>45790.0</v>
      </c>
    </row>
    <row r="949" ht="15.75" customHeight="1">
      <c r="A949" s="39">
        <v>45785.0</v>
      </c>
      <c r="B949" s="50"/>
      <c r="C949" s="31" t="s">
        <v>64</v>
      </c>
      <c r="D949" s="32" t="s">
        <v>15</v>
      </c>
      <c r="E949" s="31" t="s">
        <v>1030</v>
      </c>
      <c r="F949" s="46">
        <v>45802.0</v>
      </c>
      <c r="G949" s="22">
        <v>1.101247012E7</v>
      </c>
      <c r="H949" s="14">
        <f t="shared" si="5"/>
        <v>2312618.725</v>
      </c>
      <c r="I949" s="14"/>
      <c r="J949" s="22"/>
      <c r="K949" s="15">
        <f t="shared" si="4"/>
        <v>13325088.85</v>
      </c>
      <c r="L949" s="45"/>
      <c r="M949" s="24">
        <v>45785.0</v>
      </c>
    </row>
    <row r="950" ht="15.75" customHeight="1">
      <c r="A950" s="39">
        <v>45785.0</v>
      </c>
      <c r="B950" s="50"/>
      <c r="C950" s="31" t="s">
        <v>429</v>
      </c>
      <c r="D950" s="32" t="s">
        <v>15</v>
      </c>
      <c r="E950" s="31" t="s">
        <v>1031</v>
      </c>
      <c r="F950" s="46">
        <v>45802.0</v>
      </c>
      <c r="G950" s="22">
        <v>1.215001608E7</v>
      </c>
      <c r="H950" s="14">
        <f t="shared" si="5"/>
        <v>2551503.377</v>
      </c>
      <c r="I950" s="14"/>
      <c r="J950" s="22">
        <v>12150.02</v>
      </c>
      <c r="K950" s="15">
        <f t="shared" si="4"/>
        <v>14713669.48</v>
      </c>
      <c r="L950" s="45"/>
      <c r="M950" s="24">
        <v>45804.0</v>
      </c>
    </row>
    <row r="951" ht="15.75" customHeight="1">
      <c r="A951" s="39">
        <v>45786.0</v>
      </c>
      <c r="B951" s="50"/>
      <c r="C951" s="31" t="s">
        <v>1032</v>
      </c>
      <c r="D951" s="32" t="s">
        <v>15</v>
      </c>
      <c r="E951" s="31" t="s">
        <v>1033</v>
      </c>
      <c r="F951" s="46">
        <v>45802.0</v>
      </c>
      <c r="G951" s="22">
        <v>7357005.64</v>
      </c>
      <c r="H951" s="14">
        <f t="shared" si="5"/>
        <v>1544971.184</v>
      </c>
      <c r="I951" s="14"/>
      <c r="J951" s="14"/>
      <c r="K951" s="15">
        <f t="shared" si="4"/>
        <v>8901976.824</v>
      </c>
      <c r="L951" s="45"/>
      <c r="M951" s="24">
        <v>45786.0</v>
      </c>
    </row>
    <row r="952" ht="15.75" customHeight="1">
      <c r="A952" s="39">
        <v>45786.0</v>
      </c>
      <c r="B952" s="50"/>
      <c r="C952" s="31" t="s">
        <v>278</v>
      </c>
      <c r="D952" s="32" t="s">
        <v>15</v>
      </c>
      <c r="E952" s="31" t="s">
        <v>1034</v>
      </c>
      <c r="F952" s="46">
        <v>45802.0</v>
      </c>
      <c r="G952" s="22">
        <v>1930024.61</v>
      </c>
      <c r="H952" s="14">
        <f t="shared" si="5"/>
        <v>405305.1681</v>
      </c>
      <c r="I952" s="14"/>
      <c r="J952" s="14"/>
      <c r="K952" s="15">
        <f t="shared" si="4"/>
        <v>2335329.778</v>
      </c>
      <c r="L952" s="45"/>
      <c r="M952" s="24">
        <v>45803.0</v>
      </c>
    </row>
    <row r="953" ht="15.75" customHeight="1">
      <c r="A953" s="39">
        <v>45790.0</v>
      </c>
      <c r="B953" s="50"/>
      <c r="C953" s="32" t="s">
        <v>122</v>
      </c>
      <c r="D953" s="32" t="s">
        <v>15</v>
      </c>
      <c r="E953" s="31" t="s">
        <v>1035</v>
      </c>
      <c r="F953" s="46">
        <v>45802.0</v>
      </c>
      <c r="G953" s="22">
        <v>4966553.86</v>
      </c>
      <c r="H953" s="14">
        <f t="shared" si="5"/>
        <v>1042976.311</v>
      </c>
      <c r="I953" s="14"/>
      <c r="J953" s="14"/>
      <c r="K953" s="15">
        <f t="shared" si="4"/>
        <v>6009530.171</v>
      </c>
      <c r="L953" s="45"/>
      <c r="M953" s="24">
        <v>45793.0</v>
      </c>
    </row>
    <row r="954" ht="15.75" customHeight="1">
      <c r="A954" s="39">
        <v>45790.0</v>
      </c>
      <c r="B954" s="50"/>
      <c r="C954" s="31" t="s">
        <v>1036</v>
      </c>
      <c r="D954" s="32" t="s">
        <v>15</v>
      </c>
      <c r="E954" s="31" t="s">
        <v>1037</v>
      </c>
      <c r="F954" s="46">
        <v>45802.0</v>
      </c>
      <c r="G954" s="22">
        <v>1.500052724E7</v>
      </c>
      <c r="H954" s="14">
        <f t="shared" si="5"/>
        <v>3150110.72</v>
      </c>
      <c r="I954" s="22">
        <v>450015.82</v>
      </c>
      <c r="J954" s="14"/>
      <c r="K954" s="15">
        <f t="shared" si="4"/>
        <v>18600653.78</v>
      </c>
      <c r="L954" s="45"/>
      <c r="M954" s="24">
        <v>45790.0</v>
      </c>
    </row>
    <row r="955" ht="15.75" customHeight="1">
      <c r="A955" s="39">
        <v>45792.0</v>
      </c>
      <c r="B955" s="50"/>
      <c r="C955" s="31" t="s">
        <v>74</v>
      </c>
      <c r="D955" s="32" t="s">
        <v>15</v>
      </c>
      <c r="E955" s="31" t="s">
        <v>1038</v>
      </c>
      <c r="F955" s="46">
        <v>45802.0</v>
      </c>
      <c r="G955" s="22">
        <v>1677530.47</v>
      </c>
      <c r="H955" s="14">
        <f t="shared" si="5"/>
        <v>352281.3987</v>
      </c>
      <c r="I955" s="22">
        <v>50325.91</v>
      </c>
      <c r="J955" s="22">
        <v>26840.49</v>
      </c>
      <c r="K955" s="15">
        <f t="shared" si="4"/>
        <v>2106978.269</v>
      </c>
      <c r="L955" s="45"/>
      <c r="M955" s="24">
        <v>45806.0</v>
      </c>
    </row>
    <row r="956" ht="15.75" customHeight="1">
      <c r="A956" s="39">
        <v>45792.0</v>
      </c>
      <c r="B956" s="50"/>
      <c r="C956" s="31" t="s">
        <v>74</v>
      </c>
      <c r="D956" s="32" t="s">
        <v>15</v>
      </c>
      <c r="E956" s="31" t="s">
        <v>1039</v>
      </c>
      <c r="F956" s="46">
        <v>45802.0</v>
      </c>
      <c r="G956" s="22">
        <v>3192560.85</v>
      </c>
      <c r="H956" s="14">
        <f t="shared" si="5"/>
        <v>670437.7785</v>
      </c>
      <c r="I956" s="14"/>
      <c r="J956" s="14"/>
      <c r="K956" s="15">
        <f t="shared" si="4"/>
        <v>3862998.629</v>
      </c>
      <c r="L956" s="45"/>
      <c r="M956" s="24">
        <v>45806.0</v>
      </c>
    </row>
    <row r="957" ht="15.75" customHeight="1">
      <c r="A957" s="55">
        <v>45807.0</v>
      </c>
      <c r="B957" s="56"/>
      <c r="C957" s="57" t="s">
        <v>1040</v>
      </c>
      <c r="D957" s="57" t="s">
        <v>1041</v>
      </c>
      <c r="E957" s="57" t="s">
        <v>1042</v>
      </c>
      <c r="F957" s="59">
        <v>45802.0</v>
      </c>
      <c r="G957" s="133">
        <v>7467000.0</v>
      </c>
      <c r="H957" s="9">
        <f t="shared" si="5"/>
        <v>1568070</v>
      </c>
      <c r="I957" s="60"/>
      <c r="J957" s="60"/>
      <c r="K957" s="10">
        <f t="shared" si="4"/>
        <v>9035070</v>
      </c>
      <c r="L957" s="61"/>
      <c r="M957" s="62"/>
    </row>
    <row r="958" ht="15.75" customHeight="1">
      <c r="A958" s="55">
        <v>45807.0</v>
      </c>
      <c r="B958" s="56"/>
      <c r="C958" s="57" t="s">
        <v>1040</v>
      </c>
      <c r="D958" s="57" t="s">
        <v>1041</v>
      </c>
      <c r="E958" s="57" t="s">
        <v>1043</v>
      </c>
      <c r="F958" s="59">
        <v>45802.0</v>
      </c>
      <c r="G958" s="44">
        <v>8059500.0</v>
      </c>
      <c r="H958" s="9">
        <f t="shared" si="5"/>
        <v>1692495</v>
      </c>
      <c r="I958" s="60"/>
      <c r="J958" s="60"/>
      <c r="K958" s="10">
        <f t="shared" si="4"/>
        <v>9751995</v>
      </c>
      <c r="L958" s="61"/>
      <c r="M958" s="62"/>
    </row>
    <row r="959" ht="15.75" customHeight="1">
      <c r="A959" s="55">
        <v>45807.0</v>
      </c>
      <c r="B959" s="56"/>
      <c r="C959" s="57" t="s">
        <v>1040</v>
      </c>
      <c r="D959" s="57" t="s">
        <v>1041</v>
      </c>
      <c r="E959" s="57" t="s">
        <v>1044</v>
      </c>
      <c r="F959" s="59">
        <v>45802.0</v>
      </c>
      <c r="G959" s="44">
        <v>1.1584E7</v>
      </c>
      <c r="H959" s="9">
        <f t="shared" si="5"/>
        <v>2432640</v>
      </c>
      <c r="I959" s="60"/>
      <c r="J959" s="60"/>
      <c r="K959" s="10">
        <f t="shared" si="4"/>
        <v>14016640</v>
      </c>
      <c r="L959" s="61"/>
      <c r="M959" s="62"/>
    </row>
    <row r="960" ht="15.75" customHeight="1">
      <c r="A960" s="55">
        <v>45807.0</v>
      </c>
      <c r="B960" s="56"/>
      <c r="C960" s="57" t="s">
        <v>1040</v>
      </c>
      <c r="D960" s="57" t="s">
        <v>1041</v>
      </c>
      <c r="E960" s="57" t="s">
        <v>1045</v>
      </c>
      <c r="F960" s="59">
        <v>45802.0</v>
      </c>
      <c r="G960" s="44">
        <v>8640000.0</v>
      </c>
      <c r="H960" s="9">
        <f t="shared" si="5"/>
        <v>1814400</v>
      </c>
      <c r="I960" s="60"/>
      <c r="J960" s="60"/>
      <c r="K960" s="10">
        <f t="shared" si="4"/>
        <v>10454400</v>
      </c>
      <c r="L960" s="61"/>
      <c r="M960" s="62"/>
    </row>
    <row r="961" ht="15.75" customHeight="1">
      <c r="A961" s="55">
        <v>45807.0</v>
      </c>
      <c r="B961" s="56"/>
      <c r="C961" s="57" t="s">
        <v>1040</v>
      </c>
      <c r="D961" s="57" t="s">
        <v>1041</v>
      </c>
      <c r="E961" s="57" t="s">
        <v>1046</v>
      </c>
      <c r="F961" s="59">
        <v>45802.0</v>
      </c>
      <c r="G961" s="44">
        <v>4522000.0</v>
      </c>
      <c r="H961" s="9">
        <f t="shared" si="5"/>
        <v>949620</v>
      </c>
      <c r="I961" s="60"/>
      <c r="J961" s="60"/>
      <c r="K961" s="10">
        <f t="shared" si="4"/>
        <v>5471620</v>
      </c>
      <c r="L961" s="61"/>
      <c r="M961" s="62"/>
    </row>
    <row r="962" ht="15.75" customHeight="1">
      <c r="A962" s="39">
        <v>45792.0</v>
      </c>
      <c r="B962" s="50"/>
      <c r="C962" s="31" t="s">
        <v>417</v>
      </c>
      <c r="D962" s="32" t="s">
        <v>15</v>
      </c>
      <c r="E962" s="31" t="s">
        <v>1047</v>
      </c>
      <c r="F962" s="46">
        <v>45802.0</v>
      </c>
      <c r="G962" s="22">
        <v>2.940615406E7</v>
      </c>
      <c r="H962" s="14">
        <f t="shared" si="5"/>
        <v>6175292.353</v>
      </c>
      <c r="I962" s="22">
        <v>882184.62</v>
      </c>
      <c r="J962" s="14"/>
      <c r="K962" s="15">
        <f t="shared" si="4"/>
        <v>36463631.03</v>
      </c>
      <c r="L962" s="45"/>
      <c r="M962" s="24">
        <v>45804.0</v>
      </c>
    </row>
    <row r="963" ht="15.75" customHeight="1">
      <c r="A963" s="39">
        <v>45792.0</v>
      </c>
      <c r="B963" s="50"/>
      <c r="C963" s="31" t="s">
        <v>417</v>
      </c>
      <c r="D963" s="32" t="s">
        <v>15</v>
      </c>
      <c r="E963" s="31" t="s">
        <v>1048</v>
      </c>
      <c r="F963" s="46">
        <v>45802.0</v>
      </c>
      <c r="G963" s="22">
        <v>3.059393717E7</v>
      </c>
      <c r="H963" s="14">
        <f t="shared" si="5"/>
        <v>6424726.806</v>
      </c>
      <c r="I963" s="22">
        <v>917818.12</v>
      </c>
      <c r="J963" s="14"/>
      <c r="K963" s="15">
        <f t="shared" si="4"/>
        <v>37936482.1</v>
      </c>
      <c r="L963" s="45"/>
      <c r="M963" s="24">
        <v>45804.0</v>
      </c>
    </row>
    <row r="964" ht="15.75" customHeight="1">
      <c r="A964" s="39">
        <v>45796.0</v>
      </c>
      <c r="B964" s="50"/>
      <c r="C964" s="31" t="s">
        <v>410</v>
      </c>
      <c r="D964" s="32" t="s">
        <v>15</v>
      </c>
      <c r="E964" s="31" t="s">
        <v>1049</v>
      </c>
      <c r="F964" s="46">
        <v>45802.0</v>
      </c>
      <c r="G964" s="22">
        <v>3012930.14</v>
      </c>
      <c r="H964" s="14">
        <f t="shared" si="5"/>
        <v>632715.3294</v>
      </c>
      <c r="I964" s="14"/>
      <c r="J964" s="14"/>
      <c r="K964" s="15">
        <f t="shared" si="4"/>
        <v>3645645.469</v>
      </c>
      <c r="L964" s="45"/>
      <c r="M964" s="24">
        <v>45800.0</v>
      </c>
    </row>
    <row r="965" ht="15.75" customHeight="1">
      <c r="A965" s="39">
        <v>45797.0</v>
      </c>
      <c r="B965" s="50"/>
      <c r="C965" s="31" t="s">
        <v>140</v>
      </c>
      <c r="D965" s="32" t="s">
        <v>15</v>
      </c>
      <c r="E965" s="31" t="s">
        <v>1050</v>
      </c>
      <c r="F965" s="46">
        <v>45802.0</v>
      </c>
      <c r="G965" s="22">
        <v>5011970.51</v>
      </c>
      <c r="H965" s="14">
        <f t="shared" si="5"/>
        <v>1052513.807</v>
      </c>
      <c r="I965" s="22">
        <v>150359.12</v>
      </c>
      <c r="J965" s="22">
        <v>45107.73</v>
      </c>
      <c r="K965" s="15">
        <f t="shared" si="4"/>
        <v>6259951.167</v>
      </c>
      <c r="L965" s="45"/>
      <c r="M965" s="24">
        <v>45805.0</v>
      </c>
    </row>
    <row r="966" ht="15.75" customHeight="1">
      <c r="A966" s="39">
        <v>45797.0</v>
      </c>
      <c r="B966" s="50"/>
      <c r="C966" s="31" t="s">
        <v>140</v>
      </c>
      <c r="D966" s="32" t="s">
        <v>15</v>
      </c>
      <c r="E966" s="31" t="s">
        <v>1051</v>
      </c>
      <c r="F966" s="46">
        <v>45802.0</v>
      </c>
      <c r="G966" s="22">
        <v>5004820.24</v>
      </c>
      <c r="H966" s="14">
        <f t="shared" si="5"/>
        <v>1051012.25</v>
      </c>
      <c r="I966" s="22">
        <v>150144.61</v>
      </c>
      <c r="J966" s="22">
        <v>45043.38</v>
      </c>
      <c r="K966" s="15">
        <f t="shared" si="4"/>
        <v>6251020.48</v>
      </c>
      <c r="L966" s="45"/>
      <c r="M966" s="24">
        <v>45805.0</v>
      </c>
    </row>
    <row r="967" ht="15.75" customHeight="1">
      <c r="A967" s="39">
        <v>45797.0</v>
      </c>
      <c r="B967" s="50"/>
      <c r="C967" s="31" t="s">
        <v>1052</v>
      </c>
      <c r="D967" s="32" t="s">
        <v>15</v>
      </c>
      <c r="E967" s="31" t="s">
        <v>1053</v>
      </c>
      <c r="F967" s="46">
        <v>45802.0</v>
      </c>
      <c r="G967" s="22">
        <v>5010970.14</v>
      </c>
      <c r="H967" s="14">
        <f t="shared" si="5"/>
        <v>1052303.729</v>
      </c>
      <c r="I967" s="22">
        <v>150329.1</v>
      </c>
      <c r="J967" s="22">
        <v>15032.91</v>
      </c>
      <c r="K967" s="15">
        <f t="shared" si="4"/>
        <v>6228635.879</v>
      </c>
      <c r="L967" s="45"/>
      <c r="M967" s="24">
        <v>45810.0</v>
      </c>
    </row>
    <row r="968" ht="15.75" customHeight="1">
      <c r="A968" s="39">
        <v>45799.0</v>
      </c>
      <c r="B968" s="50"/>
      <c r="C968" s="31" t="s">
        <v>1054</v>
      </c>
      <c r="D968" s="32" t="s">
        <v>15</v>
      </c>
      <c r="E968" s="31" t="s">
        <v>1055</v>
      </c>
      <c r="F968" s="46">
        <v>45802.0</v>
      </c>
      <c r="G968" s="22">
        <v>1.200083419E7</v>
      </c>
      <c r="H968" s="14">
        <f t="shared" si="5"/>
        <v>2520175.18</v>
      </c>
      <c r="I968" s="14"/>
      <c r="J968" s="14"/>
      <c r="K968" s="15">
        <f t="shared" si="4"/>
        <v>14521009.37</v>
      </c>
      <c r="L968" s="45"/>
      <c r="M968" s="24">
        <v>45799.0</v>
      </c>
    </row>
    <row r="969" ht="15.75" customHeight="1">
      <c r="A969" s="39">
        <v>45800.0</v>
      </c>
      <c r="B969" s="50"/>
      <c r="C969" s="31" t="s">
        <v>1056</v>
      </c>
      <c r="D969" s="32" t="s">
        <v>15</v>
      </c>
      <c r="E969" s="31" t="s">
        <v>1057</v>
      </c>
      <c r="F969" s="46">
        <v>45802.0</v>
      </c>
      <c r="G969" s="22">
        <v>9000741.6</v>
      </c>
      <c r="H969" s="14">
        <f t="shared" si="5"/>
        <v>1890155.736</v>
      </c>
      <c r="I969" s="22">
        <v>270022.25</v>
      </c>
      <c r="J969" s="22">
        <v>225018.54</v>
      </c>
      <c r="K969" s="15">
        <f t="shared" si="4"/>
        <v>11385938.13</v>
      </c>
      <c r="L969" s="45"/>
      <c r="M969" s="6"/>
    </row>
    <row r="970" ht="15.75" customHeight="1">
      <c r="A970" s="39">
        <v>45804.0</v>
      </c>
      <c r="B970" s="50"/>
      <c r="C970" s="31" t="s">
        <v>111</v>
      </c>
      <c r="D970" s="32" t="s">
        <v>15</v>
      </c>
      <c r="E970" s="31" t="s">
        <v>1058</v>
      </c>
      <c r="F970" s="46">
        <v>45802.0</v>
      </c>
      <c r="G970" s="22">
        <v>9373722.19</v>
      </c>
      <c r="H970" s="14">
        <f t="shared" si="5"/>
        <v>1968481.66</v>
      </c>
      <c r="I970" s="22">
        <v>281211.67</v>
      </c>
      <c r="J970" s="14"/>
      <c r="K970" s="15">
        <f t="shared" si="4"/>
        <v>11623415.52</v>
      </c>
      <c r="L970" s="45"/>
      <c r="M970" s="24">
        <v>45807.0</v>
      </c>
    </row>
    <row r="971" ht="15.75" customHeight="1">
      <c r="A971" s="39">
        <v>45804.0</v>
      </c>
      <c r="B971" s="50"/>
      <c r="C971" s="31" t="s">
        <v>111</v>
      </c>
      <c r="D971" s="32" t="s">
        <v>15</v>
      </c>
      <c r="E971" s="31" t="s">
        <v>1059</v>
      </c>
      <c r="F971" s="46">
        <v>45802.0</v>
      </c>
      <c r="G971" s="22">
        <v>1.392827142E7</v>
      </c>
      <c r="H971" s="14">
        <f t="shared" si="5"/>
        <v>2924936.998</v>
      </c>
      <c r="I971" s="14"/>
      <c r="J971" s="14"/>
      <c r="K971" s="15">
        <f t="shared" si="4"/>
        <v>16853208.42</v>
      </c>
      <c r="L971" s="45"/>
      <c r="M971" s="24">
        <v>45807.0</v>
      </c>
    </row>
    <row r="972" ht="15.75" customHeight="1">
      <c r="A972" s="39">
        <v>45804.0</v>
      </c>
      <c r="B972" s="50"/>
      <c r="C972" s="31" t="s">
        <v>111</v>
      </c>
      <c r="D972" s="32" t="s">
        <v>15</v>
      </c>
      <c r="E972" s="31" t="s">
        <v>1060</v>
      </c>
      <c r="F972" s="46">
        <v>45802.0</v>
      </c>
      <c r="G972" s="22">
        <v>1.070028215E7</v>
      </c>
      <c r="H972" s="14">
        <f t="shared" si="5"/>
        <v>2247059.252</v>
      </c>
      <c r="I972" s="22">
        <v>321008.46</v>
      </c>
      <c r="J972" s="14"/>
      <c r="K972" s="15">
        <f t="shared" si="4"/>
        <v>13268349.86</v>
      </c>
      <c r="L972" s="45"/>
      <c r="M972" s="24">
        <v>45807.0</v>
      </c>
    </row>
    <row r="973" ht="15.75" customHeight="1">
      <c r="A973" s="39">
        <v>45804.0</v>
      </c>
      <c r="B973" s="50"/>
      <c r="C973" s="31" t="s">
        <v>111</v>
      </c>
      <c r="D973" s="32" t="s">
        <v>15</v>
      </c>
      <c r="E973" s="31" t="s">
        <v>1061</v>
      </c>
      <c r="F973" s="46">
        <v>45802.0</v>
      </c>
      <c r="G973" s="22">
        <v>1.182726209E7</v>
      </c>
      <c r="H973" s="14">
        <f t="shared" si="5"/>
        <v>2483725.039</v>
      </c>
      <c r="I973" s="14"/>
      <c r="J973" s="14"/>
      <c r="K973" s="15">
        <f t="shared" si="4"/>
        <v>14310987.13</v>
      </c>
      <c r="L973" s="45"/>
      <c r="M973" s="24">
        <v>45807.0</v>
      </c>
    </row>
    <row r="974" ht="15.75" customHeight="1">
      <c r="A974" s="55">
        <v>45807.0</v>
      </c>
      <c r="B974" s="56"/>
      <c r="C974" s="57" t="s">
        <v>1062</v>
      </c>
      <c r="D974" s="57" t="s">
        <v>1021</v>
      </c>
      <c r="E974" s="57" t="s">
        <v>1063</v>
      </c>
      <c r="F974" s="59">
        <v>45802.0</v>
      </c>
      <c r="G974" s="121">
        <v>2236503.31</v>
      </c>
      <c r="H974" s="9">
        <f t="shared" si="5"/>
        <v>469665.6951</v>
      </c>
      <c r="I974" s="60"/>
      <c r="J974" s="60"/>
      <c r="K974" s="10">
        <f t="shared" si="4"/>
        <v>2706169.005</v>
      </c>
      <c r="L974" s="61"/>
      <c r="M974" s="62"/>
    </row>
    <row r="975" ht="15.75" customHeight="1">
      <c r="A975" s="55">
        <v>45807.0</v>
      </c>
      <c r="B975" s="56"/>
      <c r="C975" s="57" t="s">
        <v>786</v>
      </c>
      <c r="D975" s="57" t="s">
        <v>1021</v>
      </c>
      <c r="E975" s="58" t="s">
        <v>1064</v>
      </c>
      <c r="F975" s="59">
        <v>45802.0</v>
      </c>
      <c r="G975" s="121">
        <v>3180053.17</v>
      </c>
      <c r="H975" s="9">
        <f t="shared" si="5"/>
        <v>667811.1657</v>
      </c>
      <c r="I975" s="60"/>
      <c r="J975" s="60"/>
      <c r="K975" s="10">
        <f t="shared" si="4"/>
        <v>3847864.336</v>
      </c>
      <c r="L975" s="61"/>
      <c r="M975" s="62"/>
    </row>
    <row r="976" ht="15.75" customHeight="1">
      <c r="A976" s="55">
        <v>45807.0</v>
      </c>
      <c r="B976" s="56"/>
      <c r="C976" s="57" t="s">
        <v>1065</v>
      </c>
      <c r="D976" s="57" t="s">
        <v>1021</v>
      </c>
      <c r="E976" s="58" t="s">
        <v>1066</v>
      </c>
      <c r="F976" s="59">
        <v>45802.0</v>
      </c>
      <c r="G976" s="121">
        <v>797022.34</v>
      </c>
      <c r="H976" s="9">
        <f t="shared" si="5"/>
        <v>167374.6914</v>
      </c>
      <c r="I976" s="60"/>
      <c r="J976" s="60"/>
      <c r="K976" s="10">
        <f t="shared" si="4"/>
        <v>964397.0314</v>
      </c>
      <c r="L976" s="61"/>
      <c r="M976" s="62"/>
    </row>
    <row r="977" ht="15.75" customHeight="1">
      <c r="A977" s="55">
        <v>45807.0</v>
      </c>
      <c r="B977" s="56"/>
      <c r="C977" s="57" t="s">
        <v>1067</v>
      </c>
      <c r="D977" s="57" t="s">
        <v>1021</v>
      </c>
      <c r="E977" s="58" t="s">
        <v>1068</v>
      </c>
      <c r="F977" s="59">
        <v>45802.0</v>
      </c>
      <c r="G977" s="121">
        <v>883699.18</v>
      </c>
      <c r="H977" s="9">
        <f t="shared" si="5"/>
        <v>185576.8278</v>
      </c>
      <c r="I977" s="60"/>
      <c r="J977" s="60"/>
      <c r="K977" s="10">
        <f t="shared" si="4"/>
        <v>1069276.008</v>
      </c>
      <c r="L977" s="61"/>
      <c r="M977" s="62"/>
    </row>
    <row r="978" ht="15.75" customHeight="1">
      <c r="A978" s="55">
        <v>45807.0</v>
      </c>
      <c r="B978" s="56"/>
      <c r="C978" s="57" t="s">
        <v>786</v>
      </c>
      <c r="D978" s="57" t="s">
        <v>1021</v>
      </c>
      <c r="E978" s="58" t="s">
        <v>1069</v>
      </c>
      <c r="F978" s="59">
        <v>45802.0</v>
      </c>
      <c r="G978" s="121">
        <v>3168297.52</v>
      </c>
      <c r="H978" s="9">
        <f t="shared" si="5"/>
        <v>665342.4792</v>
      </c>
      <c r="I978" s="60"/>
      <c r="J978" s="60"/>
      <c r="K978" s="10">
        <f t="shared" si="4"/>
        <v>3833639.999</v>
      </c>
      <c r="L978" s="61"/>
      <c r="M978" s="62"/>
    </row>
    <row r="979" ht="15.75" customHeight="1">
      <c r="A979" s="55">
        <v>45807.0</v>
      </c>
      <c r="B979" s="56"/>
      <c r="C979" s="57" t="s">
        <v>1062</v>
      </c>
      <c r="D979" s="57" t="s">
        <v>1021</v>
      </c>
      <c r="E979" s="58" t="s">
        <v>1070</v>
      </c>
      <c r="F979" s="59">
        <v>45802.0</v>
      </c>
      <c r="G979" s="121">
        <v>2169528.0</v>
      </c>
      <c r="H979" s="9">
        <f t="shared" si="5"/>
        <v>455600.88</v>
      </c>
      <c r="I979" s="60"/>
      <c r="J979" s="60"/>
      <c r="K979" s="10">
        <f t="shared" si="4"/>
        <v>2625128.88</v>
      </c>
      <c r="L979" s="61"/>
      <c r="M979" s="62"/>
    </row>
    <row r="980" ht="15.75" customHeight="1">
      <c r="A980" s="55">
        <v>45807.0</v>
      </c>
      <c r="B980" s="56"/>
      <c r="C980" s="57" t="s">
        <v>786</v>
      </c>
      <c r="D980" s="57" t="s">
        <v>1021</v>
      </c>
      <c r="E980" s="58" t="s">
        <v>1071</v>
      </c>
      <c r="F980" s="59">
        <v>45802.0</v>
      </c>
      <c r="G980" s="121">
        <v>3170160.76</v>
      </c>
      <c r="H980" s="9">
        <f t="shared" si="5"/>
        <v>665733.7596</v>
      </c>
      <c r="I980" s="60"/>
      <c r="J980" s="60"/>
      <c r="K980" s="10">
        <f t="shared" si="4"/>
        <v>3835894.52</v>
      </c>
      <c r="L980" s="61"/>
      <c r="M980" s="62"/>
    </row>
    <row r="981" ht="15.75" customHeight="1">
      <c r="A981" s="55">
        <v>45811.0</v>
      </c>
      <c r="B981" s="56"/>
      <c r="C981" s="57" t="s">
        <v>1062</v>
      </c>
      <c r="D981" s="57" t="s">
        <v>1021</v>
      </c>
      <c r="E981" s="58" t="s">
        <v>1072</v>
      </c>
      <c r="F981" s="59">
        <v>45802.0</v>
      </c>
      <c r="G981" s="121">
        <v>1871368.0</v>
      </c>
      <c r="H981" s="9">
        <f t="shared" si="5"/>
        <v>392987.28</v>
      </c>
      <c r="I981" s="60"/>
      <c r="J981" s="60"/>
      <c r="K981" s="10">
        <f t="shared" si="4"/>
        <v>2264355.28</v>
      </c>
      <c r="L981" s="61"/>
      <c r="M981" s="62"/>
    </row>
    <row r="982" ht="15.75" customHeight="1">
      <c r="A982" s="39">
        <v>45804.0</v>
      </c>
      <c r="B982" s="50"/>
      <c r="C982" s="31" t="s">
        <v>268</v>
      </c>
      <c r="D982" s="32" t="s">
        <v>15</v>
      </c>
      <c r="E982" s="31" t="s">
        <v>1073</v>
      </c>
      <c r="F982" s="46">
        <v>45802.0</v>
      </c>
      <c r="G982" s="22">
        <v>2.499001605E7</v>
      </c>
      <c r="H982" s="14">
        <f t="shared" si="5"/>
        <v>5247903.371</v>
      </c>
      <c r="I982" s="22">
        <v>749700.48</v>
      </c>
      <c r="J982" s="22">
        <v>1249500.8</v>
      </c>
      <c r="K982" s="15">
        <f t="shared" si="4"/>
        <v>32237120.7</v>
      </c>
      <c r="L982" s="45"/>
      <c r="M982" s="24">
        <v>45821.0</v>
      </c>
    </row>
    <row r="983" ht="15.75" customHeight="1">
      <c r="A983" s="39">
        <v>45805.0</v>
      </c>
      <c r="B983" s="50"/>
      <c r="C983" s="31" t="s">
        <v>1009</v>
      </c>
      <c r="D983" s="32" t="s">
        <v>15</v>
      </c>
      <c r="E983" s="31" t="s">
        <v>1074</v>
      </c>
      <c r="F983" s="46">
        <v>45802.0</v>
      </c>
      <c r="G983" s="22">
        <v>7973590.12</v>
      </c>
      <c r="H983" s="14">
        <f t="shared" si="5"/>
        <v>1674453.925</v>
      </c>
      <c r="I983" s="14"/>
      <c r="J983" s="14"/>
      <c r="K983" s="15">
        <f t="shared" si="4"/>
        <v>9648044.045</v>
      </c>
      <c r="L983" s="45"/>
      <c r="M983" s="24">
        <v>45806.0</v>
      </c>
    </row>
    <row r="984" ht="15.75" customHeight="1">
      <c r="A984" s="39">
        <v>45805.0</v>
      </c>
      <c r="B984" s="50"/>
      <c r="C984" s="31" t="s">
        <v>1009</v>
      </c>
      <c r="D984" s="32" t="s">
        <v>15</v>
      </c>
      <c r="E984" s="31" t="s">
        <v>1075</v>
      </c>
      <c r="F984" s="46">
        <v>45802.0</v>
      </c>
      <c r="G984" s="22">
        <v>9029420.73</v>
      </c>
      <c r="H984" s="14">
        <f t="shared" si="5"/>
        <v>1896178.353</v>
      </c>
      <c r="I984" s="14"/>
      <c r="J984" s="14"/>
      <c r="K984" s="15">
        <f t="shared" si="4"/>
        <v>10925599.08</v>
      </c>
      <c r="L984" s="45"/>
      <c r="M984" s="24">
        <v>45806.0</v>
      </c>
    </row>
    <row r="985" ht="15.75" customHeight="1">
      <c r="A985" s="39">
        <v>45811.0</v>
      </c>
      <c r="B985" s="50"/>
      <c r="C985" s="31" t="s">
        <v>64</v>
      </c>
      <c r="D985" s="32" t="s">
        <v>99</v>
      </c>
      <c r="E985" s="31" t="s">
        <v>1076</v>
      </c>
      <c r="F985" s="46">
        <v>45833.0</v>
      </c>
      <c r="G985" s="22">
        <v>9009640.15</v>
      </c>
      <c r="H985" s="14">
        <f t="shared" si="5"/>
        <v>1892024.432</v>
      </c>
      <c r="I985" s="22">
        <v>270289.2</v>
      </c>
      <c r="J985" s="14"/>
      <c r="K985" s="15">
        <f t="shared" si="4"/>
        <v>11171953.78</v>
      </c>
      <c r="L985" s="45"/>
      <c r="M985" s="24">
        <v>45838.0</v>
      </c>
    </row>
    <row r="986" ht="15.75" customHeight="1">
      <c r="A986" s="39">
        <v>45811.0</v>
      </c>
      <c r="B986" s="50"/>
      <c r="C986" s="31" t="s">
        <v>64</v>
      </c>
      <c r="D986" s="32" t="s">
        <v>99</v>
      </c>
      <c r="E986" s="31" t="s">
        <v>1077</v>
      </c>
      <c r="F986" s="46">
        <v>45833.0</v>
      </c>
      <c r="G986" s="22">
        <v>8008580.61</v>
      </c>
      <c r="H986" s="14">
        <f t="shared" si="5"/>
        <v>1681801.928</v>
      </c>
      <c r="I986" s="22">
        <v>240257.42</v>
      </c>
      <c r="J986" s="14"/>
      <c r="K986" s="15">
        <f t="shared" si="4"/>
        <v>9930639.958</v>
      </c>
      <c r="L986" s="45"/>
      <c r="M986" s="24">
        <v>45838.0</v>
      </c>
    </row>
    <row r="987" ht="15.75" customHeight="1">
      <c r="A987" s="39">
        <v>45812.0</v>
      </c>
      <c r="B987" s="50"/>
      <c r="C987" s="31" t="s">
        <v>472</v>
      </c>
      <c r="D987" s="32" t="s">
        <v>99</v>
      </c>
      <c r="E987" s="32" t="s">
        <v>1078</v>
      </c>
      <c r="F987" s="46">
        <v>45833.0</v>
      </c>
      <c r="G987" s="22">
        <v>5827271.19</v>
      </c>
      <c r="H987" s="14">
        <f t="shared" si="5"/>
        <v>1223726.95</v>
      </c>
      <c r="I987" s="14"/>
      <c r="J987" s="14"/>
      <c r="K987" s="15">
        <f t="shared" si="4"/>
        <v>7050998.14</v>
      </c>
      <c r="L987" s="45"/>
      <c r="M987" s="24">
        <v>45821.0</v>
      </c>
    </row>
    <row r="988" ht="15.75" customHeight="1">
      <c r="A988" s="39">
        <v>45812.0</v>
      </c>
      <c r="B988" s="50"/>
      <c r="C988" s="31" t="s">
        <v>472</v>
      </c>
      <c r="D988" s="32" t="s">
        <v>99</v>
      </c>
      <c r="E988" s="32" t="s">
        <v>1079</v>
      </c>
      <c r="F988" s="46">
        <v>45833.0</v>
      </c>
      <c r="G988" s="22">
        <v>1.126261141E7</v>
      </c>
      <c r="H988" s="14">
        <f t="shared" si="5"/>
        <v>2365148.396</v>
      </c>
      <c r="I988" s="14"/>
      <c r="J988" s="14"/>
      <c r="K988" s="15">
        <f t="shared" si="4"/>
        <v>13627759.81</v>
      </c>
      <c r="L988" s="45"/>
      <c r="M988" s="24">
        <v>45821.0</v>
      </c>
    </row>
    <row r="989" ht="15.75" customHeight="1">
      <c r="A989" s="39">
        <v>45805.0</v>
      </c>
      <c r="B989" s="50"/>
      <c r="C989" s="31" t="s">
        <v>441</v>
      </c>
      <c r="D989" s="32" t="s">
        <v>15</v>
      </c>
      <c r="E989" s="31" t="s">
        <v>1080</v>
      </c>
      <c r="F989" s="46">
        <v>45802.0</v>
      </c>
      <c r="G989" s="22">
        <v>9989470.76</v>
      </c>
      <c r="H989" s="14">
        <f t="shared" si="5"/>
        <v>2097788.86</v>
      </c>
      <c r="I989" s="14"/>
      <c r="J989" s="22">
        <v>79915.77</v>
      </c>
      <c r="K989" s="15">
        <f t="shared" si="4"/>
        <v>12167175.39</v>
      </c>
      <c r="L989" s="45"/>
      <c r="M989" s="24">
        <v>45805.0</v>
      </c>
    </row>
    <row r="990" ht="15.75" customHeight="1">
      <c r="A990" s="39">
        <v>45806.0</v>
      </c>
      <c r="B990" s="50"/>
      <c r="C990" s="31" t="s">
        <v>55</v>
      </c>
      <c r="D990" s="32" t="s">
        <v>15</v>
      </c>
      <c r="E990" s="31" t="s">
        <v>1081</v>
      </c>
      <c r="F990" s="46">
        <v>45802.0</v>
      </c>
      <c r="G990" s="22">
        <v>4641420.62</v>
      </c>
      <c r="H990" s="14">
        <f t="shared" si="5"/>
        <v>974698.3302</v>
      </c>
      <c r="I990" s="14"/>
      <c r="J990" s="22">
        <v>232071.03</v>
      </c>
      <c r="K990" s="15">
        <f t="shared" si="4"/>
        <v>5848189.98</v>
      </c>
      <c r="L990" s="45"/>
      <c r="M990" s="24">
        <v>45812.0</v>
      </c>
    </row>
    <row r="991" ht="15.75" customHeight="1">
      <c r="A991" s="39">
        <v>45806.0</v>
      </c>
      <c r="B991" s="50"/>
      <c r="C991" s="31" t="s">
        <v>55</v>
      </c>
      <c r="D991" s="32" t="s">
        <v>15</v>
      </c>
      <c r="E991" s="31" t="s">
        <v>1082</v>
      </c>
      <c r="F991" s="46">
        <v>45802.0</v>
      </c>
      <c r="G991" s="22">
        <v>9681390.91</v>
      </c>
      <c r="H991" s="14">
        <f t="shared" si="5"/>
        <v>2033092.091</v>
      </c>
      <c r="I991" s="14"/>
      <c r="J991" s="22">
        <v>484069.55</v>
      </c>
      <c r="K991" s="15">
        <f t="shared" si="4"/>
        <v>12198552.55</v>
      </c>
      <c r="L991" s="45"/>
      <c r="M991" s="24">
        <v>45812.0</v>
      </c>
    </row>
    <row r="992" ht="15.75" customHeight="1">
      <c r="A992" s="39">
        <v>45806.0</v>
      </c>
      <c r="B992" s="50"/>
      <c r="C992" s="31" t="s">
        <v>611</v>
      </c>
      <c r="D992" s="32" t="s">
        <v>15</v>
      </c>
      <c r="E992" s="31" t="s">
        <v>1083</v>
      </c>
      <c r="F992" s="46">
        <v>45802.0</v>
      </c>
      <c r="G992" s="22">
        <v>2767380.28</v>
      </c>
      <c r="H992" s="14">
        <f t="shared" si="5"/>
        <v>581149.8588</v>
      </c>
      <c r="I992" s="22">
        <v>83021.41</v>
      </c>
      <c r="J992" s="14"/>
      <c r="K992" s="15">
        <f t="shared" si="4"/>
        <v>3431551.549</v>
      </c>
      <c r="L992" s="45"/>
      <c r="M992" s="24">
        <v>45810.0</v>
      </c>
    </row>
    <row r="993" ht="15.75" customHeight="1">
      <c r="A993" s="39">
        <v>45806.0</v>
      </c>
      <c r="B993" s="50"/>
      <c r="C993" s="31" t="s">
        <v>611</v>
      </c>
      <c r="D993" s="32" t="s">
        <v>15</v>
      </c>
      <c r="E993" s="31" t="s">
        <v>1084</v>
      </c>
      <c r="F993" s="46">
        <v>45802.0</v>
      </c>
      <c r="G993" s="22">
        <v>2112790.94</v>
      </c>
      <c r="H993" s="14">
        <f t="shared" si="5"/>
        <v>443686.0974</v>
      </c>
      <c r="I993" s="22">
        <v>63383.73</v>
      </c>
      <c r="J993" s="22"/>
      <c r="K993" s="15">
        <f t="shared" si="4"/>
        <v>2619860.767</v>
      </c>
      <c r="L993" s="45"/>
      <c r="M993" s="24">
        <v>45810.0</v>
      </c>
    </row>
    <row r="994" ht="15.75" customHeight="1">
      <c r="A994" s="39">
        <v>45806.0</v>
      </c>
      <c r="B994" s="50"/>
      <c r="C994" s="31" t="s">
        <v>611</v>
      </c>
      <c r="D994" s="32" t="s">
        <v>15</v>
      </c>
      <c r="E994" s="31" t="s">
        <v>1085</v>
      </c>
      <c r="F994" s="46">
        <v>45802.0</v>
      </c>
      <c r="G994" s="22">
        <v>2412720.14</v>
      </c>
      <c r="H994" s="14">
        <f t="shared" si="5"/>
        <v>506671.2294</v>
      </c>
      <c r="I994" s="22">
        <v>72381.6</v>
      </c>
      <c r="J994" s="14"/>
      <c r="K994" s="15">
        <f t="shared" si="4"/>
        <v>2991772.969</v>
      </c>
      <c r="L994" s="45"/>
      <c r="M994" s="24">
        <v>45810.0</v>
      </c>
    </row>
    <row r="995" ht="15.75" customHeight="1">
      <c r="A995" s="39">
        <v>45806.0</v>
      </c>
      <c r="B995" s="50"/>
      <c r="C995" s="31" t="s">
        <v>611</v>
      </c>
      <c r="D995" s="32" t="s">
        <v>15</v>
      </c>
      <c r="E995" s="31" t="s">
        <v>1086</v>
      </c>
      <c r="F995" s="46">
        <v>45802.0</v>
      </c>
      <c r="G995" s="22">
        <v>2821750.69</v>
      </c>
      <c r="H995" s="14">
        <f t="shared" si="5"/>
        <v>592567.6449</v>
      </c>
      <c r="I995" s="22">
        <v>84652.52</v>
      </c>
      <c r="J995" s="14"/>
      <c r="K995" s="15">
        <f t="shared" si="4"/>
        <v>3498970.855</v>
      </c>
      <c r="L995" s="45"/>
      <c r="M995" s="24">
        <v>45810.0</v>
      </c>
    </row>
    <row r="996" ht="15.75" customHeight="1">
      <c r="A996" s="39">
        <v>45806.0</v>
      </c>
      <c r="B996" s="50"/>
      <c r="C996" s="31" t="s">
        <v>611</v>
      </c>
      <c r="D996" s="32" t="s">
        <v>15</v>
      </c>
      <c r="E996" s="31" t="s">
        <v>1087</v>
      </c>
      <c r="F996" s="46">
        <v>45802.0</v>
      </c>
      <c r="G996" s="22">
        <v>1889430.52</v>
      </c>
      <c r="H996" s="14">
        <f t="shared" si="5"/>
        <v>396780.4092</v>
      </c>
      <c r="I996" s="22">
        <v>56682.92</v>
      </c>
      <c r="J996" s="14"/>
      <c r="K996" s="15">
        <f t="shared" si="4"/>
        <v>2342893.849</v>
      </c>
      <c r="L996" s="45"/>
      <c r="M996" s="24">
        <v>45810.0</v>
      </c>
    </row>
    <row r="997" ht="15.75" customHeight="1">
      <c r="A997" s="39">
        <v>45806.0</v>
      </c>
      <c r="B997" s="50"/>
      <c r="C997" s="31" t="s">
        <v>546</v>
      </c>
      <c r="D997" s="32" t="s">
        <v>15</v>
      </c>
      <c r="E997" s="31" t="s">
        <v>1088</v>
      </c>
      <c r="F997" s="46">
        <v>45802.0</v>
      </c>
      <c r="G997" s="22">
        <v>1.479358029E7</v>
      </c>
      <c r="H997" s="14">
        <f t="shared" si="5"/>
        <v>3106651.861</v>
      </c>
      <c r="I997" s="14"/>
      <c r="J997" s="14"/>
      <c r="K997" s="15">
        <f t="shared" si="4"/>
        <v>17900232.15</v>
      </c>
      <c r="L997" s="45"/>
      <c r="M997" s="24">
        <v>45806.0</v>
      </c>
    </row>
    <row r="998" ht="15.75" customHeight="1">
      <c r="A998" s="39">
        <v>45806.0</v>
      </c>
      <c r="B998" s="50"/>
      <c r="C998" s="31" t="s">
        <v>546</v>
      </c>
      <c r="D998" s="32" t="s">
        <v>15</v>
      </c>
      <c r="E998" s="31" t="s">
        <v>1089</v>
      </c>
      <c r="F998" s="46">
        <v>45802.0</v>
      </c>
      <c r="G998" s="22">
        <v>1.52119703E7</v>
      </c>
      <c r="H998" s="14">
        <f t="shared" si="5"/>
        <v>3194513.763</v>
      </c>
      <c r="I998" s="14"/>
      <c r="J998" s="14"/>
      <c r="K998" s="15">
        <f t="shared" si="4"/>
        <v>18406484.06</v>
      </c>
      <c r="L998" s="45"/>
      <c r="M998" s="24">
        <v>45806.0</v>
      </c>
    </row>
    <row r="999" ht="15.75" customHeight="1">
      <c r="A999" s="39">
        <v>45811.0</v>
      </c>
      <c r="B999" s="50"/>
      <c r="C999" s="31" t="s">
        <v>527</v>
      </c>
      <c r="D999" s="32" t="s">
        <v>15</v>
      </c>
      <c r="E999" s="31" t="s">
        <v>1090</v>
      </c>
      <c r="F999" s="46">
        <v>45833.0</v>
      </c>
      <c r="G999" s="22">
        <v>1.115895028E7</v>
      </c>
      <c r="H999" s="14">
        <f t="shared" si="5"/>
        <v>2343379.559</v>
      </c>
      <c r="I999" s="22">
        <v>334768.51</v>
      </c>
      <c r="J999" s="22"/>
      <c r="K999" s="15">
        <f t="shared" si="4"/>
        <v>13837098.35</v>
      </c>
      <c r="L999" s="45"/>
      <c r="M999" s="24">
        <v>45812.0</v>
      </c>
    </row>
    <row r="1000" ht="15.75" customHeight="1">
      <c r="A1000" s="39">
        <v>45811.0</v>
      </c>
      <c r="B1000" s="50"/>
      <c r="C1000" s="31" t="s">
        <v>168</v>
      </c>
      <c r="D1000" s="32" t="s">
        <v>15</v>
      </c>
      <c r="E1000" s="31" t="s">
        <v>1091</v>
      </c>
      <c r="F1000" s="46">
        <v>45833.0</v>
      </c>
      <c r="G1000" s="22">
        <v>8266740.41</v>
      </c>
      <c r="H1000" s="14">
        <f t="shared" si="5"/>
        <v>1736015.486</v>
      </c>
      <c r="I1000" s="22">
        <v>248002.21</v>
      </c>
      <c r="J1000" s="22"/>
      <c r="K1000" s="15">
        <f t="shared" si="4"/>
        <v>10250758.11</v>
      </c>
      <c r="L1000" s="45"/>
      <c r="M1000" s="24">
        <v>45812.0</v>
      </c>
    </row>
    <row r="1001" ht="15.75" customHeight="1">
      <c r="A1001" s="39">
        <v>45811.0</v>
      </c>
      <c r="B1001" s="50"/>
      <c r="C1001" s="31" t="s">
        <v>64</v>
      </c>
      <c r="D1001" s="32" t="s">
        <v>15</v>
      </c>
      <c r="E1001" s="31" t="s">
        <v>1092</v>
      </c>
      <c r="F1001" s="46">
        <v>45833.0</v>
      </c>
      <c r="G1001" s="22">
        <v>1.101937011E7</v>
      </c>
      <c r="H1001" s="14">
        <f t="shared" si="5"/>
        <v>2314067.723</v>
      </c>
      <c r="I1001" s="14"/>
      <c r="J1001" s="14"/>
      <c r="K1001" s="15">
        <f t="shared" si="4"/>
        <v>13333437.83</v>
      </c>
      <c r="L1001" s="45"/>
      <c r="M1001" s="24">
        <v>45811.0</v>
      </c>
    </row>
    <row r="1002" ht="15.75" customHeight="1">
      <c r="A1002" s="39">
        <v>45812.0</v>
      </c>
      <c r="B1002" s="50"/>
      <c r="C1002" s="31" t="s">
        <v>74</v>
      </c>
      <c r="D1002" s="32" t="s">
        <v>15</v>
      </c>
      <c r="E1002" s="31" t="s">
        <v>1093</v>
      </c>
      <c r="F1002" s="46">
        <v>45833.0</v>
      </c>
      <c r="G1002" s="22">
        <v>3692560.31</v>
      </c>
      <c r="H1002" s="14">
        <f t="shared" si="5"/>
        <v>775437.6651</v>
      </c>
      <c r="I1002" s="14"/>
      <c r="J1002" s="14"/>
      <c r="K1002" s="15">
        <f t="shared" si="4"/>
        <v>4467997.975</v>
      </c>
      <c r="L1002" s="45"/>
      <c r="M1002" s="24">
        <v>45814.0</v>
      </c>
    </row>
    <row r="1003" ht="15.75" customHeight="1">
      <c r="A1003" s="39">
        <v>45812.0</v>
      </c>
      <c r="B1003" s="50"/>
      <c r="C1003" s="31" t="s">
        <v>74</v>
      </c>
      <c r="D1003" s="32" t="s">
        <v>15</v>
      </c>
      <c r="E1003" s="31" t="s">
        <v>1094</v>
      </c>
      <c r="F1003" s="46">
        <v>45833.0</v>
      </c>
      <c r="G1003" s="22">
        <v>6843541.06</v>
      </c>
      <c r="H1003" s="14">
        <f t="shared" si="5"/>
        <v>1437143.623</v>
      </c>
      <c r="I1003" s="14"/>
      <c r="J1003" s="14"/>
      <c r="K1003" s="15">
        <f t="shared" si="4"/>
        <v>8280684.683</v>
      </c>
      <c r="L1003" s="45"/>
      <c r="M1003" s="24">
        <v>45814.0</v>
      </c>
    </row>
    <row r="1004" ht="15.75" customHeight="1">
      <c r="A1004" s="55">
        <v>45812.0</v>
      </c>
      <c r="B1004" s="56"/>
      <c r="C1004" s="58" t="s">
        <v>1095</v>
      </c>
      <c r="D1004" s="58" t="s">
        <v>284</v>
      </c>
      <c r="E1004" s="132" t="s">
        <v>1096</v>
      </c>
      <c r="F1004" s="59">
        <v>45802.0</v>
      </c>
      <c r="G1004" s="44">
        <v>3.01643212E7</v>
      </c>
      <c r="H1004" s="9">
        <f t="shared" si="5"/>
        <v>6334507.452</v>
      </c>
      <c r="I1004" s="60"/>
      <c r="J1004" s="60"/>
      <c r="K1004" s="15">
        <f t="shared" si="4"/>
        <v>36498828.65</v>
      </c>
      <c r="L1004" s="61"/>
      <c r="M1004" s="62"/>
    </row>
    <row r="1005" ht="15.75" customHeight="1">
      <c r="A1005" s="55">
        <v>45812.0</v>
      </c>
      <c r="B1005" s="56"/>
      <c r="C1005" s="58" t="s">
        <v>782</v>
      </c>
      <c r="D1005" s="58" t="s">
        <v>284</v>
      </c>
      <c r="E1005" s="132" t="s">
        <v>1097</v>
      </c>
      <c r="F1005" s="59">
        <v>45802.0</v>
      </c>
      <c r="G1005" s="44">
        <f>36039636.24/1.21</f>
        <v>29784823.34</v>
      </c>
      <c r="H1005" s="9">
        <f t="shared" si="5"/>
        <v>6254812.901</v>
      </c>
      <c r="I1005" s="60"/>
      <c r="J1005" s="60"/>
      <c r="K1005" s="15">
        <f t="shared" si="4"/>
        <v>36039636.24</v>
      </c>
      <c r="L1005" s="61"/>
      <c r="M1005" s="62"/>
    </row>
    <row r="1006" ht="15.75" customHeight="1">
      <c r="A1006" s="55">
        <v>45813.0</v>
      </c>
      <c r="B1006" s="56"/>
      <c r="C1006" s="57" t="s">
        <v>1062</v>
      </c>
      <c r="D1006" s="57" t="s">
        <v>1021</v>
      </c>
      <c r="E1006" s="58" t="s">
        <v>1098</v>
      </c>
      <c r="F1006" s="59">
        <v>45833.0</v>
      </c>
      <c r="G1006" s="44">
        <v>2218200.0</v>
      </c>
      <c r="H1006" s="9">
        <f t="shared" si="5"/>
        <v>465822</v>
      </c>
      <c r="I1006" s="60"/>
      <c r="J1006" s="60"/>
      <c r="K1006" s="15">
        <f t="shared" si="4"/>
        <v>2684022</v>
      </c>
      <c r="L1006" s="61"/>
      <c r="M1006" s="62"/>
    </row>
    <row r="1007" ht="15.75" customHeight="1">
      <c r="A1007" s="55">
        <v>45813.0</v>
      </c>
      <c r="B1007" s="56"/>
      <c r="C1007" s="57" t="s">
        <v>1099</v>
      </c>
      <c r="D1007" s="58" t="s">
        <v>1100</v>
      </c>
      <c r="E1007" s="58" t="s">
        <v>1101</v>
      </c>
      <c r="F1007" s="59">
        <v>45802.0</v>
      </c>
      <c r="G1007" s="121">
        <v>1.666672107E7</v>
      </c>
      <c r="H1007" s="9">
        <f t="shared" si="5"/>
        <v>3500011.425</v>
      </c>
      <c r="I1007" s="60"/>
      <c r="J1007" s="60"/>
      <c r="K1007" s="15">
        <f t="shared" si="4"/>
        <v>20166732.49</v>
      </c>
      <c r="L1007" s="61"/>
      <c r="M1007" s="62"/>
    </row>
    <row r="1008" ht="15.75" customHeight="1">
      <c r="A1008" s="55">
        <v>45813.0</v>
      </c>
      <c r="B1008" s="56"/>
      <c r="C1008" s="57" t="s">
        <v>1099</v>
      </c>
      <c r="D1008" s="58" t="s">
        <v>1100</v>
      </c>
      <c r="E1008" s="58" t="s">
        <v>1102</v>
      </c>
      <c r="F1008" s="59">
        <v>45802.0</v>
      </c>
      <c r="G1008" s="121">
        <v>1.486012165E7</v>
      </c>
      <c r="H1008" s="9">
        <f t="shared" si="5"/>
        <v>3120625.547</v>
      </c>
      <c r="I1008" s="60"/>
      <c r="J1008" s="60"/>
      <c r="K1008" s="15">
        <f t="shared" si="4"/>
        <v>17980747.2</v>
      </c>
      <c r="L1008" s="61"/>
      <c r="M1008" s="62"/>
    </row>
    <row r="1009" ht="15.75" customHeight="1">
      <c r="A1009" s="55">
        <v>45813.0</v>
      </c>
      <c r="B1009" s="56"/>
      <c r="C1009" s="57" t="s">
        <v>1099</v>
      </c>
      <c r="D1009" s="58" t="s">
        <v>1100</v>
      </c>
      <c r="E1009" s="58" t="s">
        <v>1103</v>
      </c>
      <c r="F1009" s="59">
        <v>45802.0</v>
      </c>
      <c r="G1009" s="121">
        <v>1.847334967E7</v>
      </c>
      <c r="H1009" s="9">
        <f t="shared" si="5"/>
        <v>3879403.431</v>
      </c>
      <c r="I1009" s="60"/>
      <c r="J1009" s="60"/>
      <c r="K1009" s="15">
        <f t="shared" si="4"/>
        <v>22352753.1</v>
      </c>
      <c r="L1009" s="61"/>
      <c r="M1009" s="62"/>
    </row>
    <row r="1010" ht="15.75" customHeight="1">
      <c r="A1010" s="39">
        <v>45814.0</v>
      </c>
      <c r="B1010" s="50"/>
      <c r="C1010" s="31" t="s">
        <v>211</v>
      </c>
      <c r="D1010" s="32" t="s">
        <v>99</v>
      </c>
      <c r="E1010" s="31" t="s">
        <v>1104</v>
      </c>
      <c r="F1010" s="46">
        <v>45833.0</v>
      </c>
      <c r="G1010" s="37">
        <f>3053880.46/1.21</f>
        <v>2523868.149</v>
      </c>
      <c r="H1010" s="14">
        <f t="shared" si="5"/>
        <v>530012.3112</v>
      </c>
      <c r="I1010" s="14"/>
      <c r="J1010" s="14"/>
      <c r="K1010" s="15">
        <f t="shared" si="4"/>
        <v>3053880.46</v>
      </c>
      <c r="L1010" s="45"/>
      <c r="M1010" s="6"/>
    </row>
    <row r="1011" ht="15.75" customHeight="1">
      <c r="A1011" s="39">
        <v>45812.0</v>
      </c>
      <c r="B1011" s="50"/>
      <c r="C1011" s="31" t="s">
        <v>74</v>
      </c>
      <c r="D1011" s="32" t="s">
        <v>15</v>
      </c>
      <c r="E1011" s="31" t="s">
        <v>1105</v>
      </c>
      <c r="F1011" s="46">
        <v>45833.0</v>
      </c>
      <c r="G1011" s="22">
        <v>7398270.26</v>
      </c>
      <c r="H1011" s="14">
        <f t="shared" si="5"/>
        <v>1553636.755</v>
      </c>
      <c r="I1011" s="14"/>
      <c r="J1011" s="22">
        <v>118372.32</v>
      </c>
      <c r="K1011" s="15">
        <f t="shared" si="4"/>
        <v>9070279.335</v>
      </c>
      <c r="L1011" s="45"/>
      <c r="M1011" s="24">
        <v>45814.0</v>
      </c>
    </row>
    <row r="1012" ht="15.75" customHeight="1">
      <c r="A1012" s="39">
        <v>45812.0</v>
      </c>
      <c r="B1012" s="50"/>
      <c r="C1012" s="31" t="s">
        <v>969</v>
      </c>
      <c r="D1012" s="32" t="s">
        <v>15</v>
      </c>
      <c r="E1012" s="31" t="s">
        <v>1106</v>
      </c>
      <c r="F1012" s="46">
        <v>45833.0</v>
      </c>
      <c r="G1012" s="22">
        <v>4628382.15</v>
      </c>
      <c r="H1012" s="14">
        <f t="shared" si="5"/>
        <v>971960.2515</v>
      </c>
      <c r="I1012" s="22">
        <v>138851.46</v>
      </c>
      <c r="J1012" s="14"/>
      <c r="K1012" s="15">
        <f t="shared" si="4"/>
        <v>5739193.862</v>
      </c>
      <c r="L1012" s="45"/>
      <c r="M1012" s="24">
        <v>45813.0</v>
      </c>
    </row>
    <row r="1013" ht="15.75" customHeight="1">
      <c r="A1013" s="39">
        <v>45812.0</v>
      </c>
      <c r="B1013" s="50"/>
      <c r="C1013" s="31" t="s">
        <v>969</v>
      </c>
      <c r="D1013" s="32" t="s">
        <v>15</v>
      </c>
      <c r="E1013" s="31" t="s">
        <v>1107</v>
      </c>
      <c r="F1013" s="46">
        <v>45833.0</v>
      </c>
      <c r="G1013" s="22">
        <v>1722621.15</v>
      </c>
      <c r="H1013" s="14">
        <f t="shared" si="5"/>
        <v>361750.4415</v>
      </c>
      <c r="I1013" s="14"/>
      <c r="J1013" s="14"/>
      <c r="K1013" s="15">
        <f t="shared" si="4"/>
        <v>2084371.592</v>
      </c>
      <c r="L1013" s="45"/>
      <c r="M1013" s="24">
        <v>45813.0</v>
      </c>
    </row>
    <row r="1014" ht="15.75" customHeight="1">
      <c r="A1014" s="39">
        <v>45812.0</v>
      </c>
      <c r="B1014" s="50"/>
      <c r="C1014" s="31" t="s">
        <v>969</v>
      </c>
      <c r="D1014" s="32" t="s">
        <v>15</v>
      </c>
      <c r="E1014" s="31" t="s">
        <v>1108</v>
      </c>
      <c r="F1014" s="46">
        <v>45833.0</v>
      </c>
      <c r="G1014" s="22">
        <v>736352.84</v>
      </c>
      <c r="H1014" s="14">
        <f t="shared" si="5"/>
        <v>154634.0964</v>
      </c>
      <c r="I1014" s="14"/>
      <c r="J1014" s="14"/>
      <c r="K1014" s="15">
        <f t="shared" si="4"/>
        <v>890986.9364</v>
      </c>
      <c r="L1014" s="45"/>
      <c r="M1014" s="24">
        <v>45813.0</v>
      </c>
    </row>
    <row r="1015" ht="15.75" customHeight="1">
      <c r="A1015" s="39">
        <v>45814.0</v>
      </c>
      <c r="B1015" s="50"/>
      <c r="C1015" s="32" t="s">
        <v>53</v>
      </c>
      <c r="D1015" s="32" t="s">
        <v>15</v>
      </c>
      <c r="E1015" s="31" t="s">
        <v>1109</v>
      </c>
      <c r="F1015" s="46">
        <v>45833.0</v>
      </c>
      <c r="G1015" s="22">
        <v>2530224.41</v>
      </c>
      <c r="H1015" s="14">
        <f t="shared" si="5"/>
        <v>531347.1261</v>
      </c>
      <c r="I1015" s="14"/>
      <c r="J1015" s="14"/>
      <c r="K1015" s="15">
        <f t="shared" si="4"/>
        <v>3061571.536</v>
      </c>
      <c r="L1015" s="45"/>
      <c r="M1015" s="6"/>
    </row>
    <row r="1016" ht="15.75" customHeight="1">
      <c r="A1016" s="39">
        <v>45694.0</v>
      </c>
      <c r="B1016" s="19" t="s">
        <v>236</v>
      </c>
      <c r="C1016" s="19" t="s">
        <v>171</v>
      </c>
      <c r="D1016" s="19" t="s">
        <v>15</v>
      </c>
      <c r="E1016" s="20" t="s">
        <v>1110</v>
      </c>
      <c r="F1016" s="13">
        <v>45675.0</v>
      </c>
      <c r="G1016" s="22">
        <v>1.020676091E7</v>
      </c>
      <c r="H1016" s="14">
        <f t="shared" si="5"/>
        <v>2143419.791</v>
      </c>
      <c r="I1016" s="14"/>
      <c r="J1016" s="14"/>
      <c r="K1016" s="14">
        <f t="shared" si="4"/>
        <v>12350180.7</v>
      </c>
      <c r="L1016" s="6"/>
      <c r="M1016" s="11">
        <v>45700.0</v>
      </c>
    </row>
    <row r="1017" ht="15.75" customHeight="1">
      <c r="A1017" s="39">
        <v>45694.0</v>
      </c>
      <c r="B1017" s="19" t="s">
        <v>236</v>
      </c>
      <c r="C1017" s="19" t="s">
        <v>171</v>
      </c>
      <c r="D1017" s="19" t="s">
        <v>15</v>
      </c>
      <c r="E1017" s="20" t="s">
        <v>1111</v>
      </c>
      <c r="F1017" s="13">
        <v>45676.0</v>
      </c>
      <c r="G1017" s="22">
        <v>9048971.32</v>
      </c>
      <c r="H1017" s="14">
        <f t="shared" si="5"/>
        <v>1900283.977</v>
      </c>
      <c r="I1017" s="14"/>
      <c r="J1017" s="14"/>
      <c r="K1017" s="14">
        <f t="shared" si="4"/>
        <v>10949255.3</v>
      </c>
      <c r="L1017" s="18"/>
      <c r="M1017" s="11">
        <v>45700.0</v>
      </c>
    </row>
    <row r="1018" ht="15.75" customHeight="1">
      <c r="A1018" s="39">
        <v>45817.0</v>
      </c>
      <c r="B1018" s="50"/>
      <c r="C1018" s="31" t="s">
        <v>1112</v>
      </c>
      <c r="D1018" s="32" t="s">
        <v>99</v>
      </c>
      <c r="E1018" s="31" t="s">
        <v>1113</v>
      </c>
      <c r="F1018" s="46">
        <v>45833.0</v>
      </c>
      <c r="G1018" s="22">
        <v>9682015.41</v>
      </c>
      <c r="H1018" s="14">
        <f t="shared" si="5"/>
        <v>2033223.236</v>
      </c>
      <c r="I1018" s="22">
        <v>290460.46</v>
      </c>
      <c r="J1018" s="14"/>
      <c r="K1018" s="15">
        <f t="shared" si="4"/>
        <v>12005699.11</v>
      </c>
      <c r="L1018" s="45"/>
      <c r="M1018" s="24">
        <v>45821.0</v>
      </c>
    </row>
    <row r="1019" ht="15.75" customHeight="1">
      <c r="A1019" s="39">
        <v>45817.0</v>
      </c>
      <c r="B1019" s="50"/>
      <c r="C1019" s="31" t="s">
        <v>1112</v>
      </c>
      <c r="D1019" s="32" t="s">
        <v>99</v>
      </c>
      <c r="E1019" s="31" t="s">
        <v>1114</v>
      </c>
      <c r="F1019" s="46">
        <v>45833.0</v>
      </c>
      <c r="G1019" s="22">
        <v>8696305.24</v>
      </c>
      <c r="H1019" s="14">
        <f t="shared" si="5"/>
        <v>1826224.1</v>
      </c>
      <c r="I1019" s="22">
        <v>260889.16</v>
      </c>
      <c r="J1019" s="14"/>
      <c r="K1019" s="15">
        <f t="shared" si="4"/>
        <v>10783418.5</v>
      </c>
      <c r="L1019" s="45"/>
      <c r="M1019" s="24">
        <v>45821.0</v>
      </c>
    </row>
    <row r="1020" ht="15.75" customHeight="1">
      <c r="A1020" s="39">
        <v>45817.0</v>
      </c>
      <c r="B1020" s="50"/>
      <c r="C1020" s="31" t="s">
        <v>1112</v>
      </c>
      <c r="D1020" s="32" t="s">
        <v>99</v>
      </c>
      <c r="E1020" s="31" t="s">
        <v>1115</v>
      </c>
      <c r="F1020" s="46">
        <v>45833.0</v>
      </c>
      <c r="G1020" s="22">
        <v>1.467389908E7</v>
      </c>
      <c r="H1020" s="14">
        <f t="shared" si="5"/>
        <v>3081518.807</v>
      </c>
      <c r="I1020" s="22">
        <v>440216.97</v>
      </c>
      <c r="J1020" s="14"/>
      <c r="K1020" s="15">
        <f t="shared" si="4"/>
        <v>18195634.86</v>
      </c>
      <c r="L1020" s="45"/>
      <c r="M1020" s="24">
        <v>45821.0</v>
      </c>
    </row>
    <row r="1021" ht="15.75" customHeight="1">
      <c r="A1021" s="39">
        <v>45817.0</v>
      </c>
      <c r="B1021" s="50"/>
      <c r="C1021" s="31" t="s">
        <v>1112</v>
      </c>
      <c r="D1021" s="32" t="s">
        <v>99</v>
      </c>
      <c r="E1021" s="31" t="s">
        <v>1116</v>
      </c>
      <c r="F1021" s="46">
        <v>45833.0</v>
      </c>
      <c r="G1021" s="22">
        <v>8654405.11</v>
      </c>
      <c r="H1021" s="14">
        <f t="shared" si="5"/>
        <v>1817425.073</v>
      </c>
      <c r="I1021" s="22">
        <v>259632.15</v>
      </c>
      <c r="J1021" s="14"/>
      <c r="K1021" s="15">
        <f t="shared" si="4"/>
        <v>10731462.33</v>
      </c>
      <c r="L1021" s="45"/>
      <c r="M1021" s="24">
        <v>45821.0</v>
      </c>
    </row>
    <row r="1022" ht="15.75" customHeight="1">
      <c r="A1022" s="39">
        <v>45817.0</v>
      </c>
      <c r="B1022" s="50"/>
      <c r="C1022" s="31" t="s">
        <v>1112</v>
      </c>
      <c r="D1022" s="32" t="s">
        <v>99</v>
      </c>
      <c r="E1022" s="31" t="s">
        <v>1117</v>
      </c>
      <c r="F1022" s="46">
        <v>45833.0</v>
      </c>
      <c r="G1022" s="22">
        <v>8300125.42</v>
      </c>
      <c r="H1022" s="14">
        <f t="shared" si="5"/>
        <v>1743026.338</v>
      </c>
      <c r="I1022" s="22">
        <v>249003.76</v>
      </c>
      <c r="J1022" s="14"/>
      <c r="K1022" s="15">
        <f t="shared" si="4"/>
        <v>10292155.52</v>
      </c>
      <c r="L1022" s="45"/>
      <c r="M1022" s="24">
        <v>45821.0</v>
      </c>
    </row>
    <row r="1023" ht="15.75" customHeight="1">
      <c r="A1023" s="39">
        <v>45818.0</v>
      </c>
      <c r="B1023" s="50"/>
      <c r="C1023" s="31" t="s">
        <v>1054</v>
      </c>
      <c r="D1023" s="32" t="s">
        <v>99</v>
      </c>
      <c r="E1023" s="31" t="s">
        <v>1118</v>
      </c>
      <c r="F1023" s="46">
        <v>45833.0</v>
      </c>
      <c r="G1023" s="22">
        <v>4135790.12</v>
      </c>
      <c r="H1023" s="14">
        <f t="shared" si="5"/>
        <v>868515.9252</v>
      </c>
      <c r="I1023" s="14"/>
      <c r="J1023" s="14"/>
      <c r="K1023" s="15">
        <f t="shared" si="4"/>
        <v>5004306.045</v>
      </c>
      <c r="L1023" s="45"/>
      <c r="M1023" s="24">
        <v>45820.0</v>
      </c>
    </row>
    <row r="1024" ht="15.75" customHeight="1">
      <c r="A1024" s="39">
        <v>45818.0</v>
      </c>
      <c r="B1024" s="50"/>
      <c r="C1024" s="31" t="s">
        <v>410</v>
      </c>
      <c r="D1024" s="32" t="s">
        <v>15</v>
      </c>
      <c r="E1024" s="31" t="s">
        <v>1119</v>
      </c>
      <c r="F1024" s="46">
        <v>45833.0</v>
      </c>
      <c r="G1024" s="22">
        <v>3010990.58</v>
      </c>
      <c r="H1024" s="14">
        <f t="shared" si="5"/>
        <v>632308.0218</v>
      </c>
      <c r="I1024" s="22">
        <v>90329.72</v>
      </c>
      <c r="J1024" s="14"/>
      <c r="K1024" s="15">
        <f t="shared" si="4"/>
        <v>3733628.322</v>
      </c>
      <c r="L1024" s="45"/>
      <c r="M1024" s="24">
        <v>45821.0</v>
      </c>
    </row>
    <row r="1025" ht="15.75" customHeight="1">
      <c r="A1025" s="39">
        <v>45818.0</v>
      </c>
      <c r="B1025" s="50"/>
      <c r="C1025" s="31" t="s">
        <v>1112</v>
      </c>
      <c r="D1025" s="32" t="s">
        <v>15</v>
      </c>
      <c r="E1025" s="31" t="s">
        <v>1120</v>
      </c>
      <c r="F1025" s="46">
        <v>45833.0</v>
      </c>
      <c r="G1025" s="22">
        <v>1.798242015E7</v>
      </c>
      <c r="H1025" s="14">
        <f t="shared" si="5"/>
        <v>3776308.232</v>
      </c>
      <c r="I1025" s="22">
        <v>539472.6</v>
      </c>
      <c r="J1025" s="14"/>
      <c r="K1025" s="15">
        <f t="shared" si="4"/>
        <v>22298200.98</v>
      </c>
      <c r="L1025" s="45"/>
      <c r="M1025" s="24">
        <v>45821.0</v>
      </c>
    </row>
    <row r="1026" ht="15.75" customHeight="1">
      <c r="A1026" s="39">
        <v>45818.0</v>
      </c>
      <c r="B1026" s="50"/>
      <c r="C1026" s="31" t="s">
        <v>1112</v>
      </c>
      <c r="D1026" s="32" t="s">
        <v>15</v>
      </c>
      <c r="E1026" s="31" t="s">
        <v>1121</v>
      </c>
      <c r="F1026" s="46">
        <v>45833.0</v>
      </c>
      <c r="G1026" s="22">
        <v>1.663189014E7</v>
      </c>
      <c r="H1026" s="14">
        <f t="shared" si="5"/>
        <v>3492696.929</v>
      </c>
      <c r="I1026" s="22">
        <v>498956.7</v>
      </c>
      <c r="J1026" s="14"/>
      <c r="K1026" s="15">
        <f t="shared" si="4"/>
        <v>20623543.77</v>
      </c>
      <c r="L1026" s="45"/>
      <c r="M1026" s="24">
        <v>45821.0</v>
      </c>
    </row>
    <row r="1027" ht="15.75" customHeight="1">
      <c r="A1027" s="39">
        <v>45818.0</v>
      </c>
      <c r="B1027" s="50"/>
      <c r="C1027" s="31" t="s">
        <v>1112</v>
      </c>
      <c r="D1027" s="32" t="s">
        <v>15</v>
      </c>
      <c r="E1027" s="31" t="s">
        <v>1122</v>
      </c>
      <c r="F1027" s="46">
        <v>45833.0</v>
      </c>
      <c r="G1027" s="22">
        <v>1.538794022E7</v>
      </c>
      <c r="H1027" s="14">
        <f t="shared" si="5"/>
        <v>3231467.446</v>
      </c>
      <c r="I1027" s="22">
        <v>461638.21</v>
      </c>
      <c r="J1027" s="14"/>
      <c r="K1027" s="15">
        <f t="shared" si="4"/>
        <v>19081045.88</v>
      </c>
      <c r="L1027" s="45"/>
      <c r="M1027" s="24">
        <v>45821.0</v>
      </c>
    </row>
    <row r="1028" ht="15.75" customHeight="1">
      <c r="A1028" s="39">
        <v>45820.0</v>
      </c>
      <c r="B1028" s="50"/>
      <c r="C1028" s="31" t="s">
        <v>635</v>
      </c>
      <c r="D1028" s="32" t="s">
        <v>99</v>
      </c>
      <c r="E1028" s="31" t="s">
        <v>1123</v>
      </c>
      <c r="F1028" s="46">
        <v>45833.0</v>
      </c>
      <c r="G1028" s="22">
        <v>1.173723672E7</v>
      </c>
      <c r="H1028" s="14">
        <f t="shared" si="5"/>
        <v>2464819.711</v>
      </c>
      <c r="I1028" s="22">
        <v>352117.1</v>
      </c>
      <c r="J1028" s="14"/>
      <c r="K1028" s="15">
        <f t="shared" si="4"/>
        <v>14554173.53</v>
      </c>
      <c r="L1028" s="45"/>
      <c r="M1028" s="19" t="s">
        <v>1124</v>
      </c>
    </row>
    <row r="1029" ht="15.75" customHeight="1">
      <c r="A1029" s="39">
        <v>45820.0</v>
      </c>
      <c r="B1029" s="50"/>
      <c r="C1029" s="31" t="s">
        <v>635</v>
      </c>
      <c r="D1029" s="32" t="s">
        <v>99</v>
      </c>
      <c r="E1029" s="31" t="s">
        <v>1125</v>
      </c>
      <c r="F1029" s="46">
        <v>45833.0</v>
      </c>
      <c r="G1029" s="22">
        <v>1.283626122E7</v>
      </c>
      <c r="H1029" s="14">
        <f t="shared" si="5"/>
        <v>2695614.856</v>
      </c>
      <c r="I1029" s="22">
        <v>385087.84</v>
      </c>
      <c r="J1029" s="14"/>
      <c r="K1029" s="15">
        <f t="shared" si="4"/>
        <v>15916963.92</v>
      </c>
      <c r="L1029" s="45"/>
      <c r="M1029" s="19" t="s">
        <v>1124</v>
      </c>
    </row>
    <row r="1030" ht="15.75" customHeight="1">
      <c r="A1030" s="39">
        <v>45820.0</v>
      </c>
      <c r="B1030" s="50"/>
      <c r="C1030" s="31" t="s">
        <v>635</v>
      </c>
      <c r="D1030" s="32" t="s">
        <v>99</v>
      </c>
      <c r="E1030" s="31" t="s">
        <v>1126</v>
      </c>
      <c r="F1030" s="46">
        <v>45833.0</v>
      </c>
      <c r="G1030" s="22">
        <v>1.53463222E7</v>
      </c>
      <c r="H1030" s="14">
        <f t="shared" si="5"/>
        <v>3222727.662</v>
      </c>
      <c r="I1030" s="22">
        <v>460389.67</v>
      </c>
      <c r="J1030" s="14"/>
      <c r="K1030" s="15">
        <f t="shared" si="4"/>
        <v>19029439.53</v>
      </c>
      <c r="L1030" s="45"/>
      <c r="M1030" s="19" t="s">
        <v>1124</v>
      </c>
    </row>
    <row r="1031" ht="15.75" customHeight="1">
      <c r="A1031" s="39">
        <v>45820.0</v>
      </c>
      <c r="B1031" s="50"/>
      <c r="C1031" s="31" t="s">
        <v>635</v>
      </c>
      <c r="D1031" s="32" t="s">
        <v>99</v>
      </c>
      <c r="E1031" s="31" t="s">
        <v>1127</v>
      </c>
      <c r="F1031" s="46">
        <v>45833.0</v>
      </c>
      <c r="G1031" s="22">
        <v>1.699372223E7</v>
      </c>
      <c r="H1031" s="14">
        <f t="shared" si="5"/>
        <v>3568681.668</v>
      </c>
      <c r="I1031" s="22">
        <v>509811.67</v>
      </c>
      <c r="J1031" s="14"/>
      <c r="K1031" s="15">
        <f t="shared" si="4"/>
        <v>21072215.57</v>
      </c>
      <c r="L1031" s="45"/>
      <c r="M1031" s="19" t="s">
        <v>1124</v>
      </c>
    </row>
    <row r="1032" ht="15.75" customHeight="1">
      <c r="A1032" s="39">
        <v>45820.0</v>
      </c>
      <c r="B1032" s="50"/>
      <c r="C1032" s="31" t="s">
        <v>635</v>
      </c>
      <c r="D1032" s="32" t="s">
        <v>99</v>
      </c>
      <c r="E1032" s="31" t="s">
        <v>1128</v>
      </c>
      <c r="F1032" s="46">
        <v>45833.0</v>
      </c>
      <c r="G1032" s="22">
        <v>1.584636215E7</v>
      </c>
      <c r="H1032" s="14">
        <f t="shared" si="5"/>
        <v>3327736.052</v>
      </c>
      <c r="I1032" s="22">
        <v>475390.86</v>
      </c>
      <c r="J1032" s="14"/>
      <c r="K1032" s="15">
        <f t="shared" si="4"/>
        <v>19649489.06</v>
      </c>
      <c r="L1032" s="45"/>
      <c r="M1032" s="19" t="s">
        <v>1124</v>
      </c>
    </row>
    <row r="1033" ht="15.75" customHeight="1">
      <c r="A1033" s="39">
        <v>45820.0</v>
      </c>
      <c r="B1033" s="50"/>
      <c r="C1033" s="31" t="s">
        <v>443</v>
      </c>
      <c r="D1033" s="32" t="s">
        <v>99</v>
      </c>
      <c r="E1033" s="31" t="s">
        <v>1129</v>
      </c>
      <c r="F1033" s="46">
        <v>45833.0</v>
      </c>
      <c r="G1033" s="22">
        <v>5012830.15</v>
      </c>
      <c r="H1033" s="14">
        <f t="shared" si="5"/>
        <v>1052694.332</v>
      </c>
      <c r="I1033" s="14"/>
      <c r="J1033" s="22">
        <v>40102.64</v>
      </c>
      <c r="K1033" s="15">
        <f t="shared" si="4"/>
        <v>6105627.122</v>
      </c>
      <c r="L1033" s="45"/>
      <c r="M1033" s="24">
        <v>45838.0</v>
      </c>
    </row>
    <row r="1034" ht="15.75" customHeight="1">
      <c r="A1034" s="39">
        <v>45820.0</v>
      </c>
      <c r="B1034" s="50"/>
      <c r="C1034" s="31" t="s">
        <v>443</v>
      </c>
      <c r="D1034" s="32" t="s">
        <v>99</v>
      </c>
      <c r="E1034" s="31" t="s">
        <v>1130</v>
      </c>
      <c r="F1034" s="46">
        <v>45833.0</v>
      </c>
      <c r="G1034" s="22">
        <v>2505440.05</v>
      </c>
      <c r="H1034" s="14">
        <f t="shared" si="5"/>
        <v>526142.4105</v>
      </c>
      <c r="I1034" s="22">
        <v>75163.2</v>
      </c>
      <c r="J1034" s="22">
        <v>20043.52</v>
      </c>
      <c r="K1034" s="15">
        <f t="shared" si="4"/>
        <v>3126789.181</v>
      </c>
      <c r="L1034" s="45"/>
      <c r="M1034" s="24">
        <v>45838.0</v>
      </c>
    </row>
    <row r="1035" ht="15.75" customHeight="1">
      <c r="A1035" s="39">
        <v>45820.0</v>
      </c>
      <c r="B1035" s="50"/>
      <c r="C1035" s="31" t="s">
        <v>718</v>
      </c>
      <c r="D1035" s="32" t="s">
        <v>99</v>
      </c>
      <c r="E1035" s="31" t="s">
        <v>1131</v>
      </c>
      <c r="F1035" s="46">
        <v>45833.0</v>
      </c>
      <c r="G1035" s="22">
        <v>9735790.12</v>
      </c>
      <c r="H1035" s="14">
        <f t="shared" si="5"/>
        <v>2044515.925</v>
      </c>
      <c r="I1035" s="14"/>
      <c r="J1035" s="22">
        <v>170376.33</v>
      </c>
      <c r="K1035" s="15">
        <f t="shared" si="4"/>
        <v>11950682.38</v>
      </c>
      <c r="L1035" s="45"/>
      <c r="M1035" s="24">
        <v>45825.0</v>
      </c>
    </row>
    <row r="1036" ht="15.75" customHeight="1">
      <c r="A1036" s="39">
        <v>45820.0</v>
      </c>
      <c r="B1036" s="50"/>
      <c r="C1036" s="31" t="s">
        <v>718</v>
      </c>
      <c r="D1036" s="32" t="s">
        <v>99</v>
      </c>
      <c r="E1036" s="31" t="s">
        <v>1132</v>
      </c>
      <c r="F1036" s="46">
        <v>45833.0</v>
      </c>
      <c r="G1036" s="22">
        <v>8269890.36</v>
      </c>
      <c r="H1036" s="14">
        <f t="shared" si="5"/>
        <v>1736676.976</v>
      </c>
      <c r="I1036" s="14"/>
      <c r="J1036" s="22">
        <v>144723.08</v>
      </c>
      <c r="K1036" s="15">
        <f t="shared" si="4"/>
        <v>10151290.42</v>
      </c>
      <c r="L1036" s="45"/>
      <c r="M1036" s="24">
        <v>45825.0</v>
      </c>
    </row>
    <row r="1037" ht="15.75" customHeight="1">
      <c r="A1037" s="39">
        <v>45820.0</v>
      </c>
      <c r="B1037" s="50"/>
      <c r="C1037" s="31" t="s">
        <v>140</v>
      </c>
      <c r="D1037" s="32" t="s">
        <v>15</v>
      </c>
      <c r="E1037" s="31" t="s">
        <v>1133</v>
      </c>
      <c r="F1037" s="46">
        <v>45833.0</v>
      </c>
      <c r="G1037" s="22">
        <v>6007460.71</v>
      </c>
      <c r="H1037" s="14">
        <f t="shared" si="5"/>
        <v>1261566.749</v>
      </c>
      <c r="I1037" s="22">
        <v>180223.82</v>
      </c>
      <c r="J1037" s="22">
        <v>54067.15</v>
      </c>
      <c r="K1037" s="15">
        <f t="shared" si="4"/>
        <v>7503318.429</v>
      </c>
      <c r="L1037" s="45"/>
      <c r="M1037" s="24">
        <v>45827.0</v>
      </c>
    </row>
    <row r="1038" ht="15.75" customHeight="1">
      <c r="A1038" s="39">
        <v>45820.0</v>
      </c>
      <c r="B1038" s="50"/>
      <c r="C1038" s="31" t="s">
        <v>140</v>
      </c>
      <c r="D1038" s="32" t="s">
        <v>15</v>
      </c>
      <c r="E1038" s="31" t="s">
        <v>1134</v>
      </c>
      <c r="F1038" s="46">
        <v>45833.0</v>
      </c>
      <c r="G1038" s="22">
        <v>3003980.15</v>
      </c>
      <c r="H1038" s="14">
        <f t="shared" si="5"/>
        <v>630835.8315</v>
      </c>
      <c r="I1038" s="14"/>
      <c r="J1038" s="14"/>
      <c r="K1038" s="15">
        <f t="shared" si="4"/>
        <v>3634815.982</v>
      </c>
      <c r="L1038" s="45"/>
      <c r="M1038" s="24">
        <v>45833.0</v>
      </c>
    </row>
    <row r="1039" ht="15.75" customHeight="1">
      <c r="A1039" s="39">
        <v>45820.0</v>
      </c>
      <c r="B1039" s="50"/>
      <c r="C1039" s="31" t="s">
        <v>140</v>
      </c>
      <c r="D1039" s="32" t="s">
        <v>15</v>
      </c>
      <c r="E1039" s="31" t="s">
        <v>1135</v>
      </c>
      <c r="F1039" s="46">
        <v>45833.0</v>
      </c>
      <c r="G1039" s="22">
        <v>5010730.15</v>
      </c>
      <c r="H1039" s="14">
        <f t="shared" si="5"/>
        <v>1052253.332</v>
      </c>
      <c r="I1039" s="22">
        <v>150321.9</v>
      </c>
      <c r="J1039" s="22">
        <v>45096.57</v>
      </c>
      <c r="K1039" s="15">
        <f t="shared" si="4"/>
        <v>6258401.952</v>
      </c>
      <c r="L1039" s="45"/>
      <c r="M1039" s="24">
        <v>45833.0</v>
      </c>
    </row>
    <row r="1040" ht="15.75" customHeight="1">
      <c r="A1040" s="39">
        <v>45821.0</v>
      </c>
      <c r="B1040" s="50"/>
      <c r="C1040" s="31" t="s">
        <v>1136</v>
      </c>
      <c r="D1040" s="32" t="s">
        <v>15</v>
      </c>
      <c r="E1040" s="31" t="s">
        <v>1137</v>
      </c>
      <c r="F1040" s="46">
        <v>45833.0</v>
      </c>
      <c r="G1040" s="22">
        <v>4.44412052E7</v>
      </c>
      <c r="H1040" s="14">
        <f t="shared" si="5"/>
        <v>9332653.092</v>
      </c>
      <c r="I1040" s="22">
        <v>1333236.16</v>
      </c>
      <c r="J1040" s="14"/>
      <c r="K1040" s="15">
        <f t="shared" si="4"/>
        <v>55107094.45</v>
      </c>
      <c r="L1040" s="45"/>
      <c r="M1040" s="6"/>
    </row>
    <row r="1041" ht="15.75" customHeight="1">
      <c r="A1041" s="39">
        <v>45821.0</v>
      </c>
      <c r="B1041" s="50"/>
      <c r="C1041" s="31" t="s">
        <v>1136</v>
      </c>
      <c r="D1041" s="32" t="s">
        <v>15</v>
      </c>
      <c r="E1041" s="31" t="s">
        <v>1138</v>
      </c>
      <c r="F1041" s="46">
        <v>45833.0</v>
      </c>
      <c r="G1041" s="22">
        <v>4.04178735E7</v>
      </c>
      <c r="H1041" s="14">
        <f t="shared" si="5"/>
        <v>8487753.435</v>
      </c>
      <c r="I1041" s="22">
        <v>1212536.21</v>
      </c>
      <c r="J1041" s="14"/>
      <c r="K1041" s="15">
        <f t="shared" si="4"/>
        <v>50118163.15</v>
      </c>
      <c r="L1041" s="45"/>
      <c r="M1041" s="6"/>
    </row>
    <row r="1042" ht="15.75" customHeight="1">
      <c r="A1042" s="39">
        <v>45821.0</v>
      </c>
      <c r="B1042" s="50"/>
      <c r="C1042" s="31" t="s">
        <v>1136</v>
      </c>
      <c r="D1042" s="32" t="s">
        <v>15</v>
      </c>
      <c r="E1042" s="31" t="s">
        <v>1139</v>
      </c>
      <c r="F1042" s="46">
        <v>45833.0</v>
      </c>
      <c r="G1042" s="22">
        <v>4.43304713E7</v>
      </c>
      <c r="H1042" s="14">
        <f t="shared" si="5"/>
        <v>9309398.973</v>
      </c>
      <c r="I1042" s="22">
        <v>1329914.14</v>
      </c>
      <c r="J1042" s="14"/>
      <c r="K1042" s="15">
        <f t="shared" si="4"/>
        <v>54969784.41</v>
      </c>
      <c r="L1042" s="45"/>
      <c r="M1042" s="6"/>
    </row>
    <row r="1043" ht="15.75" customHeight="1">
      <c r="A1043" s="39">
        <v>45821.0</v>
      </c>
      <c r="B1043" s="50"/>
      <c r="C1043" s="31" t="s">
        <v>1136</v>
      </c>
      <c r="D1043" s="32" t="s">
        <v>99</v>
      </c>
      <c r="E1043" s="31" t="s">
        <v>1140</v>
      </c>
      <c r="F1043" s="46">
        <v>45833.0</v>
      </c>
      <c r="G1043" s="22">
        <v>5.161816635E7</v>
      </c>
      <c r="H1043" s="14">
        <f t="shared" si="5"/>
        <v>10839814.93</v>
      </c>
      <c r="I1043" s="22">
        <v>1548544.99</v>
      </c>
      <c r="J1043" s="14"/>
      <c r="K1043" s="15">
        <f t="shared" si="4"/>
        <v>64006526.27</v>
      </c>
      <c r="L1043" s="45"/>
      <c r="M1043" s="6"/>
    </row>
    <row r="1044" ht="15.75" customHeight="1">
      <c r="A1044" s="39">
        <v>45821.0</v>
      </c>
      <c r="B1044" s="50"/>
      <c r="C1044" s="31" t="s">
        <v>1136</v>
      </c>
      <c r="D1044" s="32" t="s">
        <v>99</v>
      </c>
      <c r="E1044" s="31" t="s">
        <v>1141</v>
      </c>
      <c r="F1044" s="46">
        <v>45833.0</v>
      </c>
      <c r="G1044" s="22">
        <v>3.698653685E7</v>
      </c>
      <c r="H1044" s="14">
        <f t="shared" si="5"/>
        <v>7767172.739</v>
      </c>
      <c r="I1044" s="22">
        <v>1109596.11</v>
      </c>
      <c r="J1044" s="14"/>
      <c r="K1044" s="15">
        <f t="shared" si="4"/>
        <v>45863305.7</v>
      </c>
      <c r="L1044" s="45"/>
      <c r="M1044" s="6"/>
    </row>
    <row r="1045" ht="15.75" customHeight="1">
      <c r="A1045" s="39">
        <v>45821.0</v>
      </c>
      <c r="B1045" s="50"/>
      <c r="C1045" s="31" t="s">
        <v>1136</v>
      </c>
      <c r="D1045" s="32" t="s">
        <v>99</v>
      </c>
      <c r="E1045" s="31" t="s">
        <v>1142</v>
      </c>
      <c r="F1045" s="46">
        <v>45833.0</v>
      </c>
      <c r="G1045" s="22">
        <v>4.10426468E7</v>
      </c>
      <c r="H1045" s="14">
        <f t="shared" si="5"/>
        <v>8618955.828</v>
      </c>
      <c r="I1045" s="22">
        <v>1231279.4</v>
      </c>
      <c r="J1045" s="14"/>
      <c r="K1045" s="15">
        <f t="shared" si="4"/>
        <v>50892882.03</v>
      </c>
      <c r="L1045" s="45"/>
      <c r="M1045" s="6"/>
    </row>
    <row r="1046" ht="15.75" customHeight="1">
      <c r="A1046" s="39">
        <v>45825.0</v>
      </c>
      <c r="B1046" s="50"/>
      <c r="C1046" s="31" t="s">
        <v>1136</v>
      </c>
      <c r="D1046" s="32" t="s">
        <v>15</v>
      </c>
      <c r="E1046" s="31" t="s">
        <v>1143</v>
      </c>
      <c r="F1046" s="46">
        <v>45833.0</v>
      </c>
      <c r="G1046" s="22">
        <v>3.9125978E7</v>
      </c>
      <c r="H1046" s="14">
        <f t="shared" si="5"/>
        <v>8216455.38</v>
      </c>
      <c r="I1046" s="22">
        <v>1173779.34</v>
      </c>
      <c r="J1046" s="14"/>
      <c r="K1046" s="15">
        <f t="shared" si="4"/>
        <v>48516212.72</v>
      </c>
      <c r="L1046" s="45"/>
      <c r="M1046" s="6"/>
    </row>
    <row r="1047" ht="15.75" customHeight="1">
      <c r="A1047" s="39">
        <v>45825.0</v>
      </c>
      <c r="B1047" s="50"/>
      <c r="C1047" s="31" t="s">
        <v>1136</v>
      </c>
      <c r="D1047" s="32" t="s">
        <v>15</v>
      </c>
      <c r="E1047" s="31" t="s">
        <v>1144</v>
      </c>
      <c r="F1047" s="46">
        <v>45833.0</v>
      </c>
      <c r="G1047" s="22">
        <v>4.74310205E7</v>
      </c>
      <c r="H1047" s="14">
        <f t="shared" si="5"/>
        <v>9960514.305</v>
      </c>
      <c r="I1047" s="22">
        <v>1422930.62</v>
      </c>
      <c r="J1047" s="14"/>
      <c r="K1047" s="15">
        <f t="shared" si="4"/>
        <v>58814465.43</v>
      </c>
      <c r="L1047" s="45"/>
      <c r="M1047" s="6"/>
    </row>
    <row r="1048" ht="15.75" customHeight="1">
      <c r="A1048" s="39">
        <v>45825.0</v>
      </c>
      <c r="B1048" s="50"/>
      <c r="C1048" s="31" t="s">
        <v>1136</v>
      </c>
      <c r="D1048" s="32" t="s">
        <v>15</v>
      </c>
      <c r="E1048" s="31" t="s">
        <v>1145</v>
      </c>
      <c r="F1048" s="46">
        <v>45833.0</v>
      </c>
      <c r="G1048" s="22">
        <v>4.26325515E7</v>
      </c>
      <c r="H1048" s="14">
        <f t="shared" si="5"/>
        <v>8952835.815</v>
      </c>
      <c r="I1048" s="22">
        <v>1278976.55</v>
      </c>
      <c r="J1048" s="14"/>
      <c r="K1048" s="15">
        <f t="shared" si="4"/>
        <v>52864363.87</v>
      </c>
      <c r="L1048" s="45"/>
      <c r="M1048" s="6"/>
    </row>
    <row r="1049" ht="15.75" customHeight="1">
      <c r="A1049" s="39">
        <v>45825.0</v>
      </c>
      <c r="B1049" s="50"/>
      <c r="C1049" s="31" t="s">
        <v>1136</v>
      </c>
      <c r="D1049" s="32" t="s">
        <v>99</v>
      </c>
      <c r="E1049" s="31" t="s">
        <v>1146</v>
      </c>
      <c r="F1049" s="46">
        <v>45833.0</v>
      </c>
      <c r="G1049" s="22">
        <v>2.842981175E7</v>
      </c>
      <c r="H1049" s="14">
        <f t="shared" si="5"/>
        <v>5970260.468</v>
      </c>
      <c r="I1049" s="22">
        <v>852894.35</v>
      </c>
      <c r="J1049" s="14"/>
      <c r="K1049" s="15">
        <f t="shared" si="4"/>
        <v>35252966.57</v>
      </c>
      <c r="L1049" s="45"/>
      <c r="M1049" s="6"/>
    </row>
    <row r="1050" ht="15.75" customHeight="1">
      <c r="A1050" s="39">
        <v>45825.0</v>
      </c>
      <c r="B1050" s="50"/>
      <c r="C1050" s="31" t="s">
        <v>1136</v>
      </c>
      <c r="D1050" s="32" t="s">
        <v>99</v>
      </c>
      <c r="E1050" s="31" t="s">
        <v>1147</v>
      </c>
      <c r="F1050" s="46">
        <v>45833.0</v>
      </c>
      <c r="G1050" s="22">
        <v>5.2599782E7</v>
      </c>
      <c r="H1050" s="14">
        <f t="shared" si="5"/>
        <v>11045954.22</v>
      </c>
      <c r="I1050" s="22">
        <v>1577993.46</v>
      </c>
      <c r="J1050" s="14"/>
      <c r="K1050" s="15">
        <f t="shared" si="4"/>
        <v>65223729.68</v>
      </c>
      <c r="L1050" s="45"/>
      <c r="M1050" s="6"/>
    </row>
    <row r="1051" ht="15.75" customHeight="1">
      <c r="A1051" s="39">
        <v>45825.0</v>
      </c>
      <c r="B1051" s="50"/>
      <c r="C1051" s="31" t="s">
        <v>1136</v>
      </c>
      <c r="D1051" s="32" t="s">
        <v>99</v>
      </c>
      <c r="E1051" s="31" t="s">
        <v>1148</v>
      </c>
      <c r="F1051" s="46">
        <v>45833.0</v>
      </c>
      <c r="G1051" s="22">
        <v>4.861775625E7</v>
      </c>
      <c r="H1051" s="14">
        <f t="shared" si="5"/>
        <v>10209728.81</v>
      </c>
      <c r="I1051" s="22">
        <v>1458532.69</v>
      </c>
      <c r="J1051" s="14"/>
      <c r="K1051" s="15">
        <f t="shared" si="4"/>
        <v>60286017.75</v>
      </c>
      <c r="L1051" s="45"/>
      <c r="M1051" s="6"/>
    </row>
    <row r="1052" ht="15.75" customHeight="1">
      <c r="A1052" s="39">
        <v>45825.0</v>
      </c>
      <c r="B1052" s="50"/>
      <c r="C1052" s="31" t="s">
        <v>1136</v>
      </c>
      <c r="D1052" s="32" t="s">
        <v>99</v>
      </c>
      <c r="E1052" s="31" t="s">
        <v>1149</v>
      </c>
      <c r="F1052" s="46">
        <v>45833.0</v>
      </c>
      <c r="G1052" s="22">
        <v>3.201178282E7</v>
      </c>
      <c r="H1052" s="14">
        <f t="shared" si="5"/>
        <v>6722474.392</v>
      </c>
      <c r="I1052" s="22">
        <v>960353.48</v>
      </c>
      <c r="J1052" s="14"/>
      <c r="K1052" s="15">
        <f t="shared" si="4"/>
        <v>39694610.69</v>
      </c>
      <c r="L1052" s="45"/>
      <c r="M1052" s="6"/>
    </row>
    <row r="1053" ht="15.75" customHeight="1">
      <c r="A1053" s="39">
        <v>45825.0</v>
      </c>
      <c r="B1053" s="50"/>
      <c r="C1053" s="31" t="s">
        <v>1136</v>
      </c>
      <c r="D1053" s="32" t="s">
        <v>99</v>
      </c>
      <c r="E1053" s="31" t="s">
        <v>1150</v>
      </c>
      <c r="F1053" s="46">
        <v>45833.0</v>
      </c>
      <c r="G1053" s="22">
        <v>4.163902461E7</v>
      </c>
      <c r="H1053" s="14">
        <f t="shared" si="5"/>
        <v>8744195.168</v>
      </c>
      <c r="I1053" s="22">
        <v>1249170.74</v>
      </c>
      <c r="J1053" s="14"/>
      <c r="K1053" s="15">
        <f t="shared" si="4"/>
        <v>51632390.52</v>
      </c>
      <c r="L1053" s="45"/>
      <c r="M1053" s="6"/>
    </row>
    <row r="1054" ht="15.75" customHeight="1">
      <c r="A1054" s="39">
        <v>45825.0</v>
      </c>
      <c r="B1054" s="50"/>
      <c r="C1054" s="31" t="s">
        <v>1136</v>
      </c>
      <c r="D1054" s="32" t="s">
        <v>99</v>
      </c>
      <c r="E1054" s="32" t="s">
        <v>1151</v>
      </c>
      <c r="F1054" s="46">
        <v>45833.0</v>
      </c>
      <c r="G1054" s="22">
        <v>3.747549257E7</v>
      </c>
      <c r="H1054" s="14">
        <f t="shared" si="5"/>
        <v>7869853.44</v>
      </c>
      <c r="I1054" s="22">
        <v>1124264.78</v>
      </c>
      <c r="J1054" s="14"/>
      <c r="K1054" s="15">
        <f t="shared" si="4"/>
        <v>46469610.79</v>
      </c>
      <c r="L1054" s="45"/>
      <c r="M1054" s="6"/>
    </row>
    <row r="1055" ht="15.75" customHeight="1">
      <c r="A1055" s="39">
        <v>45825.0</v>
      </c>
      <c r="B1055" s="50"/>
      <c r="C1055" s="31" t="s">
        <v>1136</v>
      </c>
      <c r="D1055" s="32" t="s">
        <v>15</v>
      </c>
      <c r="E1055" s="31" t="s">
        <v>1152</v>
      </c>
      <c r="F1055" s="46">
        <v>45833.0</v>
      </c>
      <c r="G1055" s="22">
        <v>3.574490292E7</v>
      </c>
      <c r="H1055" s="14">
        <f t="shared" si="5"/>
        <v>7506429.613</v>
      </c>
      <c r="I1055" s="22">
        <v>1072347.09</v>
      </c>
      <c r="J1055" s="14"/>
      <c r="K1055" s="15">
        <f t="shared" si="4"/>
        <v>44323679.62</v>
      </c>
      <c r="L1055" s="45"/>
      <c r="M1055" s="6"/>
    </row>
    <row r="1056" ht="15.75" customHeight="1">
      <c r="A1056" s="39">
        <v>45825.0</v>
      </c>
      <c r="B1056" s="50"/>
      <c r="C1056" s="31" t="s">
        <v>1136</v>
      </c>
      <c r="D1056" s="32" t="s">
        <v>15</v>
      </c>
      <c r="E1056" s="31" t="s">
        <v>1153</v>
      </c>
      <c r="F1056" s="46">
        <v>45833.0</v>
      </c>
      <c r="G1056" s="22">
        <v>4.221176268E7</v>
      </c>
      <c r="H1056" s="14">
        <f t="shared" si="5"/>
        <v>8864470.163</v>
      </c>
      <c r="I1056" s="22">
        <v>1266352.88</v>
      </c>
      <c r="J1056" s="14"/>
      <c r="K1056" s="15">
        <f t="shared" si="4"/>
        <v>52342585.72</v>
      </c>
      <c r="L1056" s="45"/>
      <c r="M1056" s="6"/>
    </row>
    <row r="1057" ht="15.75" customHeight="1">
      <c r="A1057" s="39">
        <v>45825.0</v>
      </c>
      <c r="B1057" s="50"/>
      <c r="C1057" s="31" t="s">
        <v>1136</v>
      </c>
      <c r="D1057" s="32" t="s">
        <v>15</v>
      </c>
      <c r="E1057" s="32" t="s">
        <v>1154</v>
      </c>
      <c r="F1057" s="46">
        <v>45833.0</v>
      </c>
      <c r="G1057" s="22">
        <v>3.27772344E7</v>
      </c>
      <c r="H1057" s="14">
        <f t="shared" si="5"/>
        <v>6883219.224</v>
      </c>
      <c r="I1057" s="22">
        <v>983317.03</v>
      </c>
      <c r="J1057" s="14"/>
      <c r="K1057" s="15">
        <f t="shared" si="4"/>
        <v>40643770.65</v>
      </c>
      <c r="L1057" s="45"/>
      <c r="M1057" s="6"/>
    </row>
    <row r="1058" ht="15.75" customHeight="1">
      <c r="A1058" s="39">
        <v>45826.0</v>
      </c>
      <c r="B1058" s="50"/>
      <c r="C1058" s="31" t="s">
        <v>1136</v>
      </c>
      <c r="D1058" s="32" t="s">
        <v>99</v>
      </c>
      <c r="E1058" s="31" t="s">
        <v>1155</v>
      </c>
      <c r="F1058" s="46">
        <v>45833.0</v>
      </c>
      <c r="G1058" s="22">
        <v>-6.428794215E7</v>
      </c>
      <c r="H1058" s="14">
        <f t="shared" si="5"/>
        <v>-13500467.85</v>
      </c>
      <c r="I1058" s="22">
        <v>-1928638.26</v>
      </c>
      <c r="J1058" s="14"/>
      <c r="K1058" s="15">
        <f t="shared" si="4"/>
        <v>-79717048.26</v>
      </c>
      <c r="L1058" s="45"/>
      <c r="M1058" s="6"/>
    </row>
    <row r="1059" ht="15.75" customHeight="1">
      <c r="A1059" s="39">
        <v>45826.0</v>
      </c>
      <c r="B1059" s="50"/>
      <c r="C1059" s="31" t="s">
        <v>1136</v>
      </c>
      <c r="D1059" s="32" t="s">
        <v>15</v>
      </c>
      <c r="E1059" s="31" t="s">
        <v>1156</v>
      </c>
      <c r="F1059" s="46">
        <v>45833.0</v>
      </c>
      <c r="G1059" s="22">
        <v>-6.406093388E7</v>
      </c>
      <c r="H1059" s="14">
        <f t="shared" si="5"/>
        <v>-13452796.11</v>
      </c>
      <c r="I1059" s="22">
        <v>-1921828.02</v>
      </c>
      <c r="J1059" s="14"/>
      <c r="K1059" s="15">
        <f t="shared" si="4"/>
        <v>-79435558.01</v>
      </c>
      <c r="L1059" s="45"/>
      <c r="M1059" s="6"/>
    </row>
    <row r="1060" ht="15.75" customHeight="1">
      <c r="A1060" s="39">
        <v>45827.0</v>
      </c>
      <c r="B1060" s="50"/>
      <c r="C1060" s="31" t="s">
        <v>1136</v>
      </c>
      <c r="D1060" s="32" t="s">
        <v>15</v>
      </c>
      <c r="E1060" s="31" t="s">
        <v>1157</v>
      </c>
      <c r="F1060" s="46">
        <v>45833.0</v>
      </c>
      <c r="G1060" s="22">
        <v>495867.77</v>
      </c>
      <c r="H1060" s="14">
        <f t="shared" si="5"/>
        <v>104132.2317</v>
      </c>
      <c r="I1060" s="22">
        <v>14876.03</v>
      </c>
      <c r="J1060" s="14"/>
      <c r="K1060" s="15">
        <f t="shared" si="4"/>
        <v>614876.0317</v>
      </c>
      <c r="L1060" s="45"/>
      <c r="M1060" s="6"/>
    </row>
    <row r="1061" ht="15.75" customHeight="1">
      <c r="A1061" s="39">
        <v>45827.0</v>
      </c>
      <c r="B1061" s="50"/>
      <c r="C1061" s="31" t="s">
        <v>1032</v>
      </c>
      <c r="D1061" s="32" t="s">
        <v>15</v>
      </c>
      <c r="E1061" s="31" t="s">
        <v>1158</v>
      </c>
      <c r="F1061" s="46">
        <v>45833.0</v>
      </c>
      <c r="G1061" s="22">
        <v>8150130.12</v>
      </c>
      <c r="H1061" s="14">
        <f t="shared" si="5"/>
        <v>1711527.325</v>
      </c>
      <c r="I1061" s="14"/>
      <c r="J1061" s="14"/>
      <c r="K1061" s="15">
        <f t="shared" si="4"/>
        <v>9861657.445</v>
      </c>
      <c r="L1061" s="45"/>
      <c r="M1061" s="24">
        <v>45835.0</v>
      </c>
    </row>
    <row r="1062" ht="15.75" customHeight="1">
      <c r="A1062" s="39">
        <v>45827.0</v>
      </c>
      <c r="B1062" s="50"/>
      <c r="C1062" s="31" t="s">
        <v>1032</v>
      </c>
      <c r="D1062" s="32" t="s">
        <v>99</v>
      </c>
      <c r="E1062" s="31" t="s">
        <v>1159</v>
      </c>
      <c r="F1062" s="46">
        <v>45833.0</v>
      </c>
      <c r="G1062" s="22">
        <v>7530805.21</v>
      </c>
      <c r="H1062" s="14">
        <f t="shared" si="5"/>
        <v>1581469.094</v>
      </c>
      <c r="I1062" s="14"/>
      <c r="J1062" s="14"/>
      <c r="K1062" s="15">
        <f t="shared" si="4"/>
        <v>9112274.304</v>
      </c>
      <c r="L1062" s="45"/>
      <c r="M1062" s="24">
        <v>45835.0</v>
      </c>
    </row>
    <row r="1063" ht="15.75" customHeight="1">
      <c r="A1063" s="39">
        <v>45827.0</v>
      </c>
      <c r="B1063" s="50"/>
      <c r="C1063" s="31" t="s">
        <v>890</v>
      </c>
      <c r="D1063" s="32" t="s">
        <v>99</v>
      </c>
      <c r="E1063" s="31" t="s">
        <v>1160</v>
      </c>
      <c r="F1063" s="46">
        <v>45833.0</v>
      </c>
      <c r="G1063" s="22">
        <v>8110508.15</v>
      </c>
      <c r="H1063" s="14">
        <f t="shared" si="5"/>
        <v>1703206.712</v>
      </c>
      <c r="I1063" s="14"/>
      <c r="J1063" s="14"/>
      <c r="K1063" s="15">
        <f t="shared" si="4"/>
        <v>9813714.862</v>
      </c>
      <c r="L1063" s="45"/>
      <c r="M1063" s="24">
        <v>45835.0</v>
      </c>
    </row>
    <row r="1064" ht="15.75" customHeight="1">
      <c r="A1064" s="39">
        <v>45827.0</v>
      </c>
      <c r="B1064" s="50"/>
      <c r="C1064" s="31" t="s">
        <v>890</v>
      </c>
      <c r="D1064" s="32" t="s">
        <v>15</v>
      </c>
      <c r="E1064" s="31" t="s">
        <v>1161</v>
      </c>
      <c r="F1064" s="46">
        <v>45833.0</v>
      </c>
      <c r="G1064" s="22">
        <v>7810203.34</v>
      </c>
      <c r="H1064" s="14">
        <f t="shared" si="5"/>
        <v>1640142.701</v>
      </c>
      <c r="I1064" s="14"/>
      <c r="J1064" s="14"/>
      <c r="K1064" s="15">
        <f t="shared" si="4"/>
        <v>9450346.041</v>
      </c>
      <c r="L1064" s="45"/>
      <c r="M1064" s="24">
        <v>45835.0</v>
      </c>
    </row>
    <row r="1065" ht="15.75" customHeight="1">
      <c r="A1065" s="39">
        <v>45827.0</v>
      </c>
      <c r="B1065" s="50"/>
      <c r="C1065" s="32" t="s">
        <v>122</v>
      </c>
      <c r="D1065" s="32" t="s">
        <v>15</v>
      </c>
      <c r="E1065" s="32" t="s">
        <v>1162</v>
      </c>
      <c r="F1065" s="46">
        <v>45833.0</v>
      </c>
      <c r="G1065" s="22">
        <v>4970132.23</v>
      </c>
      <c r="H1065" s="14">
        <f t="shared" si="5"/>
        <v>1043727.768</v>
      </c>
      <c r="I1065" s="14"/>
      <c r="J1065" s="14"/>
      <c r="K1065" s="15">
        <f t="shared" si="4"/>
        <v>6013859.998</v>
      </c>
      <c r="L1065" s="45"/>
      <c r="M1065" s="24">
        <v>45901.0</v>
      </c>
    </row>
    <row r="1066" ht="15.75" customHeight="1">
      <c r="A1066" s="39">
        <v>45923.0</v>
      </c>
      <c r="B1066" s="87"/>
      <c r="C1066" s="31" t="s">
        <v>137</v>
      </c>
      <c r="D1066" s="32" t="s">
        <v>99</v>
      </c>
      <c r="E1066" s="32" t="s">
        <v>1163</v>
      </c>
      <c r="F1066" s="32" t="s">
        <v>208</v>
      </c>
      <c r="G1066" s="53">
        <v>1.280932071E7</v>
      </c>
      <c r="H1066" s="14">
        <f t="shared" si="5"/>
        <v>2689957.349</v>
      </c>
      <c r="I1066" s="50"/>
      <c r="J1066" s="14"/>
      <c r="K1066" s="15">
        <f t="shared" si="4"/>
        <v>15499278.06</v>
      </c>
      <c r="L1066" s="45"/>
      <c r="M1066" s="6"/>
    </row>
    <row r="1067" ht="15.75" customHeight="1">
      <c r="A1067" s="39">
        <v>45923.0</v>
      </c>
      <c r="B1067" s="87"/>
      <c r="C1067" s="31" t="s">
        <v>137</v>
      </c>
      <c r="D1067" s="32" t="s">
        <v>15</v>
      </c>
      <c r="E1067" s="31" t="s">
        <v>1164</v>
      </c>
      <c r="F1067" s="32" t="s">
        <v>208</v>
      </c>
      <c r="G1067" s="53">
        <v>-1.350896036E7</v>
      </c>
      <c r="H1067" s="14">
        <f t="shared" si="5"/>
        <v>-2836881.676</v>
      </c>
      <c r="I1067" s="22">
        <v>-405268.81</v>
      </c>
      <c r="J1067" s="22">
        <v>-270179.21</v>
      </c>
      <c r="K1067" s="15">
        <f t="shared" si="4"/>
        <v>-17021290.06</v>
      </c>
      <c r="L1067" s="45"/>
      <c r="M1067" s="6"/>
    </row>
    <row r="1068" ht="15.75" customHeight="1">
      <c r="A1068" s="39">
        <v>45777.0</v>
      </c>
      <c r="B1068" s="50"/>
      <c r="C1068" s="31" t="s">
        <v>137</v>
      </c>
      <c r="D1068" s="32" t="s">
        <v>15</v>
      </c>
      <c r="E1068" s="31" t="s">
        <v>1165</v>
      </c>
      <c r="F1068" s="46">
        <v>45772.0</v>
      </c>
      <c r="G1068" s="22">
        <v>1.698947124E7</v>
      </c>
      <c r="H1068" s="14">
        <f t="shared" si="5"/>
        <v>3567788.96</v>
      </c>
      <c r="I1068" s="14"/>
      <c r="J1068" s="14"/>
      <c r="K1068" s="15">
        <f t="shared" si="4"/>
        <v>20557260.2</v>
      </c>
      <c r="L1068" s="45"/>
      <c r="M1068" s="24">
        <v>45842.0</v>
      </c>
    </row>
    <row r="1069" ht="15.75" customHeight="1">
      <c r="A1069" s="39">
        <v>45785.0</v>
      </c>
      <c r="B1069" s="50"/>
      <c r="C1069" s="31" t="s">
        <v>137</v>
      </c>
      <c r="D1069" s="32" t="s">
        <v>15</v>
      </c>
      <c r="E1069" s="31" t="s">
        <v>1166</v>
      </c>
      <c r="F1069" s="46">
        <v>45802.0</v>
      </c>
      <c r="G1069" s="22">
        <v>1.485002146E7</v>
      </c>
      <c r="H1069" s="14">
        <f t="shared" si="5"/>
        <v>3118504.507</v>
      </c>
      <c r="I1069" s="14"/>
      <c r="J1069" s="22">
        <v>371250.54</v>
      </c>
      <c r="K1069" s="15">
        <f t="shared" si="4"/>
        <v>18339776.51</v>
      </c>
      <c r="L1069" s="45"/>
      <c r="M1069" s="24">
        <v>45820.0</v>
      </c>
    </row>
    <row r="1070" ht="15.75" customHeight="1">
      <c r="A1070" s="39">
        <v>45831.0</v>
      </c>
      <c r="B1070" s="50"/>
      <c r="C1070" s="32" t="s">
        <v>1167</v>
      </c>
      <c r="D1070" s="32" t="s">
        <v>15</v>
      </c>
      <c r="E1070" s="31" t="s">
        <v>1168</v>
      </c>
      <c r="F1070" s="46">
        <v>45833.0</v>
      </c>
      <c r="G1070" s="22">
        <v>6119619.26</v>
      </c>
      <c r="H1070" s="14">
        <f t="shared" si="5"/>
        <v>1285120.045</v>
      </c>
      <c r="I1070" s="14"/>
      <c r="J1070" s="22">
        <v>97913.91</v>
      </c>
      <c r="K1070" s="15">
        <f t="shared" si="4"/>
        <v>7502653.215</v>
      </c>
      <c r="L1070" s="45"/>
      <c r="M1070" s="24">
        <v>45832.0</v>
      </c>
    </row>
    <row r="1071" ht="15.75" customHeight="1">
      <c r="A1071" s="39">
        <v>45831.0</v>
      </c>
      <c r="B1071" s="50"/>
      <c r="C1071" s="31" t="s">
        <v>1136</v>
      </c>
      <c r="D1071" s="32" t="s">
        <v>15</v>
      </c>
      <c r="E1071" s="31" t="s">
        <v>1169</v>
      </c>
      <c r="F1071" s="46">
        <v>45833.0</v>
      </c>
      <c r="G1071" s="22">
        <v>2.52229874E7</v>
      </c>
      <c r="H1071" s="14">
        <f t="shared" si="5"/>
        <v>5296827.354</v>
      </c>
      <c r="I1071" s="22">
        <v>756689.62</v>
      </c>
      <c r="J1071" s="14"/>
      <c r="K1071" s="15">
        <f t="shared" si="4"/>
        <v>31276504.37</v>
      </c>
      <c r="L1071" s="45"/>
      <c r="M1071" s="6"/>
    </row>
    <row r="1072" ht="15.75" customHeight="1">
      <c r="A1072" s="39">
        <v>45831.0</v>
      </c>
      <c r="B1072" s="50"/>
      <c r="C1072" s="31" t="s">
        <v>1136</v>
      </c>
      <c r="D1072" s="32" t="s">
        <v>15</v>
      </c>
      <c r="E1072" s="31" t="s">
        <v>1170</v>
      </c>
      <c r="F1072" s="46">
        <v>45833.0</v>
      </c>
      <c r="G1072" s="22">
        <v>2.328581308E7</v>
      </c>
      <c r="H1072" s="14">
        <f t="shared" si="5"/>
        <v>4890020.747</v>
      </c>
      <c r="I1072" s="22">
        <v>698574.39</v>
      </c>
      <c r="J1072" s="14"/>
      <c r="K1072" s="15">
        <f t="shared" si="4"/>
        <v>28874408.22</v>
      </c>
      <c r="L1072" s="45"/>
      <c r="M1072" s="6"/>
    </row>
    <row r="1073" ht="15.75" customHeight="1">
      <c r="A1073" s="55">
        <v>45832.0</v>
      </c>
      <c r="B1073" s="56"/>
      <c r="C1073" s="57" t="s">
        <v>1040</v>
      </c>
      <c r="D1073" s="57" t="s">
        <v>1041</v>
      </c>
      <c r="E1073" s="57" t="s">
        <v>1171</v>
      </c>
      <c r="F1073" s="59">
        <v>45833.0</v>
      </c>
      <c r="G1073" s="44">
        <v>2.05548843E7</v>
      </c>
      <c r="H1073" s="9">
        <f t="shared" si="5"/>
        <v>4316525.703</v>
      </c>
      <c r="I1073" s="60"/>
      <c r="J1073" s="60"/>
      <c r="K1073" s="15">
        <f t="shared" si="4"/>
        <v>24871410</v>
      </c>
      <c r="L1073" s="61"/>
      <c r="M1073" s="62"/>
    </row>
    <row r="1074" ht="15.75" customHeight="1">
      <c r="A1074" s="55">
        <v>45832.0</v>
      </c>
      <c r="B1074" s="56"/>
      <c r="C1074" s="57" t="s">
        <v>1040</v>
      </c>
      <c r="D1074" s="57" t="s">
        <v>1041</v>
      </c>
      <c r="E1074" s="57" t="s">
        <v>1172</v>
      </c>
      <c r="F1074" s="59">
        <v>45833.0</v>
      </c>
      <c r="G1074" s="133">
        <v>7230888.43</v>
      </c>
      <c r="H1074" s="9">
        <f t="shared" si="5"/>
        <v>1518486.57</v>
      </c>
      <c r="I1074" s="60"/>
      <c r="J1074" s="60"/>
      <c r="K1074" s="15">
        <f t="shared" si="4"/>
        <v>8749375</v>
      </c>
      <c r="L1074" s="61"/>
      <c r="M1074" s="62"/>
    </row>
    <row r="1075" ht="15.75" customHeight="1">
      <c r="A1075" s="55">
        <v>45832.0</v>
      </c>
      <c r="B1075" s="56"/>
      <c r="C1075" s="57" t="s">
        <v>1040</v>
      </c>
      <c r="D1075" s="57" t="s">
        <v>1041</v>
      </c>
      <c r="E1075" s="57" t="s">
        <v>1173</v>
      </c>
      <c r="F1075" s="59">
        <v>45833.0</v>
      </c>
      <c r="G1075" s="44">
        <v>1.95225E7</v>
      </c>
      <c r="H1075" s="9">
        <f t="shared" si="5"/>
        <v>4099725</v>
      </c>
      <c r="I1075" s="60"/>
      <c r="J1075" s="60"/>
      <c r="K1075" s="15">
        <f t="shared" si="4"/>
        <v>23622225</v>
      </c>
      <c r="L1075" s="61"/>
      <c r="M1075" s="62"/>
    </row>
    <row r="1076" ht="15.75" customHeight="1">
      <c r="A1076" s="39">
        <v>45832.0</v>
      </c>
      <c r="B1076" s="50"/>
      <c r="C1076" s="31" t="s">
        <v>429</v>
      </c>
      <c r="D1076" s="32" t="s">
        <v>99</v>
      </c>
      <c r="E1076" s="31" t="s">
        <v>1174</v>
      </c>
      <c r="F1076" s="46">
        <v>45833.0</v>
      </c>
      <c r="G1076" s="22">
        <v>4973320.41</v>
      </c>
      <c r="H1076" s="14">
        <f t="shared" si="5"/>
        <v>1044397.286</v>
      </c>
      <c r="I1076" s="14"/>
      <c r="J1076" s="14"/>
      <c r="K1076" s="15">
        <f t="shared" si="4"/>
        <v>6017717.696</v>
      </c>
      <c r="L1076" s="45"/>
      <c r="M1076" s="19" t="s">
        <v>1175</v>
      </c>
    </row>
    <row r="1077" ht="15.75" customHeight="1">
      <c r="A1077" s="39">
        <v>45832.0</v>
      </c>
      <c r="B1077" s="50"/>
      <c r="C1077" s="31" t="s">
        <v>429</v>
      </c>
      <c r="D1077" s="32" t="s">
        <v>99</v>
      </c>
      <c r="E1077" s="31" t="s">
        <v>1176</v>
      </c>
      <c r="F1077" s="46">
        <v>45833.0</v>
      </c>
      <c r="G1077" s="22">
        <v>5029840.17</v>
      </c>
      <c r="H1077" s="14">
        <f t="shared" si="5"/>
        <v>1056266.436</v>
      </c>
      <c r="I1077" s="14"/>
      <c r="J1077" s="22">
        <v>5029.84</v>
      </c>
      <c r="K1077" s="15">
        <f t="shared" si="4"/>
        <v>6091136.446</v>
      </c>
      <c r="L1077" s="45"/>
      <c r="M1077" s="19" t="s">
        <v>1175</v>
      </c>
    </row>
    <row r="1078" ht="15.75" customHeight="1">
      <c r="A1078" s="39">
        <v>45832.0</v>
      </c>
      <c r="B1078" s="50"/>
      <c r="C1078" s="31" t="s">
        <v>1177</v>
      </c>
      <c r="D1078" s="32" t="s">
        <v>99</v>
      </c>
      <c r="E1078" s="31" t="s">
        <v>1178</v>
      </c>
      <c r="F1078" s="46">
        <v>45833.0</v>
      </c>
      <c r="G1078" s="22">
        <v>6004880.14</v>
      </c>
      <c r="H1078" s="14">
        <f t="shared" si="5"/>
        <v>1261024.829</v>
      </c>
      <c r="I1078" s="14"/>
      <c r="J1078" s="22">
        <v>30024.4</v>
      </c>
      <c r="K1078" s="15">
        <f t="shared" si="4"/>
        <v>7295929.369</v>
      </c>
      <c r="L1078" s="45"/>
      <c r="M1078" s="24">
        <v>45861.0</v>
      </c>
    </row>
    <row r="1079" ht="15.75" customHeight="1">
      <c r="A1079" s="39">
        <v>45832.0</v>
      </c>
      <c r="B1079" s="50"/>
      <c r="C1079" s="31" t="s">
        <v>1179</v>
      </c>
      <c r="D1079" s="32" t="s">
        <v>99</v>
      </c>
      <c r="E1079" s="31" t="s">
        <v>1180</v>
      </c>
      <c r="F1079" s="46">
        <v>45833.0</v>
      </c>
      <c r="G1079" s="22">
        <v>1.112174021E7</v>
      </c>
      <c r="H1079" s="14">
        <f t="shared" si="5"/>
        <v>2335565.444</v>
      </c>
      <c r="I1079" s="14"/>
      <c r="J1079" s="14"/>
      <c r="K1079" s="15">
        <f t="shared" si="4"/>
        <v>13457305.65</v>
      </c>
      <c r="L1079" s="45"/>
      <c r="M1079" s="24">
        <v>45889.0</v>
      </c>
    </row>
    <row r="1080" ht="15.75" customHeight="1">
      <c r="A1080" s="39">
        <v>45832.0</v>
      </c>
      <c r="B1080" s="50"/>
      <c r="C1080" s="31" t="s">
        <v>1179</v>
      </c>
      <c r="D1080" s="32" t="s">
        <v>99</v>
      </c>
      <c r="E1080" s="31" t="s">
        <v>1181</v>
      </c>
      <c r="F1080" s="46">
        <v>45833.0</v>
      </c>
      <c r="G1080" s="22">
        <v>9882570.14</v>
      </c>
      <c r="H1080" s="14">
        <f t="shared" si="5"/>
        <v>2075339.729</v>
      </c>
      <c r="I1080" s="14"/>
      <c r="J1080" s="22">
        <v>148238.55</v>
      </c>
      <c r="K1080" s="15">
        <f t="shared" si="4"/>
        <v>12106148.42</v>
      </c>
      <c r="L1080" s="45"/>
      <c r="M1080" s="24">
        <v>45862.0</v>
      </c>
    </row>
    <row r="1081" ht="15.75" customHeight="1">
      <c r="A1081" s="39">
        <v>45832.0</v>
      </c>
      <c r="B1081" s="50"/>
      <c r="C1081" s="31" t="s">
        <v>1179</v>
      </c>
      <c r="D1081" s="32" t="s">
        <v>15</v>
      </c>
      <c r="E1081" s="31" t="s">
        <v>1182</v>
      </c>
      <c r="F1081" s="46">
        <v>45833.0</v>
      </c>
      <c r="G1081" s="22">
        <v>1.302173009E7</v>
      </c>
      <c r="H1081" s="14">
        <f t="shared" si="5"/>
        <v>2734563.319</v>
      </c>
      <c r="I1081" s="14"/>
      <c r="J1081" s="22">
        <v>195325.95</v>
      </c>
      <c r="K1081" s="15">
        <f t="shared" si="4"/>
        <v>15951619.36</v>
      </c>
      <c r="L1081" s="45"/>
      <c r="M1081" s="6"/>
    </row>
    <row r="1082" ht="15.75" customHeight="1">
      <c r="A1082" s="39">
        <v>45832.0</v>
      </c>
      <c r="B1082" s="50"/>
      <c r="C1082" s="31" t="s">
        <v>1183</v>
      </c>
      <c r="D1082" s="32" t="s">
        <v>15</v>
      </c>
      <c r="E1082" s="31" t="s">
        <v>1184</v>
      </c>
      <c r="F1082" s="46">
        <v>45833.0</v>
      </c>
      <c r="G1082" s="22">
        <v>4997420.21</v>
      </c>
      <c r="H1082" s="14">
        <f t="shared" si="5"/>
        <v>1049458.244</v>
      </c>
      <c r="I1082" s="14"/>
      <c r="J1082" s="14"/>
      <c r="K1082" s="15">
        <f t="shared" si="4"/>
        <v>6046878.454</v>
      </c>
      <c r="L1082" s="45"/>
      <c r="M1082" s="24">
        <v>45834.0</v>
      </c>
    </row>
    <row r="1083" ht="15.75" customHeight="1">
      <c r="A1083" s="39">
        <v>45832.0</v>
      </c>
      <c r="B1083" s="50"/>
      <c r="C1083" s="31" t="s">
        <v>1183</v>
      </c>
      <c r="D1083" s="32" t="s">
        <v>15</v>
      </c>
      <c r="E1083" s="31" t="s">
        <v>1185</v>
      </c>
      <c r="F1083" s="46">
        <v>45833.0</v>
      </c>
      <c r="G1083" s="22">
        <v>5105380.16</v>
      </c>
      <c r="H1083" s="14">
        <f t="shared" si="5"/>
        <v>1072129.834</v>
      </c>
      <c r="I1083" s="14"/>
      <c r="J1083" s="14"/>
      <c r="K1083" s="15">
        <f t="shared" si="4"/>
        <v>6177509.994</v>
      </c>
      <c r="L1083" s="45"/>
      <c r="M1083" s="24">
        <v>45834.0</v>
      </c>
    </row>
    <row r="1084" ht="15.75" customHeight="1">
      <c r="A1084" s="39">
        <v>45832.0</v>
      </c>
      <c r="B1084" s="50"/>
      <c r="C1084" s="31" t="s">
        <v>1183</v>
      </c>
      <c r="D1084" s="32" t="s">
        <v>15</v>
      </c>
      <c r="E1084" s="31" t="s">
        <v>1186</v>
      </c>
      <c r="F1084" s="46">
        <v>45833.0</v>
      </c>
      <c r="G1084" s="22">
        <v>4897330.14</v>
      </c>
      <c r="H1084" s="14">
        <f t="shared" si="5"/>
        <v>1028439.329</v>
      </c>
      <c r="I1084" s="14"/>
      <c r="J1084" s="14"/>
      <c r="K1084" s="15">
        <f t="shared" si="4"/>
        <v>5925769.469</v>
      </c>
      <c r="L1084" s="45"/>
      <c r="M1084" s="24">
        <v>45834.0</v>
      </c>
    </row>
    <row r="1085" ht="15.75" customHeight="1">
      <c r="A1085" s="39">
        <v>45832.0</v>
      </c>
      <c r="B1085" s="50"/>
      <c r="C1085" s="31" t="s">
        <v>1183</v>
      </c>
      <c r="D1085" s="32" t="s">
        <v>15</v>
      </c>
      <c r="E1085" s="31" t="s">
        <v>1187</v>
      </c>
      <c r="F1085" s="46">
        <v>45833.0</v>
      </c>
      <c r="G1085" s="22">
        <v>4905580.68</v>
      </c>
      <c r="H1085" s="14">
        <f t="shared" si="5"/>
        <v>1030171.943</v>
      </c>
      <c r="I1085" s="22">
        <v>147167.42</v>
      </c>
      <c r="J1085" s="14"/>
      <c r="K1085" s="15">
        <f t="shared" si="4"/>
        <v>6082920.043</v>
      </c>
      <c r="L1085" s="45"/>
      <c r="M1085" s="24">
        <v>45834.0</v>
      </c>
    </row>
    <row r="1086" ht="15.75" customHeight="1">
      <c r="A1086" s="39">
        <v>45832.0</v>
      </c>
      <c r="B1086" s="50"/>
      <c r="C1086" s="31" t="s">
        <v>1183</v>
      </c>
      <c r="D1086" s="32" t="s">
        <v>15</v>
      </c>
      <c r="E1086" s="31" t="s">
        <v>1188</v>
      </c>
      <c r="F1086" s="46">
        <v>45833.0</v>
      </c>
      <c r="G1086" s="22">
        <v>1.010799023E7</v>
      </c>
      <c r="H1086" s="14">
        <f t="shared" si="5"/>
        <v>2122677.948</v>
      </c>
      <c r="I1086" s="22">
        <v>303239.71</v>
      </c>
      <c r="J1086" s="14"/>
      <c r="K1086" s="15">
        <f t="shared" si="4"/>
        <v>12533907.89</v>
      </c>
      <c r="L1086" s="45"/>
      <c r="M1086" s="24">
        <v>45834.0</v>
      </c>
    </row>
    <row r="1087" ht="15.75" customHeight="1">
      <c r="A1087" s="39">
        <v>45832.0</v>
      </c>
      <c r="B1087" s="50"/>
      <c r="C1087" s="31" t="s">
        <v>1189</v>
      </c>
      <c r="D1087" s="32" t="s">
        <v>15</v>
      </c>
      <c r="E1087" s="31" t="s">
        <v>1190</v>
      </c>
      <c r="F1087" s="46">
        <v>45833.0</v>
      </c>
      <c r="G1087" s="22">
        <v>4982430.61</v>
      </c>
      <c r="H1087" s="14">
        <f t="shared" si="5"/>
        <v>1046310.428</v>
      </c>
      <c r="I1087" s="14"/>
      <c r="J1087" s="14"/>
      <c r="K1087" s="15">
        <f t="shared" si="4"/>
        <v>6028741.038</v>
      </c>
      <c r="L1087" s="45"/>
      <c r="M1087" s="24">
        <v>45833.0</v>
      </c>
    </row>
    <row r="1088" ht="15.75" customHeight="1">
      <c r="A1088" s="39">
        <v>45832.0</v>
      </c>
      <c r="B1088" s="50"/>
      <c r="C1088" s="31" t="s">
        <v>1189</v>
      </c>
      <c r="D1088" s="32" t="s">
        <v>15</v>
      </c>
      <c r="E1088" s="31" t="s">
        <v>1191</v>
      </c>
      <c r="F1088" s="46">
        <v>45833.0</v>
      </c>
      <c r="G1088" s="22">
        <v>5121460.46</v>
      </c>
      <c r="H1088" s="14">
        <f t="shared" si="5"/>
        <v>1075506.697</v>
      </c>
      <c r="I1088" s="14"/>
      <c r="J1088" s="14"/>
      <c r="K1088" s="15">
        <f t="shared" si="4"/>
        <v>6196967.157</v>
      </c>
      <c r="L1088" s="45"/>
      <c r="M1088" s="24">
        <v>45833.0</v>
      </c>
    </row>
    <row r="1089" ht="15.75" customHeight="1">
      <c r="A1089" s="39">
        <v>45832.0</v>
      </c>
      <c r="B1089" s="50"/>
      <c r="C1089" s="31" t="s">
        <v>1189</v>
      </c>
      <c r="D1089" s="32" t="s">
        <v>15</v>
      </c>
      <c r="E1089" s="31" t="s">
        <v>1192</v>
      </c>
      <c r="F1089" s="46">
        <v>45833.0</v>
      </c>
      <c r="G1089" s="22">
        <v>4876590.24</v>
      </c>
      <c r="H1089" s="14">
        <f t="shared" si="5"/>
        <v>1024083.95</v>
      </c>
      <c r="I1089" s="14"/>
      <c r="J1089" s="14"/>
      <c r="K1089" s="15">
        <f t="shared" si="4"/>
        <v>5900674.19</v>
      </c>
      <c r="L1089" s="45"/>
      <c r="M1089" s="24">
        <v>45833.0</v>
      </c>
    </row>
    <row r="1090" ht="15.75" customHeight="1">
      <c r="A1090" s="39">
        <v>45832.0</v>
      </c>
      <c r="B1090" s="50"/>
      <c r="C1090" s="31" t="s">
        <v>1189</v>
      </c>
      <c r="D1090" s="32" t="s">
        <v>15</v>
      </c>
      <c r="E1090" s="31" t="s">
        <v>1193</v>
      </c>
      <c r="F1090" s="46">
        <v>45833.0</v>
      </c>
      <c r="G1090" s="22">
        <v>4827710.26</v>
      </c>
      <c r="H1090" s="14">
        <f t="shared" si="5"/>
        <v>1013819.155</v>
      </c>
      <c r="I1090" s="22">
        <v>144831.31</v>
      </c>
      <c r="J1090" s="14"/>
      <c r="K1090" s="15">
        <f t="shared" si="4"/>
        <v>5986360.725</v>
      </c>
      <c r="L1090" s="45"/>
      <c r="M1090" s="24">
        <v>45833.0</v>
      </c>
    </row>
    <row r="1091" ht="15.75" customHeight="1">
      <c r="A1091" s="39">
        <v>45832.0</v>
      </c>
      <c r="B1091" s="50"/>
      <c r="C1091" s="31" t="s">
        <v>1189</v>
      </c>
      <c r="D1091" s="32" t="s">
        <v>15</v>
      </c>
      <c r="E1091" s="31" t="s">
        <v>1194</v>
      </c>
      <c r="F1091" s="46">
        <v>45833.0</v>
      </c>
      <c r="G1091" s="22">
        <v>1.010982016E7</v>
      </c>
      <c r="H1091" s="14">
        <f t="shared" si="5"/>
        <v>2123062.234</v>
      </c>
      <c r="I1091" s="22">
        <v>303294.6</v>
      </c>
      <c r="J1091" s="14"/>
      <c r="K1091" s="15">
        <f t="shared" si="4"/>
        <v>12536176.99</v>
      </c>
      <c r="L1091" s="45"/>
      <c r="M1091" s="24">
        <v>45833.0</v>
      </c>
    </row>
    <row r="1092" ht="15.75" customHeight="1">
      <c r="A1092" s="39">
        <v>45832.0</v>
      </c>
      <c r="B1092" s="50"/>
      <c r="C1092" s="31" t="s">
        <v>247</v>
      </c>
      <c r="D1092" s="32" t="s">
        <v>15</v>
      </c>
      <c r="E1092" s="31" t="s">
        <v>1195</v>
      </c>
      <c r="F1092" s="46">
        <v>45833.0</v>
      </c>
      <c r="G1092" s="22">
        <v>9465890.73</v>
      </c>
      <c r="H1092" s="14">
        <f t="shared" si="5"/>
        <v>1987837.053</v>
      </c>
      <c r="I1092" s="14"/>
      <c r="J1092" s="14"/>
      <c r="K1092" s="15">
        <f t="shared" si="4"/>
        <v>11453727.78</v>
      </c>
      <c r="L1092" s="45"/>
      <c r="M1092" s="24">
        <v>45839.0</v>
      </c>
    </row>
    <row r="1093" ht="15.75" customHeight="1">
      <c r="A1093" s="39">
        <v>45832.0</v>
      </c>
      <c r="B1093" s="50"/>
      <c r="C1093" s="31" t="s">
        <v>247</v>
      </c>
      <c r="D1093" s="32" t="s">
        <v>15</v>
      </c>
      <c r="E1093" s="31" t="s">
        <v>1196</v>
      </c>
      <c r="F1093" s="46">
        <v>45833.0</v>
      </c>
      <c r="G1093" s="22">
        <v>8221430.51</v>
      </c>
      <c r="H1093" s="14">
        <f t="shared" si="5"/>
        <v>1726500.407</v>
      </c>
      <c r="I1093" s="14"/>
      <c r="J1093" s="14"/>
      <c r="K1093" s="15">
        <f t="shared" si="4"/>
        <v>9947930.917</v>
      </c>
      <c r="L1093" s="45"/>
      <c r="M1093" s="24">
        <v>45839.0</v>
      </c>
    </row>
    <row r="1094" ht="15.75" customHeight="1">
      <c r="A1094" s="39">
        <v>45832.0</v>
      </c>
      <c r="B1094" s="50"/>
      <c r="C1094" s="31" t="s">
        <v>247</v>
      </c>
      <c r="D1094" s="32" t="s">
        <v>15</v>
      </c>
      <c r="E1094" s="31" t="s">
        <v>1197</v>
      </c>
      <c r="F1094" s="46">
        <v>45833.0</v>
      </c>
      <c r="G1094" s="22">
        <v>8932740.97</v>
      </c>
      <c r="H1094" s="14">
        <f t="shared" si="5"/>
        <v>1875875.604</v>
      </c>
      <c r="I1094" s="14"/>
      <c r="J1094" s="14"/>
      <c r="K1094" s="15">
        <f t="shared" si="4"/>
        <v>10808616.57</v>
      </c>
      <c r="L1094" s="45"/>
      <c r="M1094" s="24">
        <v>45839.0</v>
      </c>
    </row>
    <row r="1095" ht="15.75" customHeight="1">
      <c r="A1095" s="39">
        <v>45832.0</v>
      </c>
      <c r="B1095" s="50"/>
      <c r="C1095" s="31" t="s">
        <v>247</v>
      </c>
      <c r="D1095" s="32" t="s">
        <v>15</v>
      </c>
      <c r="E1095" s="31" t="s">
        <v>1198</v>
      </c>
      <c r="F1095" s="46">
        <v>45833.0</v>
      </c>
      <c r="G1095" s="22">
        <v>8394950.29</v>
      </c>
      <c r="H1095" s="14">
        <f t="shared" si="5"/>
        <v>1762939.561</v>
      </c>
      <c r="I1095" s="14"/>
      <c r="J1095" s="14"/>
      <c r="K1095" s="15">
        <f t="shared" si="4"/>
        <v>10157889.85</v>
      </c>
      <c r="L1095" s="45"/>
      <c r="M1095" s="24">
        <v>45839.0</v>
      </c>
    </row>
    <row r="1096" ht="15.75" customHeight="1">
      <c r="A1096" s="39">
        <v>45832.0</v>
      </c>
      <c r="B1096" s="50"/>
      <c r="C1096" s="31" t="s">
        <v>1199</v>
      </c>
      <c r="D1096" s="32" t="s">
        <v>15</v>
      </c>
      <c r="E1096" s="31" t="s">
        <v>1200</v>
      </c>
      <c r="F1096" s="46">
        <v>45833.0</v>
      </c>
      <c r="G1096" s="22">
        <v>6129530.25</v>
      </c>
      <c r="H1096" s="14">
        <f t="shared" si="5"/>
        <v>1287201.353</v>
      </c>
      <c r="I1096" s="14"/>
      <c r="J1096" s="14"/>
      <c r="K1096" s="15">
        <f t="shared" si="4"/>
        <v>7416731.603</v>
      </c>
      <c r="L1096" s="45"/>
      <c r="M1096" s="24">
        <v>45834.0</v>
      </c>
    </row>
    <row r="1097" ht="15.75" customHeight="1">
      <c r="A1097" s="39">
        <v>45832.0</v>
      </c>
      <c r="B1097" s="50"/>
      <c r="C1097" s="31" t="s">
        <v>1199</v>
      </c>
      <c r="D1097" s="32" t="s">
        <v>15</v>
      </c>
      <c r="E1097" s="31" t="s">
        <v>1201</v>
      </c>
      <c r="F1097" s="46">
        <v>45833.0</v>
      </c>
      <c r="G1097" s="22">
        <v>5872930.84</v>
      </c>
      <c r="H1097" s="14">
        <f t="shared" si="5"/>
        <v>1233315.476</v>
      </c>
      <c r="I1097" s="14"/>
      <c r="J1097" s="14"/>
      <c r="K1097" s="15">
        <f t="shared" si="4"/>
        <v>7106246.316</v>
      </c>
      <c r="L1097" s="45"/>
      <c r="M1097" s="24">
        <v>45834.0</v>
      </c>
    </row>
    <row r="1098" ht="15.75" customHeight="1">
      <c r="A1098" s="39">
        <v>45832.0</v>
      </c>
      <c r="B1098" s="50"/>
      <c r="C1098" s="31" t="s">
        <v>561</v>
      </c>
      <c r="D1098" s="32" t="s">
        <v>15</v>
      </c>
      <c r="E1098" s="31" t="s">
        <v>1202</v>
      </c>
      <c r="F1098" s="46">
        <v>45833.0</v>
      </c>
      <c r="G1098" s="22">
        <v>1.293823808E7</v>
      </c>
      <c r="H1098" s="14">
        <f t="shared" si="5"/>
        <v>2717029.997</v>
      </c>
      <c r="I1098" s="14"/>
      <c r="J1098" s="14"/>
      <c r="K1098" s="15">
        <f t="shared" si="4"/>
        <v>15655268.08</v>
      </c>
      <c r="L1098" s="45"/>
      <c r="M1098" s="24">
        <v>45834.0</v>
      </c>
    </row>
    <row r="1099" ht="15.75" customHeight="1">
      <c r="A1099" s="39">
        <v>45832.0</v>
      </c>
      <c r="B1099" s="50"/>
      <c r="C1099" s="31" t="s">
        <v>561</v>
      </c>
      <c r="D1099" s="32" t="s">
        <v>15</v>
      </c>
      <c r="E1099" s="31" t="s">
        <v>1203</v>
      </c>
      <c r="F1099" s="46">
        <v>45833.0</v>
      </c>
      <c r="G1099" s="22">
        <v>1.183727114E7</v>
      </c>
      <c r="H1099" s="14">
        <f t="shared" si="5"/>
        <v>2485826.939</v>
      </c>
      <c r="I1099" s="14"/>
      <c r="J1099" s="14"/>
      <c r="K1099" s="15">
        <f t="shared" si="4"/>
        <v>14323098.08</v>
      </c>
      <c r="L1099" s="45"/>
      <c r="M1099" s="24">
        <v>45834.0</v>
      </c>
    </row>
    <row r="1100" ht="15.75" customHeight="1">
      <c r="A1100" s="39">
        <v>45832.0</v>
      </c>
      <c r="B1100" s="50"/>
      <c r="C1100" s="31" t="s">
        <v>561</v>
      </c>
      <c r="D1100" s="32" t="s">
        <v>15</v>
      </c>
      <c r="E1100" s="31" t="s">
        <v>1204</v>
      </c>
      <c r="F1100" s="46">
        <v>45833.0</v>
      </c>
      <c r="G1100" s="22">
        <v>1.383767121E7</v>
      </c>
      <c r="H1100" s="14">
        <f t="shared" si="5"/>
        <v>2905910.954</v>
      </c>
      <c r="I1100" s="14"/>
      <c r="J1100" s="14"/>
      <c r="K1100" s="15">
        <f t="shared" si="4"/>
        <v>16743582.16</v>
      </c>
      <c r="L1100" s="45"/>
      <c r="M1100" s="24">
        <v>45834.0</v>
      </c>
    </row>
    <row r="1101" ht="15.75" customHeight="1">
      <c r="A1101" s="39">
        <v>45832.0</v>
      </c>
      <c r="B1101" s="50"/>
      <c r="C1101" s="31" t="s">
        <v>561</v>
      </c>
      <c r="D1101" s="32" t="s">
        <v>15</v>
      </c>
      <c r="E1101" s="31" t="s">
        <v>1205</v>
      </c>
      <c r="F1101" s="46">
        <v>45833.0</v>
      </c>
      <c r="G1101" s="22">
        <v>5143421.71</v>
      </c>
      <c r="H1101" s="14">
        <f t="shared" si="5"/>
        <v>1080118.559</v>
      </c>
      <c r="I1101" s="14"/>
      <c r="J1101" s="14"/>
      <c r="K1101" s="15">
        <f t="shared" si="4"/>
        <v>6223540.269</v>
      </c>
      <c r="L1101" s="45"/>
      <c r="M1101" s="24">
        <v>45834.0</v>
      </c>
    </row>
    <row r="1102" ht="15.75" customHeight="1">
      <c r="A1102" s="39">
        <v>45832.0</v>
      </c>
      <c r="B1102" s="50"/>
      <c r="C1102" s="31" t="s">
        <v>561</v>
      </c>
      <c r="D1102" s="32" t="s">
        <v>15</v>
      </c>
      <c r="E1102" s="31" t="s">
        <v>1206</v>
      </c>
      <c r="F1102" s="46">
        <v>45833.0</v>
      </c>
      <c r="G1102" s="22">
        <v>7121261.34</v>
      </c>
      <c r="H1102" s="14">
        <f t="shared" si="5"/>
        <v>1495464.881</v>
      </c>
      <c r="I1102" s="14"/>
      <c r="J1102" s="14"/>
      <c r="K1102" s="15">
        <f t="shared" si="4"/>
        <v>8616726.221</v>
      </c>
      <c r="L1102" s="45"/>
      <c r="M1102" s="24">
        <v>45834.0</v>
      </c>
    </row>
    <row r="1103" ht="15.75" customHeight="1">
      <c r="A1103" s="55">
        <v>45834.0</v>
      </c>
      <c r="B1103" s="56"/>
      <c r="C1103" s="57" t="s">
        <v>1040</v>
      </c>
      <c r="D1103" s="58" t="s">
        <v>1207</v>
      </c>
      <c r="E1103" s="58" t="s">
        <v>1208</v>
      </c>
      <c r="F1103" s="59">
        <v>45833.0</v>
      </c>
      <c r="G1103" s="44">
        <v>5000950.0</v>
      </c>
      <c r="H1103" s="9">
        <f t="shared" si="5"/>
        <v>1050199.5</v>
      </c>
      <c r="I1103" s="60"/>
      <c r="J1103" s="60"/>
      <c r="K1103" s="15">
        <f t="shared" si="4"/>
        <v>6051149.5</v>
      </c>
      <c r="L1103" s="61"/>
      <c r="M1103" s="62"/>
    </row>
    <row r="1104" ht="15.75" customHeight="1">
      <c r="A1104" s="55">
        <v>45838.0</v>
      </c>
      <c r="B1104" s="56"/>
      <c r="C1104" s="57" t="s">
        <v>1040</v>
      </c>
      <c r="D1104" s="58" t="s">
        <v>1209</v>
      </c>
      <c r="E1104" s="58" t="s">
        <v>1210</v>
      </c>
      <c r="F1104" s="59">
        <v>45833.0</v>
      </c>
      <c r="G1104" s="44">
        <v>9936784.34</v>
      </c>
      <c r="H1104" s="9">
        <f t="shared" si="5"/>
        <v>2086724.711</v>
      </c>
      <c r="I1104" s="60"/>
      <c r="J1104" s="60"/>
      <c r="K1104" s="15">
        <f t="shared" si="4"/>
        <v>12023509.05</v>
      </c>
      <c r="L1104" s="61"/>
      <c r="M1104" s="62"/>
    </row>
    <row r="1105" ht="15.75" customHeight="1">
      <c r="A1105" s="39">
        <v>45838.0</v>
      </c>
      <c r="B1105" s="50"/>
      <c r="C1105" s="31" t="s">
        <v>242</v>
      </c>
      <c r="D1105" s="32" t="s">
        <v>99</v>
      </c>
      <c r="E1105" s="32" t="s">
        <v>1211</v>
      </c>
      <c r="F1105" s="46">
        <v>45833.0</v>
      </c>
      <c r="G1105" s="22">
        <v>4189931.08</v>
      </c>
      <c r="H1105" s="14">
        <f t="shared" si="5"/>
        <v>879885.5268</v>
      </c>
      <c r="I1105" s="22">
        <v>125697.93</v>
      </c>
      <c r="J1105" s="22">
        <v>209496.55</v>
      </c>
      <c r="K1105" s="15">
        <f t="shared" si="4"/>
        <v>5405011.087</v>
      </c>
      <c r="L1105" s="45"/>
      <c r="M1105" s="24">
        <v>45873.0</v>
      </c>
    </row>
    <row r="1106" ht="15.75" customHeight="1">
      <c r="A1106" s="39">
        <v>45838.0</v>
      </c>
      <c r="B1106" s="50"/>
      <c r="C1106" s="31" t="s">
        <v>242</v>
      </c>
      <c r="D1106" s="32" t="s">
        <v>99</v>
      </c>
      <c r="E1106" s="31" t="s">
        <v>1212</v>
      </c>
      <c r="F1106" s="46">
        <v>45833.0</v>
      </c>
      <c r="G1106" s="22">
        <v>7979320.19</v>
      </c>
      <c r="H1106" s="14">
        <f t="shared" si="5"/>
        <v>1675657.24</v>
      </c>
      <c r="I1106" s="14"/>
      <c r="J1106" s="22">
        <v>398966.01</v>
      </c>
      <c r="K1106" s="15">
        <f t="shared" si="4"/>
        <v>10053943.44</v>
      </c>
      <c r="L1106" s="45"/>
      <c r="M1106" s="24">
        <v>45862.0</v>
      </c>
    </row>
    <row r="1107" ht="15.75" customHeight="1">
      <c r="A1107" s="39">
        <v>45838.0</v>
      </c>
      <c r="B1107" s="50"/>
      <c r="C1107" s="31" t="s">
        <v>242</v>
      </c>
      <c r="D1107" s="32" t="s">
        <v>99</v>
      </c>
      <c r="E1107" s="31" t="s">
        <v>1213</v>
      </c>
      <c r="F1107" s="46">
        <v>45833.0</v>
      </c>
      <c r="G1107" s="22">
        <v>7943790.21</v>
      </c>
      <c r="H1107" s="14">
        <f t="shared" si="5"/>
        <v>1668195.944</v>
      </c>
      <c r="I1107" s="14"/>
      <c r="J1107" s="22">
        <v>397189.51</v>
      </c>
      <c r="K1107" s="15">
        <f t="shared" si="4"/>
        <v>10009175.66</v>
      </c>
      <c r="L1107" s="45"/>
      <c r="M1107" s="24">
        <v>45873.0</v>
      </c>
    </row>
    <row r="1108" ht="15.75" customHeight="1">
      <c r="A1108" s="39">
        <v>45838.0</v>
      </c>
      <c r="B1108" s="50"/>
      <c r="C1108" s="31" t="s">
        <v>55</v>
      </c>
      <c r="D1108" s="32" t="s">
        <v>99</v>
      </c>
      <c r="E1108" s="31" t="s">
        <v>1214</v>
      </c>
      <c r="F1108" s="46">
        <v>45833.0</v>
      </c>
      <c r="G1108" s="22">
        <v>4298350.22</v>
      </c>
      <c r="H1108" s="14">
        <f t="shared" si="5"/>
        <v>902653.5462</v>
      </c>
      <c r="I1108" s="22">
        <v>128950.51</v>
      </c>
      <c r="J1108" s="22">
        <v>214917.51</v>
      </c>
      <c r="K1108" s="15">
        <f t="shared" si="4"/>
        <v>5544871.786</v>
      </c>
      <c r="L1108" s="45"/>
      <c r="M1108" s="24">
        <v>45855.0</v>
      </c>
    </row>
    <row r="1109" ht="15.75" customHeight="1">
      <c r="A1109" s="39">
        <v>45838.0</v>
      </c>
      <c r="B1109" s="50"/>
      <c r="C1109" s="31" t="s">
        <v>55</v>
      </c>
      <c r="D1109" s="32" t="s">
        <v>99</v>
      </c>
      <c r="E1109" s="31" t="s">
        <v>1215</v>
      </c>
      <c r="F1109" s="46">
        <v>45833.0</v>
      </c>
      <c r="G1109" s="22">
        <v>7366940.13</v>
      </c>
      <c r="H1109" s="14">
        <f t="shared" si="5"/>
        <v>1547057.427</v>
      </c>
      <c r="I1109" s="14"/>
      <c r="J1109" s="22">
        <v>368347.01</v>
      </c>
      <c r="K1109" s="15">
        <f t="shared" si="4"/>
        <v>9282344.567</v>
      </c>
      <c r="L1109" s="45"/>
      <c r="M1109" s="24">
        <v>45855.0</v>
      </c>
    </row>
    <row r="1110" ht="15.75" customHeight="1">
      <c r="A1110" s="39">
        <v>45838.0</v>
      </c>
      <c r="B1110" s="50"/>
      <c r="C1110" s="31" t="s">
        <v>55</v>
      </c>
      <c r="D1110" s="32" t="s">
        <v>99</v>
      </c>
      <c r="E1110" s="31" t="s">
        <v>1216</v>
      </c>
      <c r="F1110" s="46">
        <v>45833.0</v>
      </c>
      <c r="G1110" s="22">
        <v>8342830.71</v>
      </c>
      <c r="H1110" s="14">
        <f t="shared" si="5"/>
        <v>1751994.449</v>
      </c>
      <c r="I1110" s="14"/>
      <c r="J1110" s="22">
        <v>417141.54</v>
      </c>
      <c r="K1110" s="15">
        <f t="shared" si="4"/>
        <v>10511966.7</v>
      </c>
      <c r="L1110" s="45"/>
      <c r="M1110" s="24">
        <v>45873.0</v>
      </c>
    </row>
    <row r="1111" ht="15.75" customHeight="1">
      <c r="A1111" s="39">
        <v>45838.0</v>
      </c>
      <c r="B1111" s="50"/>
      <c r="C1111" s="31" t="s">
        <v>441</v>
      </c>
      <c r="D1111" s="32" t="s">
        <v>99</v>
      </c>
      <c r="E1111" s="31" t="s">
        <v>1217</v>
      </c>
      <c r="F1111" s="46">
        <v>45833.0</v>
      </c>
      <c r="G1111" s="22">
        <v>7008750.39</v>
      </c>
      <c r="H1111" s="14">
        <f t="shared" si="5"/>
        <v>1471837.582</v>
      </c>
      <c r="I1111" s="22">
        <v>210262.51</v>
      </c>
      <c r="J1111" s="22">
        <v>56070.0</v>
      </c>
      <c r="K1111" s="15">
        <f t="shared" si="4"/>
        <v>8746920.482</v>
      </c>
      <c r="L1111" s="45"/>
      <c r="M1111" s="24">
        <v>45840.0</v>
      </c>
    </row>
    <row r="1112" ht="15.75" customHeight="1">
      <c r="A1112" s="39">
        <v>45838.0</v>
      </c>
      <c r="B1112" s="50"/>
      <c r="C1112" s="31" t="s">
        <v>441</v>
      </c>
      <c r="D1112" s="32" t="s">
        <v>99</v>
      </c>
      <c r="E1112" s="31" t="s">
        <v>1218</v>
      </c>
      <c r="F1112" s="46">
        <v>45833.0</v>
      </c>
      <c r="G1112" s="22">
        <v>1.001089071E7</v>
      </c>
      <c r="H1112" s="14">
        <f t="shared" si="5"/>
        <v>2102287.049</v>
      </c>
      <c r="I1112" s="14"/>
      <c r="J1112" s="22">
        <v>80087.13</v>
      </c>
      <c r="K1112" s="15">
        <f t="shared" si="4"/>
        <v>12193264.89</v>
      </c>
      <c r="L1112" s="45"/>
      <c r="M1112" s="24">
        <v>45840.0</v>
      </c>
    </row>
    <row r="1113" ht="15.75" customHeight="1">
      <c r="A1113" s="39">
        <v>45838.0</v>
      </c>
      <c r="B1113" s="50"/>
      <c r="C1113" s="31" t="s">
        <v>497</v>
      </c>
      <c r="D1113" s="32" t="s">
        <v>99</v>
      </c>
      <c r="E1113" s="31" t="s">
        <v>1219</v>
      </c>
      <c r="F1113" s="46">
        <v>45833.0</v>
      </c>
      <c r="G1113" s="22">
        <v>7003840.19</v>
      </c>
      <c r="H1113" s="14">
        <f t="shared" si="5"/>
        <v>1470806.44</v>
      </c>
      <c r="I1113" s="14"/>
      <c r="J1113" s="14"/>
      <c r="K1113" s="15">
        <f t="shared" si="4"/>
        <v>8474646.63</v>
      </c>
      <c r="L1113" s="45"/>
      <c r="M1113" s="6"/>
    </row>
    <row r="1114" ht="15.75" customHeight="1">
      <c r="A1114" s="39">
        <v>45839.0</v>
      </c>
      <c r="B1114" s="50"/>
      <c r="C1114" s="31" t="s">
        <v>260</v>
      </c>
      <c r="D1114" s="32" t="s">
        <v>15</v>
      </c>
      <c r="E1114" s="31" t="s">
        <v>1220</v>
      </c>
      <c r="F1114" s="134">
        <v>45863.0</v>
      </c>
      <c r="G1114" s="22">
        <v>9837372.32</v>
      </c>
      <c r="H1114" s="14">
        <f t="shared" si="5"/>
        <v>2065848.187</v>
      </c>
      <c r="I1114" s="14"/>
      <c r="J1114" s="14"/>
      <c r="K1114" s="15">
        <f t="shared" si="4"/>
        <v>11903220.51</v>
      </c>
      <c r="L1114" s="45"/>
      <c r="M1114" s="24">
        <v>45848.0</v>
      </c>
    </row>
    <row r="1115" ht="15.75" customHeight="1">
      <c r="A1115" s="39">
        <v>45839.0</v>
      </c>
      <c r="B1115" s="50"/>
      <c r="C1115" s="31" t="s">
        <v>260</v>
      </c>
      <c r="D1115" s="32" t="s">
        <v>15</v>
      </c>
      <c r="E1115" s="31" t="s">
        <v>1221</v>
      </c>
      <c r="F1115" s="134">
        <v>45863.0</v>
      </c>
      <c r="G1115" s="22">
        <v>1.167262605E7</v>
      </c>
      <c r="H1115" s="14">
        <f t="shared" si="5"/>
        <v>2451251.471</v>
      </c>
      <c r="I1115" s="14"/>
      <c r="J1115" s="14"/>
      <c r="K1115" s="15">
        <f t="shared" si="4"/>
        <v>14123877.52</v>
      </c>
      <c r="L1115" s="45"/>
      <c r="M1115" s="24">
        <v>45848.0</v>
      </c>
    </row>
    <row r="1116" ht="15.75" customHeight="1">
      <c r="A1116" s="39">
        <v>45839.0</v>
      </c>
      <c r="B1116" s="50"/>
      <c r="C1116" s="31" t="s">
        <v>472</v>
      </c>
      <c r="D1116" s="32" t="s">
        <v>99</v>
      </c>
      <c r="E1116" s="32" t="s">
        <v>1222</v>
      </c>
      <c r="F1116" s="134">
        <v>45863.0</v>
      </c>
      <c r="G1116" s="22">
        <v>7137372.12</v>
      </c>
      <c r="H1116" s="14">
        <f t="shared" si="5"/>
        <v>1498848.145</v>
      </c>
      <c r="I1116" s="14"/>
      <c r="J1116" s="14"/>
      <c r="K1116" s="15">
        <f t="shared" si="4"/>
        <v>8636220.265</v>
      </c>
      <c r="L1116" s="45"/>
      <c r="M1116" s="24">
        <v>45846.0</v>
      </c>
    </row>
    <row r="1117" ht="15.75" customHeight="1">
      <c r="A1117" s="39">
        <v>45839.0</v>
      </c>
      <c r="B1117" s="50"/>
      <c r="C1117" s="31" t="s">
        <v>472</v>
      </c>
      <c r="D1117" s="32" t="s">
        <v>99</v>
      </c>
      <c r="E1117" s="32" t="s">
        <v>1223</v>
      </c>
      <c r="F1117" s="134">
        <v>45863.0</v>
      </c>
      <c r="G1117" s="22">
        <v>1.298736251E7</v>
      </c>
      <c r="H1117" s="14">
        <f t="shared" si="5"/>
        <v>2727346.127</v>
      </c>
      <c r="I1117" s="14"/>
      <c r="J1117" s="14"/>
      <c r="K1117" s="15">
        <f t="shared" si="4"/>
        <v>15714708.64</v>
      </c>
      <c r="L1117" s="45"/>
      <c r="M1117" s="24">
        <v>45846.0</v>
      </c>
    </row>
    <row r="1118" ht="15.75" customHeight="1">
      <c r="A1118" s="39">
        <v>45840.0</v>
      </c>
      <c r="B1118" s="50"/>
      <c r="C1118" s="31" t="s">
        <v>64</v>
      </c>
      <c r="D1118" s="32" t="s">
        <v>15</v>
      </c>
      <c r="E1118" s="31" t="s">
        <v>1224</v>
      </c>
      <c r="F1118" s="134">
        <v>45863.0</v>
      </c>
      <c r="G1118" s="22">
        <v>1.150486035E7</v>
      </c>
      <c r="H1118" s="14">
        <f t="shared" si="5"/>
        <v>2416020.674</v>
      </c>
      <c r="I1118" s="14"/>
      <c r="J1118" s="14"/>
      <c r="K1118" s="15">
        <f t="shared" si="4"/>
        <v>13920881.02</v>
      </c>
      <c r="L1118" s="45"/>
      <c r="M1118" s="24">
        <v>45840.0</v>
      </c>
    </row>
    <row r="1119" ht="15.75" customHeight="1">
      <c r="A1119" s="39">
        <v>45840.0</v>
      </c>
      <c r="B1119" s="50"/>
      <c r="C1119" s="31" t="s">
        <v>969</v>
      </c>
      <c r="D1119" s="32" t="s">
        <v>99</v>
      </c>
      <c r="E1119" s="31" t="s">
        <v>1225</v>
      </c>
      <c r="F1119" s="134">
        <v>45863.0</v>
      </c>
      <c r="G1119" s="22">
        <v>829223.41</v>
      </c>
      <c r="H1119" s="14">
        <f t="shared" si="5"/>
        <v>174136.9161</v>
      </c>
      <c r="I1119" s="22">
        <v>24876.7</v>
      </c>
      <c r="J1119" s="14"/>
      <c r="K1119" s="15">
        <f t="shared" si="4"/>
        <v>1028237.026</v>
      </c>
      <c r="L1119" s="45"/>
      <c r="M1119" s="24">
        <v>45842.0</v>
      </c>
    </row>
    <row r="1120" ht="15.75" customHeight="1">
      <c r="A1120" s="39">
        <v>45840.0</v>
      </c>
      <c r="B1120" s="50"/>
      <c r="C1120" s="31" t="s">
        <v>969</v>
      </c>
      <c r="D1120" s="32" t="s">
        <v>99</v>
      </c>
      <c r="E1120" s="31" t="s">
        <v>1226</v>
      </c>
      <c r="F1120" s="134">
        <v>45863.0</v>
      </c>
      <c r="G1120" s="22">
        <v>2211232.14</v>
      </c>
      <c r="H1120" s="14">
        <f t="shared" si="5"/>
        <v>464358.7494</v>
      </c>
      <c r="I1120" s="22">
        <v>66336.96</v>
      </c>
      <c r="J1120" s="14"/>
      <c r="K1120" s="15">
        <f t="shared" si="4"/>
        <v>2741927.849</v>
      </c>
      <c r="L1120" s="45"/>
      <c r="M1120" s="24">
        <v>45842.0</v>
      </c>
    </row>
    <row r="1121" ht="15.75" customHeight="1">
      <c r="A1121" s="39">
        <v>45840.0</v>
      </c>
      <c r="B1121" s="50"/>
      <c r="C1121" s="31" t="s">
        <v>969</v>
      </c>
      <c r="D1121" s="32" t="s">
        <v>99</v>
      </c>
      <c r="E1121" s="31" t="s">
        <v>1227</v>
      </c>
      <c r="F1121" s="134">
        <v>45863.0</v>
      </c>
      <c r="G1121" s="22">
        <v>435352.09</v>
      </c>
      <c r="H1121" s="14">
        <f t="shared" si="5"/>
        <v>91423.9389</v>
      </c>
      <c r="I1121" s="14"/>
      <c r="J1121" s="14"/>
      <c r="K1121" s="15">
        <f t="shared" si="4"/>
        <v>526776.0289</v>
      </c>
      <c r="L1121" s="45"/>
      <c r="M1121" s="24">
        <v>45842.0</v>
      </c>
    </row>
    <row r="1122" ht="15.75" customHeight="1">
      <c r="A1122" s="39">
        <v>45840.0</v>
      </c>
      <c r="B1122" s="50"/>
      <c r="C1122" s="31" t="s">
        <v>969</v>
      </c>
      <c r="D1122" s="32" t="s">
        <v>99</v>
      </c>
      <c r="E1122" s="31" t="s">
        <v>1228</v>
      </c>
      <c r="F1122" s="134">
        <v>45863.0</v>
      </c>
      <c r="G1122" s="22">
        <v>889182.15</v>
      </c>
      <c r="H1122" s="14">
        <f t="shared" si="5"/>
        <v>186728.2515</v>
      </c>
      <c r="I1122" s="14"/>
      <c r="J1122" s="14"/>
      <c r="K1122" s="15">
        <f t="shared" si="4"/>
        <v>1075910.402</v>
      </c>
      <c r="L1122" s="45"/>
      <c r="M1122" s="24">
        <v>45842.0</v>
      </c>
    </row>
    <row r="1123" ht="15.75" customHeight="1">
      <c r="A1123" s="39">
        <v>45840.0</v>
      </c>
      <c r="B1123" s="50"/>
      <c r="C1123" s="31" t="s">
        <v>64</v>
      </c>
      <c r="D1123" s="32" t="s">
        <v>99</v>
      </c>
      <c r="E1123" s="31" t="s">
        <v>1229</v>
      </c>
      <c r="F1123" s="134">
        <v>45863.0</v>
      </c>
      <c r="G1123" s="22">
        <v>9507420.52</v>
      </c>
      <c r="H1123" s="14">
        <f t="shared" si="5"/>
        <v>1996558.309</v>
      </c>
      <c r="I1123" s="22">
        <v>285222.62</v>
      </c>
      <c r="J1123" s="14"/>
      <c r="K1123" s="15">
        <f t="shared" si="4"/>
        <v>11789201.45</v>
      </c>
      <c r="L1123" s="45"/>
      <c r="M1123" s="24">
        <v>45840.0</v>
      </c>
    </row>
    <row r="1124" ht="15.75" customHeight="1">
      <c r="A1124" s="39">
        <v>45840.0</v>
      </c>
      <c r="B1124" s="50"/>
      <c r="C1124" s="31" t="s">
        <v>64</v>
      </c>
      <c r="D1124" s="32" t="s">
        <v>99</v>
      </c>
      <c r="E1124" s="31" t="s">
        <v>1230</v>
      </c>
      <c r="F1124" s="134">
        <v>45863.0</v>
      </c>
      <c r="G1124" s="22">
        <v>8398660.15</v>
      </c>
      <c r="H1124" s="14">
        <f t="shared" si="5"/>
        <v>1763718.632</v>
      </c>
      <c r="I1124" s="22">
        <v>251959.8</v>
      </c>
      <c r="J1124" s="14"/>
      <c r="K1124" s="15">
        <f t="shared" si="4"/>
        <v>10414338.58</v>
      </c>
      <c r="L1124" s="45"/>
      <c r="M1124" s="24">
        <v>45840.0</v>
      </c>
    </row>
    <row r="1125" ht="15.75" customHeight="1">
      <c r="A1125" s="39">
        <v>45840.0</v>
      </c>
      <c r="B1125" s="50"/>
      <c r="C1125" s="19" t="s">
        <v>1231</v>
      </c>
      <c r="D1125" s="32" t="s">
        <v>99</v>
      </c>
      <c r="E1125" s="31" t="s">
        <v>1232</v>
      </c>
      <c r="F1125" s="134">
        <v>45863.0</v>
      </c>
      <c r="G1125" s="22">
        <v>2.615142415E7</v>
      </c>
      <c r="H1125" s="14">
        <f t="shared" si="5"/>
        <v>5491799.072</v>
      </c>
      <c r="I1125" s="22">
        <v>784542.72</v>
      </c>
      <c r="J1125" s="22">
        <v>1307571.21</v>
      </c>
      <c r="K1125" s="15">
        <f t="shared" si="4"/>
        <v>33735337.15</v>
      </c>
      <c r="L1125" s="45"/>
      <c r="M1125" s="24">
        <v>45874.0</v>
      </c>
    </row>
    <row r="1126" ht="15.75" customHeight="1">
      <c r="A1126" s="39">
        <v>45840.0</v>
      </c>
      <c r="B1126" s="50"/>
      <c r="C1126" s="19" t="s">
        <v>1231</v>
      </c>
      <c r="D1126" s="32" t="s">
        <v>99</v>
      </c>
      <c r="E1126" s="31" t="s">
        <v>1233</v>
      </c>
      <c r="F1126" s="134">
        <v>45863.0</v>
      </c>
      <c r="G1126" s="22">
        <v>3.183732615E7</v>
      </c>
      <c r="H1126" s="14">
        <f t="shared" si="5"/>
        <v>6685838.492</v>
      </c>
      <c r="I1126" s="22">
        <v>955119.78</v>
      </c>
      <c r="J1126" s="22">
        <v>1591866.31</v>
      </c>
      <c r="K1126" s="15">
        <f t="shared" si="4"/>
        <v>41070150.73</v>
      </c>
      <c r="L1126" s="45"/>
      <c r="M1126" s="24">
        <v>45874.0</v>
      </c>
    </row>
    <row r="1127" ht="15.75" customHeight="1">
      <c r="A1127" s="39">
        <v>45840.0</v>
      </c>
      <c r="B1127" s="50"/>
      <c r="C1127" s="19" t="s">
        <v>1231</v>
      </c>
      <c r="D1127" s="32" t="s">
        <v>99</v>
      </c>
      <c r="E1127" s="31" t="s">
        <v>1234</v>
      </c>
      <c r="F1127" s="134">
        <v>45863.0</v>
      </c>
      <c r="G1127" s="22">
        <v>-2.736362986E7</v>
      </c>
      <c r="H1127" s="22">
        <v>-2873181.14</v>
      </c>
      <c r="I1127" s="22">
        <v>-410454.45</v>
      </c>
      <c r="J1127" s="22">
        <v>-1368181.49</v>
      </c>
      <c r="K1127" s="15">
        <f t="shared" si="4"/>
        <v>-32015446.94</v>
      </c>
      <c r="L1127" s="45"/>
      <c r="M1127" s="24">
        <v>45874.0</v>
      </c>
    </row>
    <row r="1128" ht="15.75" customHeight="1">
      <c r="A1128" s="39">
        <v>45840.0</v>
      </c>
      <c r="B1128" s="50"/>
      <c r="C1128" s="19" t="s">
        <v>1231</v>
      </c>
      <c r="D1128" s="32" t="s">
        <v>99</v>
      </c>
      <c r="E1128" s="31" t="s">
        <v>1235</v>
      </c>
      <c r="F1128" s="134">
        <v>45863.0</v>
      </c>
      <c r="G1128" s="22">
        <v>-2.972212393E7</v>
      </c>
      <c r="H1128" s="22">
        <v>-3120823.01</v>
      </c>
      <c r="I1128" s="22">
        <v>-445831.86</v>
      </c>
      <c r="J1128" s="22">
        <v>-1486106.2</v>
      </c>
      <c r="K1128" s="15">
        <f t="shared" si="4"/>
        <v>-34774885</v>
      </c>
      <c r="L1128" s="45"/>
      <c r="M1128" s="24">
        <v>45874.0</v>
      </c>
    </row>
    <row r="1129" ht="15.75" customHeight="1">
      <c r="A1129" s="39">
        <v>45840.0</v>
      </c>
      <c r="B1129" s="50"/>
      <c r="C1129" s="19" t="s">
        <v>1231</v>
      </c>
      <c r="D1129" s="32" t="s">
        <v>99</v>
      </c>
      <c r="E1129" s="31" t="s">
        <v>1236</v>
      </c>
      <c r="F1129" s="134">
        <v>45863.0</v>
      </c>
      <c r="G1129" s="22">
        <v>2.736362986E7</v>
      </c>
      <c r="H1129" s="22">
        <v>2873181.14</v>
      </c>
      <c r="I1129" s="22">
        <v>410454.45</v>
      </c>
      <c r="J1129" s="22">
        <v>1368181.49</v>
      </c>
      <c r="K1129" s="15">
        <f t="shared" si="4"/>
        <v>32015446.94</v>
      </c>
      <c r="L1129" s="45"/>
      <c r="M1129" s="24">
        <v>45874.0</v>
      </c>
    </row>
    <row r="1130" ht="15.75" customHeight="1">
      <c r="A1130" s="39">
        <v>45840.0</v>
      </c>
      <c r="B1130" s="50"/>
      <c r="C1130" s="19" t="s">
        <v>1231</v>
      </c>
      <c r="D1130" s="32" t="s">
        <v>99</v>
      </c>
      <c r="E1130" s="32" t="s">
        <v>1237</v>
      </c>
      <c r="F1130" s="134">
        <v>45863.0</v>
      </c>
      <c r="G1130" s="22">
        <v>2.972212393E7</v>
      </c>
      <c r="H1130" s="22">
        <v>3120823.01</v>
      </c>
      <c r="I1130" s="22">
        <v>445831.86</v>
      </c>
      <c r="J1130" s="22">
        <v>1486106.2</v>
      </c>
      <c r="K1130" s="15">
        <f t="shared" si="4"/>
        <v>34774885</v>
      </c>
      <c r="L1130" s="45"/>
      <c r="M1130" s="24">
        <v>45874.0</v>
      </c>
    </row>
    <row r="1131" ht="15.75" customHeight="1">
      <c r="A1131" s="55">
        <v>45840.0</v>
      </c>
      <c r="B1131" s="120" t="s">
        <v>1238</v>
      </c>
      <c r="C1131" s="135" t="s">
        <v>1239</v>
      </c>
      <c r="D1131" s="58" t="s">
        <v>1240</v>
      </c>
      <c r="E1131" s="57"/>
      <c r="F1131" s="136">
        <v>45833.0</v>
      </c>
      <c r="G1131" s="44">
        <v>1.300814E7</v>
      </c>
      <c r="H1131" s="9">
        <f t="shared" ref="H1131:H1274" si="6">G1131*0.21</f>
        <v>2731709.4</v>
      </c>
      <c r="I1131" s="56"/>
      <c r="J1131" s="60"/>
      <c r="K1131" s="10">
        <f t="shared" si="4"/>
        <v>15739849.4</v>
      </c>
      <c r="L1131" s="61"/>
      <c r="M1131" s="62"/>
    </row>
    <row r="1132" ht="15.75" customHeight="1">
      <c r="A1132" s="55">
        <v>45840.0</v>
      </c>
      <c r="B1132" s="120" t="s">
        <v>1238</v>
      </c>
      <c r="C1132" s="135" t="s">
        <v>1241</v>
      </c>
      <c r="D1132" s="58" t="s">
        <v>1240</v>
      </c>
      <c r="E1132" s="57"/>
      <c r="F1132" s="136">
        <v>45833.0</v>
      </c>
      <c r="G1132" s="44">
        <v>1.112913E7</v>
      </c>
      <c r="H1132" s="9">
        <f t="shared" si="6"/>
        <v>2337117.3</v>
      </c>
      <c r="I1132" s="56"/>
      <c r="J1132" s="60"/>
      <c r="K1132" s="10">
        <f t="shared" si="4"/>
        <v>13466247.3</v>
      </c>
      <c r="L1132" s="61"/>
      <c r="M1132" s="62"/>
    </row>
    <row r="1133" ht="15.75" customHeight="1">
      <c r="A1133" s="55">
        <v>45840.0</v>
      </c>
      <c r="B1133" s="120" t="s">
        <v>1238</v>
      </c>
      <c r="C1133" s="135" t="s">
        <v>1242</v>
      </c>
      <c r="D1133" s="58" t="s">
        <v>1240</v>
      </c>
      <c r="E1133" s="57"/>
      <c r="F1133" s="136">
        <v>45833.0</v>
      </c>
      <c r="G1133" s="44">
        <v>1.0999166E7</v>
      </c>
      <c r="H1133" s="9">
        <f t="shared" si="6"/>
        <v>2309824.86</v>
      </c>
      <c r="I1133" s="56"/>
      <c r="J1133" s="60"/>
      <c r="K1133" s="10">
        <f t="shared" si="4"/>
        <v>13308990.86</v>
      </c>
      <c r="L1133" s="61"/>
      <c r="M1133" s="62"/>
    </row>
    <row r="1134" ht="15.75" customHeight="1">
      <c r="A1134" s="55">
        <v>45840.0</v>
      </c>
      <c r="B1134" s="120" t="s">
        <v>1238</v>
      </c>
      <c r="C1134" s="135" t="s">
        <v>1243</v>
      </c>
      <c r="D1134" s="58" t="s">
        <v>1240</v>
      </c>
      <c r="E1134" s="57"/>
      <c r="F1134" s="136">
        <v>45833.0</v>
      </c>
      <c r="G1134" s="44">
        <v>1519273.0</v>
      </c>
      <c r="H1134" s="9">
        <f t="shared" si="6"/>
        <v>319047.33</v>
      </c>
      <c r="I1134" s="56"/>
      <c r="J1134" s="60"/>
      <c r="K1134" s="10">
        <f t="shared" si="4"/>
        <v>1838320.33</v>
      </c>
      <c r="L1134" s="61"/>
      <c r="M1134" s="62"/>
    </row>
    <row r="1135" ht="15.75" customHeight="1">
      <c r="A1135" s="55">
        <v>45841.0</v>
      </c>
      <c r="B1135" s="56"/>
      <c r="C1135" s="135" t="s">
        <v>1241</v>
      </c>
      <c r="D1135" s="58" t="s">
        <v>1244</v>
      </c>
      <c r="E1135" s="58" t="s">
        <v>1245</v>
      </c>
      <c r="F1135" s="136">
        <v>45833.0</v>
      </c>
      <c r="G1135" s="44">
        <v>2.214002038E7</v>
      </c>
      <c r="H1135" s="9">
        <f t="shared" si="6"/>
        <v>4649404.28</v>
      </c>
      <c r="I1135" s="56"/>
      <c r="J1135" s="60"/>
      <c r="K1135" s="10">
        <f t="shared" si="4"/>
        <v>26789424.66</v>
      </c>
      <c r="L1135" s="61"/>
      <c r="M1135" s="62"/>
    </row>
    <row r="1136" ht="15.75" customHeight="1">
      <c r="A1136" s="55">
        <v>45841.0</v>
      </c>
      <c r="B1136" s="56"/>
      <c r="C1136" s="135" t="s">
        <v>1246</v>
      </c>
      <c r="D1136" s="58" t="s">
        <v>1244</v>
      </c>
      <c r="E1136" s="58" t="s">
        <v>1247</v>
      </c>
      <c r="F1136" s="136">
        <v>45833.0</v>
      </c>
      <c r="G1136" s="44">
        <v>1.81819387E7</v>
      </c>
      <c r="H1136" s="9">
        <f t="shared" si="6"/>
        <v>3818207.127</v>
      </c>
      <c r="I1136" s="56"/>
      <c r="J1136" s="60"/>
      <c r="K1136" s="10">
        <f t="shared" si="4"/>
        <v>22000145.83</v>
      </c>
      <c r="L1136" s="61"/>
      <c r="M1136" s="62"/>
    </row>
    <row r="1137" ht="15.75" customHeight="1">
      <c r="A1137" s="55">
        <v>45841.0</v>
      </c>
      <c r="B1137" s="56"/>
      <c r="C1137" s="135" t="s">
        <v>1248</v>
      </c>
      <c r="D1137" s="58" t="s">
        <v>1244</v>
      </c>
      <c r="E1137" s="58" t="s">
        <v>1249</v>
      </c>
      <c r="F1137" s="136">
        <v>45833.0</v>
      </c>
      <c r="G1137" s="44">
        <v>1.722536622E7</v>
      </c>
      <c r="H1137" s="9">
        <f t="shared" si="6"/>
        <v>3617326.906</v>
      </c>
      <c r="I1137" s="56"/>
      <c r="J1137" s="60"/>
      <c r="K1137" s="10">
        <f t="shared" si="4"/>
        <v>20842693.13</v>
      </c>
      <c r="L1137" s="61"/>
      <c r="M1137" s="62"/>
    </row>
    <row r="1138" ht="15.75" customHeight="1">
      <c r="A1138" s="55">
        <v>45841.0</v>
      </c>
      <c r="B1138" s="56"/>
      <c r="C1138" s="135" t="s">
        <v>1250</v>
      </c>
      <c r="D1138" s="58" t="s">
        <v>1244</v>
      </c>
      <c r="E1138" s="58" t="s">
        <v>1251</v>
      </c>
      <c r="F1138" s="136">
        <v>45833.0</v>
      </c>
      <c r="G1138" s="44">
        <v>2.208376837E7</v>
      </c>
      <c r="H1138" s="9">
        <f t="shared" si="6"/>
        <v>4637591.358</v>
      </c>
      <c r="I1138" s="56"/>
      <c r="J1138" s="60"/>
      <c r="K1138" s="10">
        <f t="shared" si="4"/>
        <v>26721359.73</v>
      </c>
      <c r="L1138" s="61"/>
      <c r="M1138" s="62"/>
    </row>
    <row r="1139" ht="15.75" customHeight="1">
      <c r="A1139" s="55">
        <v>45841.0</v>
      </c>
      <c r="B1139" s="56"/>
      <c r="C1139" s="135" t="s">
        <v>1250</v>
      </c>
      <c r="D1139" s="58" t="s">
        <v>1244</v>
      </c>
      <c r="E1139" s="58" t="s">
        <v>1252</v>
      </c>
      <c r="F1139" s="136">
        <v>45833.0</v>
      </c>
      <c r="G1139" s="44">
        <v>2.898806139E7</v>
      </c>
      <c r="H1139" s="9">
        <f t="shared" si="6"/>
        <v>6087492.892</v>
      </c>
      <c r="I1139" s="56"/>
      <c r="J1139" s="60"/>
      <c r="K1139" s="10">
        <f t="shared" si="4"/>
        <v>35075554.28</v>
      </c>
      <c r="L1139" s="61"/>
      <c r="M1139" s="62"/>
    </row>
    <row r="1140" ht="15.75" customHeight="1">
      <c r="A1140" s="39">
        <v>45797.0</v>
      </c>
      <c r="B1140" s="50"/>
      <c r="C1140" s="31" t="s">
        <v>171</v>
      </c>
      <c r="D1140" s="32" t="s">
        <v>99</v>
      </c>
      <c r="E1140" s="31" t="s">
        <v>1253</v>
      </c>
      <c r="F1140" s="46">
        <v>45802.0</v>
      </c>
      <c r="G1140" s="22">
        <v>1.022764934E7</v>
      </c>
      <c r="H1140" s="14">
        <f t="shared" si="6"/>
        <v>2147806.361</v>
      </c>
      <c r="I1140" s="14"/>
      <c r="J1140" s="14"/>
      <c r="K1140" s="15">
        <f t="shared" si="4"/>
        <v>12375455.7</v>
      </c>
      <c r="L1140" s="45"/>
      <c r="M1140" s="6"/>
    </row>
    <row r="1141" ht="15.75" customHeight="1">
      <c r="A1141" s="39">
        <v>45797.0</v>
      </c>
      <c r="B1141" s="50"/>
      <c r="C1141" s="31" t="s">
        <v>171</v>
      </c>
      <c r="D1141" s="32" t="s">
        <v>99</v>
      </c>
      <c r="E1141" s="31" t="s">
        <v>1254</v>
      </c>
      <c r="F1141" s="46">
        <v>45802.0</v>
      </c>
      <c r="G1141" s="22">
        <v>1.226984939E7</v>
      </c>
      <c r="H1141" s="14">
        <f t="shared" si="6"/>
        <v>2576668.372</v>
      </c>
      <c r="I1141" s="14"/>
      <c r="J1141" s="14"/>
      <c r="K1141" s="15">
        <f t="shared" si="4"/>
        <v>14846517.76</v>
      </c>
      <c r="L1141" s="45"/>
      <c r="M1141" s="6"/>
    </row>
    <row r="1142" ht="15.75" customHeight="1">
      <c r="A1142" s="39">
        <v>45798.0</v>
      </c>
      <c r="B1142" s="50"/>
      <c r="C1142" s="31" t="s">
        <v>171</v>
      </c>
      <c r="D1142" s="32" t="s">
        <v>99</v>
      </c>
      <c r="E1142" s="31" t="s">
        <v>1255</v>
      </c>
      <c r="F1142" s="46">
        <v>45802.0</v>
      </c>
      <c r="G1142" s="22">
        <v>-1.226984939E7</v>
      </c>
      <c r="H1142" s="14">
        <f t="shared" si="6"/>
        <v>-2576668.372</v>
      </c>
      <c r="I1142" s="14"/>
      <c r="J1142" s="14"/>
      <c r="K1142" s="15">
        <f t="shared" si="4"/>
        <v>-14846517.76</v>
      </c>
      <c r="L1142" s="45"/>
      <c r="M1142" s="6"/>
    </row>
    <row r="1143" ht="15.75" customHeight="1">
      <c r="A1143" s="39">
        <v>45841.0</v>
      </c>
      <c r="B1143" s="50"/>
      <c r="C1143" s="19" t="s">
        <v>1231</v>
      </c>
      <c r="D1143" s="32" t="s">
        <v>99</v>
      </c>
      <c r="E1143" s="31" t="s">
        <v>1256</v>
      </c>
      <c r="F1143" s="134">
        <v>45863.0</v>
      </c>
      <c r="G1143" s="22">
        <v>2.736362108E7</v>
      </c>
      <c r="H1143" s="14">
        <f t="shared" si="6"/>
        <v>5746360.427</v>
      </c>
      <c r="I1143" s="22">
        <v>820908.63</v>
      </c>
      <c r="J1143" s="22">
        <v>1368181.05</v>
      </c>
      <c r="K1143" s="15">
        <f t="shared" si="4"/>
        <v>35299071.19</v>
      </c>
      <c r="L1143" s="45"/>
      <c r="M1143" s="24">
        <v>45874.0</v>
      </c>
    </row>
    <row r="1144" ht="15.75" customHeight="1">
      <c r="A1144" s="39">
        <v>45841.0</v>
      </c>
      <c r="B1144" s="50"/>
      <c r="C1144" s="19" t="s">
        <v>1231</v>
      </c>
      <c r="D1144" s="32" t="s">
        <v>99</v>
      </c>
      <c r="E1144" s="32" t="s">
        <v>1257</v>
      </c>
      <c r="F1144" s="134">
        <v>45863.0</v>
      </c>
      <c r="G1144" s="22">
        <v>2.972211415E7</v>
      </c>
      <c r="H1144" s="14">
        <f t="shared" si="6"/>
        <v>6241643.972</v>
      </c>
      <c r="I1144" s="22">
        <v>891663.42</v>
      </c>
      <c r="J1144" s="22">
        <v>1486105.71</v>
      </c>
      <c r="K1144" s="15">
        <f t="shared" si="4"/>
        <v>38341527.25</v>
      </c>
      <c r="L1144" s="45"/>
      <c r="M1144" s="24">
        <v>45874.0</v>
      </c>
    </row>
    <row r="1145" ht="15.75" customHeight="1">
      <c r="A1145" s="39">
        <v>45841.0</v>
      </c>
      <c r="B1145" s="50"/>
      <c r="C1145" s="19" t="s">
        <v>410</v>
      </c>
      <c r="D1145" s="32" t="s">
        <v>99</v>
      </c>
      <c r="E1145" s="31" t="s">
        <v>1258</v>
      </c>
      <c r="F1145" s="134">
        <v>45863.0</v>
      </c>
      <c r="G1145" s="22">
        <v>3010440.29</v>
      </c>
      <c r="H1145" s="14">
        <f t="shared" si="6"/>
        <v>632192.4609</v>
      </c>
      <c r="I1145" s="50"/>
      <c r="J1145" s="14"/>
      <c r="K1145" s="15">
        <f t="shared" si="4"/>
        <v>3642632.751</v>
      </c>
      <c r="L1145" s="45"/>
      <c r="M1145" s="24">
        <v>45841.0</v>
      </c>
    </row>
    <row r="1146" ht="15.75" customHeight="1">
      <c r="A1146" s="39">
        <v>45841.0</v>
      </c>
      <c r="B1146" s="50"/>
      <c r="C1146" s="19" t="s">
        <v>410</v>
      </c>
      <c r="D1146" s="32" t="s">
        <v>15</v>
      </c>
      <c r="E1146" s="31" t="s">
        <v>1259</v>
      </c>
      <c r="F1146" s="134">
        <v>45863.0</v>
      </c>
      <c r="G1146" s="22">
        <v>1503990.19</v>
      </c>
      <c r="H1146" s="14">
        <f t="shared" si="6"/>
        <v>315837.9399</v>
      </c>
      <c r="I1146" s="22">
        <v>45119.71</v>
      </c>
      <c r="J1146" s="14"/>
      <c r="K1146" s="15">
        <f t="shared" si="4"/>
        <v>1864947.84</v>
      </c>
      <c r="L1146" s="45"/>
      <c r="M1146" s="24">
        <v>45841.0</v>
      </c>
    </row>
    <row r="1147" ht="15.75" customHeight="1">
      <c r="A1147" s="55"/>
      <c r="B1147" s="56"/>
      <c r="C1147" s="135" t="s">
        <v>278</v>
      </c>
      <c r="D1147" s="58" t="s">
        <v>15</v>
      </c>
      <c r="E1147" s="57" t="s">
        <v>1260</v>
      </c>
      <c r="F1147" s="137">
        <v>45863.0</v>
      </c>
      <c r="G1147" s="44">
        <v>1939280.26</v>
      </c>
      <c r="H1147" s="9">
        <f t="shared" si="6"/>
        <v>407248.8546</v>
      </c>
      <c r="I1147" s="56"/>
      <c r="J1147" s="60"/>
      <c r="K1147" s="10">
        <f t="shared" si="4"/>
        <v>2346529.115</v>
      </c>
      <c r="L1147" s="61"/>
      <c r="M1147" s="62"/>
    </row>
    <row r="1148" ht="15.75" customHeight="1">
      <c r="A1148" s="39">
        <v>45842.0</v>
      </c>
      <c r="B1148" s="50"/>
      <c r="C1148" s="19" t="s">
        <v>1112</v>
      </c>
      <c r="D1148" s="32" t="s">
        <v>15</v>
      </c>
      <c r="E1148" s="31" t="s">
        <v>1261</v>
      </c>
      <c r="F1148" s="134">
        <v>45863.0</v>
      </c>
      <c r="G1148" s="22">
        <v>7942540.51</v>
      </c>
      <c r="H1148" s="14">
        <f t="shared" si="6"/>
        <v>1667933.507</v>
      </c>
      <c r="I1148" s="22">
        <v>238276.22</v>
      </c>
      <c r="J1148" s="14"/>
      <c r="K1148" s="15">
        <f t="shared" si="4"/>
        <v>9848750.237</v>
      </c>
      <c r="L1148" s="45"/>
      <c r="M1148" s="24">
        <v>45846.0</v>
      </c>
    </row>
    <row r="1149" ht="15.75" customHeight="1">
      <c r="A1149" s="39">
        <v>45842.0</v>
      </c>
      <c r="B1149" s="50"/>
      <c r="C1149" s="19" t="s">
        <v>1112</v>
      </c>
      <c r="D1149" s="32" t="s">
        <v>15</v>
      </c>
      <c r="E1149" s="31" t="s">
        <v>1262</v>
      </c>
      <c r="F1149" s="134">
        <v>45863.0</v>
      </c>
      <c r="G1149" s="22">
        <v>7689982.08</v>
      </c>
      <c r="H1149" s="14">
        <f t="shared" si="6"/>
        <v>1614896.237</v>
      </c>
      <c r="I1149" s="22">
        <v>230699.46</v>
      </c>
      <c r="J1149" s="14"/>
      <c r="K1149" s="15">
        <f t="shared" si="4"/>
        <v>9535577.777</v>
      </c>
      <c r="L1149" s="45"/>
      <c r="M1149" s="24">
        <v>45846.0</v>
      </c>
    </row>
    <row r="1150" ht="15.75" customHeight="1">
      <c r="A1150" s="39">
        <v>45842.0</v>
      </c>
      <c r="B1150" s="50"/>
      <c r="C1150" s="19" t="s">
        <v>1112</v>
      </c>
      <c r="D1150" s="32" t="s">
        <v>15</v>
      </c>
      <c r="E1150" s="31" t="s">
        <v>1263</v>
      </c>
      <c r="F1150" s="134">
        <v>45863.0</v>
      </c>
      <c r="G1150" s="22">
        <v>9373560.29</v>
      </c>
      <c r="H1150" s="14">
        <f t="shared" si="6"/>
        <v>1968447.661</v>
      </c>
      <c r="I1150" s="22">
        <v>281206.81</v>
      </c>
      <c r="J1150" s="14"/>
      <c r="K1150" s="15">
        <f t="shared" si="4"/>
        <v>11623214.76</v>
      </c>
      <c r="L1150" s="45"/>
      <c r="M1150" s="24">
        <v>45846.0</v>
      </c>
    </row>
    <row r="1151" ht="15.75" customHeight="1">
      <c r="A1151" s="39">
        <v>45842.0</v>
      </c>
      <c r="B1151" s="50"/>
      <c r="C1151" s="19" t="s">
        <v>1112</v>
      </c>
      <c r="D1151" s="32" t="s">
        <v>99</v>
      </c>
      <c r="E1151" s="31" t="s">
        <v>1264</v>
      </c>
      <c r="F1151" s="134">
        <v>45863.0</v>
      </c>
      <c r="G1151" s="22">
        <v>7957390.29</v>
      </c>
      <c r="H1151" s="14">
        <f t="shared" si="6"/>
        <v>1671051.961</v>
      </c>
      <c r="I1151" s="22">
        <v>238721.71</v>
      </c>
      <c r="J1151" s="14"/>
      <c r="K1151" s="15">
        <f t="shared" si="4"/>
        <v>9867163.961</v>
      </c>
      <c r="L1151" s="45"/>
      <c r="M1151" s="24">
        <v>45846.0</v>
      </c>
    </row>
    <row r="1152" ht="15.75" customHeight="1">
      <c r="A1152" s="39">
        <v>45842.0</v>
      </c>
      <c r="B1152" s="50"/>
      <c r="C1152" s="19" t="s">
        <v>1112</v>
      </c>
      <c r="D1152" s="32" t="s">
        <v>99</v>
      </c>
      <c r="E1152" s="31" t="s">
        <v>1265</v>
      </c>
      <c r="F1152" s="134">
        <v>45863.0</v>
      </c>
      <c r="G1152" s="22">
        <v>7578690.94</v>
      </c>
      <c r="H1152" s="14">
        <f t="shared" si="6"/>
        <v>1591525.097</v>
      </c>
      <c r="I1152" s="22">
        <v>227360.73</v>
      </c>
      <c r="J1152" s="14"/>
      <c r="K1152" s="15">
        <f t="shared" si="4"/>
        <v>9397576.767</v>
      </c>
      <c r="L1152" s="45"/>
      <c r="M1152" s="24">
        <v>45846.0</v>
      </c>
    </row>
    <row r="1153" ht="15.75" customHeight="1">
      <c r="A1153" s="39">
        <v>45842.0</v>
      </c>
      <c r="B1153" s="50"/>
      <c r="C1153" s="19" t="s">
        <v>1112</v>
      </c>
      <c r="D1153" s="32" t="s">
        <v>99</v>
      </c>
      <c r="E1153" s="31" t="s">
        <v>1266</v>
      </c>
      <c r="F1153" s="134">
        <v>45863.0</v>
      </c>
      <c r="G1153" s="22">
        <v>9463520.18</v>
      </c>
      <c r="H1153" s="14">
        <f t="shared" si="6"/>
        <v>1987339.238</v>
      </c>
      <c r="I1153" s="22">
        <v>283905.61</v>
      </c>
      <c r="J1153" s="14"/>
      <c r="K1153" s="15">
        <f t="shared" si="4"/>
        <v>11734765.03</v>
      </c>
      <c r="L1153" s="45"/>
      <c r="M1153" s="24">
        <v>45846.0</v>
      </c>
    </row>
    <row r="1154" ht="15.75" customHeight="1">
      <c r="A1154" s="39">
        <v>45842.0</v>
      </c>
      <c r="B1154" s="50"/>
      <c r="C1154" s="19" t="s">
        <v>1112</v>
      </c>
      <c r="D1154" s="32" t="s">
        <v>15</v>
      </c>
      <c r="E1154" s="31" t="s">
        <v>1267</v>
      </c>
      <c r="F1154" s="134">
        <v>45863.0</v>
      </c>
      <c r="G1154" s="22">
        <v>5001036.92</v>
      </c>
      <c r="H1154" s="14">
        <f t="shared" si="6"/>
        <v>1050217.753</v>
      </c>
      <c r="I1154" s="50"/>
      <c r="J1154" s="14"/>
      <c r="K1154" s="15">
        <f t="shared" si="4"/>
        <v>6051254.673</v>
      </c>
      <c r="L1154" s="45"/>
      <c r="M1154" s="24">
        <v>45846.0</v>
      </c>
    </row>
    <row r="1155" ht="15.75" customHeight="1">
      <c r="A1155" s="39">
        <v>45842.0</v>
      </c>
      <c r="B1155" s="50"/>
      <c r="C1155" s="19" t="s">
        <v>1112</v>
      </c>
      <c r="D1155" s="32" t="s">
        <v>99</v>
      </c>
      <c r="E1155" s="31" t="s">
        <v>1268</v>
      </c>
      <c r="F1155" s="134">
        <v>45863.0</v>
      </c>
      <c r="G1155" s="22">
        <v>5000723.29</v>
      </c>
      <c r="H1155" s="14">
        <f t="shared" si="6"/>
        <v>1050151.891</v>
      </c>
      <c r="I1155" s="50"/>
      <c r="J1155" s="14"/>
      <c r="K1155" s="15">
        <f t="shared" si="4"/>
        <v>6050875.181</v>
      </c>
      <c r="L1155" s="45"/>
      <c r="M1155" s="24">
        <v>45846.0</v>
      </c>
    </row>
    <row r="1156" ht="15.75" customHeight="1">
      <c r="A1156" s="39">
        <v>45842.0</v>
      </c>
      <c r="B1156" s="50"/>
      <c r="C1156" s="19" t="s">
        <v>74</v>
      </c>
      <c r="D1156" s="32" t="s">
        <v>99</v>
      </c>
      <c r="E1156" s="31" t="s">
        <v>1269</v>
      </c>
      <c r="F1156" s="134">
        <v>45863.0</v>
      </c>
      <c r="G1156" s="138">
        <v>1515342.19</v>
      </c>
      <c r="H1156" s="14">
        <f t="shared" si="6"/>
        <v>318221.8599</v>
      </c>
      <c r="I1156" s="22">
        <v>45460.27</v>
      </c>
      <c r="J1156" s="22">
        <v>24245.48</v>
      </c>
      <c r="K1156" s="15">
        <f t="shared" si="4"/>
        <v>1903269.8</v>
      </c>
      <c r="L1156" s="45"/>
      <c r="M1156" s="24">
        <v>45846.0</v>
      </c>
    </row>
    <row r="1157" ht="15.75" customHeight="1">
      <c r="A1157" s="39">
        <v>45842.0</v>
      </c>
      <c r="B1157" s="50"/>
      <c r="C1157" s="19" t="s">
        <v>74</v>
      </c>
      <c r="D1157" s="32" t="s">
        <v>99</v>
      </c>
      <c r="E1157" s="32" t="s">
        <v>1270</v>
      </c>
      <c r="F1157" s="134">
        <v>45863.0</v>
      </c>
      <c r="G1157" s="138">
        <v>2475380.75</v>
      </c>
      <c r="H1157" s="14">
        <f t="shared" si="6"/>
        <v>519829.9575</v>
      </c>
      <c r="I1157" s="22"/>
      <c r="J1157" s="22">
        <v>39606.09</v>
      </c>
      <c r="K1157" s="15">
        <f t="shared" si="4"/>
        <v>3034816.798</v>
      </c>
      <c r="L1157" s="45"/>
      <c r="M1157" s="24">
        <v>45846.0</v>
      </c>
    </row>
    <row r="1158" ht="15.75" customHeight="1">
      <c r="A1158" s="39">
        <v>45842.0</v>
      </c>
      <c r="B1158" s="50"/>
      <c r="C1158" s="19" t="s">
        <v>74</v>
      </c>
      <c r="D1158" s="32" t="s">
        <v>99</v>
      </c>
      <c r="E1158" s="31" t="s">
        <v>1271</v>
      </c>
      <c r="F1158" s="134">
        <v>45863.0</v>
      </c>
      <c r="G1158" s="138">
        <v>7598320.14</v>
      </c>
      <c r="H1158" s="14">
        <f t="shared" si="6"/>
        <v>1595647.229</v>
      </c>
      <c r="I1158" s="50"/>
      <c r="J1158" s="22"/>
      <c r="K1158" s="15">
        <f t="shared" si="4"/>
        <v>9193967.369</v>
      </c>
      <c r="L1158" s="45"/>
      <c r="M1158" s="24">
        <v>45846.0</v>
      </c>
    </row>
    <row r="1159" ht="15.75" customHeight="1">
      <c r="A1159" s="39">
        <v>45842.0</v>
      </c>
      <c r="B1159" s="50"/>
      <c r="C1159" s="19" t="s">
        <v>74</v>
      </c>
      <c r="D1159" s="32" t="s">
        <v>99</v>
      </c>
      <c r="E1159" s="31" t="s">
        <v>1272</v>
      </c>
      <c r="F1159" s="134">
        <v>45863.0</v>
      </c>
      <c r="G1159" s="138">
        <v>8425840.63</v>
      </c>
      <c r="H1159" s="14">
        <f t="shared" si="6"/>
        <v>1769426.532</v>
      </c>
      <c r="I1159" s="50"/>
      <c r="J1159" s="22">
        <v>134813.45</v>
      </c>
      <c r="K1159" s="15">
        <f t="shared" si="4"/>
        <v>10330080.61</v>
      </c>
      <c r="L1159" s="45"/>
      <c r="M1159" s="24">
        <v>45846.0</v>
      </c>
    </row>
    <row r="1160" ht="15.75" customHeight="1">
      <c r="A1160" s="39">
        <v>45842.0</v>
      </c>
      <c r="B1160" s="50"/>
      <c r="C1160" s="19" t="s">
        <v>1136</v>
      </c>
      <c r="D1160" s="32" t="s">
        <v>15</v>
      </c>
      <c r="E1160" s="31" t="s">
        <v>1273</v>
      </c>
      <c r="F1160" s="134">
        <v>45863.0</v>
      </c>
      <c r="G1160" s="138">
        <v>2.923483264E7</v>
      </c>
      <c r="H1160" s="14">
        <f t="shared" si="6"/>
        <v>6139314.854</v>
      </c>
      <c r="I1160" s="22">
        <v>877044.98</v>
      </c>
      <c r="J1160" s="22"/>
      <c r="K1160" s="15">
        <f t="shared" si="4"/>
        <v>36251192.47</v>
      </c>
      <c r="L1160" s="45"/>
      <c r="M1160" s="6"/>
    </row>
    <row r="1161" ht="15.75" customHeight="1">
      <c r="A1161" s="39">
        <v>45842.0</v>
      </c>
      <c r="B1161" s="50"/>
      <c r="C1161" s="19" t="s">
        <v>1136</v>
      </c>
      <c r="D1161" s="32" t="s">
        <v>15</v>
      </c>
      <c r="E1161" s="31" t="s">
        <v>1274</v>
      </c>
      <c r="F1161" s="134">
        <v>45863.0</v>
      </c>
      <c r="G1161" s="138">
        <v>2.919816688E7</v>
      </c>
      <c r="H1161" s="14">
        <f t="shared" si="6"/>
        <v>6131615.045</v>
      </c>
      <c r="I1161" s="22">
        <v>875945.01</v>
      </c>
      <c r="J1161" s="22"/>
      <c r="K1161" s="15">
        <f t="shared" si="4"/>
        <v>36205726.93</v>
      </c>
      <c r="L1161" s="45"/>
      <c r="M1161" s="6"/>
    </row>
    <row r="1162" ht="15.75" customHeight="1">
      <c r="A1162" s="39">
        <v>45843.0</v>
      </c>
      <c r="B1162" s="50"/>
      <c r="C1162" s="19" t="s">
        <v>1275</v>
      </c>
      <c r="D1162" s="32" t="s">
        <v>99</v>
      </c>
      <c r="E1162" s="31" t="s">
        <v>1276</v>
      </c>
      <c r="F1162" s="134">
        <v>45863.0</v>
      </c>
      <c r="G1162" s="53">
        <v>1008970.19</v>
      </c>
      <c r="H1162" s="14">
        <f t="shared" si="6"/>
        <v>211883.7399</v>
      </c>
      <c r="I1162" s="22">
        <v>30269.11</v>
      </c>
      <c r="J1162" s="14"/>
      <c r="K1162" s="15">
        <f t="shared" si="4"/>
        <v>1251123.04</v>
      </c>
      <c r="L1162" s="45"/>
      <c r="M1162" s="24">
        <v>45846.0</v>
      </c>
    </row>
    <row r="1163" ht="15.75" customHeight="1">
      <c r="A1163" s="39">
        <v>45843.0</v>
      </c>
      <c r="B1163" s="50"/>
      <c r="C1163" s="19" t="s">
        <v>1277</v>
      </c>
      <c r="D1163" s="32" t="s">
        <v>99</v>
      </c>
      <c r="E1163" s="31" t="s">
        <v>1278</v>
      </c>
      <c r="F1163" s="134">
        <v>45863.0</v>
      </c>
      <c r="G1163" s="53">
        <v>1008970.46</v>
      </c>
      <c r="H1163" s="14">
        <f t="shared" si="6"/>
        <v>211883.7966</v>
      </c>
      <c r="I1163" s="22">
        <v>30269.11</v>
      </c>
      <c r="J1163" s="14"/>
      <c r="K1163" s="15">
        <f t="shared" si="4"/>
        <v>1251123.367</v>
      </c>
      <c r="L1163" s="45"/>
      <c r="M1163" s="6"/>
    </row>
    <row r="1164" ht="15.75" customHeight="1">
      <c r="A1164" s="39">
        <v>45843.0</v>
      </c>
      <c r="B1164" s="50"/>
      <c r="C1164" s="19" t="s">
        <v>1279</v>
      </c>
      <c r="D1164" s="32" t="s">
        <v>99</v>
      </c>
      <c r="E1164" s="31" t="s">
        <v>1280</v>
      </c>
      <c r="F1164" s="134">
        <v>45863.0</v>
      </c>
      <c r="G1164" s="53">
        <v>1008970.28</v>
      </c>
      <c r="H1164" s="14">
        <f t="shared" si="6"/>
        <v>211883.7588</v>
      </c>
      <c r="I1164" s="22">
        <v>30269.11</v>
      </c>
      <c r="J1164" s="14"/>
      <c r="K1164" s="15">
        <f t="shared" si="4"/>
        <v>1251123.149</v>
      </c>
      <c r="L1164" s="45"/>
      <c r="M1164" s="24">
        <v>45846.0</v>
      </c>
    </row>
    <row r="1165" ht="15.75" customHeight="1">
      <c r="A1165" s="39">
        <v>45843.0</v>
      </c>
      <c r="B1165" s="50"/>
      <c r="C1165" s="19" t="s">
        <v>1281</v>
      </c>
      <c r="D1165" s="32" t="s">
        <v>99</v>
      </c>
      <c r="E1165" s="31" t="s">
        <v>1282</v>
      </c>
      <c r="F1165" s="134">
        <v>45863.0</v>
      </c>
      <c r="G1165" s="53">
        <v>1008970.59</v>
      </c>
      <c r="H1165" s="14">
        <f t="shared" si="6"/>
        <v>211883.8239</v>
      </c>
      <c r="I1165" s="22">
        <v>30269.12</v>
      </c>
      <c r="J1165" s="14"/>
      <c r="K1165" s="15">
        <f t="shared" si="4"/>
        <v>1251123.534</v>
      </c>
      <c r="L1165" s="45"/>
      <c r="M1165" s="24">
        <v>45846.0</v>
      </c>
    </row>
    <row r="1166" ht="15.75" customHeight="1">
      <c r="A1166" s="39">
        <v>45843.0</v>
      </c>
      <c r="B1166" s="50"/>
      <c r="C1166" s="19" t="s">
        <v>1283</v>
      </c>
      <c r="D1166" s="32" t="s">
        <v>99</v>
      </c>
      <c r="E1166" s="31" t="s">
        <v>1284</v>
      </c>
      <c r="F1166" s="134">
        <v>45863.0</v>
      </c>
      <c r="G1166" s="53">
        <v>1008970.85</v>
      </c>
      <c r="H1166" s="14">
        <f t="shared" si="6"/>
        <v>211883.8785</v>
      </c>
      <c r="I1166" s="22">
        <v>30269.13</v>
      </c>
      <c r="J1166" s="22">
        <v>5044.85</v>
      </c>
      <c r="K1166" s="15">
        <f t="shared" si="4"/>
        <v>1256168.709</v>
      </c>
      <c r="L1166" s="45"/>
      <c r="M1166" s="24">
        <v>45846.0</v>
      </c>
    </row>
    <row r="1167" ht="15.75" customHeight="1">
      <c r="A1167" s="39">
        <v>45843.0</v>
      </c>
      <c r="B1167" s="50"/>
      <c r="C1167" s="19" t="s">
        <v>1285</v>
      </c>
      <c r="D1167" s="32" t="s">
        <v>99</v>
      </c>
      <c r="E1167" s="31" t="s">
        <v>1286</v>
      </c>
      <c r="F1167" s="134">
        <v>45863.0</v>
      </c>
      <c r="G1167" s="53">
        <v>3004890.69</v>
      </c>
      <c r="H1167" s="14">
        <f t="shared" si="6"/>
        <v>631027.0449</v>
      </c>
      <c r="I1167" s="50"/>
      <c r="J1167" s="14"/>
      <c r="K1167" s="15">
        <f t="shared" si="4"/>
        <v>3635917.735</v>
      </c>
      <c r="L1167" s="45"/>
      <c r="M1167" s="24">
        <v>45845.0</v>
      </c>
    </row>
    <row r="1168" ht="15.75" customHeight="1">
      <c r="A1168" s="39">
        <v>45843.0</v>
      </c>
      <c r="B1168" s="50"/>
      <c r="C1168" s="19" t="s">
        <v>268</v>
      </c>
      <c r="D1168" s="19" t="s">
        <v>1287</v>
      </c>
      <c r="E1168" s="31" t="s">
        <v>1288</v>
      </c>
      <c r="F1168" s="139">
        <v>45834.0</v>
      </c>
      <c r="G1168" s="53">
        <v>731025.66</v>
      </c>
      <c r="H1168" s="14">
        <f t="shared" si="6"/>
        <v>153515.3886</v>
      </c>
      <c r="I1168" s="50"/>
      <c r="J1168" s="14">
        <f>36551.28+43861.54</f>
        <v>80412.82</v>
      </c>
      <c r="K1168" s="15">
        <f t="shared" si="4"/>
        <v>964953.8686</v>
      </c>
      <c r="L1168" s="45"/>
      <c r="M1168" s="6"/>
    </row>
    <row r="1169" ht="15.75" customHeight="1">
      <c r="A1169" s="39">
        <v>45843.0</v>
      </c>
      <c r="B1169" s="50"/>
      <c r="C1169" s="31" t="s">
        <v>268</v>
      </c>
      <c r="D1169" s="19" t="s">
        <v>1287</v>
      </c>
      <c r="E1169" s="31" t="s">
        <v>1289</v>
      </c>
      <c r="F1169" s="139">
        <v>45834.0</v>
      </c>
      <c r="G1169" s="53">
        <v>3633602.21</v>
      </c>
      <c r="H1169" s="14">
        <f t="shared" si="6"/>
        <v>763056.4641</v>
      </c>
      <c r="I1169" s="50"/>
      <c r="J1169" s="14">
        <f>181680.11+218016.13</f>
        <v>399696.24</v>
      </c>
      <c r="K1169" s="15">
        <f t="shared" si="4"/>
        <v>4796354.914</v>
      </c>
      <c r="L1169" s="45"/>
      <c r="M1169" s="6"/>
    </row>
    <row r="1170" ht="15.75" customHeight="1">
      <c r="A1170" s="39">
        <v>45843.0</v>
      </c>
      <c r="B1170" s="50"/>
      <c r="C1170" s="19" t="s">
        <v>268</v>
      </c>
      <c r="D1170" s="19" t="s">
        <v>1287</v>
      </c>
      <c r="E1170" s="31" t="s">
        <v>1290</v>
      </c>
      <c r="F1170" s="139">
        <v>45834.0</v>
      </c>
      <c r="G1170" s="53">
        <v>1.555558989E7</v>
      </c>
      <c r="H1170" s="14">
        <f t="shared" si="6"/>
        <v>3266673.877</v>
      </c>
      <c r="I1170" s="50"/>
      <c r="J1170" s="14">
        <f>777779.49+933335.39</f>
        <v>1711114.88</v>
      </c>
      <c r="K1170" s="15">
        <f t="shared" si="4"/>
        <v>20533378.65</v>
      </c>
      <c r="L1170" s="45"/>
      <c r="M1170" s="6"/>
    </row>
    <row r="1171" ht="15.75" customHeight="1">
      <c r="A1171" s="39">
        <v>45843.0</v>
      </c>
      <c r="B1171" s="50"/>
      <c r="C1171" s="19" t="s">
        <v>268</v>
      </c>
      <c r="D1171" s="19" t="s">
        <v>1287</v>
      </c>
      <c r="E1171" s="31" t="s">
        <v>1291</v>
      </c>
      <c r="F1171" s="139">
        <v>45834.0</v>
      </c>
      <c r="G1171" s="53">
        <v>2.015177277E7</v>
      </c>
      <c r="H1171" s="14">
        <f t="shared" si="6"/>
        <v>4231872.282</v>
      </c>
      <c r="I1171" s="50"/>
      <c r="J1171" s="14">
        <f>1007588.64+1209106.37</f>
        <v>2216695.01</v>
      </c>
      <c r="K1171" s="15">
        <f t="shared" si="4"/>
        <v>26600340.06</v>
      </c>
      <c r="L1171" s="45"/>
      <c r="M1171" s="6"/>
    </row>
    <row r="1172" ht="15.75" customHeight="1">
      <c r="A1172" s="39">
        <v>45845.0</v>
      </c>
      <c r="B1172" s="50"/>
      <c r="C1172" s="19" t="s">
        <v>1275</v>
      </c>
      <c r="D1172" s="32" t="s">
        <v>99</v>
      </c>
      <c r="E1172" s="31" t="s">
        <v>1292</v>
      </c>
      <c r="F1172" s="134">
        <v>45863.0</v>
      </c>
      <c r="G1172" s="53">
        <v>1003740.15</v>
      </c>
      <c r="H1172" s="14">
        <f t="shared" si="6"/>
        <v>210785.4315</v>
      </c>
      <c r="I1172" s="22">
        <v>30112.2</v>
      </c>
      <c r="J1172" s="14"/>
      <c r="K1172" s="15">
        <f t="shared" si="4"/>
        <v>1244637.782</v>
      </c>
      <c r="L1172" s="45"/>
      <c r="M1172" s="24">
        <v>45846.0</v>
      </c>
    </row>
    <row r="1173" ht="15.75" customHeight="1">
      <c r="A1173" s="39">
        <v>45845.0</v>
      </c>
      <c r="B1173" s="39"/>
      <c r="C1173" s="19" t="s">
        <v>1275</v>
      </c>
      <c r="D1173" s="32" t="s">
        <v>99</v>
      </c>
      <c r="E1173" s="31" t="s">
        <v>1293</v>
      </c>
      <c r="F1173" s="134">
        <v>45863.0</v>
      </c>
      <c r="G1173" s="53">
        <v>1005820.17</v>
      </c>
      <c r="H1173" s="14">
        <f t="shared" si="6"/>
        <v>211222.2357</v>
      </c>
      <c r="I1173" s="22">
        <v>30174.61</v>
      </c>
      <c r="J1173" s="14"/>
      <c r="K1173" s="15">
        <f t="shared" si="4"/>
        <v>1247217.016</v>
      </c>
      <c r="L1173" s="45"/>
      <c r="M1173" s="24">
        <v>45846.0</v>
      </c>
    </row>
    <row r="1174" ht="15.75" customHeight="1">
      <c r="A1174" s="39">
        <v>45845.0</v>
      </c>
      <c r="B1174" s="39"/>
      <c r="C1174" s="19" t="s">
        <v>1275</v>
      </c>
      <c r="D1174" s="32" t="s">
        <v>99</v>
      </c>
      <c r="E1174" s="31" t="s">
        <v>1294</v>
      </c>
      <c r="F1174" s="134">
        <v>45863.0</v>
      </c>
      <c r="G1174" s="53">
        <v>402560.12</v>
      </c>
      <c r="H1174" s="14">
        <f t="shared" si="6"/>
        <v>84537.6252</v>
      </c>
      <c r="I1174" s="22">
        <v>12076.8</v>
      </c>
      <c r="J1174" s="14"/>
      <c r="K1174" s="15">
        <f t="shared" si="4"/>
        <v>499174.5452</v>
      </c>
      <c r="L1174" s="45"/>
      <c r="M1174" s="24">
        <v>45846.0</v>
      </c>
    </row>
    <row r="1175" ht="15.75" customHeight="1">
      <c r="A1175" s="39">
        <v>45845.0</v>
      </c>
      <c r="B1175" s="39"/>
      <c r="C1175" s="19" t="s">
        <v>1275</v>
      </c>
      <c r="D1175" s="32" t="s">
        <v>15</v>
      </c>
      <c r="E1175" s="31" t="s">
        <v>1295</v>
      </c>
      <c r="F1175" s="134">
        <v>45863.0</v>
      </c>
      <c r="G1175" s="53">
        <v>403640.18</v>
      </c>
      <c r="H1175" s="14">
        <f t="shared" si="6"/>
        <v>84764.4378</v>
      </c>
      <c r="I1175" s="22">
        <v>12109.21</v>
      </c>
      <c r="J1175" s="14"/>
      <c r="K1175" s="15">
        <f t="shared" si="4"/>
        <v>500513.8278</v>
      </c>
      <c r="L1175" s="45"/>
      <c r="M1175" s="24">
        <v>45848.0</v>
      </c>
    </row>
    <row r="1176" ht="15.75" customHeight="1">
      <c r="A1176" s="39">
        <v>45845.0</v>
      </c>
      <c r="B1176" s="39"/>
      <c r="C1176" s="19" t="s">
        <v>1275</v>
      </c>
      <c r="D1176" s="32" t="s">
        <v>15</v>
      </c>
      <c r="E1176" s="31" t="s">
        <v>1296</v>
      </c>
      <c r="F1176" s="134">
        <v>45863.0</v>
      </c>
      <c r="G1176" s="53">
        <v>608210.94</v>
      </c>
      <c r="H1176" s="14">
        <f t="shared" si="6"/>
        <v>127724.2974</v>
      </c>
      <c r="I1176" s="22">
        <v>18246.33</v>
      </c>
      <c r="J1176" s="14"/>
      <c r="K1176" s="15">
        <f t="shared" si="4"/>
        <v>754181.5674</v>
      </c>
      <c r="L1176" s="45"/>
      <c r="M1176" s="24">
        <v>45848.0</v>
      </c>
    </row>
    <row r="1177" ht="15.75" customHeight="1">
      <c r="A1177" s="39">
        <v>45845.0</v>
      </c>
      <c r="B1177" s="39"/>
      <c r="C1177" s="19" t="s">
        <v>1277</v>
      </c>
      <c r="D1177" s="32" t="s">
        <v>99</v>
      </c>
      <c r="E1177" s="31" t="s">
        <v>1297</v>
      </c>
      <c r="F1177" s="134">
        <v>45863.0</v>
      </c>
      <c r="G1177" s="53">
        <v>1002260.59</v>
      </c>
      <c r="H1177" s="14">
        <f t="shared" si="6"/>
        <v>210474.7239</v>
      </c>
      <c r="I1177" s="22">
        <v>30067.82</v>
      </c>
      <c r="J1177" s="14"/>
      <c r="K1177" s="15">
        <f t="shared" si="4"/>
        <v>1242803.134</v>
      </c>
      <c r="L1177" s="45"/>
      <c r="M1177" s="6"/>
    </row>
    <row r="1178" ht="15.75" customHeight="1">
      <c r="A1178" s="39">
        <v>45845.0</v>
      </c>
      <c r="B1178" s="39"/>
      <c r="C1178" s="19" t="s">
        <v>1277</v>
      </c>
      <c r="D1178" s="32" t="s">
        <v>99</v>
      </c>
      <c r="E1178" s="31" t="s">
        <v>1298</v>
      </c>
      <c r="F1178" s="134">
        <v>45863.0</v>
      </c>
      <c r="G1178" s="53">
        <v>1006190.23</v>
      </c>
      <c r="H1178" s="14">
        <f t="shared" si="6"/>
        <v>211299.9483</v>
      </c>
      <c r="I1178" s="22">
        <v>30185.71</v>
      </c>
      <c r="J1178" s="14"/>
      <c r="K1178" s="15">
        <f t="shared" si="4"/>
        <v>1247675.888</v>
      </c>
      <c r="L1178" s="45"/>
      <c r="M1178" s="6"/>
    </row>
    <row r="1179" ht="15.75" customHeight="1">
      <c r="A1179" s="39">
        <v>45845.0</v>
      </c>
      <c r="B1179" s="39"/>
      <c r="C1179" s="19" t="s">
        <v>1277</v>
      </c>
      <c r="D1179" s="32" t="s">
        <v>99</v>
      </c>
      <c r="E1179" s="31" t="s">
        <v>1299</v>
      </c>
      <c r="F1179" s="134">
        <v>45863.0</v>
      </c>
      <c r="G1179" s="53">
        <v>407280.71</v>
      </c>
      <c r="H1179" s="14">
        <f t="shared" si="6"/>
        <v>85528.9491</v>
      </c>
      <c r="I1179" s="22">
        <v>12218.42</v>
      </c>
      <c r="J1179" s="14"/>
      <c r="K1179" s="15">
        <f t="shared" si="4"/>
        <v>505028.0791</v>
      </c>
      <c r="L1179" s="45"/>
      <c r="M1179" s="6"/>
    </row>
    <row r="1180" ht="15.75" customHeight="1">
      <c r="A1180" s="39">
        <v>45845.0</v>
      </c>
      <c r="B1180" s="39"/>
      <c r="C1180" s="19" t="s">
        <v>1277</v>
      </c>
      <c r="D1180" s="32" t="s">
        <v>15</v>
      </c>
      <c r="E1180" s="31" t="s">
        <v>1300</v>
      </c>
      <c r="F1180" s="134">
        <v>45863.0</v>
      </c>
      <c r="G1180" s="53">
        <v>402830.54</v>
      </c>
      <c r="H1180" s="14">
        <f t="shared" si="6"/>
        <v>84594.4134</v>
      </c>
      <c r="I1180" s="22">
        <v>12084.92</v>
      </c>
      <c r="J1180" s="14"/>
      <c r="K1180" s="15">
        <f t="shared" si="4"/>
        <v>499509.8734</v>
      </c>
      <c r="L1180" s="45"/>
      <c r="M1180" s="6"/>
    </row>
    <row r="1181" ht="15.75" customHeight="1">
      <c r="A1181" s="39">
        <v>45845.0</v>
      </c>
      <c r="B1181" s="39"/>
      <c r="C1181" s="19" t="s">
        <v>1277</v>
      </c>
      <c r="D1181" s="32" t="s">
        <v>15</v>
      </c>
      <c r="E1181" s="31" t="s">
        <v>1301</v>
      </c>
      <c r="F1181" s="134">
        <v>45863.0</v>
      </c>
      <c r="G1181" s="53">
        <v>601280.78</v>
      </c>
      <c r="H1181" s="14">
        <f t="shared" si="6"/>
        <v>126268.9638</v>
      </c>
      <c r="I1181" s="22">
        <v>18038.42</v>
      </c>
      <c r="J1181" s="14"/>
      <c r="K1181" s="15">
        <f t="shared" si="4"/>
        <v>745588.1638</v>
      </c>
      <c r="L1181" s="45"/>
      <c r="M1181" s="6"/>
    </row>
    <row r="1182" ht="15.75" customHeight="1">
      <c r="A1182" s="39">
        <v>45845.0</v>
      </c>
      <c r="B1182" s="39"/>
      <c r="C1182" s="31" t="s">
        <v>1279</v>
      </c>
      <c r="D1182" s="32" t="s">
        <v>99</v>
      </c>
      <c r="E1182" s="31" t="s">
        <v>1302</v>
      </c>
      <c r="F1182" s="134">
        <v>45863.0</v>
      </c>
      <c r="G1182" s="53">
        <v>1005990.19</v>
      </c>
      <c r="H1182" s="14">
        <f t="shared" si="6"/>
        <v>211257.9399</v>
      </c>
      <c r="I1182" s="22">
        <v>30179.71</v>
      </c>
      <c r="J1182" s="14"/>
      <c r="K1182" s="15">
        <f t="shared" si="4"/>
        <v>1247427.84</v>
      </c>
      <c r="L1182" s="45"/>
      <c r="M1182" s="24">
        <v>45846.0</v>
      </c>
    </row>
    <row r="1183" ht="15.75" customHeight="1">
      <c r="A1183" s="39">
        <v>45845.0</v>
      </c>
      <c r="B1183" s="39"/>
      <c r="C1183" s="31" t="s">
        <v>1279</v>
      </c>
      <c r="D1183" s="32" t="s">
        <v>99</v>
      </c>
      <c r="E1183" s="31" t="s">
        <v>1303</v>
      </c>
      <c r="F1183" s="134">
        <v>45863.0</v>
      </c>
      <c r="G1183" s="53">
        <v>1001830.71</v>
      </c>
      <c r="H1183" s="14">
        <f t="shared" si="6"/>
        <v>210384.4491</v>
      </c>
      <c r="I1183" s="22">
        <v>30054.92</v>
      </c>
      <c r="J1183" s="14"/>
      <c r="K1183" s="15">
        <f t="shared" si="4"/>
        <v>1242270.079</v>
      </c>
      <c r="L1183" s="45"/>
      <c r="M1183" s="24">
        <v>45846.0</v>
      </c>
    </row>
    <row r="1184" ht="15.75" customHeight="1">
      <c r="A1184" s="39">
        <v>45845.0</v>
      </c>
      <c r="B1184" s="39"/>
      <c r="C1184" s="31" t="s">
        <v>1279</v>
      </c>
      <c r="D1184" s="32" t="s">
        <v>99</v>
      </c>
      <c r="E1184" s="31" t="s">
        <v>1304</v>
      </c>
      <c r="F1184" s="134">
        <v>45863.0</v>
      </c>
      <c r="G1184" s="53">
        <v>401820.18</v>
      </c>
      <c r="H1184" s="14">
        <f t="shared" si="6"/>
        <v>84382.2378</v>
      </c>
      <c r="I1184" s="22">
        <v>12054.61</v>
      </c>
      <c r="J1184" s="14"/>
      <c r="K1184" s="15">
        <f t="shared" si="4"/>
        <v>498257.0278</v>
      </c>
      <c r="L1184" s="45"/>
      <c r="M1184" s="24">
        <v>45846.0</v>
      </c>
    </row>
    <row r="1185" ht="15.75" customHeight="1">
      <c r="A1185" s="39">
        <v>45845.0</v>
      </c>
      <c r="B1185" s="39"/>
      <c r="C1185" s="31" t="s">
        <v>1279</v>
      </c>
      <c r="D1185" s="32" t="s">
        <v>15</v>
      </c>
      <c r="E1185" s="31" t="s">
        <v>1305</v>
      </c>
      <c r="F1185" s="134">
        <v>45863.0</v>
      </c>
      <c r="G1185" s="53">
        <v>404820.18</v>
      </c>
      <c r="H1185" s="14">
        <f t="shared" si="6"/>
        <v>85012.2378</v>
      </c>
      <c r="I1185" s="22">
        <v>12144.61</v>
      </c>
      <c r="J1185" s="14"/>
      <c r="K1185" s="15">
        <f t="shared" si="4"/>
        <v>501977.0278</v>
      </c>
      <c r="L1185" s="45"/>
      <c r="M1185" s="6"/>
    </row>
    <row r="1186" ht="15.75" customHeight="1">
      <c r="A1186" s="39">
        <v>45845.0</v>
      </c>
      <c r="B1186" s="39"/>
      <c r="C1186" s="31" t="s">
        <v>1279</v>
      </c>
      <c r="D1186" s="32" t="s">
        <v>15</v>
      </c>
      <c r="E1186" s="31" t="s">
        <v>1306</v>
      </c>
      <c r="F1186" s="134">
        <v>45863.0</v>
      </c>
      <c r="G1186" s="53">
        <v>602930.71</v>
      </c>
      <c r="H1186" s="14">
        <f t="shared" si="6"/>
        <v>126615.4491</v>
      </c>
      <c r="I1186" s="22">
        <v>18087.92</v>
      </c>
      <c r="J1186" s="14"/>
      <c r="K1186" s="15">
        <f t="shared" si="4"/>
        <v>747634.0791</v>
      </c>
      <c r="L1186" s="45"/>
      <c r="M1186" s="6"/>
    </row>
    <row r="1187" ht="15.75" customHeight="1">
      <c r="A1187" s="39">
        <v>45845.0</v>
      </c>
      <c r="B1187" s="39"/>
      <c r="C1187" s="31" t="s">
        <v>1283</v>
      </c>
      <c r="D1187" s="32" t="s">
        <v>99</v>
      </c>
      <c r="E1187" s="31" t="s">
        <v>1307</v>
      </c>
      <c r="F1187" s="134">
        <v>45863.0</v>
      </c>
      <c r="G1187" s="53">
        <v>1002570.71</v>
      </c>
      <c r="H1187" s="14">
        <f t="shared" si="6"/>
        <v>210539.8491</v>
      </c>
      <c r="I1187" s="22">
        <v>30077.12</v>
      </c>
      <c r="J1187" s="22">
        <v>5012.85</v>
      </c>
      <c r="K1187" s="15">
        <f t="shared" si="4"/>
        <v>1248200.529</v>
      </c>
      <c r="L1187" s="45"/>
      <c r="M1187" s="24">
        <v>45846.0</v>
      </c>
    </row>
    <row r="1188" ht="15.75" customHeight="1">
      <c r="A1188" s="39">
        <v>45845.0</v>
      </c>
      <c r="B1188" s="39"/>
      <c r="C1188" s="31" t="s">
        <v>1283</v>
      </c>
      <c r="D1188" s="32" t="s">
        <v>99</v>
      </c>
      <c r="E1188" s="31" t="s">
        <v>1308</v>
      </c>
      <c r="F1188" s="134">
        <v>45863.0</v>
      </c>
      <c r="G1188" s="53">
        <v>1006650.27</v>
      </c>
      <c r="H1188" s="14">
        <f t="shared" si="6"/>
        <v>211396.5567</v>
      </c>
      <c r="I1188" s="22">
        <v>30199.51</v>
      </c>
      <c r="J1188" s="22">
        <v>5033.25</v>
      </c>
      <c r="K1188" s="15">
        <f t="shared" si="4"/>
        <v>1253279.587</v>
      </c>
      <c r="L1188" s="45"/>
      <c r="M1188" s="24">
        <v>45846.0</v>
      </c>
    </row>
    <row r="1189" ht="15.75" customHeight="1">
      <c r="A1189" s="39">
        <v>45845.0</v>
      </c>
      <c r="B1189" s="39"/>
      <c r="C1189" s="31" t="s">
        <v>1283</v>
      </c>
      <c r="D1189" s="32" t="s">
        <v>99</v>
      </c>
      <c r="E1189" s="31" t="s">
        <v>1309</v>
      </c>
      <c r="F1189" s="134">
        <v>45863.0</v>
      </c>
      <c r="G1189" s="53">
        <v>403430.33</v>
      </c>
      <c r="H1189" s="14">
        <f t="shared" si="6"/>
        <v>84720.3693</v>
      </c>
      <c r="I1189" s="22">
        <v>12102.91</v>
      </c>
      <c r="J1189" s="22">
        <v>2017.15</v>
      </c>
      <c r="K1189" s="15">
        <f t="shared" si="4"/>
        <v>502270.7593</v>
      </c>
      <c r="L1189" s="45"/>
      <c r="M1189" s="24">
        <v>45846.0</v>
      </c>
    </row>
    <row r="1190" ht="15.75" customHeight="1">
      <c r="A1190" s="39">
        <v>45845.0</v>
      </c>
      <c r="B1190" s="39"/>
      <c r="C1190" s="31" t="s">
        <v>1283</v>
      </c>
      <c r="D1190" s="32" t="s">
        <v>15</v>
      </c>
      <c r="E1190" s="31" t="s">
        <v>1310</v>
      </c>
      <c r="F1190" s="134">
        <v>45863.0</v>
      </c>
      <c r="G1190" s="53">
        <v>406210.59</v>
      </c>
      <c r="H1190" s="14">
        <f t="shared" si="6"/>
        <v>85304.2239</v>
      </c>
      <c r="I1190" s="22">
        <v>12186.32</v>
      </c>
      <c r="J1190" s="22">
        <v>2031.05</v>
      </c>
      <c r="K1190" s="15">
        <f t="shared" si="4"/>
        <v>505732.1839</v>
      </c>
      <c r="L1190" s="45"/>
      <c r="M1190" s="24">
        <v>45848.0</v>
      </c>
    </row>
    <row r="1191" ht="15.75" customHeight="1">
      <c r="A1191" s="39">
        <v>45845.0</v>
      </c>
      <c r="B1191" s="39"/>
      <c r="C1191" s="31" t="s">
        <v>1283</v>
      </c>
      <c r="D1191" s="32" t="s">
        <v>15</v>
      </c>
      <c r="E1191" s="31" t="s">
        <v>1311</v>
      </c>
      <c r="F1191" s="134">
        <v>45863.0</v>
      </c>
      <c r="G1191" s="53">
        <v>608290.12</v>
      </c>
      <c r="H1191" s="14">
        <f t="shared" si="6"/>
        <v>127740.9252</v>
      </c>
      <c r="I1191" s="22">
        <v>18248.7</v>
      </c>
      <c r="J1191" s="22">
        <v>3041.45</v>
      </c>
      <c r="K1191" s="15">
        <f t="shared" si="4"/>
        <v>757321.1952</v>
      </c>
      <c r="L1191" s="45"/>
      <c r="M1191" s="24">
        <v>45848.0</v>
      </c>
    </row>
    <row r="1192" ht="15.75" customHeight="1">
      <c r="A1192" s="39">
        <v>45845.0</v>
      </c>
      <c r="B1192" s="39"/>
      <c r="C1192" s="31" t="s">
        <v>1312</v>
      </c>
      <c r="D1192" s="32" t="s">
        <v>99</v>
      </c>
      <c r="E1192" s="31" t="s">
        <v>1313</v>
      </c>
      <c r="F1192" s="134">
        <v>45863.0</v>
      </c>
      <c r="G1192" s="53">
        <v>1008320.42</v>
      </c>
      <c r="H1192" s="14">
        <f t="shared" si="6"/>
        <v>211747.2882</v>
      </c>
      <c r="I1192" s="22">
        <v>30249.61</v>
      </c>
      <c r="J1192" s="14"/>
      <c r="K1192" s="15">
        <f t="shared" si="4"/>
        <v>1250317.318</v>
      </c>
      <c r="L1192" s="45"/>
      <c r="M1192" s="24">
        <v>45846.0</v>
      </c>
    </row>
    <row r="1193" ht="15.75" customHeight="1">
      <c r="A1193" s="39">
        <v>45845.0</v>
      </c>
      <c r="B1193" s="39"/>
      <c r="C1193" s="31" t="s">
        <v>1312</v>
      </c>
      <c r="D1193" s="32" t="s">
        <v>15</v>
      </c>
      <c r="E1193" s="31" t="s">
        <v>1314</v>
      </c>
      <c r="F1193" s="134">
        <v>45863.0</v>
      </c>
      <c r="G1193" s="53">
        <v>1006820.96</v>
      </c>
      <c r="H1193" s="14">
        <f t="shared" si="6"/>
        <v>211432.4016</v>
      </c>
      <c r="I1193" s="22">
        <v>30204.63</v>
      </c>
      <c r="J1193" s="14"/>
      <c r="K1193" s="15">
        <f t="shared" si="4"/>
        <v>1248457.992</v>
      </c>
      <c r="L1193" s="45"/>
      <c r="M1193" s="24">
        <v>45848.0</v>
      </c>
    </row>
    <row r="1194" ht="15.75" customHeight="1">
      <c r="A1194" s="39">
        <v>45845.0</v>
      </c>
      <c r="B1194" s="39"/>
      <c r="C1194" s="31" t="s">
        <v>211</v>
      </c>
      <c r="D1194" s="32" t="s">
        <v>99</v>
      </c>
      <c r="E1194" s="31" t="s">
        <v>1315</v>
      </c>
      <c r="F1194" s="134">
        <v>45863.0</v>
      </c>
      <c r="G1194" s="53">
        <f>3062640.06/1.21</f>
        <v>2531107.488</v>
      </c>
      <c r="H1194" s="14">
        <f t="shared" si="6"/>
        <v>531532.5724</v>
      </c>
      <c r="I1194" s="22"/>
      <c r="J1194" s="14"/>
      <c r="K1194" s="15">
        <f t="shared" si="4"/>
        <v>3062640.06</v>
      </c>
      <c r="L1194" s="45"/>
      <c r="M1194" s="24">
        <v>45845.0</v>
      </c>
    </row>
    <row r="1195" ht="15.75" customHeight="1">
      <c r="A1195" s="39">
        <v>45845.0</v>
      </c>
      <c r="B1195" s="39"/>
      <c r="C1195" s="31" t="s">
        <v>211</v>
      </c>
      <c r="D1195" s="32" t="s">
        <v>15</v>
      </c>
      <c r="E1195" s="31" t="s">
        <v>1316</v>
      </c>
      <c r="F1195" s="134">
        <v>45863.0</v>
      </c>
      <c r="G1195" s="53">
        <v>2536305.79</v>
      </c>
      <c r="H1195" s="14">
        <f t="shared" si="6"/>
        <v>532624.2159</v>
      </c>
      <c r="I1195" s="22"/>
      <c r="J1195" s="14"/>
      <c r="K1195" s="15">
        <f t="shared" si="4"/>
        <v>3068930.006</v>
      </c>
      <c r="L1195" s="45"/>
      <c r="M1195" s="24">
        <v>45845.0</v>
      </c>
    </row>
    <row r="1196" ht="15.75" customHeight="1">
      <c r="A1196" s="39">
        <v>45845.0</v>
      </c>
      <c r="B1196" s="39"/>
      <c r="C1196" s="31" t="s">
        <v>611</v>
      </c>
      <c r="D1196" s="32" t="s">
        <v>15</v>
      </c>
      <c r="E1196" s="32" t="s">
        <v>1317</v>
      </c>
      <c r="F1196" s="134">
        <v>45863.0</v>
      </c>
      <c r="G1196" s="53">
        <v>6208940.19</v>
      </c>
      <c r="H1196" s="14">
        <f t="shared" si="6"/>
        <v>1303877.44</v>
      </c>
      <c r="I1196" s="22">
        <v>186268.21</v>
      </c>
      <c r="J1196" s="14"/>
      <c r="K1196" s="15">
        <f t="shared" si="4"/>
        <v>7699085.84</v>
      </c>
      <c r="L1196" s="45"/>
      <c r="M1196" s="24">
        <v>45856.0</v>
      </c>
    </row>
    <row r="1197" ht="15.75" customHeight="1">
      <c r="A1197" s="39">
        <v>45845.0</v>
      </c>
      <c r="B1197" s="39"/>
      <c r="C1197" s="31" t="s">
        <v>1281</v>
      </c>
      <c r="D1197" s="32" t="s">
        <v>99</v>
      </c>
      <c r="E1197" s="31" t="s">
        <v>1318</v>
      </c>
      <c r="F1197" s="134">
        <v>45863.0</v>
      </c>
      <c r="G1197" s="53">
        <v>1004660.85</v>
      </c>
      <c r="H1197" s="14">
        <f t="shared" si="6"/>
        <v>210978.7785</v>
      </c>
      <c r="I1197" s="22">
        <v>30139.83</v>
      </c>
      <c r="J1197" s="14"/>
      <c r="K1197" s="15">
        <f t="shared" si="4"/>
        <v>1245779.459</v>
      </c>
      <c r="L1197" s="45"/>
      <c r="M1197" s="24">
        <v>45846.0</v>
      </c>
    </row>
    <row r="1198" ht="15.75" customHeight="1">
      <c r="A1198" s="39">
        <v>45845.0</v>
      </c>
      <c r="B1198" s="39"/>
      <c r="C1198" s="31" t="s">
        <v>1281</v>
      </c>
      <c r="D1198" s="32" t="s">
        <v>99</v>
      </c>
      <c r="E1198" s="31" t="s">
        <v>1319</v>
      </c>
      <c r="F1198" s="134">
        <v>45863.0</v>
      </c>
      <c r="G1198" s="53">
        <v>1007840.15</v>
      </c>
      <c r="H1198" s="14">
        <f t="shared" si="6"/>
        <v>211646.4315</v>
      </c>
      <c r="I1198" s="22">
        <v>30235.2</v>
      </c>
      <c r="J1198" s="14"/>
      <c r="K1198" s="15">
        <f t="shared" si="4"/>
        <v>1249721.782</v>
      </c>
      <c r="L1198" s="45"/>
      <c r="M1198" s="24">
        <v>45846.0</v>
      </c>
    </row>
    <row r="1199" ht="15.75" customHeight="1">
      <c r="A1199" s="39">
        <v>45845.0</v>
      </c>
      <c r="B1199" s="39"/>
      <c r="C1199" s="31" t="s">
        <v>1281</v>
      </c>
      <c r="D1199" s="32" t="s">
        <v>99</v>
      </c>
      <c r="E1199" s="31" t="s">
        <v>1320</v>
      </c>
      <c r="F1199" s="134">
        <v>45863.0</v>
      </c>
      <c r="G1199" s="53">
        <v>404950.46</v>
      </c>
      <c r="H1199" s="14">
        <f t="shared" si="6"/>
        <v>85039.5966</v>
      </c>
      <c r="I1199" s="22">
        <v>12148.51</v>
      </c>
      <c r="J1199" s="14"/>
      <c r="K1199" s="15">
        <f t="shared" si="4"/>
        <v>502138.5666</v>
      </c>
      <c r="L1199" s="45"/>
      <c r="M1199" s="24">
        <v>45846.0</v>
      </c>
    </row>
    <row r="1200" ht="15.75" customHeight="1">
      <c r="A1200" s="39">
        <v>45845.0</v>
      </c>
      <c r="B1200" s="39"/>
      <c r="C1200" s="31" t="s">
        <v>1281</v>
      </c>
      <c r="D1200" s="32" t="s">
        <v>15</v>
      </c>
      <c r="E1200" s="31" t="s">
        <v>1321</v>
      </c>
      <c r="F1200" s="134">
        <v>45863.0</v>
      </c>
      <c r="G1200" s="53">
        <v>406280.78</v>
      </c>
      <c r="H1200" s="14">
        <f t="shared" si="6"/>
        <v>85318.9638</v>
      </c>
      <c r="I1200" s="22">
        <v>12188.42</v>
      </c>
      <c r="J1200" s="14"/>
      <c r="K1200" s="15">
        <f t="shared" si="4"/>
        <v>503788.1638</v>
      </c>
      <c r="L1200" s="45"/>
      <c r="M1200" s="24">
        <v>45848.0</v>
      </c>
    </row>
    <row r="1201" ht="15.75" customHeight="1">
      <c r="A1201" s="39">
        <v>45845.0</v>
      </c>
      <c r="B1201" s="39"/>
      <c r="C1201" s="31" t="s">
        <v>1281</v>
      </c>
      <c r="D1201" s="32" t="s">
        <v>15</v>
      </c>
      <c r="E1201" s="31" t="s">
        <v>1322</v>
      </c>
      <c r="F1201" s="134">
        <v>45863.0</v>
      </c>
      <c r="G1201" s="53">
        <v>604640.36</v>
      </c>
      <c r="H1201" s="14">
        <f t="shared" si="6"/>
        <v>126974.4756</v>
      </c>
      <c r="I1201" s="22">
        <v>18139.21</v>
      </c>
      <c r="J1201" s="14"/>
      <c r="K1201" s="15">
        <f t="shared" si="4"/>
        <v>749754.0456</v>
      </c>
      <c r="L1201" s="45"/>
      <c r="M1201" s="24">
        <v>45848.0</v>
      </c>
    </row>
    <row r="1202" ht="15.75" customHeight="1">
      <c r="A1202" s="39">
        <v>45846.0</v>
      </c>
      <c r="B1202" s="39"/>
      <c r="C1202" s="31" t="s">
        <v>635</v>
      </c>
      <c r="D1202" s="32" t="s">
        <v>99</v>
      </c>
      <c r="E1202" s="31" t="s">
        <v>1323</v>
      </c>
      <c r="F1202" s="134">
        <v>45863.0</v>
      </c>
      <c r="G1202" s="53">
        <v>1.078372019E7</v>
      </c>
      <c r="H1202" s="14">
        <f t="shared" si="6"/>
        <v>2264581.24</v>
      </c>
      <c r="I1202" s="22">
        <v>323511.61</v>
      </c>
      <c r="J1202" s="14"/>
      <c r="K1202" s="15">
        <f t="shared" si="4"/>
        <v>13371813.04</v>
      </c>
      <c r="L1202" s="45"/>
      <c r="M1202" s="24">
        <v>45870.0</v>
      </c>
    </row>
    <row r="1203" ht="15.75" customHeight="1">
      <c r="A1203" s="39">
        <v>45846.0</v>
      </c>
      <c r="B1203" s="39"/>
      <c r="C1203" s="31" t="s">
        <v>635</v>
      </c>
      <c r="D1203" s="32" t="s">
        <v>99</v>
      </c>
      <c r="E1203" s="31" t="s">
        <v>1324</v>
      </c>
      <c r="F1203" s="134">
        <v>45863.0</v>
      </c>
      <c r="G1203" s="53">
        <v>1.266362405E7</v>
      </c>
      <c r="H1203" s="14">
        <f t="shared" si="6"/>
        <v>2659361.051</v>
      </c>
      <c r="I1203" s="22">
        <v>379908.72</v>
      </c>
      <c r="J1203" s="14"/>
      <c r="K1203" s="15">
        <f t="shared" si="4"/>
        <v>15702893.82</v>
      </c>
      <c r="L1203" s="45"/>
      <c r="M1203" s="24">
        <v>45870.0</v>
      </c>
    </row>
    <row r="1204" ht="15.75" customHeight="1">
      <c r="A1204" s="39">
        <v>45846.0</v>
      </c>
      <c r="B1204" s="39"/>
      <c r="C1204" s="31" t="s">
        <v>635</v>
      </c>
      <c r="D1204" s="32" t="s">
        <v>99</v>
      </c>
      <c r="E1204" s="31" t="s">
        <v>1325</v>
      </c>
      <c r="F1204" s="134">
        <v>45863.0</v>
      </c>
      <c r="G1204" s="53">
        <v>1.537372123E7</v>
      </c>
      <c r="H1204" s="14">
        <f t="shared" si="6"/>
        <v>3228481.458</v>
      </c>
      <c r="I1204" s="22">
        <v>461211.64</v>
      </c>
      <c r="J1204" s="14"/>
      <c r="K1204" s="15">
        <f t="shared" si="4"/>
        <v>19063414.33</v>
      </c>
      <c r="L1204" s="45"/>
      <c r="M1204" s="24">
        <v>45870.0</v>
      </c>
    </row>
    <row r="1205" ht="15.75" customHeight="1">
      <c r="A1205" s="39">
        <v>45846.0</v>
      </c>
      <c r="B1205" s="39"/>
      <c r="C1205" s="31" t="s">
        <v>635</v>
      </c>
      <c r="D1205" s="32" t="s">
        <v>99</v>
      </c>
      <c r="E1205" s="31" t="s">
        <v>1326</v>
      </c>
      <c r="F1205" s="134">
        <v>45863.0</v>
      </c>
      <c r="G1205" s="53">
        <v>1.893828126E7</v>
      </c>
      <c r="H1205" s="14">
        <f t="shared" si="6"/>
        <v>3977039.065</v>
      </c>
      <c r="I1205" s="22">
        <v>568148.44</v>
      </c>
      <c r="J1205" s="14"/>
      <c r="K1205" s="15">
        <f t="shared" si="4"/>
        <v>23483468.76</v>
      </c>
      <c r="L1205" s="45"/>
      <c r="M1205" s="24">
        <v>45870.0</v>
      </c>
    </row>
    <row r="1206" ht="15.75" customHeight="1">
      <c r="A1206" s="39">
        <v>45846.0</v>
      </c>
      <c r="B1206" s="39"/>
      <c r="C1206" s="31" t="s">
        <v>635</v>
      </c>
      <c r="D1206" s="32" t="s">
        <v>99</v>
      </c>
      <c r="E1206" s="31" t="s">
        <v>1327</v>
      </c>
      <c r="F1206" s="134">
        <v>45863.0</v>
      </c>
      <c r="G1206" s="53">
        <v>1.344993524E7</v>
      </c>
      <c r="H1206" s="14">
        <f t="shared" si="6"/>
        <v>2824486.4</v>
      </c>
      <c r="I1206" s="22">
        <v>403498.06</v>
      </c>
      <c r="J1206" s="14"/>
      <c r="K1206" s="15">
        <f t="shared" si="4"/>
        <v>16677919.7</v>
      </c>
      <c r="L1206" s="45"/>
      <c r="M1206" s="24">
        <v>45870.0</v>
      </c>
    </row>
    <row r="1207" ht="15.75" customHeight="1">
      <c r="A1207" s="39">
        <v>45798.0</v>
      </c>
      <c r="B1207" s="50"/>
      <c r="C1207" s="31" t="s">
        <v>171</v>
      </c>
      <c r="D1207" s="32" t="s">
        <v>99</v>
      </c>
      <c r="E1207" s="31" t="s">
        <v>1328</v>
      </c>
      <c r="F1207" s="46">
        <v>45802.0</v>
      </c>
      <c r="G1207" s="22">
        <v>-1.022764934E7</v>
      </c>
      <c r="H1207" s="14">
        <f t="shared" si="6"/>
        <v>-2147806.361</v>
      </c>
      <c r="I1207" s="14"/>
      <c r="J1207" s="14"/>
      <c r="K1207" s="15">
        <f t="shared" si="4"/>
        <v>-12375455.7</v>
      </c>
      <c r="L1207" s="45"/>
      <c r="M1207" s="6"/>
    </row>
    <row r="1208" ht="15.75" customHeight="1">
      <c r="A1208" s="39">
        <v>45798.0</v>
      </c>
      <c r="B1208" s="50"/>
      <c r="C1208" s="31" t="s">
        <v>171</v>
      </c>
      <c r="D1208" s="32" t="s">
        <v>99</v>
      </c>
      <c r="E1208" s="31" t="s">
        <v>1329</v>
      </c>
      <c r="F1208" s="46">
        <v>45802.0</v>
      </c>
      <c r="G1208" s="22">
        <v>-1.250280162E7</v>
      </c>
      <c r="H1208" s="14">
        <f t="shared" si="6"/>
        <v>-2625588.34</v>
      </c>
      <c r="I1208" s="14"/>
      <c r="J1208" s="14"/>
      <c r="K1208" s="15">
        <f t="shared" si="4"/>
        <v>-15128389.96</v>
      </c>
      <c r="L1208" s="45"/>
      <c r="M1208" s="6"/>
    </row>
    <row r="1209" ht="15.75" customHeight="1">
      <c r="A1209" s="39">
        <v>45841.0</v>
      </c>
      <c r="B1209" s="50"/>
      <c r="C1209" s="19" t="s">
        <v>171</v>
      </c>
      <c r="D1209" s="32" t="s">
        <v>99</v>
      </c>
      <c r="E1209" s="31" t="s">
        <v>1330</v>
      </c>
      <c r="F1209" s="134">
        <v>45863.0</v>
      </c>
      <c r="G1209" s="22">
        <v>9137472.12</v>
      </c>
      <c r="H1209" s="14">
        <f t="shared" si="6"/>
        <v>1918869.145</v>
      </c>
      <c r="I1209" s="50"/>
      <c r="J1209" s="14"/>
      <c r="K1209" s="15">
        <f t="shared" si="4"/>
        <v>11056341.27</v>
      </c>
      <c r="L1209" s="45"/>
      <c r="M1209" s="24">
        <v>45841.0</v>
      </c>
    </row>
    <row r="1210" ht="15.75" customHeight="1">
      <c r="A1210" s="39">
        <v>45841.0</v>
      </c>
      <c r="B1210" s="50"/>
      <c r="C1210" s="19" t="s">
        <v>171</v>
      </c>
      <c r="D1210" s="32" t="s">
        <v>99</v>
      </c>
      <c r="E1210" s="31" t="s">
        <v>1331</v>
      </c>
      <c r="F1210" s="134">
        <v>45863.0</v>
      </c>
      <c r="G1210" s="22">
        <v>1.133321419E7</v>
      </c>
      <c r="H1210" s="14">
        <f t="shared" si="6"/>
        <v>2379974.98</v>
      </c>
      <c r="I1210" s="50"/>
      <c r="J1210" s="14"/>
      <c r="K1210" s="15">
        <f t="shared" si="4"/>
        <v>13713189.17</v>
      </c>
      <c r="L1210" s="45"/>
      <c r="M1210" s="24">
        <v>45841.0</v>
      </c>
    </row>
    <row r="1211" ht="15.75" customHeight="1">
      <c r="A1211" s="39">
        <v>45841.0</v>
      </c>
      <c r="B1211" s="50"/>
      <c r="C1211" s="19" t="s">
        <v>171</v>
      </c>
      <c r="D1211" s="32" t="s">
        <v>99</v>
      </c>
      <c r="E1211" s="31" t="s">
        <v>1332</v>
      </c>
      <c r="F1211" s="134">
        <v>45863.0</v>
      </c>
      <c r="G1211" s="22">
        <v>1.036352716E7</v>
      </c>
      <c r="H1211" s="14">
        <f t="shared" si="6"/>
        <v>2176340.704</v>
      </c>
      <c r="I1211" s="50"/>
      <c r="J1211" s="14"/>
      <c r="K1211" s="15">
        <f t="shared" si="4"/>
        <v>12539867.86</v>
      </c>
      <c r="L1211" s="45"/>
      <c r="M1211" s="24">
        <v>45841.0</v>
      </c>
    </row>
    <row r="1212" ht="15.75" customHeight="1">
      <c r="A1212" s="55">
        <v>45713.0</v>
      </c>
      <c r="B1212" s="7"/>
      <c r="C1212" s="19" t="s">
        <v>171</v>
      </c>
      <c r="D1212" s="19" t="s">
        <v>15</v>
      </c>
      <c r="E1212" s="20" t="s">
        <v>1333</v>
      </c>
      <c r="F1212" s="21">
        <v>45716.0</v>
      </c>
      <c r="G1212" s="23">
        <v>1.034448792E7</v>
      </c>
      <c r="H1212" s="15">
        <f t="shared" si="6"/>
        <v>2172342.463</v>
      </c>
      <c r="I1212" s="14"/>
      <c r="J1212" s="14"/>
      <c r="K1212" s="15">
        <f t="shared" si="4"/>
        <v>12516830.38</v>
      </c>
      <c r="L1212" s="7"/>
      <c r="M1212" s="7"/>
    </row>
    <row r="1213" ht="15.75" customHeight="1">
      <c r="A1213" s="55">
        <v>45713.0</v>
      </c>
      <c r="B1213" s="7"/>
      <c r="C1213" s="19" t="s">
        <v>171</v>
      </c>
      <c r="D1213" s="19" t="s">
        <v>15</v>
      </c>
      <c r="E1213" s="20" t="s">
        <v>1334</v>
      </c>
      <c r="F1213" s="21">
        <v>45716.0</v>
      </c>
      <c r="G1213" s="23">
        <v>1.030108983E7</v>
      </c>
      <c r="H1213" s="15">
        <f t="shared" si="6"/>
        <v>2163228.864</v>
      </c>
      <c r="I1213" s="14"/>
      <c r="J1213" s="14"/>
      <c r="K1213" s="15">
        <f t="shared" si="4"/>
        <v>12464318.69</v>
      </c>
      <c r="L1213" s="7"/>
      <c r="M1213" s="7"/>
    </row>
    <row r="1214" ht="15.75" customHeight="1">
      <c r="A1214" s="55">
        <v>45713.0</v>
      </c>
      <c r="B1214" s="7"/>
      <c r="C1214" s="19" t="s">
        <v>171</v>
      </c>
      <c r="D1214" s="140" t="s">
        <v>15</v>
      </c>
      <c r="E1214" s="20" t="s">
        <v>1335</v>
      </c>
      <c r="F1214" s="21">
        <v>45716.0</v>
      </c>
      <c r="G1214" s="23">
        <v>8967020.77</v>
      </c>
      <c r="H1214" s="15">
        <f t="shared" si="6"/>
        <v>1883074.362</v>
      </c>
      <c r="I1214" s="14"/>
      <c r="J1214" s="14"/>
      <c r="K1214" s="15">
        <f t="shared" si="4"/>
        <v>10850095.13</v>
      </c>
      <c r="L1214" s="7"/>
      <c r="M1214" s="7"/>
    </row>
    <row r="1215" ht="15.75" customHeight="1">
      <c r="A1215" s="39">
        <v>45768.0</v>
      </c>
      <c r="B1215" s="32" t="s">
        <v>236</v>
      </c>
      <c r="C1215" s="31" t="s">
        <v>171</v>
      </c>
      <c r="D1215" s="32" t="s">
        <v>15</v>
      </c>
      <c r="E1215" s="31" t="s">
        <v>1336</v>
      </c>
      <c r="F1215" s="46">
        <v>45772.0</v>
      </c>
      <c r="G1215" s="22">
        <v>1.21143663E7</v>
      </c>
      <c r="H1215" s="14">
        <f t="shared" si="6"/>
        <v>2544016.923</v>
      </c>
      <c r="I1215" s="14"/>
      <c r="J1215" s="14"/>
      <c r="K1215" s="15">
        <f t="shared" si="4"/>
        <v>14658383.22</v>
      </c>
      <c r="L1215" s="45"/>
      <c r="M1215" s="24">
        <v>45776.0</v>
      </c>
    </row>
    <row r="1216" ht="15.75" customHeight="1">
      <c r="A1216" s="39">
        <v>45768.0</v>
      </c>
      <c r="B1216" s="32" t="s">
        <v>236</v>
      </c>
      <c r="C1216" s="31" t="s">
        <v>171</v>
      </c>
      <c r="D1216" s="32" t="s">
        <v>15</v>
      </c>
      <c r="E1216" s="31" t="s">
        <v>1337</v>
      </c>
      <c r="F1216" s="46">
        <v>45772.0</v>
      </c>
      <c r="G1216" s="22">
        <v>1.288594108E7</v>
      </c>
      <c r="H1216" s="14">
        <f t="shared" si="6"/>
        <v>2706047.627</v>
      </c>
      <c r="I1216" s="14"/>
      <c r="J1216" s="14"/>
      <c r="K1216" s="15">
        <f t="shared" si="4"/>
        <v>15591988.71</v>
      </c>
      <c r="L1216" s="45"/>
      <c r="M1216" s="24">
        <v>45779.0</v>
      </c>
    </row>
    <row r="1217" ht="15.75" customHeight="1">
      <c r="A1217" s="39">
        <v>45848.0</v>
      </c>
      <c r="B1217" s="39"/>
      <c r="C1217" s="31" t="s">
        <v>1338</v>
      </c>
      <c r="D1217" s="32" t="s">
        <v>99</v>
      </c>
      <c r="E1217" s="31" t="s">
        <v>1339</v>
      </c>
      <c r="F1217" s="134">
        <v>45863.0</v>
      </c>
      <c r="G1217" s="53">
        <v>1.160325492E7</v>
      </c>
      <c r="H1217" s="14">
        <f t="shared" si="6"/>
        <v>2436683.533</v>
      </c>
      <c r="I1217" s="22">
        <v>348097.65</v>
      </c>
      <c r="J1217" s="22">
        <v>92826.04</v>
      </c>
      <c r="K1217" s="15">
        <f t="shared" si="4"/>
        <v>14480862.14</v>
      </c>
      <c r="L1217" s="45"/>
      <c r="M1217" s="24">
        <v>45853.0</v>
      </c>
    </row>
    <row r="1218" ht="15.75" customHeight="1">
      <c r="A1218" s="39">
        <v>45848.0</v>
      </c>
      <c r="B1218" s="39"/>
      <c r="C1218" s="31" t="s">
        <v>1338</v>
      </c>
      <c r="D1218" s="32" t="s">
        <v>99</v>
      </c>
      <c r="E1218" s="31" t="s">
        <v>1340</v>
      </c>
      <c r="F1218" s="134">
        <v>45863.0</v>
      </c>
      <c r="G1218" s="53">
        <v>1.139688224E7</v>
      </c>
      <c r="H1218" s="14">
        <f t="shared" si="6"/>
        <v>2393345.27</v>
      </c>
      <c r="I1218" s="22">
        <v>341906.47</v>
      </c>
      <c r="J1218" s="22">
        <v>91175.06</v>
      </c>
      <c r="K1218" s="15">
        <f t="shared" si="4"/>
        <v>14223309.04</v>
      </c>
      <c r="L1218" s="45"/>
      <c r="M1218" s="24">
        <v>45853.0</v>
      </c>
    </row>
    <row r="1219" ht="15.75" customHeight="1">
      <c r="A1219" s="39">
        <v>45849.0</v>
      </c>
      <c r="B1219" s="39"/>
      <c r="C1219" s="31" t="s">
        <v>247</v>
      </c>
      <c r="D1219" s="32" t="s">
        <v>15</v>
      </c>
      <c r="E1219" s="31" t="s">
        <v>1341</v>
      </c>
      <c r="F1219" s="134">
        <v>45863.0</v>
      </c>
      <c r="G1219" s="53">
        <v>7630430.12</v>
      </c>
      <c r="H1219" s="14">
        <f t="shared" si="6"/>
        <v>1602390.325</v>
      </c>
      <c r="I1219" s="50"/>
      <c r="J1219" s="14"/>
      <c r="K1219" s="15">
        <f t="shared" si="4"/>
        <v>9232820.445</v>
      </c>
      <c r="L1219" s="45"/>
      <c r="M1219" s="24">
        <v>45854.0</v>
      </c>
    </row>
    <row r="1220" ht="15.75" customHeight="1">
      <c r="A1220" s="39">
        <v>45849.0</v>
      </c>
      <c r="B1220" s="39"/>
      <c r="C1220" s="31" t="s">
        <v>247</v>
      </c>
      <c r="D1220" s="32" t="s">
        <v>15</v>
      </c>
      <c r="E1220" s="31" t="s">
        <v>1342</v>
      </c>
      <c r="F1220" s="134">
        <v>45863.0</v>
      </c>
      <c r="G1220" s="53">
        <v>7221730.19</v>
      </c>
      <c r="H1220" s="14">
        <f t="shared" si="6"/>
        <v>1516563.34</v>
      </c>
      <c r="I1220" s="50"/>
      <c r="J1220" s="14"/>
      <c r="K1220" s="15">
        <f t="shared" si="4"/>
        <v>8738293.53</v>
      </c>
      <c r="L1220" s="45"/>
      <c r="M1220" s="24">
        <v>45854.0</v>
      </c>
    </row>
    <row r="1221" ht="15.75" customHeight="1">
      <c r="A1221" s="39">
        <v>45849.0</v>
      </c>
      <c r="B1221" s="39"/>
      <c r="C1221" s="31" t="s">
        <v>247</v>
      </c>
      <c r="D1221" s="32" t="s">
        <v>15</v>
      </c>
      <c r="E1221" s="31" t="s">
        <v>1343</v>
      </c>
      <c r="F1221" s="134">
        <v>45863.0</v>
      </c>
      <c r="G1221" s="53">
        <v>6898840.75</v>
      </c>
      <c r="H1221" s="14">
        <f t="shared" si="6"/>
        <v>1448756.558</v>
      </c>
      <c r="I1221" s="50"/>
      <c r="J1221" s="14"/>
      <c r="K1221" s="15">
        <f t="shared" si="4"/>
        <v>8347597.308</v>
      </c>
      <c r="L1221" s="45"/>
      <c r="M1221" s="24">
        <v>45854.0</v>
      </c>
    </row>
    <row r="1222" ht="15.75" customHeight="1">
      <c r="A1222" s="39">
        <v>45849.0</v>
      </c>
      <c r="B1222" s="39"/>
      <c r="C1222" s="31" t="s">
        <v>247</v>
      </c>
      <c r="D1222" s="32" t="s">
        <v>15</v>
      </c>
      <c r="E1222" s="31" t="s">
        <v>1344</v>
      </c>
      <c r="F1222" s="134">
        <v>45863.0</v>
      </c>
      <c r="G1222" s="53">
        <v>7482531.11</v>
      </c>
      <c r="H1222" s="14">
        <f t="shared" si="6"/>
        <v>1571331.533</v>
      </c>
      <c r="I1222" s="50"/>
      <c r="J1222" s="14"/>
      <c r="K1222" s="15">
        <f t="shared" si="4"/>
        <v>9053862.643</v>
      </c>
      <c r="L1222" s="45"/>
      <c r="M1222" s="24">
        <v>45854.0</v>
      </c>
    </row>
    <row r="1223" ht="15.75" customHeight="1">
      <c r="A1223" s="39">
        <v>45849.0</v>
      </c>
      <c r="B1223" s="39"/>
      <c r="C1223" s="31" t="s">
        <v>247</v>
      </c>
      <c r="D1223" s="32" t="s">
        <v>15</v>
      </c>
      <c r="E1223" s="31" t="s">
        <v>1345</v>
      </c>
      <c r="F1223" s="134">
        <v>45863.0</v>
      </c>
      <c r="G1223" s="53">
        <v>6148380.42</v>
      </c>
      <c r="H1223" s="14">
        <f t="shared" si="6"/>
        <v>1291159.888</v>
      </c>
      <c r="I1223" s="50"/>
      <c r="J1223" s="14"/>
      <c r="K1223" s="15">
        <f t="shared" si="4"/>
        <v>7439540.308</v>
      </c>
      <c r="L1223" s="45"/>
      <c r="M1223" s="24">
        <v>45854.0</v>
      </c>
    </row>
    <row r="1224" ht="15.75" customHeight="1">
      <c r="A1224" s="55">
        <v>45852.0</v>
      </c>
      <c r="B1224" s="55"/>
      <c r="C1224" s="57" t="s">
        <v>45</v>
      </c>
      <c r="D1224" s="58" t="s">
        <v>99</v>
      </c>
      <c r="E1224" s="57" t="s">
        <v>1346</v>
      </c>
      <c r="F1224" s="137">
        <v>45863.0</v>
      </c>
      <c r="G1224" s="65">
        <v>4010780.34</v>
      </c>
      <c r="H1224" s="9">
        <f t="shared" si="6"/>
        <v>842263.8714</v>
      </c>
      <c r="I1224" s="56"/>
      <c r="J1224" s="44">
        <v>28075.46</v>
      </c>
      <c r="K1224" s="10">
        <f t="shared" si="4"/>
        <v>4881119.671</v>
      </c>
      <c r="L1224" s="61"/>
      <c r="M1224" s="62"/>
    </row>
    <row r="1225" ht="15.75" customHeight="1">
      <c r="A1225" s="39">
        <v>45852.0</v>
      </c>
      <c r="B1225" s="39"/>
      <c r="C1225" s="31" t="s">
        <v>1285</v>
      </c>
      <c r="D1225" s="32" t="s">
        <v>99</v>
      </c>
      <c r="E1225" s="31" t="s">
        <v>1347</v>
      </c>
      <c r="F1225" s="134">
        <v>45863.0</v>
      </c>
      <c r="G1225" s="53">
        <v>3009750.82</v>
      </c>
      <c r="H1225" s="14">
        <f t="shared" si="6"/>
        <v>632047.6722</v>
      </c>
      <c r="I1225" s="50"/>
      <c r="J1225" s="14"/>
      <c r="K1225" s="15">
        <f t="shared" si="4"/>
        <v>3641798.492</v>
      </c>
      <c r="L1225" s="45"/>
      <c r="M1225" s="24">
        <v>45852.0</v>
      </c>
    </row>
    <row r="1226" ht="15.75" customHeight="1">
      <c r="A1226" s="39">
        <v>45852.0</v>
      </c>
      <c r="B1226" s="39"/>
      <c r="C1226" s="31" t="s">
        <v>1348</v>
      </c>
      <c r="D1226" s="32" t="s">
        <v>15</v>
      </c>
      <c r="E1226" s="31" t="s">
        <v>1349</v>
      </c>
      <c r="F1226" s="134">
        <v>45863.0</v>
      </c>
      <c r="G1226" s="53">
        <v>3834320.19</v>
      </c>
      <c r="H1226" s="14">
        <f t="shared" si="6"/>
        <v>805207.2399</v>
      </c>
      <c r="I1226" s="50"/>
      <c r="J1226" s="14"/>
      <c r="K1226" s="15">
        <f t="shared" si="4"/>
        <v>4639527.43</v>
      </c>
      <c r="L1226" s="45"/>
      <c r="M1226" s="24">
        <v>45853.0</v>
      </c>
    </row>
    <row r="1227" ht="15.75" customHeight="1">
      <c r="A1227" s="39">
        <v>45852.0</v>
      </c>
      <c r="B1227" s="39"/>
      <c r="C1227" s="31" t="s">
        <v>1348</v>
      </c>
      <c r="D1227" s="32" t="s">
        <v>15</v>
      </c>
      <c r="E1227" s="31" t="s">
        <v>1350</v>
      </c>
      <c r="F1227" s="134">
        <v>45863.0</v>
      </c>
      <c r="G1227" s="53">
        <v>3458470.85</v>
      </c>
      <c r="H1227" s="14">
        <f t="shared" si="6"/>
        <v>726278.8785</v>
      </c>
      <c r="I1227" s="50"/>
      <c r="J1227" s="14"/>
      <c r="K1227" s="15">
        <f t="shared" si="4"/>
        <v>4184749.729</v>
      </c>
      <c r="L1227" s="45"/>
      <c r="M1227" s="24">
        <v>45853.0</v>
      </c>
    </row>
    <row r="1228" ht="15.75" customHeight="1">
      <c r="A1228" s="39">
        <v>45853.0</v>
      </c>
      <c r="B1228" s="87"/>
      <c r="C1228" s="31" t="s">
        <v>140</v>
      </c>
      <c r="D1228" s="32" t="s">
        <v>15</v>
      </c>
      <c r="E1228" s="31" t="s">
        <v>1351</v>
      </c>
      <c r="F1228" s="134">
        <v>45863.0</v>
      </c>
      <c r="G1228" s="53">
        <v>2004790.29</v>
      </c>
      <c r="H1228" s="14">
        <f t="shared" si="6"/>
        <v>421005.9609</v>
      </c>
      <c r="I1228" s="22">
        <v>60143.71</v>
      </c>
      <c r="J1228" s="22">
        <v>18043.11</v>
      </c>
      <c r="K1228" s="15">
        <f t="shared" si="4"/>
        <v>2503983.071</v>
      </c>
      <c r="L1228" s="45"/>
      <c r="M1228" s="24">
        <v>45867.0</v>
      </c>
    </row>
    <row r="1229" ht="15.75" customHeight="1">
      <c r="A1229" s="39">
        <v>45853.0</v>
      </c>
      <c r="B1229" s="87"/>
      <c r="C1229" s="31" t="s">
        <v>140</v>
      </c>
      <c r="D1229" s="32" t="s">
        <v>15</v>
      </c>
      <c r="E1229" s="31" t="s">
        <v>1352</v>
      </c>
      <c r="F1229" s="134">
        <v>45863.0</v>
      </c>
      <c r="G1229" s="53">
        <v>6011822.34</v>
      </c>
      <c r="H1229" s="14">
        <f t="shared" si="6"/>
        <v>1262482.691</v>
      </c>
      <c r="I1229" s="50"/>
      <c r="J1229" s="14"/>
      <c r="K1229" s="15">
        <f t="shared" si="4"/>
        <v>7274305.031</v>
      </c>
      <c r="L1229" s="45"/>
      <c r="M1229" s="24">
        <v>45867.0</v>
      </c>
    </row>
    <row r="1230" ht="15.75" customHeight="1">
      <c r="A1230" s="39">
        <v>45853.0</v>
      </c>
      <c r="B1230" s="87"/>
      <c r="C1230" s="31" t="s">
        <v>443</v>
      </c>
      <c r="D1230" s="32" t="s">
        <v>99</v>
      </c>
      <c r="E1230" s="31" t="s">
        <v>1353</v>
      </c>
      <c r="F1230" s="134">
        <v>45863.0</v>
      </c>
      <c r="G1230" s="53">
        <v>5998530.19</v>
      </c>
      <c r="H1230" s="14">
        <f t="shared" si="6"/>
        <v>1259691.34</v>
      </c>
      <c r="I1230" s="22">
        <v>179955.91</v>
      </c>
      <c r="J1230" s="14"/>
      <c r="K1230" s="15">
        <f t="shared" si="4"/>
        <v>7438177.44</v>
      </c>
      <c r="L1230" s="45"/>
      <c r="M1230" s="24">
        <v>45856.0</v>
      </c>
    </row>
    <row r="1231" ht="15.75" customHeight="1">
      <c r="A1231" s="39">
        <v>45853.0</v>
      </c>
      <c r="B1231" s="87"/>
      <c r="C1231" s="31" t="s">
        <v>443</v>
      </c>
      <c r="D1231" s="32" t="s">
        <v>99</v>
      </c>
      <c r="E1231" s="23" t="s">
        <v>1354</v>
      </c>
      <c r="F1231" s="134">
        <v>45863.0</v>
      </c>
      <c r="G1231" s="53">
        <v>7009470.19</v>
      </c>
      <c r="H1231" s="14">
        <f t="shared" si="6"/>
        <v>1471988.74</v>
      </c>
      <c r="I1231" s="50"/>
      <c r="J1231" s="14"/>
      <c r="K1231" s="15">
        <f t="shared" si="4"/>
        <v>8481458.93</v>
      </c>
      <c r="L1231" s="45"/>
      <c r="M1231" s="24">
        <v>45860.0</v>
      </c>
    </row>
    <row r="1232" ht="15.75" customHeight="1">
      <c r="A1232" s="39">
        <v>45854.0</v>
      </c>
      <c r="B1232" s="87"/>
      <c r="C1232" s="31" t="s">
        <v>567</v>
      </c>
      <c r="D1232" s="32" t="s">
        <v>15</v>
      </c>
      <c r="E1232" s="31" t="s">
        <v>1355</v>
      </c>
      <c r="F1232" s="134">
        <v>45863.0</v>
      </c>
      <c r="G1232" s="53">
        <v>1.290042152E7</v>
      </c>
      <c r="H1232" s="14">
        <f t="shared" si="6"/>
        <v>2709088.519</v>
      </c>
      <c r="I1232" s="50"/>
      <c r="J1232" s="14"/>
      <c r="K1232" s="15">
        <f t="shared" si="4"/>
        <v>15609510.04</v>
      </c>
      <c r="L1232" s="45"/>
      <c r="M1232" s="24">
        <v>45856.0</v>
      </c>
    </row>
    <row r="1233" ht="15.75" customHeight="1">
      <c r="A1233" s="39">
        <v>45854.0</v>
      </c>
      <c r="B1233" s="87"/>
      <c r="C1233" s="31" t="s">
        <v>567</v>
      </c>
      <c r="D1233" s="32" t="s">
        <v>15</v>
      </c>
      <c r="E1233" s="31" t="s">
        <v>1356</v>
      </c>
      <c r="F1233" s="134">
        <v>45863.0</v>
      </c>
      <c r="G1233" s="53">
        <v>1.435023819E7</v>
      </c>
      <c r="H1233" s="14">
        <f t="shared" si="6"/>
        <v>3013550.02</v>
      </c>
      <c r="I1233" s="50"/>
      <c r="J1233" s="14"/>
      <c r="K1233" s="15">
        <f t="shared" si="4"/>
        <v>17363788.21</v>
      </c>
      <c r="L1233" s="45"/>
      <c r="M1233" s="24">
        <v>45856.0</v>
      </c>
    </row>
    <row r="1234" ht="15.75" customHeight="1">
      <c r="A1234" s="39">
        <v>45854.0</v>
      </c>
      <c r="B1234" s="87"/>
      <c r="C1234" s="31" t="s">
        <v>567</v>
      </c>
      <c r="D1234" s="32" t="s">
        <v>15</v>
      </c>
      <c r="E1234" s="31" t="s">
        <v>1357</v>
      </c>
      <c r="F1234" s="134">
        <v>45863.0</v>
      </c>
      <c r="G1234" s="53">
        <v>9790056.43</v>
      </c>
      <c r="H1234" s="14">
        <f t="shared" si="6"/>
        <v>2055911.85</v>
      </c>
      <c r="I1234" s="50"/>
      <c r="J1234" s="14"/>
      <c r="K1234" s="15">
        <f t="shared" si="4"/>
        <v>11845968.28</v>
      </c>
      <c r="L1234" s="45"/>
      <c r="M1234" s="24">
        <v>45856.0</v>
      </c>
    </row>
    <row r="1235" ht="15.75" customHeight="1">
      <c r="A1235" s="5"/>
      <c r="B1235" s="6" t="s">
        <v>26</v>
      </c>
      <c r="C1235" s="34" t="s">
        <v>137</v>
      </c>
      <c r="D1235" s="35" t="s">
        <v>15</v>
      </c>
      <c r="E1235" s="34" t="s">
        <v>1358</v>
      </c>
      <c r="F1235" s="36">
        <v>45741.0</v>
      </c>
      <c r="G1235" s="22">
        <v>1.150348005E7</v>
      </c>
      <c r="H1235" s="14">
        <f t="shared" si="6"/>
        <v>2415730.811</v>
      </c>
      <c r="I1235" s="14"/>
      <c r="J1235" s="14"/>
      <c r="K1235" s="15">
        <f t="shared" si="4"/>
        <v>13919210.86</v>
      </c>
      <c r="L1235" s="18"/>
      <c r="M1235" s="24">
        <v>45758.0</v>
      </c>
    </row>
    <row r="1236" ht="15.75" customHeight="1">
      <c r="A1236" s="39">
        <v>45713.0</v>
      </c>
      <c r="B1236" s="50"/>
      <c r="C1236" s="20" t="s">
        <v>137</v>
      </c>
      <c r="D1236" s="19" t="s">
        <v>15</v>
      </c>
      <c r="E1236" s="20" t="s">
        <v>1359</v>
      </c>
      <c r="F1236" s="21">
        <v>45716.0</v>
      </c>
      <c r="G1236" s="22">
        <v>1.112008351E7</v>
      </c>
      <c r="H1236" s="14">
        <f t="shared" si="6"/>
        <v>2335217.537</v>
      </c>
      <c r="I1236" s="22">
        <v>333602.51</v>
      </c>
      <c r="J1236" s="22">
        <v>278002.09</v>
      </c>
      <c r="K1236" s="14">
        <f t="shared" si="4"/>
        <v>14066905.65</v>
      </c>
      <c r="L1236" s="50"/>
      <c r="M1236" s="24">
        <v>45715.0</v>
      </c>
    </row>
    <row r="1237" ht="15.75" customHeight="1">
      <c r="A1237" s="39">
        <v>45785.0</v>
      </c>
      <c r="B1237" s="50"/>
      <c r="C1237" s="31" t="s">
        <v>137</v>
      </c>
      <c r="D1237" s="32" t="s">
        <v>99</v>
      </c>
      <c r="E1237" s="32" t="s">
        <v>1360</v>
      </c>
      <c r="F1237" s="46">
        <v>45802.0</v>
      </c>
      <c r="G1237" s="22">
        <v>1.522008091E7</v>
      </c>
      <c r="H1237" s="14">
        <f t="shared" si="6"/>
        <v>3196216.991</v>
      </c>
      <c r="I1237" s="14"/>
      <c r="J1237" s="22">
        <v>133175.44</v>
      </c>
      <c r="K1237" s="15">
        <f t="shared" si="4"/>
        <v>18549473.34</v>
      </c>
      <c r="L1237" s="45"/>
      <c r="M1237" s="24">
        <v>45813.0</v>
      </c>
    </row>
    <row r="1238" ht="15.75" customHeight="1">
      <c r="A1238" s="39">
        <v>45761.0</v>
      </c>
      <c r="B1238" s="50"/>
      <c r="C1238" s="31" t="s">
        <v>137</v>
      </c>
      <c r="D1238" s="32" t="s">
        <v>15</v>
      </c>
      <c r="E1238" s="31" t="s">
        <v>1361</v>
      </c>
      <c r="F1238" s="46">
        <v>45772.0</v>
      </c>
      <c r="G1238" s="22">
        <v>1.151298041E7</v>
      </c>
      <c r="H1238" s="14">
        <f t="shared" si="6"/>
        <v>2417725.886</v>
      </c>
      <c r="I1238" s="14"/>
      <c r="J1238" s="14"/>
      <c r="K1238" s="15">
        <f t="shared" si="4"/>
        <v>13930706.3</v>
      </c>
      <c r="L1238" s="45"/>
      <c r="M1238" s="24">
        <v>45800.0</v>
      </c>
    </row>
    <row r="1239" ht="15.75" customHeight="1">
      <c r="A1239" s="39">
        <v>45854.0</v>
      </c>
      <c r="B1239" s="87"/>
      <c r="C1239" s="32" t="s">
        <v>122</v>
      </c>
      <c r="D1239" s="32" t="s">
        <v>15</v>
      </c>
      <c r="E1239" s="32" t="s">
        <v>1362</v>
      </c>
      <c r="F1239" s="134">
        <v>45863.0</v>
      </c>
      <c r="G1239" s="53">
        <v>4965586.96</v>
      </c>
      <c r="H1239" s="14">
        <f t="shared" si="6"/>
        <v>1042773.262</v>
      </c>
      <c r="I1239" s="50"/>
      <c r="J1239" s="14"/>
      <c r="K1239" s="15">
        <f t="shared" si="4"/>
        <v>6008360.222</v>
      </c>
      <c r="L1239" s="45"/>
      <c r="M1239" s="24">
        <v>45870.0</v>
      </c>
    </row>
    <row r="1240" ht="15.75" customHeight="1">
      <c r="A1240" s="39">
        <v>45854.0</v>
      </c>
      <c r="B1240" s="87"/>
      <c r="C1240" s="31" t="s">
        <v>718</v>
      </c>
      <c r="D1240" s="32" t="s">
        <v>99</v>
      </c>
      <c r="E1240" s="31" t="s">
        <v>1363</v>
      </c>
      <c r="F1240" s="134">
        <v>45863.0</v>
      </c>
      <c r="G1240" s="53">
        <v>9568580.16</v>
      </c>
      <c r="H1240" s="14">
        <f t="shared" si="6"/>
        <v>2009401.834</v>
      </c>
      <c r="I1240" s="50"/>
      <c r="J1240" s="22">
        <v>167450.15</v>
      </c>
      <c r="K1240" s="15">
        <f t="shared" si="4"/>
        <v>11745432.14</v>
      </c>
      <c r="L1240" s="45"/>
      <c r="M1240" s="24">
        <v>45861.0</v>
      </c>
    </row>
    <row r="1241" ht="15.75" customHeight="1">
      <c r="A1241" s="39">
        <v>45854.0</v>
      </c>
      <c r="B1241" s="87"/>
      <c r="C1241" s="31" t="s">
        <v>718</v>
      </c>
      <c r="D1241" s="32" t="s">
        <v>99</v>
      </c>
      <c r="E1241" s="31" t="s">
        <v>1364</v>
      </c>
      <c r="F1241" s="134">
        <v>45863.0</v>
      </c>
      <c r="G1241" s="53">
        <v>9938370.42</v>
      </c>
      <c r="H1241" s="14">
        <f t="shared" si="6"/>
        <v>2087057.788</v>
      </c>
      <c r="I1241" s="50"/>
      <c r="J1241" s="22">
        <v>173921.48</v>
      </c>
      <c r="K1241" s="15">
        <f t="shared" si="4"/>
        <v>12199349.69</v>
      </c>
      <c r="L1241" s="45"/>
      <c r="M1241" s="24">
        <v>45861.0</v>
      </c>
    </row>
    <row r="1242" ht="15.75" customHeight="1">
      <c r="A1242" s="39">
        <v>45855.0</v>
      </c>
      <c r="B1242" s="87"/>
      <c r="C1242" s="31" t="s">
        <v>757</v>
      </c>
      <c r="D1242" s="32" t="s">
        <v>15</v>
      </c>
      <c r="E1242" s="31" t="s">
        <v>1365</v>
      </c>
      <c r="F1242" s="134">
        <v>45863.0</v>
      </c>
      <c r="G1242" s="53">
        <v>8511970.23</v>
      </c>
      <c r="H1242" s="14">
        <f t="shared" si="6"/>
        <v>1787513.748</v>
      </c>
      <c r="I1242" s="22"/>
      <c r="J1242" s="14"/>
      <c r="K1242" s="15">
        <f t="shared" si="4"/>
        <v>10299483.98</v>
      </c>
      <c r="L1242" s="45"/>
      <c r="M1242" s="24">
        <v>45892.0</v>
      </c>
    </row>
    <row r="1243" ht="15.75" customHeight="1">
      <c r="A1243" s="39">
        <v>45855.0</v>
      </c>
      <c r="B1243" s="87"/>
      <c r="C1243" s="31" t="s">
        <v>757</v>
      </c>
      <c r="D1243" s="32" t="s">
        <v>99</v>
      </c>
      <c r="E1243" s="31" t="s">
        <v>1366</v>
      </c>
      <c r="F1243" s="134">
        <v>45863.0</v>
      </c>
      <c r="G1243" s="53">
        <v>2.349838016E7</v>
      </c>
      <c r="H1243" s="14">
        <f t="shared" si="6"/>
        <v>4934659.834</v>
      </c>
      <c r="I1243" s="22">
        <v>704951.4</v>
      </c>
      <c r="J1243" s="14"/>
      <c r="K1243" s="15">
        <f t="shared" si="4"/>
        <v>29137991.39</v>
      </c>
      <c r="L1243" s="45"/>
      <c r="M1243" s="24">
        <v>45860.0</v>
      </c>
    </row>
    <row r="1244" ht="15.75" customHeight="1">
      <c r="A1244" s="39">
        <v>45855.0</v>
      </c>
      <c r="B1244" s="87"/>
      <c r="C1244" s="31" t="s">
        <v>757</v>
      </c>
      <c r="D1244" s="32" t="s">
        <v>99</v>
      </c>
      <c r="E1244" s="31" t="s">
        <v>1367</v>
      </c>
      <c r="F1244" s="134">
        <v>45863.0</v>
      </c>
      <c r="G1244" s="53">
        <v>6503890.46</v>
      </c>
      <c r="H1244" s="14">
        <f t="shared" si="6"/>
        <v>1365816.997</v>
      </c>
      <c r="I1244" s="22">
        <v>195116.71</v>
      </c>
      <c r="J1244" s="14"/>
      <c r="K1244" s="15">
        <f t="shared" si="4"/>
        <v>8064824.167</v>
      </c>
      <c r="L1244" s="45"/>
      <c r="M1244" s="24">
        <v>45860.0</v>
      </c>
    </row>
    <row r="1245" ht="15.75" customHeight="1">
      <c r="A1245" s="39">
        <v>45855.0</v>
      </c>
      <c r="B1245" s="87"/>
      <c r="C1245" s="31" t="s">
        <v>1052</v>
      </c>
      <c r="D1245" s="32" t="s">
        <v>99</v>
      </c>
      <c r="E1245" s="31" t="s">
        <v>1368</v>
      </c>
      <c r="F1245" s="134">
        <v>45863.0</v>
      </c>
      <c r="G1245" s="53">
        <v>2009420.19</v>
      </c>
      <c r="H1245" s="14">
        <f t="shared" si="6"/>
        <v>421978.2399</v>
      </c>
      <c r="I1245" s="22">
        <v>60282.61</v>
      </c>
      <c r="J1245" s="22">
        <v>6028.26</v>
      </c>
      <c r="K1245" s="15">
        <f t="shared" si="4"/>
        <v>2497709.3</v>
      </c>
      <c r="L1245" s="45"/>
      <c r="M1245" s="24">
        <v>45873.0</v>
      </c>
    </row>
    <row r="1246" ht="15.75" customHeight="1">
      <c r="A1246" s="55">
        <v>45856.0</v>
      </c>
      <c r="B1246" s="64"/>
      <c r="C1246" s="31" t="s">
        <v>807</v>
      </c>
      <c r="D1246" s="32" t="s">
        <v>15</v>
      </c>
      <c r="E1246" s="31" t="s">
        <v>1369</v>
      </c>
      <c r="F1246" s="134">
        <v>45863.0</v>
      </c>
      <c r="G1246" s="53">
        <v>2378490.13</v>
      </c>
      <c r="H1246" s="14">
        <f t="shared" si="6"/>
        <v>499482.9273</v>
      </c>
      <c r="I1246" s="50"/>
      <c r="J1246" s="14"/>
      <c r="K1246" s="15">
        <f t="shared" si="4"/>
        <v>2877973.057</v>
      </c>
      <c r="L1246" s="45"/>
      <c r="M1246" s="24">
        <v>45859.0</v>
      </c>
    </row>
    <row r="1247" ht="15.75" customHeight="1">
      <c r="A1247" s="39">
        <v>45856.0</v>
      </c>
      <c r="B1247" s="87"/>
      <c r="C1247" s="31" t="s">
        <v>807</v>
      </c>
      <c r="D1247" s="32" t="s">
        <v>15</v>
      </c>
      <c r="E1247" s="31" t="s">
        <v>1370</v>
      </c>
      <c r="F1247" s="134">
        <v>45863.0</v>
      </c>
      <c r="G1247" s="53">
        <v>2389320.13</v>
      </c>
      <c r="H1247" s="14">
        <f t="shared" si="6"/>
        <v>501757.2273</v>
      </c>
      <c r="I1247" s="22">
        <v>71679.6</v>
      </c>
      <c r="J1247" s="14"/>
      <c r="K1247" s="15">
        <f t="shared" si="4"/>
        <v>2962756.957</v>
      </c>
      <c r="L1247" s="45"/>
      <c r="M1247" s="24">
        <v>45856.0</v>
      </c>
    </row>
    <row r="1248" ht="15.75" customHeight="1">
      <c r="A1248" s="39">
        <v>45856.0</v>
      </c>
      <c r="B1248" s="87"/>
      <c r="C1248" s="31" t="s">
        <v>807</v>
      </c>
      <c r="D1248" s="32" t="s">
        <v>99</v>
      </c>
      <c r="E1248" s="31" t="s">
        <v>1371</v>
      </c>
      <c r="F1248" s="134">
        <v>45863.0</v>
      </c>
      <c r="G1248" s="53">
        <v>2381360.43</v>
      </c>
      <c r="H1248" s="14">
        <f t="shared" si="6"/>
        <v>500085.6903</v>
      </c>
      <c r="I1248" s="50"/>
      <c r="J1248" s="14"/>
      <c r="K1248" s="15">
        <f t="shared" si="4"/>
        <v>2881446.12</v>
      </c>
      <c r="L1248" s="45"/>
      <c r="M1248" s="24">
        <v>45856.0</v>
      </c>
    </row>
    <row r="1249" ht="15.75" customHeight="1">
      <c r="A1249" s="39">
        <v>45856.0</v>
      </c>
      <c r="B1249" s="87"/>
      <c r="C1249" s="31" t="s">
        <v>635</v>
      </c>
      <c r="D1249" s="32" t="s">
        <v>15</v>
      </c>
      <c r="E1249" s="31" t="s">
        <v>1372</v>
      </c>
      <c r="F1249" s="134">
        <v>45863.0</v>
      </c>
      <c r="G1249" s="53">
        <v>1.292928317E7</v>
      </c>
      <c r="H1249" s="14">
        <f t="shared" si="6"/>
        <v>2715149.466</v>
      </c>
      <c r="I1249" s="22">
        <v>387878.5</v>
      </c>
      <c r="J1249" s="14"/>
      <c r="K1249" s="15">
        <f t="shared" si="4"/>
        <v>16032311.14</v>
      </c>
      <c r="L1249" s="45"/>
      <c r="M1249" s="24">
        <v>45905.0</v>
      </c>
    </row>
    <row r="1250" ht="15.75" customHeight="1">
      <c r="A1250" s="39">
        <v>45856.0</v>
      </c>
      <c r="B1250" s="87"/>
      <c r="C1250" s="31" t="s">
        <v>635</v>
      </c>
      <c r="D1250" s="32" t="s">
        <v>15</v>
      </c>
      <c r="E1250" s="31" t="s">
        <v>1373</v>
      </c>
      <c r="F1250" s="134">
        <v>45863.0</v>
      </c>
      <c r="G1250" s="53">
        <v>1.723636524E7</v>
      </c>
      <c r="H1250" s="14">
        <f t="shared" si="6"/>
        <v>3619636.7</v>
      </c>
      <c r="I1250" s="22">
        <v>517090.96</v>
      </c>
      <c r="J1250" s="14"/>
      <c r="K1250" s="15">
        <f t="shared" si="4"/>
        <v>21373092.9</v>
      </c>
      <c r="L1250" s="45"/>
      <c r="M1250" s="24">
        <v>45905.0</v>
      </c>
    </row>
    <row r="1251" ht="15.75" customHeight="1">
      <c r="A1251" s="39">
        <v>45856.0</v>
      </c>
      <c r="B1251" s="87"/>
      <c r="C1251" s="31" t="s">
        <v>635</v>
      </c>
      <c r="D1251" s="32" t="s">
        <v>15</v>
      </c>
      <c r="E1251" s="31" t="s">
        <v>1374</v>
      </c>
      <c r="F1251" s="134">
        <v>45863.0</v>
      </c>
      <c r="G1251" s="53">
        <v>1.863525121E7</v>
      </c>
      <c r="H1251" s="14">
        <f t="shared" si="6"/>
        <v>3913402.754</v>
      </c>
      <c r="I1251" s="22">
        <v>559057.54</v>
      </c>
      <c r="J1251" s="14"/>
      <c r="K1251" s="15">
        <f t="shared" si="4"/>
        <v>23107711.5</v>
      </c>
      <c r="L1251" s="45"/>
      <c r="M1251" s="24">
        <v>45905.0</v>
      </c>
    </row>
    <row r="1252" ht="15.75" customHeight="1">
      <c r="A1252" s="39">
        <v>45856.0</v>
      </c>
      <c r="B1252" s="87"/>
      <c r="C1252" s="31" t="s">
        <v>635</v>
      </c>
      <c r="D1252" s="32" t="s">
        <v>15</v>
      </c>
      <c r="E1252" s="31" t="s">
        <v>1375</v>
      </c>
      <c r="F1252" s="134">
        <v>45863.0</v>
      </c>
      <c r="G1252" s="53">
        <v>1.373626171E7</v>
      </c>
      <c r="H1252" s="14">
        <f t="shared" si="6"/>
        <v>2884614.959</v>
      </c>
      <c r="I1252" s="22">
        <v>412087.85</v>
      </c>
      <c r="J1252" s="14"/>
      <c r="K1252" s="15">
        <f t="shared" si="4"/>
        <v>17032964.52</v>
      </c>
      <c r="L1252" s="45"/>
      <c r="M1252" s="24">
        <v>45905.0</v>
      </c>
    </row>
    <row r="1253" ht="15.75" customHeight="1">
      <c r="A1253" s="39">
        <v>45856.0</v>
      </c>
      <c r="B1253" s="87"/>
      <c r="C1253" s="31" t="s">
        <v>635</v>
      </c>
      <c r="D1253" s="32" t="s">
        <v>15</v>
      </c>
      <c r="E1253" s="31" t="s">
        <v>1376</v>
      </c>
      <c r="F1253" s="134">
        <v>45863.0</v>
      </c>
      <c r="G1253" s="53">
        <v>1.590282711E7</v>
      </c>
      <c r="H1253" s="14">
        <f t="shared" si="6"/>
        <v>3339593.693</v>
      </c>
      <c r="I1253" s="22">
        <v>477084.81</v>
      </c>
      <c r="J1253" s="14"/>
      <c r="K1253" s="15">
        <f t="shared" si="4"/>
        <v>19719505.61</v>
      </c>
      <c r="L1253" s="45"/>
      <c r="M1253" s="24">
        <v>45905.0</v>
      </c>
    </row>
    <row r="1254" ht="15.75" customHeight="1">
      <c r="A1254" s="39">
        <v>45856.0</v>
      </c>
      <c r="B1254" s="87"/>
      <c r="C1254" s="31" t="s">
        <v>635</v>
      </c>
      <c r="D1254" s="32" t="s">
        <v>99</v>
      </c>
      <c r="E1254" s="31" t="s">
        <v>1377</v>
      </c>
      <c r="F1254" s="134">
        <v>45863.0</v>
      </c>
      <c r="G1254" s="53">
        <v>1.635252139E7</v>
      </c>
      <c r="H1254" s="14">
        <f t="shared" si="6"/>
        <v>3434029.492</v>
      </c>
      <c r="I1254" s="22">
        <v>490575.64</v>
      </c>
      <c r="J1254" s="14"/>
      <c r="K1254" s="15">
        <f t="shared" si="4"/>
        <v>20277126.52</v>
      </c>
      <c r="L1254" s="45"/>
      <c r="M1254" s="24">
        <v>45870.0</v>
      </c>
    </row>
    <row r="1255" ht="15.75" customHeight="1">
      <c r="A1255" s="39">
        <v>45856.0</v>
      </c>
      <c r="B1255" s="87"/>
      <c r="C1255" s="31" t="s">
        <v>635</v>
      </c>
      <c r="D1255" s="32" t="s">
        <v>99</v>
      </c>
      <c r="E1255" s="31" t="s">
        <v>1378</v>
      </c>
      <c r="F1255" s="134">
        <v>45863.0</v>
      </c>
      <c r="G1255" s="53">
        <v>1.373626175E7</v>
      </c>
      <c r="H1255" s="14">
        <f t="shared" si="6"/>
        <v>2884614.968</v>
      </c>
      <c r="I1255" s="22">
        <v>412087.85</v>
      </c>
      <c r="J1255" s="14"/>
      <c r="K1255" s="15">
        <f t="shared" si="4"/>
        <v>17032964.57</v>
      </c>
      <c r="L1255" s="45"/>
      <c r="M1255" s="24">
        <v>45870.0</v>
      </c>
    </row>
    <row r="1256" ht="15.75" customHeight="1">
      <c r="A1256" s="39">
        <v>45856.0</v>
      </c>
      <c r="B1256" s="87"/>
      <c r="C1256" s="31" t="s">
        <v>635</v>
      </c>
      <c r="D1256" s="32" t="s">
        <v>99</v>
      </c>
      <c r="E1256" s="31" t="s">
        <v>1379</v>
      </c>
      <c r="F1256" s="134">
        <v>45863.0</v>
      </c>
      <c r="G1256" s="53">
        <v>1.863525132E7</v>
      </c>
      <c r="H1256" s="14">
        <f t="shared" si="6"/>
        <v>3913402.777</v>
      </c>
      <c r="I1256" s="22">
        <v>559057.54</v>
      </c>
      <c r="J1256" s="14"/>
      <c r="K1256" s="15">
        <f t="shared" si="4"/>
        <v>23107711.64</v>
      </c>
      <c r="L1256" s="45"/>
      <c r="M1256" s="24">
        <v>45870.0</v>
      </c>
    </row>
    <row r="1257" ht="15.75" customHeight="1">
      <c r="A1257" s="39">
        <v>45856.0</v>
      </c>
      <c r="B1257" s="87"/>
      <c r="C1257" s="31" t="s">
        <v>635</v>
      </c>
      <c r="D1257" s="32" t="s">
        <v>99</v>
      </c>
      <c r="E1257" s="31" t="s">
        <v>1380</v>
      </c>
      <c r="F1257" s="134">
        <v>45863.0</v>
      </c>
      <c r="G1257" s="53">
        <v>1.723636574E7</v>
      </c>
      <c r="H1257" s="14">
        <f t="shared" si="6"/>
        <v>3619636.805</v>
      </c>
      <c r="I1257" s="22">
        <v>517090.97</v>
      </c>
      <c r="J1257" s="14"/>
      <c r="K1257" s="15">
        <f t="shared" si="4"/>
        <v>21373093.52</v>
      </c>
      <c r="L1257" s="45"/>
      <c r="M1257" s="24">
        <v>45870.0</v>
      </c>
    </row>
    <row r="1258" ht="15.75" customHeight="1">
      <c r="A1258" s="39">
        <v>45856.0</v>
      </c>
      <c r="B1258" s="87"/>
      <c r="C1258" s="31" t="s">
        <v>635</v>
      </c>
      <c r="D1258" s="32" t="s">
        <v>99</v>
      </c>
      <c r="E1258" s="31" t="s">
        <v>1381</v>
      </c>
      <c r="F1258" s="134">
        <v>45863.0</v>
      </c>
      <c r="G1258" s="53">
        <v>1.292928372E7</v>
      </c>
      <c r="H1258" s="14">
        <f t="shared" si="6"/>
        <v>2715149.581</v>
      </c>
      <c r="I1258" s="22">
        <v>387878.51</v>
      </c>
      <c r="J1258" s="14"/>
      <c r="K1258" s="15">
        <f t="shared" si="4"/>
        <v>16032311.81</v>
      </c>
      <c r="L1258" s="45"/>
      <c r="M1258" s="24">
        <v>45870.0</v>
      </c>
    </row>
    <row r="1259" ht="15.75" customHeight="1">
      <c r="A1259" s="39">
        <v>45856.0</v>
      </c>
      <c r="B1259" s="87"/>
      <c r="C1259" s="31" t="s">
        <v>268</v>
      </c>
      <c r="D1259" s="32" t="s">
        <v>99</v>
      </c>
      <c r="E1259" s="31" t="s">
        <v>1382</v>
      </c>
      <c r="F1259" s="134">
        <v>45863.0</v>
      </c>
      <c r="G1259" s="53">
        <v>3322611.75</v>
      </c>
      <c r="H1259" s="14">
        <f t="shared" si="6"/>
        <v>697748.4675</v>
      </c>
      <c r="I1259" s="50"/>
      <c r="J1259" s="22">
        <v>166130.59</v>
      </c>
      <c r="K1259" s="15">
        <f t="shared" si="4"/>
        <v>4186490.808</v>
      </c>
      <c r="L1259" s="45"/>
      <c r="M1259" s="19" t="s">
        <v>1383</v>
      </c>
    </row>
    <row r="1260" ht="15.75" customHeight="1">
      <c r="A1260" s="39">
        <v>45856.0</v>
      </c>
      <c r="B1260" s="87"/>
      <c r="C1260" s="31" t="s">
        <v>268</v>
      </c>
      <c r="D1260" s="32" t="s">
        <v>99</v>
      </c>
      <c r="E1260" s="31" t="s">
        <v>1384</v>
      </c>
      <c r="F1260" s="134">
        <v>45863.0</v>
      </c>
      <c r="G1260" s="53">
        <v>7262525.29</v>
      </c>
      <c r="H1260" s="14">
        <f t="shared" si="6"/>
        <v>1525130.311</v>
      </c>
      <c r="I1260" s="22">
        <v>217875.76</v>
      </c>
      <c r="J1260" s="22">
        <v>363126.26</v>
      </c>
      <c r="K1260" s="15">
        <f t="shared" si="4"/>
        <v>9368657.621</v>
      </c>
      <c r="L1260" s="45"/>
      <c r="M1260" s="19" t="s">
        <v>1383</v>
      </c>
    </row>
    <row r="1261" ht="15.75" customHeight="1">
      <c r="A1261" s="39">
        <v>45856.0</v>
      </c>
      <c r="B1261" s="87"/>
      <c r="C1261" s="31" t="s">
        <v>268</v>
      </c>
      <c r="D1261" s="32" t="s">
        <v>99</v>
      </c>
      <c r="E1261" s="31" t="s">
        <v>1385</v>
      </c>
      <c r="F1261" s="134">
        <v>45863.0</v>
      </c>
      <c r="G1261" s="53">
        <v>5525251.49</v>
      </c>
      <c r="H1261" s="14">
        <f t="shared" si="6"/>
        <v>1160302.813</v>
      </c>
      <c r="I1261" s="22">
        <v>165757.54</v>
      </c>
      <c r="J1261" s="22">
        <v>276262.57</v>
      </c>
      <c r="K1261" s="15">
        <f t="shared" si="4"/>
        <v>7127574.413</v>
      </c>
      <c r="L1261" s="45"/>
      <c r="M1261" s="19" t="s">
        <v>1383</v>
      </c>
    </row>
    <row r="1262" ht="15.75" customHeight="1">
      <c r="A1262" s="39">
        <v>45856.0</v>
      </c>
      <c r="B1262" s="87"/>
      <c r="C1262" s="31" t="s">
        <v>268</v>
      </c>
      <c r="D1262" s="32" t="s">
        <v>99</v>
      </c>
      <c r="E1262" s="31" t="s">
        <v>1386</v>
      </c>
      <c r="F1262" s="134">
        <v>45863.0</v>
      </c>
      <c r="G1262" s="53">
        <v>1.387262613E7</v>
      </c>
      <c r="H1262" s="14">
        <f t="shared" si="6"/>
        <v>2913251.487</v>
      </c>
      <c r="I1262" s="22">
        <v>416178.78</v>
      </c>
      <c r="J1262" s="22">
        <v>693631.31</v>
      </c>
      <c r="K1262" s="15">
        <f t="shared" si="4"/>
        <v>17895687.71</v>
      </c>
      <c r="L1262" s="45"/>
      <c r="M1262" s="19" t="s">
        <v>1383</v>
      </c>
    </row>
    <row r="1263" ht="15.75" customHeight="1">
      <c r="A1263" s="39">
        <v>45856.0</v>
      </c>
      <c r="B1263" s="87"/>
      <c r="C1263" s="31" t="s">
        <v>268</v>
      </c>
      <c r="D1263" s="32" t="s">
        <v>99</v>
      </c>
      <c r="E1263" s="31" t="s">
        <v>1387</v>
      </c>
      <c r="F1263" s="134">
        <v>45863.0</v>
      </c>
      <c r="G1263" s="53">
        <v>1.263635208E7</v>
      </c>
      <c r="H1263" s="14">
        <f t="shared" si="6"/>
        <v>2653633.937</v>
      </c>
      <c r="I1263" s="22">
        <v>379090.56</v>
      </c>
      <c r="J1263" s="22">
        <v>631817.6</v>
      </c>
      <c r="K1263" s="15">
        <f t="shared" si="4"/>
        <v>16300894.18</v>
      </c>
      <c r="L1263" s="45"/>
      <c r="M1263" s="19" t="s">
        <v>1383</v>
      </c>
    </row>
    <row r="1264" ht="15.75" customHeight="1">
      <c r="A1264" s="39">
        <v>45856.0</v>
      </c>
      <c r="B1264" s="87"/>
      <c r="C1264" s="31" t="s">
        <v>268</v>
      </c>
      <c r="D1264" s="32" t="s">
        <v>99</v>
      </c>
      <c r="E1264" s="31" t="s">
        <v>1388</v>
      </c>
      <c r="F1264" s="134">
        <v>45863.0</v>
      </c>
      <c r="G1264" s="53">
        <v>6335251.13</v>
      </c>
      <c r="H1264" s="14">
        <f t="shared" si="6"/>
        <v>1330402.737</v>
      </c>
      <c r="I1264" s="50"/>
      <c r="J1264" s="14"/>
      <c r="K1264" s="15">
        <f t="shared" si="4"/>
        <v>7665653.867</v>
      </c>
      <c r="L1264" s="45"/>
      <c r="M1264" s="19" t="s">
        <v>1383</v>
      </c>
    </row>
    <row r="1265" ht="15.75" customHeight="1">
      <c r="A1265" s="39">
        <v>45856.0</v>
      </c>
      <c r="B1265" s="87"/>
      <c r="C1265" s="31" t="s">
        <v>74</v>
      </c>
      <c r="D1265" s="32" t="s">
        <v>15</v>
      </c>
      <c r="E1265" s="31" t="s">
        <v>1389</v>
      </c>
      <c r="F1265" s="134">
        <v>45863.0</v>
      </c>
      <c r="G1265" s="53">
        <v>1887210.29</v>
      </c>
      <c r="H1265" s="14">
        <f t="shared" si="6"/>
        <v>396314.1609</v>
      </c>
      <c r="I1265" s="22">
        <v>56616.31</v>
      </c>
      <c r="J1265" s="22">
        <v>30195.36</v>
      </c>
      <c r="K1265" s="15">
        <f t="shared" si="4"/>
        <v>2370336.121</v>
      </c>
      <c r="L1265" s="45"/>
      <c r="M1265" s="19" t="s">
        <v>1390</v>
      </c>
    </row>
    <row r="1266" ht="15.75" customHeight="1">
      <c r="A1266" s="39">
        <v>45856.0</v>
      </c>
      <c r="B1266" s="87"/>
      <c r="C1266" s="31" t="s">
        <v>74</v>
      </c>
      <c r="D1266" s="32" t="s">
        <v>15</v>
      </c>
      <c r="E1266" s="31" t="s">
        <v>1391</v>
      </c>
      <c r="F1266" s="134">
        <v>45863.0</v>
      </c>
      <c r="G1266" s="53">
        <v>3659240.32</v>
      </c>
      <c r="H1266" s="14">
        <f t="shared" si="6"/>
        <v>768440.4672</v>
      </c>
      <c r="I1266" s="22">
        <v>109777.21</v>
      </c>
      <c r="J1266" s="22">
        <v>58547.85</v>
      </c>
      <c r="K1266" s="15">
        <f t="shared" si="4"/>
        <v>4596005.847</v>
      </c>
      <c r="L1266" s="45"/>
      <c r="M1266" s="19" t="s">
        <v>1390</v>
      </c>
    </row>
    <row r="1267" ht="15.75" customHeight="1">
      <c r="A1267" s="39">
        <v>45856.0</v>
      </c>
      <c r="B1267" s="87"/>
      <c r="C1267" s="31" t="s">
        <v>74</v>
      </c>
      <c r="D1267" s="32" t="s">
        <v>15</v>
      </c>
      <c r="E1267" s="31" t="s">
        <v>1392</v>
      </c>
      <c r="F1267" s="134">
        <v>45863.0</v>
      </c>
      <c r="G1267" s="53">
        <v>6473280.13</v>
      </c>
      <c r="H1267" s="14">
        <f t="shared" si="6"/>
        <v>1359388.827</v>
      </c>
      <c r="I1267" s="50"/>
      <c r="J1267" s="22">
        <v>103572.48</v>
      </c>
      <c r="K1267" s="15">
        <f t="shared" si="4"/>
        <v>7936241.437</v>
      </c>
      <c r="L1267" s="45"/>
      <c r="M1267" s="24">
        <v>45862.0</v>
      </c>
    </row>
    <row r="1268" ht="15.75" customHeight="1">
      <c r="A1268" s="39">
        <v>45856.0</v>
      </c>
      <c r="B1268" s="87"/>
      <c r="C1268" s="31" t="s">
        <v>74</v>
      </c>
      <c r="D1268" s="32" t="s">
        <v>15</v>
      </c>
      <c r="E1268" s="31" t="s">
        <v>1393</v>
      </c>
      <c r="F1268" s="134">
        <v>45863.0</v>
      </c>
      <c r="G1268" s="53">
        <v>5982320.43</v>
      </c>
      <c r="H1268" s="14">
        <f t="shared" si="6"/>
        <v>1256287.29</v>
      </c>
      <c r="I1268" s="50"/>
      <c r="J1268" s="14"/>
      <c r="K1268" s="15">
        <f t="shared" si="4"/>
        <v>7238607.72</v>
      </c>
      <c r="L1268" s="45"/>
      <c r="M1268" s="19" t="s">
        <v>1390</v>
      </c>
    </row>
    <row r="1269" ht="15.75" customHeight="1">
      <c r="A1269" s="39">
        <v>45856.0</v>
      </c>
      <c r="B1269" s="87"/>
      <c r="C1269" s="31" t="s">
        <v>74</v>
      </c>
      <c r="D1269" s="32" t="s">
        <v>15</v>
      </c>
      <c r="E1269" s="31" t="s">
        <v>1394</v>
      </c>
      <c r="F1269" s="134">
        <v>45863.0</v>
      </c>
      <c r="G1269" s="53">
        <v>2008260.71</v>
      </c>
      <c r="H1269" s="14">
        <f t="shared" si="6"/>
        <v>421734.7491</v>
      </c>
      <c r="I1269" s="50"/>
      <c r="J1269" s="14"/>
      <c r="K1269" s="15">
        <f t="shared" si="4"/>
        <v>2429995.459</v>
      </c>
      <c r="L1269" s="45"/>
      <c r="M1269" s="24">
        <v>45862.0</v>
      </c>
    </row>
    <row r="1270" ht="15.75" customHeight="1">
      <c r="A1270" s="39">
        <v>45856.0</v>
      </c>
      <c r="B1270" s="87"/>
      <c r="C1270" s="31" t="s">
        <v>1009</v>
      </c>
      <c r="D1270" s="32" t="s">
        <v>99</v>
      </c>
      <c r="E1270" s="31" t="s">
        <v>1395</v>
      </c>
      <c r="F1270" s="134">
        <v>45863.0</v>
      </c>
      <c r="G1270" s="53">
        <v>4771380.39</v>
      </c>
      <c r="H1270" s="14">
        <f t="shared" si="6"/>
        <v>1001989.882</v>
      </c>
      <c r="I1270" s="50"/>
      <c r="J1270" s="14"/>
      <c r="K1270" s="15">
        <f t="shared" si="4"/>
        <v>5773370.272</v>
      </c>
      <c r="L1270" s="45"/>
      <c r="M1270" s="24">
        <v>45860.0</v>
      </c>
    </row>
    <row r="1271" ht="15.75" customHeight="1">
      <c r="A1271" s="39">
        <v>45856.0</v>
      </c>
      <c r="B1271" s="87"/>
      <c r="C1271" s="31" t="s">
        <v>1009</v>
      </c>
      <c r="D1271" s="32" t="s">
        <v>99</v>
      </c>
      <c r="E1271" s="31" t="s">
        <v>1396</v>
      </c>
      <c r="F1271" s="134">
        <v>45863.0</v>
      </c>
      <c r="G1271" s="53">
        <v>5232720.13</v>
      </c>
      <c r="H1271" s="14">
        <f t="shared" si="6"/>
        <v>1098871.227</v>
      </c>
      <c r="I1271" s="50"/>
      <c r="J1271" s="14"/>
      <c r="K1271" s="15">
        <f t="shared" si="4"/>
        <v>6331591.357</v>
      </c>
      <c r="L1271" s="45"/>
      <c r="M1271" s="24">
        <v>45860.0</v>
      </c>
    </row>
    <row r="1272" ht="15.75" customHeight="1">
      <c r="A1272" s="39">
        <v>45856.0</v>
      </c>
      <c r="B1272" s="87"/>
      <c r="C1272" s="31" t="s">
        <v>1397</v>
      </c>
      <c r="D1272" s="32" t="s">
        <v>99</v>
      </c>
      <c r="E1272" s="31" t="s">
        <v>1398</v>
      </c>
      <c r="F1272" s="134">
        <v>45863.0</v>
      </c>
      <c r="G1272" s="53">
        <v>8005720.32</v>
      </c>
      <c r="H1272" s="14">
        <f t="shared" si="6"/>
        <v>1681201.267</v>
      </c>
      <c r="I1272" s="50"/>
      <c r="J1272" s="14"/>
      <c r="K1272" s="15">
        <f t="shared" si="4"/>
        <v>9686921.587</v>
      </c>
      <c r="L1272" s="45"/>
      <c r="M1272" s="24">
        <v>45860.0</v>
      </c>
    </row>
    <row r="1273" ht="15.75" customHeight="1">
      <c r="A1273" s="55">
        <v>45859.0</v>
      </c>
      <c r="B1273" s="120" t="s">
        <v>1399</v>
      </c>
      <c r="C1273" s="58" t="s">
        <v>782</v>
      </c>
      <c r="D1273" s="58" t="s">
        <v>1005</v>
      </c>
      <c r="E1273" s="58" t="s">
        <v>1400</v>
      </c>
      <c r="F1273" s="137">
        <v>45863.0</v>
      </c>
      <c r="G1273" s="65">
        <f>30000220.49/1.21</f>
        <v>24793570.65</v>
      </c>
      <c r="H1273" s="9">
        <f t="shared" si="6"/>
        <v>5206649.837</v>
      </c>
      <c r="I1273" s="56"/>
      <c r="J1273" s="60"/>
      <c r="K1273" s="10">
        <f t="shared" si="4"/>
        <v>30000220.49</v>
      </c>
      <c r="L1273" s="61"/>
      <c r="M1273" s="62"/>
    </row>
    <row r="1274" ht="15.75" customHeight="1">
      <c r="A1274" s="55">
        <v>45859.0</v>
      </c>
      <c r="B1274" s="120" t="s">
        <v>1399</v>
      </c>
      <c r="C1274" s="58" t="s">
        <v>782</v>
      </c>
      <c r="D1274" s="58" t="s">
        <v>1005</v>
      </c>
      <c r="E1274" s="58" t="s">
        <v>1401</v>
      </c>
      <c r="F1274" s="137">
        <v>45863.0</v>
      </c>
      <c r="G1274" s="65">
        <f>10000357.15/1.21</f>
        <v>8264757.975</v>
      </c>
      <c r="H1274" s="9">
        <f t="shared" si="6"/>
        <v>1735599.175</v>
      </c>
      <c r="I1274" s="56"/>
      <c r="J1274" s="60"/>
      <c r="K1274" s="10">
        <f t="shared" si="4"/>
        <v>10000357.15</v>
      </c>
      <c r="L1274" s="61"/>
      <c r="M1274" s="62"/>
    </row>
    <row r="1275" ht="15.75" customHeight="1">
      <c r="A1275" s="55">
        <v>45866.0</v>
      </c>
      <c r="B1275" s="64"/>
      <c r="C1275" s="57" t="s">
        <v>1402</v>
      </c>
      <c r="D1275" s="57" t="s">
        <v>1021</v>
      </c>
      <c r="E1275" s="58" t="s">
        <v>1403</v>
      </c>
      <c r="F1275" s="137">
        <v>45863.0</v>
      </c>
      <c r="G1275" s="65">
        <v>1.515917236E7</v>
      </c>
      <c r="H1275" s="9">
        <f>2863322.58+160051.81</f>
        <v>3023374.39</v>
      </c>
      <c r="I1275" s="56"/>
      <c r="J1275" s="60"/>
      <c r="K1275" s="10">
        <f t="shared" si="4"/>
        <v>18182546.75</v>
      </c>
      <c r="L1275" s="61"/>
      <c r="M1275" s="62"/>
    </row>
    <row r="1276" ht="15.75" customHeight="1">
      <c r="A1276" s="55">
        <v>45866.0</v>
      </c>
      <c r="B1276" s="120" t="s">
        <v>1404</v>
      </c>
      <c r="C1276" s="57" t="s">
        <v>1405</v>
      </c>
      <c r="D1276" s="57" t="s">
        <v>1406</v>
      </c>
      <c r="E1276" s="58" t="s">
        <v>1407</v>
      </c>
      <c r="F1276" s="137">
        <v>45863.0</v>
      </c>
      <c r="G1276" s="65">
        <v>1.005756E7</v>
      </c>
      <c r="H1276" s="9">
        <f t="shared" ref="H1276:H1281" si="7">G1276*0.21</f>
        <v>2112087.6</v>
      </c>
      <c r="I1276" s="56"/>
      <c r="J1276" s="60"/>
      <c r="K1276" s="10">
        <f t="shared" si="4"/>
        <v>12169647.6</v>
      </c>
      <c r="L1276" s="61"/>
      <c r="M1276" s="62"/>
    </row>
    <row r="1277" ht="15.75" customHeight="1">
      <c r="A1277" s="55">
        <v>45866.0</v>
      </c>
      <c r="B1277" s="120" t="s">
        <v>1404</v>
      </c>
      <c r="C1277" s="57" t="s">
        <v>1405</v>
      </c>
      <c r="D1277" s="57" t="s">
        <v>1406</v>
      </c>
      <c r="E1277" s="58" t="s">
        <v>1408</v>
      </c>
      <c r="F1277" s="137">
        <v>45863.0</v>
      </c>
      <c r="G1277" s="65">
        <v>1.0640818E7</v>
      </c>
      <c r="H1277" s="9">
        <f t="shared" si="7"/>
        <v>2234571.78</v>
      </c>
      <c r="I1277" s="56"/>
      <c r="J1277" s="60"/>
      <c r="K1277" s="10">
        <f t="shared" si="4"/>
        <v>12875389.78</v>
      </c>
      <c r="L1277" s="61"/>
      <c r="M1277" s="62"/>
    </row>
    <row r="1278" ht="15.75" customHeight="1">
      <c r="A1278" s="55">
        <v>45866.0</v>
      </c>
      <c r="B1278" s="120" t="s">
        <v>1404</v>
      </c>
      <c r="C1278" s="57" t="s">
        <v>1405</v>
      </c>
      <c r="D1278" s="57" t="s">
        <v>1406</v>
      </c>
      <c r="E1278" s="58" t="s">
        <v>1409</v>
      </c>
      <c r="F1278" s="137">
        <v>45863.0</v>
      </c>
      <c r="G1278" s="65">
        <v>1.0423E7</v>
      </c>
      <c r="H1278" s="9">
        <f t="shared" si="7"/>
        <v>2188830</v>
      </c>
      <c r="I1278" s="56"/>
      <c r="J1278" s="60"/>
      <c r="K1278" s="10">
        <f t="shared" si="4"/>
        <v>12611830</v>
      </c>
      <c r="L1278" s="61"/>
      <c r="M1278" s="62"/>
    </row>
    <row r="1279" ht="15.75" customHeight="1">
      <c r="A1279" s="55">
        <v>45866.0</v>
      </c>
      <c r="B1279" s="120" t="s">
        <v>1404</v>
      </c>
      <c r="C1279" s="57" t="s">
        <v>1405</v>
      </c>
      <c r="D1279" s="57" t="s">
        <v>1406</v>
      </c>
      <c r="E1279" s="58" t="s">
        <v>1410</v>
      </c>
      <c r="F1279" s="137">
        <v>45863.0</v>
      </c>
      <c r="G1279" s="65">
        <v>9534100.0</v>
      </c>
      <c r="H1279" s="9">
        <f t="shared" si="7"/>
        <v>2002161</v>
      </c>
      <c r="I1279" s="56"/>
      <c r="J1279" s="60"/>
      <c r="K1279" s="10">
        <f t="shared" si="4"/>
        <v>11536261</v>
      </c>
      <c r="L1279" s="61"/>
      <c r="M1279" s="62"/>
    </row>
    <row r="1280" ht="15.75" customHeight="1">
      <c r="A1280" s="55">
        <v>45866.0</v>
      </c>
      <c r="B1280" s="120" t="s">
        <v>1404</v>
      </c>
      <c r="C1280" s="57" t="s">
        <v>1411</v>
      </c>
      <c r="D1280" s="57" t="s">
        <v>1406</v>
      </c>
      <c r="E1280" s="58" t="s">
        <v>1412</v>
      </c>
      <c r="F1280" s="137">
        <v>45863.0</v>
      </c>
      <c r="G1280" s="65">
        <v>5916060.0</v>
      </c>
      <c r="H1280" s="9">
        <f t="shared" si="7"/>
        <v>1242372.6</v>
      </c>
      <c r="I1280" s="56"/>
      <c r="J1280" s="60"/>
      <c r="K1280" s="10">
        <f t="shared" si="4"/>
        <v>7158432.6</v>
      </c>
      <c r="L1280" s="61"/>
      <c r="M1280" s="62"/>
    </row>
    <row r="1281" ht="15.75" customHeight="1">
      <c r="A1281" s="55">
        <v>45866.0</v>
      </c>
      <c r="B1281" s="120" t="s">
        <v>1404</v>
      </c>
      <c r="C1281" s="57" t="s">
        <v>1411</v>
      </c>
      <c r="D1281" s="57" t="s">
        <v>1406</v>
      </c>
      <c r="E1281" s="58" t="s">
        <v>1413</v>
      </c>
      <c r="F1281" s="137">
        <v>45863.0</v>
      </c>
      <c r="G1281" s="65">
        <v>4361450.0</v>
      </c>
      <c r="H1281" s="9">
        <f t="shared" si="7"/>
        <v>915904.5</v>
      </c>
      <c r="I1281" s="56"/>
      <c r="J1281" s="60"/>
      <c r="K1281" s="10">
        <f t="shared" si="4"/>
        <v>5277354.5</v>
      </c>
      <c r="L1281" s="61"/>
      <c r="M1281" s="62"/>
    </row>
    <row r="1282" ht="15.75" customHeight="1">
      <c r="A1282" s="55">
        <v>45866.0</v>
      </c>
      <c r="B1282" s="64"/>
      <c r="C1282" s="57" t="s">
        <v>782</v>
      </c>
      <c r="D1282" s="57" t="s">
        <v>1414</v>
      </c>
      <c r="E1282" s="57" t="s">
        <v>1415</v>
      </c>
      <c r="F1282" s="137">
        <v>45863.0</v>
      </c>
      <c r="G1282" s="65">
        <v>1.997499355E7</v>
      </c>
      <c r="H1282" s="29">
        <v>20826.45</v>
      </c>
      <c r="I1282" s="56"/>
      <c r="J1282" s="60"/>
      <c r="K1282" s="10">
        <f t="shared" si="4"/>
        <v>19995820</v>
      </c>
      <c r="L1282" s="61"/>
      <c r="M1282" s="62"/>
    </row>
    <row r="1283" ht="15.75" customHeight="1">
      <c r="A1283" s="39">
        <v>45867.0</v>
      </c>
      <c r="B1283" s="87"/>
      <c r="C1283" s="31" t="s">
        <v>247</v>
      </c>
      <c r="D1283" s="32" t="s">
        <v>15</v>
      </c>
      <c r="E1283" s="31" t="s">
        <v>1416</v>
      </c>
      <c r="F1283" s="134">
        <v>45863.0</v>
      </c>
      <c r="G1283" s="53">
        <v>1.097525012E7</v>
      </c>
      <c r="H1283" s="14">
        <f t="shared" ref="H1283:H1336" si="8">G1283*0.21</f>
        <v>2304802.525</v>
      </c>
      <c r="I1283" s="50"/>
      <c r="J1283" s="14"/>
      <c r="K1283" s="15">
        <f t="shared" si="4"/>
        <v>13280052.65</v>
      </c>
      <c r="L1283" s="45"/>
      <c r="M1283" s="24">
        <v>45926.0</v>
      </c>
    </row>
    <row r="1284" ht="15.75" customHeight="1">
      <c r="A1284" s="39">
        <v>45867.0</v>
      </c>
      <c r="B1284" s="87"/>
      <c r="C1284" s="31" t="s">
        <v>247</v>
      </c>
      <c r="D1284" s="32" t="s">
        <v>15</v>
      </c>
      <c r="E1284" s="31" t="s">
        <v>1417</v>
      </c>
      <c r="F1284" s="134">
        <v>45863.0</v>
      </c>
      <c r="G1284" s="53">
        <v>1.125836025E7</v>
      </c>
      <c r="H1284" s="14">
        <f t="shared" si="8"/>
        <v>2364255.653</v>
      </c>
      <c r="I1284" s="50"/>
      <c r="J1284" s="14"/>
      <c r="K1284" s="15">
        <f t="shared" si="4"/>
        <v>13622615.9</v>
      </c>
      <c r="L1284" s="45"/>
      <c r="M1284" s="24">
        <v>45926.0</v>
      </c>
    </row>
    <row r="1285" ht="15.75" customHeight="1">
      <c r="A1285" s="39">
        <v>45867.0</v>
      </c>
      <c r="B1285" s="87"/>
      <c r="C1285" s="31" t="s">
        <v>247</v>
      </c>
      <c r="D1285" s="32" t="s">
        <v>15</v>
      </c>
      <c r="E1285" s="31" t="s">
        <v>1418</v>
      </c>
      <c r="F1285" s="134">
        <v>45863.0</v>
      </c>
      <c r="G1285" s="53">
        <v>9642890.48</v>
      </c>
      <c r="H1285" s="14">
        <f t="shared" si="8"/>
        <v>2025007.001</v>
      </c>
      <c r="I1285" s="50"/>
      <c r="J1285" s="14"/>
      <c r="K1285" s="15">
        <f t="shared" si="4"/>
        <v>11667897.48</v>
      </c>
      <c r="L1285" s="45"/>
      <c r="M1285" s="24">
        <v>45926.0</v>
      </c>
    </row>
    <row r="1286" ht="15.75" customHeight="1">
      <c r="A1286" s="39">
        <v>45867.0</v>
      </c>
      <c r="B1286" s="87"/>
      <c r="C1286" s="31" t="s">
        <v>247</v>
      </c>
      <c r="D1286" s="32" t="s">
        <v>15</v>
      </c>
      <c r="E1286" s="31" t="s">
        <v>1419</v>
      </c>
      <c r="F1286" s="134">
        <v>45863.0</v>
      </c>
      <c r="G1286" s="53">
        <v>8370640.82</v>
      </c>
      <c r="H1286" s="14">
        <f t="shared" si="8"/>
        <v>1757834.572</v>
      </c>
      <c r="I1286" s="50"/>
      <c r="J1286" s="14"/>
      <c r="K1286" s="15">
        <f t="shared" si="4"/>
        <v>10128475.39</v>
      </c>
      <c r="L1286" s="45"/>
      <c r="M1286" s="24">
        <v>45868.0</v>
      </c>
    </row>
    <row r="1287" ht="15.75" customHeight="1">
      <c r="A1287" s="39">
        <v>45867.0</v>
      </c>
      <c r="B1287" s="87"/>
      <c r="C1287" s="31" t="s">
        <v>1420</v>
      </c>
      <c r="D1287" s="32" t="s">
        <v>15</v>
      </c>
      <c r="E1287" s="31" t="s">
        <v>1421</v>
      </c>
      <c r="F1287" s="134">
        <v>45863.0</v>
      </c>
      <c r="G1287" s="53">
        <v>4743320.15</v>
      </c>
      <c r="H1287" s="14">
        <f t="shared" si="8"/>
        <v>996097.2315</v>
      </c>
      <c r="I1287" s="50"/>
      <c r="J1287" s="14"/>
      <c r="K1287" s="15">
        <f t="shared" si="4"/>
        <v>5739417.382</v>
      </c>
      <c r="L1287" s="45"/>
      <c r="M1287" s="24">
        <v>45873.0</v>
      </c>
    </row>
    <row r="1288" ht="15.75" customHeight="1">
      <c r="A1288" s="39">
        <v>45867.0</v>
      </c>
      <c r="B1288" s="87"/>
      <c r="C1288" s="31" t="s">
        <v>1420</v>
      </c>
      <c r="D1288" s="32" t="s">
        <v>15</v>
      </c>
      <c r="E1288" s="31" t="s">
        <v>1422</v>
      </c>
      <c r="F1288" s="134">
        <v>45863.0</v>
      </c>
      <c r="G1288" s="53">
        <v>4683680.24</v>
      </c>
      <c r="H1288" s="14">
        <f t="shared" si="8"/>
        <v>983572.8504</v>
      </c>
      <c r="I1288" s="50"/>
      <c r="J1288" s="14"/>
      <c r="K1288" s="15">
        <f t="shared" si="4"/>
        <v>5667253.09</v>
      </c>
      <c r="L1288" s="45"/>
      <c r="M1288" s="24">
        <v>45875.0</v>
      </c>
    </row>
    <row r="1289" ht="15.75" customHeight="1">
      <c r="A1289" s="39">
        <v>45867.0</v>
      </c>
      <c r="B1289" s="87"/>
      <c r="C1289" s="31" t="s">
        <v>1420</v>
      </c>
      <c r="D1289" s="32" t="s">
        <v>15</v>
      </c>
      <c r="E1289" s="31" t="s">
        <v>1423</v>
      </c>
      <c r="F1289" s="134">
        <v>45863.0</v>
      </c>
      <c r="G1289" s="53">
        <v>5325940.71</v>
      </c>
      <c r="H1289" s="14">
        <f t="shared" si="8"/>
        <v>1118447.549</v>
      </c>
      <c r="I1289" s="50"/>
      <c r="J1289" s="14"/>
      <c r="K1289" s="15">
        <f t="shared" si="4"/>
        <v>6444388.259</v>
      </c>
      <c r="L1289" s="45"/>
      <c r="M1289" s="24">
        <v>45873.0</v>
      </c>
    </row>
    <row r="1290" ht="15.75" customHeight="1">
      <c r="A1290" s="39">
        <v>45867.0</v>
      </c>
      <c r="B1290" s="87"/>
      <c r="C1290" s="31" t="s">
        <v>1420</v>
      </c>
      <c r="D1290" s="32" t="s">
        <v>15</v>
      </c>
      <c r="E1290" s="31" t="s">
        <v>1424</v>
      </c>
      <c r="F1290" s="134">
        <v>45863.0</v>
      </c>
      <c r="G1290" s="53">
        <v>5454790.34</v>
      </c>
      <c r="H1290" s="14">
        <f t="shared" si="8"/>
        <v>1145505.971</v>
      </c>
      <c r="I1290" s="50"/>
      <c r="J1290" s="14"/>
      <c r="K1290" s="15">
        <f t="shared" si="4"/>
        <v>6600296.311</v>
      </c>
      <c r="L1290" s="45"/>
      <c r="M1290" s="24">
        <v>45875.0</v>
      </c>
    </row>
    <row r="1291" ht="15.75" customHeight="1">
      <c r="A1291" s="55">
        <v>45867.0</v>
      </c>
      <c r="B1291" s="64"/>
      <c r="C1291" s="57" t="s">
        <v>423</v>
      </c>
      <c r="D1291" s="58" t="s">
        <v>15</v>
      </c>
      <c r="E1291" s="57" t="s">
        <v>1425</v>
      </c>
      <c r="F1291" s="137">
        <v>45863.0</v>
      </c>
      <c r="G1291" s="65">
        <v>2460761.72</v>
      </c>
      <c r="H1291" s="9">
        <f t="shared" si="8"/>
        <v>516759.9612</v>
      </c>
      <c r="I1291" s="44">
        <v>73822.85</v>
      </c>
      <c r="J1291" s="60"/>
      <c r="K1291" s="10">
        <f t="shared" si="4"/>
        <v>3051344.531</v>
      </c>
      <c r="L1291" s="61"/>
      <c r="M1291" s="62"/>
    </row>
    <row r="1292" ht="15.75" customHeight="1">
      <c r="A1292" s="55">
        <v>45867.0</v>
      </c>
      <c r="B1292" s="64"/>
      <c r="C1292" s="57" t="s">
        <v>423</v>
      </c>
      <c r="D1292" s="58" t="s">
        <v>15</v>
      </c>
      <c r="E1292" s="57" t="s">
        <v>1426</v>
      </c>
      <c r="F1292" s="137">
        <v>45863.0</v>
      </c>
      <c r="G1292" s="65">
        <v>2544958.76</v>
      </c>
      <c r="H1292" s="9">
        <f t="shared" si="8"/>
        <v>534441.3396</v>
      </c>
      <c r="I1292" s="44">
        <v>76348.76</v>
      </c>
      <c r="J1292" s="60"/>
      <c r="K1292" s="10">
        <f t="shared" si="4"/>
        <v>3155748.86</v>
      </c>
      <c r="L1292" s="61"/>
      <c r="M1292" s="62"/>
    </row>
    <row r="1293" ht="15.75" customHeight="1">
      <c r="A1293" s="39">
        <v>45867.0</v>
      </c>
      <c r="B1293" s="87"/>
      <c r="C1293" s="31" t="s">
        <v>397</v>
      </c>
      <c r="D1293" s="32" t="s">
        <v>15</v>
      </c>
      <c r="E1293" s="31" t="s">
        <v>1427</v>
      </c>
      <c r="F1293" s="134">
        <v>45863.0</v>
      </c>
      <c r="G1293" s="53">
        <v>5203780.15</v>
      </c>
      <c r="H1293" s="14">
        <f t="shared" si="8"/>
        <v>1092793.832</v>
      </c>
      <c r="I1293" s="22">
        <v>156113.4</v>
      </c>
      <c r="J1293" s="14"/>
      <c r="K1293" s="15">
        <f t="shared" si="4"/>
        <v>6452687.382</v>
      </c>
      <c r="L1293" s="45"/>
      <c r="M1293" s="24">
        <v>45870.0</v>
      </c>
    </row>
    <row r="1294" ht="15.75" customHeight="1">
      <c r="A1294" s="39">
        <v>45867.0</v>
      </c>
      <c r="B1294" s="87"/>
      <c r="C1294" s="31" t="s">
        <v>397</v>
      </c>
      <c r="D1294" s="32" t="s">
        <v>15</v>
      </c>
      <c r="E1294" s="31" t="s">
        <v>1428</v>
      </c>
      <c r="F1294" s="134">
        <v>45863.0</v>
      </c>
      <c r="G1294" s="53">
        <v>6008960.39</v>
      </c>
      <c r="H1294" s="14">
        <f t="shared" si="8"/>
        <v>1261881.682</v>
      </c>
      <c r="I1294" s="22">
        <v>180268.81</v>
      </c>
      <c r="J1294" s="14"/>
      <c r="K1294" s="15">
        <f t="shared" si="4"/>
        <v>7451110.882</v>
      </c>
      <c r="L1294" s="45"/>
      <c r="M1294" s="24">
        <v>45870.0</v>
      </c>
    </row>
    <row r="1295" ht="15.75" customHeight="1">
      <c r="A1295" s="39">
        <v>45867.0</v>
      </c>
      <c r="B1295" s="87"/>
      <c r="C1295" s="31" t="s">
        <v>231</v>
      </c>
      <c r="D1295" s="32" t="s">
        <v>15</v>
      </c>
      <c r="E1295" s="31" t="s">
        <v>1429</v>
      </c>
      <c r="F1295" s="134">
        <v>45863.0</v>
      </c>
      <c r="G1295" s="53">
        <v>3606450.56</v>
      </c>
      <c r="H1295" s="14">
        <f t="shared" si="8"/>
        <v>757354.6176</v>
      </c>
      <c r="I1295" s="22">
        <v>108193.52</v>
      </c>
      <c r="J1295" s="22">
        <v>10819.35</v>
      </c>
      <c r="K1295" s="15">
        <f t="shared" si="4"/>
        <v>4482818.048</v>
      </c>
      <c r="L1295" s="45"/>
      <c r="M1295" s="24">
        <v>45888.0</v>
      </c>
    </row>
    <row r="1296" ht="15.75" customHeight="1">
      <c r="A1296" s="39">
        <v>45867.0</v>
      </c>
      <c r="B1296" s="87"/>
      <c r="C1296" s="31" t="s">
        <v>231</v>
      </c>
      <c r="D1296" s="32" t="s">
        <v>15</v>
      </c>
      <c r="E1296" s="31" t="s">
        <v>1430</v>
      </c>
      <c r="F1296" s="134">
        <v>45863.0</v>
      </c>
      <c r="G1296" s="53">
        <v>2252890.56</v>
      </c>
      <c r="H1296" s="14">
        <f t="shared" si="8"/>
        <v>473107.0176</v>
      </c>
      <c r="I1296" s="22">
        <v>67586.72</v>
      </c>
      <c r="J1296" s="22">
        <v>6758.67</v>
      </c>
      <c r="K1296" s="15">
        <f t="shared" si="4"/>
        <v>2800342.968</v>
      </c>
      <c r="L1296" s="45"/>
      <c r="M1296" s="24">
        <v>45881.0</v>
      </c>
    </row>
    <row r="1297" ht="15.75" customHeight="1">
      <c r="A1297" s="39">
        <v>45867.0</v>
      </c>
      <c r="B1297" s="87"/>
      <c r="C1297" s="31" t="s">
        <v>84</v>
      </c>
      <c r="D1297" s="32" t="s">
        <v>15</v>
      </c>
      <c r="E1297" s="31" t="s">
        <v>1431</v>
      </c>
      <c r="F1297" s="134">
        <v>45863.0</v>
      </c>
      <c r="G1297" s="53">
        <v>2005720.74</v>
      </c>
      <c r="H1297" s="14">
        <f t="shared" si="8"/>
        <v>421201.3554</v>
      </c>
      <c r="I1297" s="22">
        <v>60171.62</v>
      </c>
      <c r="J1297" s="14"/>
      <c r="K1297" s="15">
        <f t="shared" si="4"/>
        <v>2487093.715</v>
      </c>
      <c r="L1297" s="45"/>
      <c r="M1297" s="24">
        <v>45881.0</v>
      </c>
    </row>
    <row r="1298" ht="15.75" customHeight="1">
      <c r="A1298" s="39">
        <v>45867.0</v>
      </c>
      <c r="B1298" s="87"/>
      <c r="C1298" s="31" t="s">
        <v>84</v>
      </c>
      <c r="D1298" s="32" t="s">
        <v>15</v>
      </c>
      <c r="E1298" s="31" t="s">
        <v>1432</v>
      </c>
      <c r="F1298" s="134">
        <v>45863.0</v>
      </c>
      <c r="G1298" s="53">
        <v>1253650.71</v>
      </c>
      <c r="H1298" s="14">
        <f t="shared" si="8"/>
        <v>263266.6491</v>
      </c>
      <c r="I1298" s="22">
        <v>37609.52</v>
      </c>
      <c r="J1298" s="14"/>
      <c r="K1298" s="15">
        <f t="shared" si="4"/>
        <v>1554526.879</v>
      </c>
      <c r="L1298" s="45"/>
      <c r="M1298" s="24">
        <v>45881.0</v>
      </c>
    </row>
    <row r="1299" ht="15.75" customHeight="1">
      <c r="A1299" s="39">
        <v>45867.0</v>
      </c>
      <c r="B1299" s="87"/>
      <c r="C1299" s="31" t="s">
        <v>1285</v>
      </c>
      <c r="D1299" s="32" t="s">
        <v>15</v>
      </c>
      <c r="E1299" s="31" t="s">
        <v>1433</v>
      </c>
      <c r="F1299" s="134">
        <v>45863.0</v>
      </c>
      <c r="G1299" s="53">
        <v>4008790.71</v>
      </c>
      <c r="H1299" s="14">
        <f t="shared" si="8"/>
        <v>841846.0491</v>
      </c>
      <c r="I1299" s="50"/>
      <c r="J1299" s="14"/>
      <c r="K1299" s="15">
        <f t="shared" si="4"/>
        <v>4850636.759</v>
      </c>
      <c r="L1299" s="45"/>
      <c r="M1299" s="24">
        <v>45870.0</v>
      </c>
    </row>
    <row r="1300" ht="15.75" customHeight="1">
      <c r="A1300" s="39">
        <v>45867.0</v>
      </c>
      <c r="B1300" s="87"/>
      <c r="C1300" s="31" t="s">
        <v>159</v>
      </c>
      <c r="D1300" s="32" t="s">
        <v>15</v>
      </c>
      <c r="E1300" s="31" t="s">
        <v>1434</v>
      </c>
      <c r="F1300" s="134">
        <v>45863.0</v>
      </c>
      <c r="G1300" s="53">
        <v>5005280.12</v>
      </c>
      <c r="H1300" s="14">
        <f t="shared" si="8"/>
        <v>1051108.825</v>
      </c>
      <c r="I1300" s="22">
        <v>150158.4</v>
      </c>
      <c r="J1300" s="14"/>
      <c r="K1300" s="15">
        <f t="shared" si="4"/>
        <v>6206547.345</v>
      </c>
      <c r="L1300" s="45"/>
      <c r="M1300" s="24">
        <v>45890.0</v>
      </c>
    </row>
    <row r="1301" ht="15.75" customHeight="1">
      <c r="A1301" s="39">
        <v>45867.0</v>
      </c>
      <c r="B1301" s="87"/>
      <c r="C1301" s="31" t="s">
        <v>497</v>
      </c>
      <c r="D1301" s="32" t="s">
        <v>15</v>
      </c>
      <c r="E1301" s="31" t="s">
        <v>1435</v>
      </c>
      <c r="F1301" s="134">
        <v>45863.0</v>
      </c>
      <c r="G1301" s="53">
        <v>7007980.24</v>
      </c>
      <c r="H1301" s="14">
        <f t="shared" si="8"/>
        <v>1471675.85</v>
      </c>
      <c r="I1301" s="50"/>
      <c r="J1301" s="14"/>
      <c r="K1301" s="15">
        <f t="shared" si="4"/>
        <v>8479656.09</v>
      </c>
      <c r="L1301" s="45"/>
      <c r="M1301" s="24">
        <v>45868.0</v>
      </c>
    </row>
    <row r="1302" ht="15.75" customHeight="1">
      <c r="A1302" s="39">
        <v>45867.0</v>
      </c>
      <c r="B1302" s="87"/>
      <c r="C1302" s="31" t="s">
        <v>1199</v>
      </c>
      <c r="D1302" s="32" t="s">
        <v>15</v>
      </c>
      <c r="E1302" s="31" t="s">
        <v>1436</v>
      </c>
      <c r="F1302" s="134">
        <v>45863.0</v>
      </c>
      <c r="G1302" s="53">
        <v>1.137843012E7</v>
      </c>
      <c r="H1302" s="14">
        <f t="shared" si="8"/>
        <v>2389470.325</v>
      </c>
      <c r="I1302" s="50"/>
      <c r="J1302" s="14"/>
      <c r="K1302" s="15">
        <f t="shared" si="4"/>
        <v>13767900.45</v>
      </c>
      <c r="L1302" s="45"/>
      <c r="M1302" s="24">
        <v>45876.0</v>
      </c>
    </row>
    <row r="1303" ht="15.75" customHeight="1">
      <c r="A1303" s="39">
        <v>45867.0</v>
      </c>
      <c r="B1303" s="87"/>
      <c r="C1303" s="31" t="s">
        <v>1199</v>
      </c>
      <c r="D1303" s="32" t="s">
        <v>15</v>
      </c>
      <c r="E1303" s="31" t="s">
        <v>1437</v>
      </c>
      <c r="F1303" s="134">
        <v>45863.0</v>
      </c>
      <c r="G1303" s="53">
        <v>1.113848036E7</v>
      </c>
      <c r="H1303" s="14">
        <f t="shared" si="8"/>
        <v>2339080.876</v>
      </c>
      <c r="I1303" s="50"/>
      <c r="J1303" s="14"/>
      <c r="K1303" s="15">
        <f t="shared" si="4"/>
        <v>13477561.24</v>
      </c>
      <c r="L1303" s="45"/>
      <c r="M1303" s="24">
        <v>45876.0</v>
      </c>
    </row>
    <row r="1304" ht="15.75" customHeight="1">
      <c r="A1304" s="39">
        <v>45867.0</v>
      </c>
      <c r="B1304" s="87"/>
      <c r="C1304" s="31" t="s">
        <v>1199</v>
      </c>
      <c r="D1304" s="32" t="s">
        <v>15</v>
      </c>
      <c r="E1304" s="31" t="s">
        <v>1438</v>
      </c>
      <c r="F1304" s="134">
        <v>45863.0</v>
      </c>
      <c r="G1304" s="53">
        <v>1.143946012E7</v>
      </c>
      <c r="H1304" s="14">
        <f t="shared" si="8"/>
        <v>2402286.625</v>
      </c>
      <c r="I1304" s="50"/>
      <c r="J1304" s="14"/>
      <c r="K1304" s="15">
        <f t="shared" si="4"/>
        <v>13841746.75</v>
      </c>
      <c r="L1304" s="45"/>
      <c r="M1304" s="24">
        <v>45875.0</v>
      </c>
    </row>
    <row r="1305" ht="15.75" customHeight="1">
      <c r="A1305" s="39">
        <v>45867.0</v>
      </c>
      <c r="B1305" s="87"/>
      <c r="C1305" s="31" t="s">
        <v>1199</v>
      </c>
      <c r="D1305" s="32" t="s">
        <v>15</v>
      </c>
      <c r="E1305" s="31" t="s">
        <v>1439</v>
      </c>
      <c r="F1305" s="134">
        <v>45863.0</v>
      </c>
      <c r="G1305" s="53">
        <v>1.106679016E7</v>
      </c>
      <c r="H1305" s="14">
        <f t="shared" si="8"/>
        <v>2324025.934</v>
      </c>
      <c r="I1305" s="50"/>
      <c r="J1305" s="14"/>
      <c r="K1305" s="15">
        <f t="shared" si="4"/>
        <v>13390816.09</v>
      </c>
      <c r="L1305" s="45"/>
      <c r="M1305" s="24">
        <v>45875.0</v>
      </c>
    </row>
    <row r="1306" ht="15.75" customHeight="1">
      <c r="A1306" s="55">
        <v>45868.0</v>
      </c>
      <c r="B1306" s="64"/>
      <c r="C1306" s="141" t="s">
        <v>969</v>
      </c>
      <c r="D1306" s="58" t="s">
        <v>284</v>
      </c>
      <c r="E1306" s="58" t="s">
        <v>1440</v>
      </c>
      <c r="F1306" s="137">
        <v>45863.0</v>
      </c>
      <c r="G1306" s="65">
        <v>6000374.03</v>
      </c>
      <c r="H1306" s="9">
        <f t="shared" si="8"/>
        <v>1260078.546</v>
      </c>
      <c r="I1306" s="56"/>
      <c r="J1306" s="60"/>
      <c r="K1306" s="10">
        <f t="shared" si="4"/>
        <v>7260452.576</v>
      </c>
      <c r="L1306" s="61"/>
      <c r="M1306" s="62"/>
    </row>
    <row r="1307" ht="15.75" customHeight="1">
      <c r="A1307" s="39">
        <v>45869.0</v>
      </c>
      <c r="B1307" s="87"/>
      <c r="C1307" s="31" t="s">
        <v>1179</v>
      </c>
      <c r="D1307" s="32" t="s">
        <v>15</v>
      </c>
      <c r="E1307" s="31" t="s">
        <v>1441</v>
      </c>
      <c r="F1307" s="134">
        <v>45863.0</v>
      </c>
      <c r="G1307" s="53">
        <v>5009460.16</v>
      </c>
      <c r="H1307" s="14">
        <f t="shared" si="8"/>
        <v>1051986.634</v>
      </c>
      <c r="I1307" s="50"/>
      <c r="J1307" s="22">
        <v>75141.9</v>
      </c>
      <c r="K1307" s="15">
        <f t="shared" si="4"/>
        <v>6136588.694</v>
      </c>
      <c r="L1307" s="45"/>
      <c r="M1307" s="6"/>
    </row>
    <row r="1308" ht="15.75" customHeight="1">
      <c r="A1308" s="39">
        <v>45869.0</v>
      </c>
      <c r="B1308" s="87"/>
      <c r="C1308" s="31" t="s">
        <v>423</v>
      </c>
      <c r="D1308" s="32" t="s">
        <v>15</v>
      </c>
      <c r="E1308" s="31" t="s">
        <v>1442</v>
      </c>
      <c r="F1308" s="134">
        <v>45863.0</v>
      </c>
      <c r="G1308" s="53">
        <v>1014114.1</v>
      </c>
      <c r="H1308" s="14">
        <f t="shared" si="8"/>
        <v>212963.961</v>
      </c>
      <c r="I1308" s="22">
        <v>30423.42</v>
      </c>
      <c r="J1308" s="14"/>
      <c r="K1308" s="15">
        <f t="shared" si="4"/>
        <v>1257501.481</v>
      </c>
      <c r="L1308" s="45"/>
      <c r="M1308" s="24">
        <v>45869.0</v>
      </c>
    </row>
    <row r="1309" ht="15.75" customHeight="1">
      <c r="A1309" s="39">
        <v>45869.0</v>
      </c>
      <c r="B1309" s="87"/>
      <c r="C1309" s="31" t="s">
        <v>423</v>
      </c>
      <c r="D1309" s="32" t="s">
        <v>15</v>
      </c>
      <c r="E1309" s="32" t="s">
        <v>1443</v>
      </c>
      <c r="F1309" s="134">
        <v>45863.0</v>
      </c>
      <c r="G1309" s="53">
        <v>1139141.31</v>
      </c>
      <c r="H1309" s="14">
        <f t="shared" si="8"/>
        <v>239219.6751</v>
      </c>
      <c r="I1309" s="22">
        <v>34174.24</v>
      </c>
      <c r="J1309" s="14"/>
      <c r="K1309" s="15">
        <f t="shared" si="4"/>
        <v>1412535.225</v>
      </c>
      <c r="L1309" s="45"/>
      <c r="M1309" s="24">
        <v>45869.0</v>
      </c>
    </row>
    <row r="1310" ht="15.75" customHeight="1">
      <c r="A1310" s="39">
        <v>45869.0</v>
      </c>
      <c r="B1310" s="87"/>
      <c r="C1310" s="31" t="s">
        <v>423</v>
      </c>
      <c r="D1310" s="32" t="s">
        <v>15</v>
      </c>
      <c r="E1310" s="31" t="s">
        <v>1444</v>
      </c>
      <c r="F1310" s="134">
        <v>45863.0</v>
      </c>
      <c r="G1310" s="53">
        <v>926792.48</v>
      </c>
      <c r="H1310" s="14">
        <f t="shared" si="8"/>
        <v>194626.4208</v>
      </c>
      <c r="I1310" s="22">
        <v>27803.77</v>
      </c>
      <c r="J1310" s="14"/>
      <c r="K1310" s="15">
        <f t="shared" si="4"/>
        <v>1149222.671</v>
      </c>
      <c r="L1310" s="45"/>
      <c r="M1310" s="24">
        <v>45869.0</v>
      </c>
    </row>
    <row r="1311" ht="15.75" customHeight="1">
      <c r="A1311" s="39">
        <v>45869.0</v>
      </c>
      <c r="B1311" s="87"/>
      <c r="C1311" s="31" t="s">
        <v>423</v>
      </c>
      <c r="D1311" s="32" t="s">
        <v>15</v>
      </c>
      <c r="E1311" s="31" t="s">
        <v>1445</v>
      </c>
      <c r="F1311" s="134">
        <v>45863.0</v>
      </c>
      <c r="G1311" s="53">
        <v>874483.62</v>
      </c>
      <c r="H1311" s="14">
        <f t="shared" si="8"/>
        <v>183641.5602</v>
      </c>
      <c r="I1311" s="22">
        <v>26234.51</v>
      </c>
      <c r="J1311" s="14"/>
      <c r="K1311" s="15">
        <f t="shared" si="4"/>
        <v>1084359.69</v>
      </c>
      <c r="L1311" s="45"/>
      <c r="M1311" s="24">
        <v>45869.0</v>
      </c>
    </row>
    <row r="1312" ht="15.75" customHeight="1">
      <c r="A1312" s="39">
        <v>45869.0</v>
      </c>
      <c r="B1312" s="87"/>
      <c r="C1312" s="31" t="s">
        <v>423</v>
      </c>
      <c r="D1312" s="32" t="s">
        <v>15</v>
      </c>
      <c r="E1312" s="31" t="s">
        <v>1446</v>
      </c>
      <c r="F1312" s="134">
        <v>45863.0</v>
      </c>
      <c r="G1312" s="53">
        <v>773709.04</v>
      </c>
      <c r="H1312" s="14">
        <f t="shared" si="8"/>
        <v>162478.8984</v>
      </c>
      <c r="I1312" s="22">
        <v>23211.27</v>
      </c>
      <c r="J1312" s="14"/>
      <c r="K1312" s="15">
        <f t="shared" si="4"/>
        <v>959399.2084</v>
      </c>
      <c r="L1312" s="45"/>
      <c r="M1312" s="24">
        <v>45869.0</v>
      </c>
    </row>
    <row r="1313" ht="15.75" customHeight="1">
      <c r="A1313" s="39">
        <v>45869.0</v>
      </c>
      <c r="B1313" s="87"/>
      <c r="C1313" s="31" t="s">
        <v>423</v>
      </c>
      <c r="D1313" s="32" t="s">
        <v>15</v>
      </c>
      <c r="E1313" s="31" t="s">
        <v>1447</v>
      </c>
      <c r="F1313" s="134">
        <v>45863.0</v>
      </c>
      <c r="G1313" s="53">
        <v>280864.28</v>
      </c>
      <c r="H1313" s="14">
        <f t="shared" si="8"/>
        <v>58981.4988</v>
      </c>
      <c r="I1313" s="22">
        <v>8425.93</v>
      </c>
      <c r="J1313" s="14"/>
      <c r="K1313" s="15">
        <f t="shared" si="4"/>
        <v>348271.7088</v>
      </c>
      <c r="L1313" s="45"/>
      <c r="M1313" s="24">
        <v>45869.0</v>
      </c>
    </row>
    <row r="1314" ht="15.75" customHeight="1">
      <c r="A1314" s="55">
        <v>45869.0</v>
      </c>
      <c r="B1314" s="64"/>
      <c r="C1314" s="58" t="s">
        <v>1448</v>
      </c>
      <c r="D1314" s="58" t="s">
        <v>284</v>
      </c>
      <c r="E1314" s="58" t="s">
        <v>1449</v>
      </c>
      <c r="F1314" s="137">
        <v>45863.0</v>
      </c>
      <c r="G1314" s="65">
        <v>1.001729971E7</v>
      </c>
      <c r="H1314" s="9">
        <f t="shared" si="8"/>
        <v>2103632.939</v>
      </c>
      <c r="I1314" s="56"/>
      <c r="J1314" s="60"/>
      <c r="K1314" s="10">
        <f t="shared" si="4"/>
        <v>12120932.65</v>
      </c>
      <c r="L1314" s="61"/>
      <c r="M1314" s="62"/>
    </row>
    <row r="1315" ht="15.75" customHeight="1">
      <c r="A1315" s="55">
        <v>45869.0</v>
      </c>
      <c r="B1315" s="64"/>
      <c r="C1315" s="58" t="s">
        <v>1450</v>
      </c>
      <c r="D1315" s="58" t="s">
        <v>284</v>
      </c>
      <c r="E1315" s="58" t="s">
        <v>1451</v>
      </c>
      <c r="F1315" s="137">
        <v>45863.0</v>
      </c>
      <c r="G1315" s="65">
        <v>1.001432997E7</v>
      </c>
      <c r="H1315" s="9">
        <f t="shared" si="8"/>
        <v>2103009.294</v>
      </c>
      <c r="I1315" s="56"/>
      <c r="J1315" s="60"/>
      <c r="K1315" s="10">
        <f t="shared" si="4"/>
        <v>12117339.26</v>
      </c>
      <c r="L1315" s="61"/>
      <c r="M1315" s="62"/>
    </row>
    <row r="1316" ht="15.75" customHeight="1">
      <c r="A1316" s="55">
        <v>45869.0</v>
      </c>
      <c r="B1316" s="64"/>
      <c r="C1316" s="58" t="s">
        <v>1452</v>
      </c>
      <c r="D1316" s="58" t="s">
        <v>284</v>
      </c>
      <c r="E1316" s="58" t="s">
        <v>1453</v>
      </c>
      <c r="F1316" s="137">
        <v>45863.0</v>
      </c>
      <c r="G1316" s="65">
        <v>1.501636043E7</v>
      </c>
      <c r="H1316" s="9">
        <f t="shared" si="8"/>
        <v>3153435.69</v>
      </c>
      <c r="I1316" s="56"/>
      <c r="J1316" s="60"/>
      <c r="K1316" s="10">
        <f t="shared" si="4"/>
        <v>18169796.12</v>
      </c>
      <c r="L1316" s="61"/>
      <c r="M1316" s="62"/>
    </row>
    <row r="1317" ht="15.75" customHeight="1">
      <c r="A1317" s="55">
        <v>45869.0</v>
      </c>
      <c r="B1317" s="64"/>
      <c r="C1317" s="141" t="s">
        <v>969</v>
      </c>
      <c r="D1317" s="58" t="s">
        <v>1454</v>
      </c>
      <c r="E1317" s="58" t="s">
        <v>1455</v>
      </c>
      <c r="F1317" s="137">
        <v>45863.0</v>
      </c>
      <c r="G1317" s="65">
        <v>1.716E7</v>
      </c>
      <c r="H1317" s="9">
        <f t="shared" si="8"/>
        <v>3603600</v>
      </c>
      <c r="I1317" s="56"/>
      <c r="J1317" s="60"/>
      <c r="K1317" s="10">
        <f t="shared" si="4"/>
        <v>20763600</v>
      </c>
      <c r="L1317" s="61"/>
      <c r="M1317" s="62"/>
    </row>
    <row r="1318" ht="15.75" customHeight="1">
      <c r="A1318" s="55">
        <v>45869.0</v>
      </c>
      <c r="B1318" s="64"/>
      <c r="C1318" s="141" t="s">
        <v>969</v>
      </c>
      <c r="D1318" s="58" t="s">
        <v>1456</v>
      </c>
      <c r="E1318" s="58" t="s">
        <v>1457</v>
      </c>
      <c r="F1318" s="137">
        <v>45863.0</v>
      </c>
      <c r="G1318" s="65">
        <v>1.624E7</v>
      </c>
      <c r="H1318" s="9">
        <f t="shared" si="8"/>
        <v>3410400</v>
      </c>
      <c r="I1318" s="56"/>
      <c r="J1318" s="60"/>
      <c r="K1318" s="10">
        <f t="shared" si="4"/>
        <v>19650400</v>
      </c>
      <c r="L1318" s="61"/>
      <c r="M1318" s="62"/>
    </row>
    <row r="1319" ht="15.75" customHeight="1">
      <c r="A1319" s="55">
        <v>45869.0</v>
      </c>
      <c r="B1319" s="64"/>
      <c r="C1319" s="141" t="s">
        <v>969</v>
      </c>
      <c r="D1319" s="58" t="s">
        <v>1458</v>
      </c>
      <c r="E1319" s="58" t="s">
        <v>1459</v>
      </c>
      <c r="F1319" s="137">
        <v>45863.0</v>
      </c>
      <c r="G1319" s="65">
        <v>2.17E7</v>
      </c>
      <c r="H1319" s="9">
        <f t="shared" si="8"/>
        <v>4557000</v>
      </c>
      <c r="I1319" s="56"/>
      <c r="J1319" s="60"/>
      <c r="K1319" s="10">
        <f t="shared" si="4"/>
        <v>26257000</v>
      </c>
      <c r="L1319" s="61"/>
      <c r="M1319" s="62"/>
    </row>
    <row r="1320" ht="15.75" customHeight="1">
      <c r="A1320" s="55">
        <v>45869.0</v>
      </c>
      <c r="B1320" s="64"/>
      <c r="C1320" s="57" t="s">
        <v>1460</v>
      </c>
      <c r="D1320" s="57" t="s">
        <v>1021</v>
      </c>
      <c r="E1320" s="58" t="s">
        <v>1461</v>
      </c>
      <c r="F1320" s="137">
        <v>45863.0</v>
      </c>
      <c r="G1320" s="65">
        <v>1.7234966E7</v>
      </c>
      <c r="H1320" s="9">
        <f t="shared" si="8"/>
        <v>3619342.86</v>
      </c>
      <c r="I1320" s="56"/>
      <c r="J1320" s="60"/>
      <c r="K1320" s="10">
        <f t="shared" si="4"/>
        <v>20854308.86</v>
      </c>
      <c r="L1320" s="61"/>
      <c r="M1320" s="62"/>
    </row>
    <row r="1321" ht="15.75" customHeight="1">
      <c r="A1321" s="55">
        <v>45869.0</v>
      </c>
      <c r="B1321" s="64"/>
      <c r="C1321" s="57" t="s">
        <v>1460</v>
      </c>
      <c r="D1321" s="57" t="s">
        <v>1021</v>
      </c>
      <c r="E1321" s="58" t="s">
        <v>1462</v>
      </c>
      <c r="F1321" s="137">
        <v>45863.0</v>
      </c>
      <c r="G1321" s="65">
        <v>2.2049655E7</v>
      </c>
      <c r="H1321" s="9">
        <f t="shared" si="8"/>
        <v>4630427.55</v>
      </c>
      <c r="I1321" s="56"/>
      <c r="J1321" s="60"/>
      <c r="K1321" s="10">
        <f t="shared" si="4"/>
        <v>26680082.55</v>
      </c>
      <c r="L1321" s="61"/>
      <c r="M1321" s="62"/>
    </row>
    <row r="1322" ht="15.75" customHeight="1">
      <c r="A1322" s="55">
        <v>45869.0</v>
      </c>
      <c r="B1322" s="64"/>
      <c r="C1322" s="57" t="s">
        <v>1460</v>
      </c>
      <c r="D1322" s="57" t="s">
        <v>1021</v>
      </c>
      <c r="E1322" s="58" t="s">
        <v>1463</v>
      </c>
      <c r="F1322" s="137">
        <v>45863.0</v>
      </c>
      <c r="G1322" s="65">
        <v>2.0544365E7</v>
      </c>
      <c r="H1322" s="9">
        <f t="shared" si="8"/>
        <v>4314316.65</v>
      </c>
      <c r="I1322" s="56"/>
      <c r="J1322" s="60"/>
      <c r="K1322" s="10">
        <f t="shared" si="4"/>
        <v>24858681.65</v>
      </c>
      <c r="L1322" s="61"/>
      <c r="M1322" s="62"/>
    </row>
    <row r="1323" ht="15.75" customHeight="1">
      <c r="A1323" s="55">
        <v>45869.0</v>
      </c>
      <c r="B1323" s="64"/>
      <c r="C1323" s="57" t="s">
        <v>1460</v>
      </c>
      <c r="D1323" s="58" t="s">
        <v>284</v>
      </c>
      <c r="E1323" s="58" t="s">
        <v>1464</v>
      </c>
      <c r="F1323" s="137">
        <v>45863.0</v>
      </c>
      <c r="G1323" s="65">
        <v>5.001647201E7</v>
      </c>
      <c r="H1323" s="9">
        <f t="shared" si="8"/>
        <v>10503459.12</v>
      </c>
      <c r="I1323" s="56"/>
      <c r="J1323" s="60"/>
      <c r="K1323" s="10">
        <f t="shared" si="4"/>
        <v>60519931.13</v>
      </c>
      <c r="L1323" s="61"/>
      <c r="M1323" s="62"/>
    </row>
    <row r="1324" ht="15.75" customHeight="1">
      <c r="A1324" s="55">
        <v>45869.0</v>
      </c>
      <c r="B1324" s="64"/>
      <c r="C1324" s="58" t="s">
        <v>1465</v>
      </c>
      <c r="D1324" s="58" t="s">
        <v>284</v>
      </c>
      <c r="E1324" s="58" t="s">
        <v>1466</v>
      </c>
      <c r="F1324" s="137">
        <v>45863.0</v>
      </c>
      <c r="G1324" s="65">
        <v>2.001120716E7</v>
      </c>
      <c r="H1324" s="9">
        <f t="shared" si="8"/>
        <v>4202353.504</v>
      </c>
      <c r="I1324" s="56"/>
      <c r="J1324" s="60"/>
      <c r="K1324" s="10">
        <f t="shared" si="4"/>
        <v>24213560.66</v>
      </c>
      <c r="L1324" s="61"/>
      <c r="M1324" s="62"/>
    </row>
    <row r="1325" ht="15.75" customHeight="1">
      <c r="A1325" s="55">
        <v>45869.0</v>
      </c>
      <c r="B1325" s="64"/>
      <c r="C1325" s="57" t="s">
        <v>1460</v>
      </c>
      <c r="D1325" s="58" t="s">
        <v>1005</v>
      </c>
      <c r="E1325" s="58" t="s">
        <v>1467</v>
      </c>
      <c r="F1325" s="137">
        <v>45863.0</v>
      </c>
      <c r="G1325" s="65">
        <v>3.000354027E7</v>
      </c>
      <c r="H1325" s="9">
        <f t="shared" si="8"/>
        <v>6300743.457</v>
      </c>
      <c r="I1325" s="56"/>
      <c r="J1325" s="60"/>
      <c r="K1325" s="10">
        <f t="shared" si="4"/>
        <v>36304283.73</v>
      </c>
      <c r="L1325" s="61"/>
      <c r="M1325" s="62"/>
    </row>
    <row r="1326" ht="15.75" customHeight="1">
      <c r="A1326" s="39">
        <v>45870.0</v>
      </c>
      <c r="B1326" s="87"/>
      <c r="C1326" s="31" t="s">
        <v>1112</v>
      </c>
      <c r="D1326" s="32" t="s">
        <v>15</v>
      </c>
      <c r="E1326" s="31" t="s">
        <v>1468</v>
      </c>
      <c r="F1326" s="107" t="s">
        <v>139</v>
      </c>
      <c r="G1326" s="53">
        <v>9974360.15</v>
      </c>
      <c r="H1326" s="14">
        <f t="shared" si="8"/>
        <v>2094615.632</v>
      </c>
      <c r="I1326" s="22">
        <v>299230.8</v>
      </c>
      <c r="J1326" s="14"/>
      <c r="K1326" s="15">
        <f t="shared" si="4"/>
        <v>12368206.58</v>
      </c>
      <c r="L1326" s="45"/>
      <c r="M1326" s="24">
        <v>45870.0</v>
      </c>
    </row>
    <row r="1327" ht="15.75" customHeight="1">
      <c r="A1327" s="39">
        <v>45870.0</v>
      </c>
      <c r="B1327" s="87"/>
      <c r="C1327" s="31" t="s">
        <v>1112</v>
      </c>
      <c r="D1327" s="32" t="s">
        <v>15</v>
      </c>
      <c r="E1327" s="31" t="s">
        <v>1469</v>
      </c>
      <c r="F1327" s="107" t="s">
        <v>139</v>
      </c>
      <c r="G1327" s="53">
        <v>9893650.16</v>
      </c>
      <c r="H1327" s="14">
        <f t="shared" si="8"/>
        <v>2077666.534</v>
      </c>
      <c r="I1327" s="22">
        <v>296809.5</v>
      </c>
      <c r="J1327" s="14"/>
      <c r="K1327" s="15">
        <f t="shared" si="4"/>
        <v>12268126.19</v>
      </c>
      <c r="L1327" s="45"/>
      <c r="M1327" s="24">
        <v>45870.0</v>
      </c>
    </row>
    <row r="1328" ht="15.75" customHeight="1">
      <c r="A1328" s="39">
        <v>45870.0</v>
      </c>
      <c r="B1328" s="87"/>
      <c r="C1328" s="31" t="s">
        <v>1112</v>
      </c>
      <c r="D1328" s="32" t="s">
        <v>15</v>
      </c>
      <c r="E1328" s="31" t="s">
        <v>1470</v>
      </c>
      <c r="F1328" s="107" t="s">
        <v>139</v>
      </c>
      <c r="G1328" s="53">
        <v>1.487438014E7</v>
      </c>
      <c r="H1328" s="14">
        <f t="shared" si="8"/>
        <v>3123619.829</v>
      </c>
      <c r="I1328" s="50"/>
      <c r="J1328" s="14"/>
      <c r="K1328" s="15">
        <f t="shared" si="4"/>
        <v>17997999.97</v>
      </c>
      <c r="L1328" s="45"/>
      <c r="M1328" s="24">
        <v>45870.0</v>
      </c>
    </row>
    <row r="1329" ht="15.75" customHeight="1">
      <c r="A1329" s="39">
        <v>45870.0</v>
      </c>
      <c r="B1329" s="87"/>
      <c r="C1329" s="31" t="s">
        <v>1112</v>
      </c>
      <c r="D1329" s="32" t="s">
        <v>15</v>
      </c>
      <c r="E1329" s="31" t="s">
        <v>1471</v>
      </c>
      <c r="F1329" s="107" t="s">
        <v>139</v>
      </c>
      <c r="G1329" s="53">
        <v>1.512957024E7</v>
      </c>
      <c r="H1329" s="14">
        <f t="shared" si="8"/>
        <v>3177209.75</v>
      </c>
      <c r="I1329" s="50"/>
      <c r="J1329" s="14"/>
      <c r="K1329" s="15">
        <f t="shared" si="4"/>
        <v>18306779.99</v>
      </c>
      <c r="L1329" s="45"/>
      <c r="M1329" s="24">
        <v>45870.0</v>
      </c>
    </row>
    <row r="1330" ht="15.75" customHeight="1">
      <c r="A1330" s="39">
        <v>45870.0</v>
      </c>
      <c r="B1330" s="87"/>
      <c r="C1330" s="31" t="s">
        <v>1112</v>
      </c>
      <c r="D1330" s="32" t="s">
        <v>15</v>
      </c>
      <c r="E1330" s="32" t="s">
        <v>1472</v>
      </c>
      <c r="F1330" s="107" t="s">
        <v>139</v>
      </c>
      <c r="G1330" s="53">
        <v>1.013696063E7</v>
      </c>
      <c r="H1330" s="14">
        <f t="shared" si="8"/>
        <v>2128761.732</v>
      </c>
      <c r="I1330" s="22">
        <v>304108.82</v>
      </c>
      <c r="J1330" s="14"/>
      <c r="K1330" s="15">
        <f t="shared" si="4"/>
        <v>12569831.18</v>
      </c>
      <c r="L1330" s="45"/>
      <c r="M1330" s="24">
        <v>45870.0</v>
      </c>
    </row>
    <row r="1331" ht="15.75" customHeight="1">
      <c r="A1331" s="55">
        <v>45873.0</v>
      </c>
      <c r="B1331" s="64"/>
      <c r="C1331" s="58" t="s">
        <v>1473</v>
      </c>
      <c r="D1331" s="58" t="s">
        <v>1244</v>
      </c>
      <c r="E1331" s="58" t="s">
        <v>1474</v>
      </c>
      <c r="F1331" s="137">
        <v>45863.0</v>
      </c>
      <c r="G1331" s="65">
        <v>1.869502911E7</v>
      </c>
      <c r="H1331" s="9">
        <f t="shared" si="8"/>
        <v>3925956.113</v>
      </c>
      <c r="I1331" s="56"/>
      <c r="J1331" s="60"/>
      <c r="K1331" s="10">
        <f t="shared" si="4"/>
        <v>22620985.22</v>
      </c>
      <c r="L1331" s="61"/>
      <c r="M1331" s="62"/>
    </row>
    <row r="1332" ht="15.75" customHeight="1">
      <c r="A1332" s="55">
        <v>45873.0</v>
      </c>
      <c r="B1332" s="64"/>
      <c r="C1332" s="58" t="s">
        <v>1475</v>
      </c>
      <c r="D1332" s="58" t="s">
        <v>1244</v>
      </c>
      <c r="E1332" s="58" t="s">
        <v>1476</v>
      </c>
      <c r="F1332" s="137">
        <v>45863.0</v>
      </c>
      <c r="G1332" s="65">
        <v>3.019638263E7</v>
      </c>
      <c r="H1332" s="9">
        <f t="shared" si="8"/>
        <v>6341240.352</v>
      </c>
      <c r="I1332" s="56"/>
      <c r="J1332" s="60"/>
      <c r="K1332" s="10">
        <f t="shared" si="4"/>
        <v>36537622.98</v>
      </c>
      <c r="L1332" s="61"/>
      <c r="M1332" s="62"/>
    </row>
    <row r="1333" ht="15.75" customHeight="1">
      <c r="A1333" s="55">
        <v>45873.0</v>
      </c>
      <c r="B1333" s="64"/>
      <c r="C1333" s="58" t="s">
        <v>1477</v>
      </c>
      <c r="D1333" s="58" t="s">
        <v>1244</v>
      </c>
      <c r="E1333" s="58" t="s">
        <v>1478</v>
      </c>
      <c r="F1333" s="137">
        <v>45863.0</v>
      </c>
      <c r="G1333" s="65">
        <v>8006192.69</v>
      </c>
      <c r="H1333" s="9">
        <f t="shared" si="8"/>
        <v>1681300.465</v>
      </c>
      <c r="I1333" s="56"/>
      <c r="J1333" s="60"/>
      <c r="K1333" s="10">
        <f t="shared" si="4"/>
        <v>9687493.155</v>
      </c>
      <c r="L1333" s="61"/>
      <c r="M1333" s="62"/>
    </row>
    <row r="1334" ht="15.75" customHeight="1">
      <c r="A1334" s="55">
        <v>45873.0</v>
      </c>
      <c r="B1334" s="64"/>
      <c r="C1334" s="58" t="s">
        <v>1475</v>
      </c>
      <c r="D1334" s="58" t="s">
        <v>1244</v>
      </c>
      <c r="E1334" s="58" t="s">
        <v>1479</v>
      </c>
      <c r="F1334" s="137">
        <v>45863.0</v>
      </c>
      <c r="G1334" s="65">
        <v>2.016386065E7</v>
      </c>
      <c r="H1334" s="9">
        <f t="shared" si="8"/>
        <v>4234410.737</v>
      </c>
      <c r="I1334" s="56"/>
      <c r="J1334" s="60"/>
      <c r="K1334" s="10">
        <f t="shared" si="4"/>
        <v>24398271.39</v>
      </c>
      <c r="L1334" s="61"/>
      <c r="M1334" s="62"/>
    </row>
    <row r="1335" ht="15.75" customHeight="1">
      <c r="A1335" s="55">
        <v>45873.0</v>
      </c>
      <c r="B1335" s="64"/>
      <c r="C1335" s="58" t="s">
        <v>1480</v>
      </c>
      <c r="D1335" s="58" t="s">
        <v>1244</v>
      </c>
      <c r="E1335" s="58" t="s">
        <v>1481</v>
      </c>
      <c r="F1335" s="137">
        <v>45863.0</v>
      </c>
      <c r="G1335" s="65">
        <v>2.324326928E7</v>
      </c>
      <c r="H1335" s="9">
        <f t="shared" si="8"/>
        <v>4881086.549</v>
      </c>
      <c r="I1335" s="56"/>
      <c r="J1335" s="60"/>
      <c r="K1335" s="10">
        <f t="shared" si="4"/>
        <v>28124355.83</v>
      </c>
      <c r="L1335" s="61"/>
      <c r="M1335" s="62"/>
    </row>
    <row r="1336" ht="15.75" customHeight="1">
      <c r="A1336" s="55">
        <v>45873.0</v>
      </c>
      <c r="B1336" s="64"/>
      <c r="C1336" s="58" t="s">
        <v>1482</v>
      </c>
      <c r="D1336" s="58" t="s">
        <v>1244</v>
      </c>
      <c r="E1336" s="58" t="s">
        <v>1483</v>
      </c>
      <c r="F1336" s="137">
        <v>45863.0</v>
      </c>
      <c r="G1336" s="65">
        <v>2.573574383E7</v>
      </c>
      <c r="H1336" s="9">
        <f t="shared" si="8"/>
        <v>5404506.204</v>
      </c>
      <c r="I1336" s="56"/>
      <c r="J1336" s="60"/>
      <c r="K1336" s="10">
        <f t="shared" si="4"/>
        <v>31140250.03</v>
      </c>
      <c r="L1336" s="61"/>
      <c r="M1336" s="62"/>
    </row>
    <row r="1337" ht="15.75" customHeight="1">
      <c r="A1337" s="55">
        <v>45874.0</v>
      </c>
      <c r="B1337" s="64"/>
      <c r="C1337" s="57" t="s">
        <v>1484</v>
      </c>
      <c r="D1337" s="58" t="s">
        <v>1414</v>
      </c>
      <c r="E1337" s="58" t="s">
        <v>1485</v>
      </c>
      <c r="F1337" s="137">
        <v>45863.0</v>
      </c>
      <c r="G1337" s="65">
        <f>5160000+4026400</f>
        <v>9186400</v>
      </c>
      <c r="H1337" s="29">
        <v>845544.0</v>
      </c>
      <c r="I1337" s="56"/>
      <c r="J1337" s="60"/>
      <c r="K1337" s="10">
        <f t="shared" si="4"/>
        <v>10031944</v>
      </c>
      <c r="L1337" s="61"/>
      <c r="M1337" s="62"/>
    </row>
    <row r="1338" ht="15.75" customHeight="1">
      <c r="A1338" s="55">
        <v>45874.0</v>
      </c>
      <c r="B1338" s="64"/>
      <c r="C1338" s="57" t="s">
        <v>1486</v>
      </c>
      <c r="D1338" s="58" t="s">
        <v>1414</v>
      </c>
      <c r="E1338" s="58" t="s">
        <v>1487</v>
      </c>
      <c r="F1338" s="137">
        <v>45863.0</v>
      </c>
      <c r="G1338" s="65">
        <f>20019096/1.21</f>
        <v>16544707.44</v>
      </c>
      <c r="H1338" s="9">
        <f t="shared" ref="H1338:H3036" si="9">G1338*0.21</f>
        <v>3474388.562</v>
      </c>
      <c r="I1338" s="56"/>
      <c r="J1338" s="60"/>
      <c r="K1338" s="10">
        <f t="shared" si="4"/>
        <v>20019096</v>
      </c>
      <c r="L1338" s="61"/>
      <c r="M1338" s="62"/>
    </row>
    <row r="1339" ht="15.75" customHeight="1">
      <c r="A1339" s="55">
        <v>45874.0</v>
      </c>
      <c r="B1339" s="64"/>
      <c r="C1339" s="57" t="s">
        <v>1452</v>
      </c>
      <c r="D1339" s="58" t="s">
        <v>1414</v>
      </c>
      <c r="E1339" s="58" t="s">
        <v>1488</v>
      </c>
      <c r="F1339" s="137">
        <v>45863.0</v>
      </c>
      <c r="G1339" s="65">
        <f>20004500/1.21</f>
        <v>16532644.63</v>
      </c>
      <c r="H1339" s="9">
        <f t="shared" si="9"/>
        <v>3471855.372</v>
      </c>
      <c r="I1339" s="56"/>
      <c r="J1339" s="60"/>
      <c r="K1339" s="10">
        <f t="shared" si="4"/>
        <v>20004500</v>
      </c>
      <c r="L1339" s="61"/>
      <c r="M1339" s="62"/>
    </row>
    <row r="1340" ht="15.75" customHeight="1">
      <c r="A1340" s="39">
        <v>45874.0</v>
      </c>
      <c r="B1340" s="87"/>
      <c r="C1340" s="31" t="s">
        <v>541</v>
      </c>
      <c r="D1340" s="32" t="s">
        <v>15</v>
      </c>
      <c r="E1340" s="31" t="s">
        <v>1489</v>
      </c>
      <c r="F1340" s="32" t="s">
        <v>139</v>
      </c>
      <c r="G1340" s="53">
        <v>1.150979012E7</v>
      </c>
      <c r="H1340" s="14">
        <f t="shared" si="9"/>
        <v>2417055.925</v>
      </c>
      <c r="I1340" s="50"/>
      <c r="J1340" s="14"/>
      <c r="K1340" s="15">
        <f t="shared" si="4"/>
        <v>13926846.05</v>
      </c>
      <c r="L1340" s="45"/>
      <c r="M1340" s="24">
        <v>45877.0</v>
      </c>
    </row>
    <row r="1341" ht="15.75" customHeight="1">
      <c r="A1341" s="39">
        <v>45874.0</v>
      </c>
      <c r="B1341" s="87"/>
      <c r="C1341" s="31" t="s">
        <v>527</v>
      </c>
      <c r="D1341" s="32" t="s">
        <v>15</v>
      </c>
      <c r="E1341" s="31" t="s">
        <v>1490</v>
      </c>
      <c r="F1341" s="32" t="s">
        <v>139</v>
      </c>
      <c r="G1341" s="53">
        <v>9509530.26</v>
      </c>
      <c r="H1341" s="14">
        <f t="shared" si="9"/>
        <v>1997001.355</v>
      </c>
      <c r="I1341" s="22">
        <v>285285.91</v>
      </c>
      <c r="J1341" s="14"/>
      <c r="K1341" s="15">
        <f t="shared" si="4"/>
        <v>11791817.52</v>
      </c>
      <c r="L1341" s="45"/>
      <c r="M1341" s="6"/>
    </row>
    <row r="1342" ht="15.75" customHeight="1">
      <c r="A1342" s="39">
        <v>45874.0</v>
      </c>
      <c r="B1342" s="87"/>
      <c r="C1342" s="32" t="s">
        <v>53</v>
      </c>
      <c r="D1342" s="32" t="s">
        <v>15</v>
      </c>
      <c r="E1342" s="31" t="s">
        <v>1491</v>
      </c>
      <c r="F1342" s="32" t="s">
        <v>139</v>
      </c>
      <c r="G1342" s="53">
        <v>2542454.55</v>
      </c>
      <c r="H1342" s="14">
        <f t="shared" si="9"/>
        <v>533915.4555</v>
      </c>
      <c r="I1342" s="50"/>
      <c r="J1342" s="14"/>
      <c r="K1342" s="15">
        <f t="shared" si="4"/>
        <v>3076370.006</v>
      </c>
      <c r="L1342" s="45"/>
      <c r="M1342" s="6"/>
    </row>
    <row r="1343" ht="15.75" customHeight="1">
      <c r="A1343" s="39">
        <v>45874.0</v>
      </c>
      <c r="B1343" s="87"/>
      <c r="C1343" s="31" t="s">
        <v>64</v>
      </c>
      <c r="D1343" s="32" t="s">
        <v>99</v>
      </c>
      <c r="E1343" s="31" t="s">
        <v>1492</v>
      </c>
      <c r="F1343" s="32" t="s">
        <v>139</v>
      </c>
      <c r="G1343" s="53">
        <v>9511830.15</v>
      </c>
      <c r="H1343" s="14">
        <f t="shared" si="9"/>
        <v>1997484.332</v>
      </c>
      <c r="I1343" s="22">
        <v>285354.9</v>
      </c>
      <c r="J1343" s="14"/>
      <c r="K1343" s="15">
        <f t="shared" si="4"/>
        <v>11794669.38</v>
      </c>
      <c r="L1343" s="45"/>
      <c r="M1343" s="24">
        <v>45877.0</v>
      </c>
    </row>
    <row r="1344" ht="15.75" customHeight="1">
      <c r="A1344" s="39">
        <v>45874.0</v>
      </c>
      <c r="B1344" s="87"/>
      <c r="C1344" s="31" t="s">
        <v>64</v>
      </c>
      <c r="D1344" s="32" t="s">
        <v>99</v>
      </c>
      <c r="E1344" s="31" t="s">
        <v>1493</v>
      </c>
      <c r="F1344" s="32" t="s">
        <v>139</v>
      </c>
      <c r="G1344" s="53">
        <v>8406310.18</v>
      </c>
      <c r="H1344" s="14">
        <f t="shared" si="9"/>
        <v>1765325.138</v>
      </c>
      <c r="I1344" s="22">
        <v>252189.31</v>
      </c>
      <c r="J1344" s="14"/>
      <c r="K1344" s="15">
        <f t="shared" si="4"/>
        <v>10423824.63</v>
      </c>
      <c r="L1344" s="45"/>
      <c r="M1344" s="24">
        <v>45877.0</v>
      </c>
    </row>
    <row r="1345" ht="15.75" customHeight="1">
      <c r="A1345" s="39">
        <v>45874.0</v>
      </c>
      <c r="B1345" s="87"/>
      <c r="C1345" s="31" t="s">
        <v>211</v>
      </c>
      <c r="D1345" s="32" t="s">
        <v>99</v>
      </c>
      <c r="E1345" s="31" t="s">
        <v>1494</v>
      </c>
      <c r="F1345" s="32" t="s">
        <v>139</v>
      </c>
      <c r="G1345" s="53">
        <f>3069820/1.21</f>
        <v>2537041.322</v>
      </c>
      <c r="H1345" s="14">
        <f t="shared" si="9"/>
        <v>532778.6777</v>
      </c>
      <c r="I1345" s="50"/>
      <c r="J1345" s="14"/>
      <c r="K1345" s="15">
        <f t="shared" si="4"/>
        <v>3069820</v>
      </c>
      <c r="L1345" s="45"/>
      <c r="M1345" s="6"/>
    </row>
    <row r="1346" ht="15.75" customHeight="1">
      <c r="A1346" s="39">
        <v>45874.0</v>
      </c>
      <c r="B1346" s="87"/>
      <c r="C1346" s="31" t="s">
        <v>211</v>
      </c>
      <c r="D1346" s="32" t="s">
        <v>99</v>
      </c>
      <c r="E1346" s="31" t="s">
        <v>1495</v>
      </c>
      <c r="F1346" s="32" t="s">
        <v>139</v>
      </c>
      <c r="G1346" s="53">
        <f>1997580/1.21</f>
        <v>1650892.562</v>
      </c>
      <c r="H1346" s="14">
        <f t="shared" si="9"/>
        <v>346687.438</v>
      </c>
      <c r="I1346" s="50"/>
      <c r="J1346" s="14"/>
      <c r="K1346" s="15">
        <f t="shared" si="4"/>
        <v>1997580</v>
      </c>
      <c r="L1346" s="45"/>
      <c r="M1346" s="24">
        <v>45874.0</v>
      </c>
    </row>
    <row r="1347" ht="15.75" customHeight="1">
      <c r="A1347" s="39">
        <v>45874.0</v>
      </c>
      <c r="B1347" s="87"/>
      <c r="C1347" s="31" t="s">
        <v>16</v>
      </c>
      <c r="D1347" s="32" t="s">
        <v>99</v>
      </c>
      <c r="E1347" s="31" t="s">
        <v>1496</v>
      </c>
      <c r="F1347" s="32" t="s">
        <v>139</v>
      </c>
      <c r="G1347" s="53">
        <v>9509530.26</v>
      </c>
      <c r="H1347" s="14">
        <f t="shared" si="9"/>
        <v>1997001.355</v>
      </c>
      <c r="I1347" s="22">
        <v>285285.91</v>
      </c>
      <c r="J1347" s="14"/>
      <c r="K1347" s="15">
        <f t="shared" si="4"/>
        <v>11791817.52</v>
      </c>
      <c r="L1347" s="45"/>
      <c r="M1347" s="24">
        <v>45876.0</v>
      </c>
    </row>
    <row r="1348" ht="15.75" customHeight="1">
      <c r="A1348" s="39">
        <v>45874.0</v>
      </c>
      <c r="B1348" s="87"/>
      <c r="C1348" s="31" t="s">
        <v>472</v>
      </c>
      <c r="D1348" s="32" t="s">
        <v>99</v>
      </c>
      <c r="E1348" s="32" t="s">
        <v>1497</v>
      </c>
      <c r="F1348" s="32" t="s">
        <v>139</v>
      </c>
      <c r="G1348" s="53">
        <v>1.762525105E7</v>
      </c>
      <c r="H1348" s="14">
        <f t="shared" si="9"/>
        <v>3701302.721</v>
      </c>
      <c r="I1348" s="50"/>
      <c r="J1348" s="14"/>
      <c r="K1348" s="15">
        <f t="shared" si="4"/>
        <v>21326553.77</v>
      </c>
      <c r="L1348" s="45"/>
      <c r="M1348" s="24">
        <v>45887.0</v>
      </c>
    </row>
    <row r="1349" ht="15.75" customHeight="1">
      <c r="A1349" s="39">
        <v>45874.0</v>
      </c>
      <c r="B1349" s="87"/>
      <c r="C1349" s="31" t="s">
        <v>472</v>
      </c>
      <c r="D1349" s="32" t="s">
        <v>99</v>
      </c>
      <c r="E1349" s="32" t="s">
        <v>1498</v>
      </c>
      <c r="F1349" s="32" t="s">
        <v>139</v>
      </c>
      <c r="G1349" s="53">
        <v>1.167262604E7</v>
      </c>
      <c r="H1349" s="14">
        <f t="shared" si="9"/>
        <v>2451251.468</v>
      </c>
      <c r="I1349" s="50"/>
      <c r="J1349" s="14"/>
      <c r="K1349" s="15">
        <f t="shared" si="4"/>
        <v>14123877.51</v>
      </c>
      <c r="L1349" s="45"/>
      <c r="M1349" s="24">
        <v>45887.0</v>
      </c>
    </row>
    <row r="1350" ht="15.75" customHeight="1">
      <c r="A1350" s="55">
        <v>45874.0</v>
      </c>
      <c r="B1350" s="64"/>
      <c r="C1350" s="58" t="s">
        <v>1499</v>
      </c>
      <c r="D1350" s="58" t="s">
        <v>1005</v>
      </c>
      <c r="E1350" s="58" t="s">
        <v>1500</v>
      </c>
      <c r="F1350" s="137">
        <v>45863.0</v>
      </c>
      <c r="G1350" s="65">
        <v>6016797.16</v>
      </c>
      <c r="H1350" s="9">
        <f t="shared" si="9"/>
        <v>1263527.404</v>
      </c>
      <c r="I1350" s="56"/>
      <c r="J1350" s="60"/>
      <c r="K1350" s="10">
        <f t="shared" si="4"/>
        <v>7280324.564</v>
      </c>
      <c r="L1350" s="61"/>
      <c r="M1350" s="62"/>
    </row>
    <row r="1351" ht="15.75" customHeight="1">
      <c r="A1351" s="39">
        <v>45875.0</v>
      </c>
      <c r="B1351" s="87"/>
      <c r="C1351" s="31" t="s">
        <v>1501</v>
      </c>
      <c r="D1351" s="32" t="s">
        <v>99</v>
      </c>
      <c r="E1351" s="31" t="s">
        <v>1502</v>
      </c>
      <c r="F1351" s="32" t="s">
        <v>139</v>
      </c>
      <c r="G1351" s="53">
        <v>1.289271214E7</v>
      </c>
      <c r="H1351" s="14">
        <f t="shared" si="9"/>
        <v>2707469.549</v>
      </c>
      <c r="I1351" s="22">
        <v>386781.36</v>
      </c>
      <c r="J1351" s="22">
        <v>644635.61</v>
      </c>
      <c r="K1351" s="15">
        <f t="shared" si="4"/>
        <v>16631598.66</v>
      </c>
      <c r="L1351" s="45"/>
      <c r="M1351" s="24">
        <v>45904.0</v>
      </c>
    </row>
    <row r="1352" ht="15.75" customHeight="1">
      <c r="A1352" s="39">
        <v>45875.0</v>
      </c>
      <c r="B1352" s="87"/>
      <c r="C1352" s="31" t="s">
        <v>1501</v>
      </c>
      <c r="D1352" s="32" t="s">
        <v>99</v>
      </c>
      <c r="E1352" s="31" t="s">
        <v>1503</v>
      </c>
      <c r="F1352" s="32" t="s">
        <v>139</v>
      </c>
      <c r="G1352" s="53">
        <v>3892712.14</v>
      </c>
      <c r="H1352" s="14">
        <f t="shared" si="9"/>
        <v>817469.5494</v>
      </c>
      <c r="I1352" s="50"/>
      <c r="J1352" s="22">
        <v>194635.61</v>
      </c>
      <c r="K1352" s="15">
        <f t="shared" si="4"/>
        <v>4904817.299</v>
      </c>
      <c r="L1352" s="45"/>
      <c r="M1352" s="24">
        <v>45904.0</v>
      </c>
    </row>
    <row r="1353" ht="15.75" customHeight="1">
      <c r="A1353" s="39">
        <v>45875.0</v>
      </c>
      <c r="B1353" s="87"/>
      <c r="C1353" s="31" t="s">
        <v>1501</v>
      </c>
      <c r="D1353" s="32" t="s">
        <v>99</v>
      </c>
      <c r="E1353" s="31" t="s">
        <v>1504</v>
      </c>
      <c r="F1353" s="32" t="s">
        <v>139</v>
      </c>
      <c r="G1353" s="53">
        <v>4476362.08</v>
      </c>
      <c r="H1353" s="14">
        <f t="shared" si="9"/>
        <v>940036.0368</v>
      </c>
      <c r="I1353" s="50"/>
      <c r="J1353" s="14"/>
      <c r="K1353" s="15">
        <f t="shared" si="4"/>
        <v>5416398.117</v>
      </c>
      <c r="L1353" s="45"/>
      <c r="M1353" s="24">
        <v>45904.0</v>
      </c>
    </row>
    <row r="1354" ht="15.75" customHeight="1">
      <c r="A1354" s="39">
        <v>45875.0</v>
      </c>
      <c r="B1354" s="87"/>
      <c r="C1354" s="31" t="s">
        <v>1501</v>
      </c>
      <c r="D1354" s="32" t="s">
        <v>99</v>
      </c>
      <c r="E1354" s="31" t="s">
        <v>1505</v>
      </c>
      <c r="F1354" s="32" t="s">
        <v>139</v>
      </c>
      <c r="G1354" s="53">
        <v>3372761.08</v>
      </c>
      <c r="H1354" s="14">
        <f t="shared" si="9"/>
        <v>708279.8268</v>
      </c>
      <c r="I1354" s="50"/>
      <c r="J1354" s="22">
        <v>168638.05</v>
      </c>
      <c r="K1354" s="15">
        <f t="shared" si="4"/>
        <v>4249678.957</v>
      </c>
      <c r="L1354" s="45"/>
      <c r="M1354" s="24">
        <v>45904.0</v>
      </c>
    </row>
    <row r="1355" ht="15.75" customHeight="1">
      <c r="A1355" s="39">
        <v>45875.0</v>
      </c>
      <c r="B1355" s="87"/>
      <c r="C1355" s="31" t="s">
        <v>1501</v>
      </c>
      <c r="D1355" s="32" t="s">
        <v>99</v>
      </c>
      <c r="E1355" s="31" t="s">
        <v>1506</v>
      </c>
      <c r="F1355" s="32" t="s">
        <v>139</v>
      </c>
      <c r="G1355" s="53">
        <v>7737271.09</v>
      </c>
      <c r="H1355" s="14">
        <f t="shared" si="9"/>
        <v>1624826.929</v>
      </c>
      <c r="I1355" s="22">
        <v>232118.13</v>
      </c>
      <c r="J1355" s="22">
        <v>386863.55</v>
      </c>
      <c r="K1355" s="15">
        <f t="shared" si="4"/>
        <v>9981079.699</v>
      </c>
      <c r="L1355" s="45"/>
      <c r="M1355" s="24">
        <v>45904.0</v>
      </c>
    </row>
    <row r="1356" ht="15.75" customHeight="1">
      <c r="A1356" s="39">
        <v>45876.0</v>
      </c>
      <c r="B1356" s="87"/>
      <c r="C1356" s="31" t="s">
        <v>1507</v>
      </c>
      <c r="D1356" s="32" t="s">
        <v>99</v>
      </c>
      <c r="E1356" s="31" t="s">
        <v>1508</v>
      </c>
      <c r="F1356" s="32" t="s">
        <v>139</v>
      </c>
      <c r="G1356" s="53">
        <v>2.400053417E7</v>
      </c>
      <c r="H1356" s="14">
        <f t="shared" si="9"/>
        <v>5040112.176</v>
      </c>
      <c r="I1356" s="22">
        <v>720016.03</v>
      </c>
      <c r="J1356" s="14"/>
      <c r="K1356" s="15">
        <f t="shared" si="4"/>
        <v>29760662.38</v>
      </c>
      <c r="L1356" s="45"/>
      <c r="M1356" s="24">
        <v>45880.0</v>
      </c>
    </row>
    <row r="1357" ht="15.75" customHeight="1">
      <c r="A1357" s="39">
        <v>45848.0</v>
      </c>
      <c r="B1357" s="39"/>
      <c r="C1357" s="31" t="s">
        <v>171</v>
      </c>
      <c r="D1357" s="32" t="s">
        <v>99</v>
      </c>
      <c r="E1357" s="31" t="s">
        <v>1509</v>
      </c>
      <c r="F1357" s="134">
        <v>45863.0</v>
      </c>
      <c r="G1357" s="53">
        <v>1.000132584E7</v>
      </c>
      <c r="H1357" s="14">
        <f t="shared" si="9"/>
        <v>2100278.426</v>
      </c>
      <c r="I1357" s="50"/>
      <c r="J1357" s="14"/>
      <c r="K1357" s="15">
        <f t="shared" si="4"/>
        <v>12101604.27</v>
      </c>
      <c r="L1357" s="45"/>
      <c r="M1357" s="24">
        <v>45870.0</v>
      </c>
    </row>
    <row r="1358" ht="15.75" customHeight="1">
      <c r="A1358" s="39">
        <v>45848.0</v>
      </c>
      <c r="B1358" s="39"/>
      <c r="C1358" s="31" t="s">
        <v>171</v>
      </c>
      <c r="D1358" s="32" t="s">
        <v>99</v>
      </c>
      <c r="E1358" s="31" t="s">
        <v>1510</v>
      </c>
      <c r="F1358" s="134">
        <v>45863.0</v>
      </c>
      <c r="G1358" s="53">
        <v>1.000110849E7</v>
      </c>
      <c r="H1358" s="14">
        <f t="shared" si="9"/>
        <v>2100232.783</v>
      </c>
      <c r="I1358" s="50"/>
      <c r="J1358" s="14"/>
      <c r="K1358" s="15">
        <f t="shared" si="4"/>
        <v>12101341.27</v>
      </c>
      <c r="L1358" s="45"/>
      <c r="M1358" s="24">
        <v>45870.0</v>
      </c>
    </row>
    <row r="1359" ht="15.75" customHeight="1">
      <c r="A1359" s="39">
        <v>45848.0</v>
      </c>
      <c r="B1359" s="39"/>
      <c r="C1359" s="31" t="s">
        <v>171</v>
      </c>
      <c r="D1359" s="32" t="s">
        <v>99</v>
      </c>
      <c r="E1359" s="31" t="s">
        <v>1511</v>
      </c>
      <c r="F1359" s="134">
        <v>45863.0</v>
      </c>
      <c r="G1359" s="53">
        <v>1.000130276E7</v>
      </c>
      <c r="H1359" s="14">
        <f t="shared" si="9"/>
        <v>2100273.58</v>
      </c>
      <c r="I1359" s="50"/>
      <c r="J1359" s="14"/>
      <c r="K1359" s="15">
        <f t="shared" si="4"/>
        <v>12101576.34</v>
      </c>
      <c r="L1359" s="45"/>
      <c r="M1359" s="24">
        <v>45870.0</v>
      </c>
    </row>
    <row r="1360" ht="15.75" customHeight="1">
      <c r="A1360" s="39">
        <v>45848.0</v>
      </c>
      <c r="B1360" s="39"/>
      <c r="C1360" s="31" t="s">
        <v>171</v>
      </c>
      <c r="D1360" s="32" t="s">
        <v>99</v>
      </c>
      <c r="E1360" s="31" t="s">
        <v>1512</v>
      </c>
      <c r="F1360" s="134">
        <v>45863.0</v>
      </c>
      <c r="G1360" s="53">
        <v>1.000059824E7</v>
      </c>
      <c r="H1360" s="14">
        <f t="shared" si="9"/>
        <v>2100125.63</v>
      </c>
      <c r="I1360" s="50"/>
      <c r="J1360" s="14"/>
      <c r="K1360" s="15">
        <f t="shared" si="4"/>
        <v>12100723.87</v>
      </c>
      <c r="L1360" s="45"/>
      <c r="M1360" s="24">
        <v>45870.0</v>
      </c>
    </row>
    <row r="1361" ht="15.75" customHeight="1">
      <c r="A1361" s="39">
        <v>45768.0</v>
      </c>
      <c r="B1361" s="32" t="s">
        <v>236</v>
      </c>
      <c r="C1361" s="31" t="s">
        <v>171</v>
      </c>
      <c r="D1361" s="32" t="s">
        <v>15</v>
      </c>
      <c r="E1361" s="31" t="s">
        <v>1513</v>
      </c>
      <c r="F1361" s="46">
        <v>45772.0</v>
      </c>
      <c r="G1361" s="22">
        <v>1.236799701E7</v>
      </c>
      <c r="H1361" s="14">
        <f t="shared" si="9"/>
        <v>2597279.372</v>
      </c>
      <c r="I1361" s="14"/>
      <c r="J1361" s="14"/>
      <c r="K1361" s="15">
        <f t="shared" si="4"/>
        <v>14965276.38</v>
      </c>
      <c r="L1361" s="45"/>
      <c r="M1361" s="24">
        <v>45779.0</v>
      </c>
    </row>
    <row r="1362" ht="15.75" customHeight="1">
      <c r="A1362" s="39">
        <v>45768.0</v>
      </c>
      <c r="B1362" s="32" t="s">
        <v>236</v>
      </c>
      <c r="C1362" s="31" t="s">
        <v>171</v>
      </c>
      <c r="D1362" s="32" t="s">
        <v>15</v>
      </c>
      <c r="E1362" s="31" t="s">
        <v>1514</v>
      </c>
      <c r="F1362" s="46">
        <v>45772.0</v>
      </c>
      <c r="G1362" s="22">
        <v>1.263245129E7</v>
      </c>
      <c r="H1362" s="14">
        <f t="shared" si="9"/>
        <v>2652814.771</v>
      </c>
      <c r="I1362" s="14"/>
      <c r="J1362" s="14"/>
      <c r="K1362" s="15">
        <f t="shared" si="4"/>
        <v>15285266.06</v>
      </c>
      <c r="L1362" s="45"/>
      <c r="M1362" s="24">
        <v>45776.0</v>
      </c>
    </row>
    <row r="1363" ht="15.75" customHeight="1">
      <c r="A1363" s="39">
        <v>45768.0</v>
      </c>
      <c r="B1363" s="32" t="s">
        <v>236</v>
      </c>
      <c r="C1363" s="31" t="s">
        <v>171</v>
      </c>
      <c r="D1363" s="32" t="s">
        <v>15</v>
      </c>
      <c r="E1363" s="31" t="s">
        <v>1515</v>
      </c>
      <c r="F1363" s="46">
        <v>45772.0</v>
      </c>
      <c r="G1363" s="22">
        <v>1.103805542E7</v>
      </c>
      <c r="H1363" s="14">
        <f t="shared" si="9"/>
        <v>2317991.638</v>
      </c>
      <c r="I1363" s="14"/>
      <c r="J1363" s="14"/>
      <c r="K1363" s="15">
        <f t="shared" si="4"/>
        <v>13356047.06</v>
      </c>
      <c r="L1363" s="45"/>
      <c r="M1363" s="24">
        <v>45776.0</v>
      </c>
    </row>
    <row r="1364" ht="15.75" customHeight="1">
      <c r="A1364" s="39">
        <v>45768.0</v>
      </c>
      <c r="B1364" s="32" t="s">
        <v>236</v>
      </c>
      <c r="C1364" s="31" t="s">
        <v>171</v>
      </c>
      <c r="D1364" s="32" t="s">
        <v>15</v>
      </c>
      <c r="E1364" s="31" t="s">
        <v>1516</v>
      </c>
      <c r="F1364" s="46">
        <v>45772.0</v>
      </c>
      <c r="G1364" s="22">
        <v>8962064.81</v>
      </c>
      <c r="H1364" s="14">
        <f t="shared" si="9"/>
        <v>1882033.61</v>
      </c>
      <c r="I1364" s="14"/>
      <c r="J1364" s="14"/>
      <c r="K1364" s="15">
        <f t="shared" si="4"/>
        <v>10844098.42</v>
      </c>
      <c r="L1364" s="45"/>
      <c r="M1364" s="24">
        <v>45779.0</v>
      </c>
    </row>
    <row r="1365" ht="15.75" customHeight="1">
      <c r="A1365" s="39">
        <v>45881.0</v>
      </c>
      <c r="B1365" s="87"/>
      <c r="C1365" s="31" t="s">
        <v>410</v>
      </c>
      <c r="D1365" s="32" t="s">
        <v>99</v>
      </c>
      <c r="E1365" s="31" t="s">
        <v>1517</v>
      </c>
      <c r="F1365" s="32" t="s">
        <v>139</v>
      </c>
      <c r="G1365" s="53">
        <v>1502840.19</v>
      </c>
      <c r="H1365" s="14">
        <f t="shared" si="9"/>
        <v>315596.4399</v>
      </c>
      <c r="I1365" s="50"/>
      <c r="J1365" s="14"/>
      <c r="K1365" s="15">
        <f t="shared" si="4"/>
        <v>1818436.63</v>
      </c>
      <c r="L1365" s="45"/>
      <c r="M1365" s="24">
        <v>45883.0</v>
      </c>
    </row>
    <row r="1366" ht="15.75" customHeight="1">
      <c r="A1366" s="39">
        <v>45881.0</v>
      </c>
      <c r="B1366" s="87"/>
      <c r="C1366" s="31" t="s">
        <v>410</v>
      </c>
      <c r="D1366" s="32" t="s">
        <v>99</v>
      </c>
      <c r="E1366" s="31" t="s">
        <v>1518</v>
      </c>
      <c r="F1366" s="32" t="s">
        <v>139</v>
      </c>
      <c r="G1366" s="53">
        <v>3009680.92</v>
      </c>
      <c r="H1366" s="14">
        <f t="shared" si="9"/>
        <v>632032.9932</v>
      </c>
      <c r="I1366" s="50"/>
      <c r="J1366" s="14"/>
      <c r="K1366" s="15">
        <f t="shared" si="4"/>
        <v>3641713.913</v>
      </c>
      <c r="L1366" s="45"/>
      <c r="M1366" s="24">
        <v>45883.0</v>
      </c>
    </row>
    <row r="1367" ht="15.75" customHeight="1">
      <c r="A1367" s="39">
        <v>45881.0</v>
      </c>
      <c r="B1367" s="87"/>
      <c r="C1367" s="31" t="s">
        <v>443</v>
      </c>
      <c r="D1367" s="32" t="s">
        <v>99</v>
      </c>
      <c r="E1367" s="31" t="s">
        <v>1519</v>
      </c>
      <c r="F1367" s="32" t="s">
        <v>139</v>
      </c>
      <c r="G1367" s="53">
        <v>7012820.18</v>
      </c>
      <c r="H1367" s="14">
        <f t="shared" si="9"/>
        <v>1472692.238</v>
      </c>
      <c r="I1367" s="50"/>
      <c r="J1367" s="14"/>
      <c r="K1367" s="15">
        <f t="shared" si="4"/>
        <v>8485512.418</v>
      </c>
      <c r="L1367" s="45"/>
      <c r="M1367" s="24">
        <v>45937.0</v>
      </c>
    </row>
    <row r="1368" ht="15.75" customHeight="1">
      <c r="A1368" s="39">
        <v>45881.0</v>
      </c>
      <c r="B1368" s="87"/>
      <c r="C1368" s="31" t="s">
        <v>635</v>
      </c>
      <c r="D1368" s="32" t="s">
        <v>99</v>
      </c>
      <c r="E1368" s="31" t="s">
        <v>1520</v>
      </c>
      <c r="F1368" s="32" t="s">
        <v>139</v>
      </c>
      <c r="G1368" s="53">
        <v>1.727262139E7</v>
      </c>
      <c r="H1368" s="14">
        <f t="shared" si="9"/>
        <v>3627250.492</v>
      </c>
      <c r="I1368" s="14">
        <v>518178.64</v>
      </c>
      <c r="J1368" s="14"/>
      <c r="K1368" s="15">
        <f t="shared" si="4"/>
        <v>21418050.52</v>
      </c>
      <c r="L1368" s="45"/>
      <c r="M1368" s="24">
        <v>45933.0</v>
      </c>
    </row>
    <row r="1369" ht="15.75" customHeight="1">
      <c r="A1369" s="39">
        <v>45881.0</v>
      </c>
      <c r="B1369" s="87"/>
      <c r="C1369" s="31" t="s">
        <v>635</v>
      </c>
      <c r="D1369" s="32" t="s">
        <v>99</v>
      </c>
      <c r="E1369" s="31" t="s">
        <v>1521</v>
      </c>
      <c r="F1369" s="32" t="s">
        <v>139</v>
      </c>
      <c r="G1369" s="53">
        <v>1.427272126E7</v>
      </c>
      <c r="H1369" s="14">
        <f t="shared" si="9"/>
        <v>2997271.465</v>
      </c>
      <c r="I1369" s="14">
        <v>428181.64</v>
      </c>
      <c r="J1369" s="14"/>
      <c r="K1369" s="15">
        <f t="shared" si="4"/>
        <v>17698174.36</v>
      </c>
      <c r="L1369" s="45"/>
      <c r="M1369" s="24">
        <v>45933.0</v>
      </c>
    </row>
    <row r="1370" ht="15.75" customHeight="1">
      <c r="A1370" s="39">
        <v>45881.0</v>
      </c>
      <c r="B1370" s="87"/>
      <c r="C1370" s="31" t="s">
        <v>635</v>
      </c>
      <c r="D1370" s="32" t="s">
        <v>99</v>
      </c>
      <c r="E1370" s="31" t="s">
        <v>1522</v>
      </c>
      <c r="F1370" s="32" t="s">
        <v>139</v>
      </c>
      <c r="G1370" s="53">
        <v>1.332612165E7</v>
      </c>
      <c r="H1370" s="14">
        <f t="shared" si="9"/>
        <v>2798485.547</v>
      </c>
      <c r="I1370" s="14">
        <v>399783.65</v>
      </c>
      <c r="J1370" s="14"/>
      <c r="K1370" s="15">
        <f t="shared" si="4"/>
        <v>16524390.85</v>
      </c>
      <c r="L1370" s="45"/>
      <c r="M1370" s="24">
        <v>45933.0</v>
      </c>
    </row>
    <row r="1371" ht="15.75" customHeight="1">
      <c r="A1371" s="39">
        <v>45881.0</v>
      </c>
      <c r="B1371" s="87"/>
      <c r="C1371" s="31" t="s">
        <v>635</v>
      </c>
      <c r="D1371" s="32" t="s">
        <v>99</v>
      </c>
      <c r="E1371" s="31" t="s">
        <v>1523</v>
      </c>
      <c r="F1371" s="32" t="s">
        <v>139</v>
      </c>
      <c r="G1371" s="53">
        <v>1.283727241E7</v>
      </c>
      <c r="H1371" s="14">
        <f t="shared" si="9"/>
        <v>2695827.206</v>
      </c>
      <c r="I1371" s="22">
        <v>385118.17</v>
      </c>
      <c r="J1371" s="14"/>
      <c r="K1371" s="15">
        <f t="shared" si="4"/>
        <v>15918217.79</v>
      </c>
      <c r="L1371" s="45"/>
      <c r="M1371" s="24">
        <v>45933.0</v>
      </c>
    </row>
    <row r="1372" ht="15.75" customHeight="1">
      <c r="A1372" s="39">
        <v>45881.0</v>
      </c>
      <c r="B1372" s="87"/>
      <c r="C1372" s="31" t="s">
        <v>635</v>
      </c>
      <c r="D1372" s="32" t="s">
        <v>99</v>
      </c>
      <c r="E1372" s="31" t="s">
        <v>1524</v>
      </c>
      <c r="F1372" s="32" t="s">
        <v>139</v>
      </c>
      <c r="G1372" s="53">
        <v>1.172626251E7</v>
      </c>
      <c r="H1372" s="14">
        <f t="shared" si="9"/>
        <v>2462515.127</v>
      </c>
      <c r="I1372" s="22">
        <v>351787.88</v>
      </c>
      <c r="J1372" s="14"/>
      <c r="K1372" s="15">
        <f t="shared" si="4"/>
        <v>14540565.52</v>
      </c>
      <c r="L1372" s="45"/>
      <c r="M1372" s="24">
        <v>45933.0</v>
      </c>
    </row>
    <row r="1373" ht="15.75" customHeight="1">
      <c r="A1373" s="39">
        <v>45881.0</v>
      </c>
      <c r="B1373" s="87"/>
      <c r="C1373" s="31" t="s">
        <v>635</v>
      </c>
      <c r="D1373" s="32" t="s">
        <v>99</v>
      </c>
      <c r="E1373" s="31" t="s">
        <v>1525</v>
      </c>
      <c r="F1373" s="32" t="s">
        <v>139</v>
      </c>
      <c r="G1373" s="53">
        <v>9927261.11</v>
      </c>
      <c r="H1373" s="14">
        <f t="shared" si="9"/>
        <v>2084724.833</v>
      </c>
      <c r="I1373" s="22">
        <v>297817.83</v>
      </c>
      <c r="J1373" s="14"/>
      <c r="K1373" s="15">
        <f t="shared" si="4"/>
        <v>12309803.77</v>
      </c>
      <c r="L1373" s="45"/>
      <c r="M1373" s="24">
        <v>45933.0</v>
      </c>
    </row>
    <row r="1374" ht="15.75" customHeight="1">
      <c r="A1374" s="39">
        <v>45881.0</v>
      </c>
      <c r="B1374" s="87"/>
      <c r="C1374" s="31" t="s">
        <v>561</v>
      </c>
      <c r="D1374" s="32" t="s">
        <v>99</v>
      </c>
      <c r="E1374" s="31" t="s">
        <v>1526</v>
      </c>
      <c r="F1374" s="32" t="s">
        <v>139</v>
      </c>
      <c r="G1374" s="53">
        <v>1.010039218E7</v>
      </c>
      <c r="H1374" s="14">
        <f t="shared" si="9"/>
        <v>2121082.358</v>
      </c>
      <c r="I1374" s="50"/>
      <c r="J1374" s="14"/>
      <c r="K1374" s="15">
        <f t="shared" si="4"/>
        <v>12221474.54</v>
      </c>
      <c r="L1374" s="45"/>
      <c r="M1374" s="24">
        <v>45884.0</v>
      </c>
    </row>
    <row r="1375" ht="15.75" customHeight="1">
      <c r="A1375" s="39">
        <v>45881.0</v>
      </c>
      <c r="B1375" s="87"/>
      <c r="C1375" s="31" t="s">
        <v>561</v>
      </c>
      <c r="D1375" s="32" t="s">
        <v>99</v>
      </c>
      <c r="E1375" s="31" t="s">
        <v>1527</v>
      </c>
      <c r="F1375" s="32" t="s">
        <v>139</v>
      </c>
      <c r="G1375" s="53">
        <v>1.023372975E7</v>
      </c>
      <c r="H1375" s="14">
        <f t="shared" si="9"/>
        <v>2149083.248</v>
      </c>
      <c r="I1375" s="50"/>
      <c r="J1375" s="14"/>
      <c r="K1375" s="15">
        <f t="shared" si="4"/>
        <v>12382813</v>
      </c>
      <c r="L1375" s="45"/>
      <c r="M1375" s="24">
        <v>45884.0</v>
      </c>
    </row>
    <row r="1376" ht="15.75" customHeight="1">
      <c r="A1376" s="39">
        <v>45881.0</v>
      </c>
      <c r="B1376" s="87"/>
      <c r="C1376" s="31" t="s">
        <v>561</v>
      </c>
      <c r="D1376" s="32" t="s">
        <v>15</v>
      </c>
      <c r="E1376" s="31" t="s">
        <v>1528</v>
      </c>
      <c r="F1376" s="32" t="s">
        <v>139</v>
      </c>
      <c r="G1376" s="53">
        <v>1.177362308E7</v>
      </c>
      <c r="H1376" s="14">
        <f t="shared" si="9"/>
        <v>2472460.847</v>
      </c>
      <c r="I1376" s="50"/>
      <c r="J1376" s="14"/>
      <c r="K1376" s="15">
        <f t="shared" si="4"/>
        <v>14246083.93</v>
      </c>
      <c r="L1376" s="45"/>
      <c r="M1376" s="24">
        <v>45884.0</v>
      </c>
    </row>
    <row r="1377" ht="15.75" customHeight="1">
      <c r="A1377" s="39">
        <v>45881.0</v>
      </c>
      <c r="B1377" s="87"/>
      <c r="C1377" s="31" t="s">
        <v>561</v>
      </c>
      <c r="D1377" s="32" t="s">
        <v>15</v>
      </c>
      <c r="E1377" s="31" t="s">
        <v>1529</v>
      </c>
      <c r="F1377" s="32" t="s">
        <v>139</v>
      </c>
      <c r="G1377" s="53">
        <v>9837372.85</v>
      </c>
      <c r="H1377" s="14">
        <f t="shared" si="9"/>
        <v>2065848.299</v>
      </c>
      <c r="I1377" s="50"/>
      <c r="J1377" s="14"/>
      <c r="K1377" s="15">
        <f t="shared" si="4"/>
        <v>11903221.15</v>
      </c>
      <c r="L1377" s="45"/>
      <c r="M1377" s="24">
        <v>45884.0</v>
      </c>
    </row>
    <row r="1378" ht="15.75" customHeight="1">
      <c r="A1378" s="39">
        <v>45881.0</v>
      </c>
      <c r="B1378" s="87"/>
      <c r="C1378" s="31" t="s">
        <v>140</v>
      </c>
      <c r="D1378" s="32" t="s">
        <v>15</v>
      </c>
      <c r="E1378" s="31" t="s">
        <v>1530</v>
      </c>
      <c r="F1378" s="32" t="s">
        <v>139</v>
      </c>
      <c r="G1378" s="53">
        <v>8497790.19</v>
      </c>
      <c r="H1378" s="14">
        <f t="shared" si="9"/>
        <v>1784535.94</v>
      </c>
      <c r="I1378" s="22">
        <v>254933.71</v>
      </c>
      <c r="J1378" s="22">
        <v>76480.11</v>
      </c>
      <c r="K1378" s="15">
        <f t="shared" si="4"/>
        <v>10613739.95</v>
      </c>
      <c r="L1378" s="45"/>
      <c r="M1378" s="24">
        <v>45888.0</v>
      </c>
    </row>
    <row r="1379" ht="15.75" customHeight="1">
      <c r="A1379" s="39">
        <v>45881.0</v>
      </c>
      <c r="B1379" s="87"/>
      <c r="C1379" s="31" t="s">
        <v>140</v>
      </c>
      <c r="D1379" s="32" t="s">
        <v>15</v>
      </c>
      <c r="E1379" s="31" t="s">
        <v>1531</v>
      </c>
      <c r="F1379" s="32" t="s">
        <v>139</v>
      </c>
      <c r="G1379" s="53">
        <v>3009680.91</v>
      </c>
      <c r="H1379" s="14">
        <f t="shared" si="9"/>
        <v>632032.9911</v>
      </c>
      <c r="I1379" s="22">
        <v>90290.43</v>
      </c>
      <c r="J1379" s="22">
        <v>27087.13</v>
      </c>
      <c r="K1379" s="15">
        <f t="shared" si="4"/>
        <v>3759091.461</v>
      </c>
      <c r="L1379" s="45"/>
      <c r="M1379" s="24">
        <v>45888.0</v>
      </c>
    </row>
    <row r="1380" ht="15.75" customHeight="1">
      <c r="A1380" s="39">
        <v>45881.0</v>
      </c>
      <c r="B1380" s="87"/>
      <c r="C1380" s="31" t="s">
        <v>140</v>
      </c>
      <c r="D1380" s="32" t="s">
        <v>15</v>
      </c>
      <c r="E1380" s="31" t="s">
        <v>1532</v>
      </c>
      <c r="F1380" s="32" t="s">
        <v>139</v>
      </c>
      <c r="G1380" s="53">
        <v>6011820.75</v>
      </c>
      <c r="H1380" s="14">
        <f t="shared" si="9"/>
        <v>1262482.358</v>
      </c>
      <c r="I1380" s="50"/>
      <c r="J1380" s="14"/>
      <c r="K1380" s="15">
        <f t="shared" si="4"/>
        <v>7274303.108</v>
      </c>
      <c r="L1380" s="45"/>
      <c r="M1380" s="24">
        <v>45888.0</v>
      </c>
    </row>
    <row r="1381" ht="15.75" customHeight="1">
      <c r="A1381" s="55">
        <v>45881.0</v>
      </c>
      <c r="B1381" s="64"/>
      <c r="C1381" s="58" t="s">
        <v>1533</v>
      </c>
      <c r="D1381" s="58" t="s">
        <v>1534</v>
      </c>
      <c r="E1381" s="58" t="s">
        <v>1535</v>
      </c>
      <c r="F1381" s="58" t="s">
        <v>139</v>
      </c>
      <c r="G1381" s="65">
        <v>1.257716589E7</v>
      </c>
      <c r="H1381" s="9">
        <f t="shared" si="9"/>
        <v>2641204.837</v>
      </c>
      <c r="I1381" s="56"/>
      <c r="J1381" s="60"/>
      <c r="K1381" s="10">
        <f t="shared" si="4"/>
        <v>15218370.73</v>
      </c>
      <c r="L1381" s="61"/>
      <c r="M1381" s="62"/>
    </row>
    <row r="1382" ht="15.75" customHeight="1">
      <c r="A1382" s="39">
        <v>45882.0</v>
      </c>
      <c r="B1382" s="87"/>
      <c r="C1382" s="31" t="s">
        <v>757</v>
      </c>
      <c r="D1382" s="32" t="s">
        <v>99</v>
      </c>
      <c r="E1382" s="31" t="s">
        <v>1536</v>
      </c>
      <c r="F1382" s="32" t="s">
        <v>139</v>
      </c>
      <c r="G1382" s="53">
        <v>4903780.15</v>
      </c>
      <c r="H1382" s="14">
        <f t="shared" si="9"/>
        <v>1029793.832</v>
      </c>
      <c r="I1382" s="22">
        <v>147113.4</v>
      </c>
      <c r="J1382" s="14"/>
      <c r="K1382" s="15">
        <f t="shared" si="4"/>
        <v>6080687.382</v>
      </c>
      <c r="L1382" s="45"/>
      <c r="M1382" s="24">
        <v>45888.0</v>
      </c>
    </row>
    <row r="1383" ht="15.75" customHeight="1">
      <c r="A1383" s="39">
        <v>45883.0</v>
      </c>
      <c r="B1383" s="87"/>
      <c r="C1383" s="31" t="s">
        <v>1112</v>
      </c>
      <c r="D1383" s="32" t="s">
        <v>99</v>
      </c>
      <c r="E1383" s="31" t="s">
        <v>1537</v>
      </c>
      <c r="F1383" s="32" t="s">
        <v>139</v>
      </c>
      <c r="G1383" s="53">
        <v>9122612.71</v>
      </c>
      <c r="H1383" s="14">
        <f t="shared" si="9"/>
        <v>1915748.669</v>
      </c>
      <c r="I1383" s="50"/>
      <c r="J1383" s="14"/>
      <c r="K1383" s="15">
        <f t="shared" si="4"/>
        <v>11038361.38</v>
      </c>
      <c r="L1383" s="45"/>
      <c r="M1383" s="24">
        <v>45883.0</v>
      </c>
    </row>
    <row r="1384" ht="15.75" customHeight="1">
      <c r="A1384" s="39">
        <v>45883.0</v>
      </c>
      <c r="B1384" s="87"/>
      <c r="C1384" s="31" t="s">
        <v>1112</v>
      </c>
      <c r="D1384" s="32" t="s">
        <v>99</v>
      </c>
      <c r="E1384" s="31" t="s">
        <v>1538</v>
      </c>
      <c r="F1384" s="32" t="s">
        <v>139</v>
      </c>
      <c r="G1384" s="53">
        <v>1.293726223E7</v>
      </c>
      <c r="H1384" s="14">
        <f t="shared" si="9"/>
        <v>2716825.068</v>
      </c>
      <c r="I1384" s="50"/>
      <c r="J1384" s="14"/>
      <c r="K1384" s="15">
        <f t="shared" si="4"/>
        <v>15654087.3</v>
      </c>
      <c r="L1384" s="45"/>
      <c r="M1384" s="24">
        <v>45883.0</v>
      </c>
    </row>
    <row r="1385" ht="15.75" customHeight="1">
      <c r="A1385" s="39">
        <v>45883.0</v>
      </c>
      <c r="B1385" s="87"/>
      <c r="C1385" s="31" t="s">
        <v>1112</v>
      </c>
      <c r="D1385" s="32" t="s">
        <v>99</v>
      </c>
      <c r="E1385" s="31" t="s">
        <v>1539</v>
      </c>
      <c r="F1385" s="32" t="s">
        <v>139</v>
      </c>
      <c r="G1385" s="53">
        <v>1.374646322E7</v>
      </c>
      <c r="H1385" s="14">
        <f t="shared" si="9"/>
        <v>2886757.276</v>
      </c>
      <c r="I1385" s="50"/>
      <c r="J1385" s="14"/>
      <c r="K1385" s="15">
        <f t="shared" si="4"/>
        <v>16633220.5</v>
      </c>
      <c r="L1385" s="45"/>
      <c r="M1385" s="24">
        <v>45883.0</v>
      </c>
    </row>
    <row r="1386" ht="15.75" customHeight="1">
      <c r="A1386" s="39">
        <v>45883.0</v>
      </c>
      <c r="B1386" s="87"/>
      <c r="C1386" s="31" t="s">
        <v>1112</v>
      </c>
      <c r="D1386" s="32" t="s">
        <v>99</v>
      </c>
      <c r="E1386" s="31" t="s">
        <v>1540</v>
      </c>
      <c r="F1386" s="32" t="s">
        <v>139</v>
      </c>
      <c r="G1386" s="53">
        <v>1.093827108E7</v>
      </c>
      <c r="H1386" s="14">
        <f t="shared" si="9"/>
        <v>2297036.927</v>
      </c>
      <c r="I1386" s="50"/>
      <c r="J1386" s="14"/>
      <c r="K1386" s="15">
        <f t="shared" si="4"/>
        <v>13235308.01</v>
      </c>
      <c r="L1386" s="45"/>
      <c r="M1386" s="24">
        <v>45883.0</v>
      </c>
    </row>
    <row r="1387" ht="15.75" customHeight="1">
      <c r="A1387" s="39">
        <v>45883.0</v>
      </c>
      <c r="B1387" s="87"/>
      <c r="C1387" s="31" t="s">
        <v>1112</v>
      </c>
      <c r="D1387" s="32" t="s">
        <v>99</v>
      </c>
      <c r="E1387" s="32" t="s">
        <v>1541</v>
      </c>
      <c r="F1387" s="32" t="s">
        <v>139</v>
      </c>
      <c r="G1387" s="53">
        <v>5837362.17</v>
      </c>
      <c r="H1387" s="14">
        <f t="shared" si="9"/>
        <v>1225846.056</v>
      </c>
      <c r="I1387" s="50"/>
      <c r="J1387" s="14"/>
      <c r="K1387" s="15">
        <f t="shared" si="4"/>
        <v>7063208.226</v>
      </c>
      <c r="L1387" s="45"/>
      <c r="M1387" s="24">
        <v>45883.0</v>
      </c>
    </row>
    <row r="1388" ht="15.75" customHeight="1">
      <c r="A1388" s="55">
        <v>45883.0</v>
      </c>
      <c r="B1388" s="64"/>
      <c r="C1388" s="57" t="s">
        <v>1542</v>
      </c>
      <c r="D1388" s="57" t="s">
        <v>1543</v>
      </c>
      <c r="E1388" s="58" t="s">
        <v>1544</v>
      </c>
      <c r="F1388" s="58" t="s">
        <v>139</v>
      </c>
      <c r="G1388" s="65">
        <v>5.3289181871E8</v>
      </c>
      <c r="H1388" s="9">
        <f t="shared" si="9"/>
        <v>111907281.9</v>
      </c>
      <c r="I1388" s="56"/>
      <c r="J1388" s="60"/>
      <c r="K1388" s="10">
        <f t="shared" si="4"/>
        <v>644799100.6</v>
      </c>
      <c r="L1388" s="61"/>
      <c r="M1388" s="62"/>
    </row>
    <row r="1389" ht="15.75" customHeight="1">
      <c r="A1389" s="55">
        <v>45887.0</v>
      </c>
      <c r="B1389" s="64"/>
      <c r="C1389" s="57" t="s">
        <v>1545</v>
      </c>
      <c r="D1389" s="58" t="s">
        <v>15</v>
      </c>
      <c r="E1389" s="57" t="s">
        <v>1546</v>
      </c>
      <c r="F1389" s="58" t="s">
        <v>139</v>
      </c>
      <c r="G1389" s="65">
        <v>6693426.13</v>
      </c>
      <c r="H1389" s="9">
        <f t="shared" si="9"/>
        <v>1405619.487</v>
      </c>
      <c r="I1389" s="56"/>
      <c r="J1389" s="60"/>
      <c r="K1389" s="10">
        <f t="shared" si="4"/>
        <v>8099045.617</v>
      </c>
      <c r="L1389" s="61"/>
      <c r="M1389" s="62"/>
    </row>
    <row r="1390" ht="15.75" customHeight="1">
      <c r="A1390" s="39">
        <v>45887.0</v>
      </c>
      <c r="B1390" s="87"/>
      <c r="C1390" s="31" t="s">
        <v>423</v>
      </c>
      <c r="D1390" s="32" t="s">
        <v>15</v>
      </c>
      <c r="E1390" s="31" t="s">
        <v>1547</v>
      </c>
      <c r="F1390" s="32" t="s">
        <v>139</v>
      </c>
      <c r="G1390" s="53">
        <v>1379077.67</v>
      </c>
      <c r="H1390" s="14">
        <f t="shared" si="9"/>
        <v>289606.3107</v>
      </c>
      <c r="I1390" s="14">
        <v>41372.33</v>
      </c>
      <c r="J1390" s="22">
        <v>15169.85</v>
      </c>
      <c r="K1390" s="15">
        <f t="shared" si="4"/>
        <v>1725226.161</v>
      </c>
      <c r="L1390" s="45"/>
      <c r="M1390" s="24">
        <v>45887.0</v>
      </c>
    </row>
    <row r="1391" ht="15.75" customHeight="1">
      <c r="A1391" s="39">
        <v>45887.0</v>
      </c>
      <c r="B1391" s="87"/>
      <c r="C1391" s="31" t="s">
        <v>423</v>
      </c>
      <c r="D1391" s="32" t="s">
        <v>15</v>
      </c>
      <c r="E1391" s="31" t="s">
        <v>1548</v>
      </c>
      <c r="F1391" s="32" t="s">
        <v>139</v>
      </c>
      <c r="G1391" s="53">
        <v>1568201.89</v>
      </c>
      <c r="H1391" s="14">
        <f t="shared" si="9"/>
        <v>329322.3969</v>
      </c>
      <c r="I1391" s="14">
        <v>47046.06</v>
      </c>
      <c r="J1391" s="22">
        <v>17250.22</v>
      </c>
      <c r="K1391" s="15">
        <f t="shared" si="4"/>
        <v>1961820.567</v>
      </c>
      <c r="L1391" s="45"/>
      <c r="M1391" s="24">
        <v>45887.0</v>
      </c>
    </row>
    <row r="1392" ht="15.75" customHeight="1">
      <c r="A1392" s="39">
        <v>45887.0</v>
      </c>
      <c r="B1392" s="87"/>
      <c r="C1392" s="31" t="s">
        <v>423</v>
      </c>
      <c r="D1392" s="32" t="s">
        <v>15</v>
      </c>
      <c r="E1392" s="31" t="s">
        <v>1549</v>
      </c>
      <c r="F1392" s="32" t="s">
        <v>139</v>
      </c>
      <c r="G1392" s="53">
        <v>1019900.95</v>
      </c>
      <c r="H1392" s="14">
        <f t="shared" si="9"/>
        <v>214179.1995</v>
      </c>
      <c r="I1392" s="14">
        <v>30597.03</v>
      </c>
      <c r="J1392" s="22">
        <v>11218.91</v>
      </c>
      <c r="K1392" s="15">
        <f t="shared" si="4"/>
        <v>1275896.09</v>
      </c>
      <c r="L1392" s="45"/>
      <c r="M1392" s="24">
        <v>45887.0</v>
      </c>
    </row>
    <row r="1393" ht="15.75" customHeight="1">
      <c r="A1393" s="39">
        <v>45887.0</v>
      </c>
      <c r="B1393" s="87"/>
      <c r="C1393" s="31" t="s">
        <v>423</v>
      </c>
      <c r="D1393" s="32" t="s">
        <v>15</v>
      </c>
      <c r="E1393" s="31" t="s">
        <v>1550</v>
      </c>
      <c r="F1393" s="32" t="s">
        <v>139</v>
      </c>
      <c r="G1393" s="53">
        <v>841256.74</v>
      </c>
      <c r="H1393" s="14">
        <f t="shared" si="9"/>
        <v>176663.9154</v>
      </c>
      <c r="I1393" s="14">
        <v>25237.7</v>
      </c>
      <c r="J1393" s="22">
        <v>9253.82</v>
      </c>
      <c r="K1393" s="15">
        <f t="shared" si="4"/>
        <v>1052412.175</v>
      </c>
      <c r="L1393" s="45"/>
      <c r="M1393" s="24">
        <v>45887.0</v>
      </c>
    </row>
    <row r="1394" ht="15.75" customHeight="1">
      <c r="A1394" s="39">
        <v>45887.0</v>
      </c>
      <c r="B1394" s="87"/>
      <c r="C1394" s="31" t="s">
        <v>423</v>
      </c>
      <c r="D1394" s="32" t="s">
        <v>15</v>
      </c>
      <c r="E1394" s="31" t="s">
        <v>1551</v>
      </c>
      <c r="F1394" s="32" t="s">
        <v>139</v>
      </c>
      <c r="G1394" s="53">
        <v>710851.56</v>
      </c>
      <c r="H1394" s="14">
        <f t="shared" si="9"/>
        <v>149278.8276</v>
      </c>
      <c r="I1394" s="14">
        <v>21325.55</v>
      </c>
      <c r="J1394" s="22">
        <v>7819.37</v>
      </c>
      <c r="K1394" s="15">
        <f t="shared" si="4"/>
        <v>889275.3076</v>
      </c>
      <c r="L1394" s="45"/>
      <c r="M1394" s="24">
        <v>45887.0</v>
      </c>
    </row>
    <row r="1395" ht="15.75" customHeight="1">
      <c r="A1395" s="39">
        <v>45887.0</v>
      </c>
      <c r="B1395" s="87"/>
      <c r="C1395" s="31" t="s">
        <v>423</v>
      </c>
      <c r="D1395" s="32" t="s">
        <v>15</v>
      </c>
      <c r="E1395" s="31" t="s">
        <v>1552</v>
      </c>
      <c r="F1395" s="32" t="s">
        <v>139</v>
      </c>
      <c r="G1395" s="53">
        <v>483561.63</v>
      </c>
      <c r="H1395" s="14">
        <f t="shared" si="9"/>
        <v>101547.9423</v>
      </c>
      <c r="I1395" s="14">
        <v>14506.85</v>
      </c>
      <c r="J1395" s="22">
        <v>5319.18</v>
      </c>
      <c r="K1395" s="15">
        <f t="shared" si="4"/>
        <v>604935.6023</v>
      </c>
      <c r="L1395" s="45"/>
      <c r="M1395" s="24">
        <v>45887.0</v>
      </c>
    </row>
    <row r="1396" ht="15.75" customHeight="1">
      <c r="A1396" s="39">
        <v>45887.0</v>
      </c>
      <c r="B1396" s="87"/>
      <c r="C1396" s="31" t="s">
        <v>423</v>
      </c>
      <c r="D1396" s="32" t="s">
        <v>99</v>
      </c>
      <c r="E1396" s="31" t="s">
        <v>1553</v>
      </c>
      <c r="F1396" s="32" t="s">
        <v>139</v>
      </c>
      <c r="G1396" s="53">
        <v>1110345.4</v>
      </c>
      <c r="H1396" s="14">
        <f t="shared" si="9"/>
        <v>233172.534</v>
      </c>
      <c r="I1396" s="14">
        <v>33310.36</v>
      </c>
      <c r="J1396" s="22">
        <v>12213.8</v>
      </c>
      <c r="K1396" s="15">
        <f t="shared" si="4"/>
        <v>1389042.094</v>
      </c>
      <c r="L1396" s="45"/>
      <c r="M1396" s="24">
        <v>45887.0</v>
      </c>
    </row>
    <row r="1397" ht="15.75" customHeight="1">
      <c r="A1397" s="39">
        <v>45887.0</v>
      </c>
      <c r="B1397" s="87"/>
      <c r="C1397" s="31" t="s">
        <v>423</v>
      </c>
      <c r="D1397" s="32" t="s">
        <v>99</v>
      </c>
      <c r="E1397" s="31" t="s">
        <v>1554</v>
      </c>
      <c r="F1397" s="32" t="s">
        <v>139</v>
      </c>
      <c r="G1397" s="53">
        <v>715071.57</v>
      </c>
      <c r="H1397" s="14">
        <f t="shared" si="9"/>
        <v>150165.0297</v>
      </c>
      <c r="I1397" s="14">
        <v>21452.15</v>
      </c>
      <c r="J1397" s="22">
        <v>7865.79</v>
      </c>
      <c r="K1397" s="15">
        <f t="shared" si="4"/>
        <v>894554.5397</v>
      </c>
      <c r="L1397" s="45"/>
      <c r="M1397" s="24">
        <v>45887.0</v>
      </c>
    </row>
    <row r="1398" ht="15.75" customHeight="1">
      <c r="A1398" s="39">
        <v>45887.0</v>
      </c>
      <c r="B1398" s="87"/>
      <c r="C1398" s="31" t="s">
        <v>423</v>
      </c>
      <c r="D1398" s="32" t="s">
        <v>99</v>
      </c>
      <c r="E1398" s="31" t="s">
        <v>1555</v>
      </c>
      <c r="F1398" s="32" t="s">
        <v>139</v>
      </c>
      <c r="G1398" s="53">
        <v>800823.99</v>
      </c>
      <c r="H1398" s="14">
        <f t="shared" si="9"/>
        <v>168173.0379</v>
      </c>
      <c r="I1398" s="14">
        <v>24024.72</v>
      </c>
      <c r="J1398" s="22">
        <v>8809.06</v>
      </c>
      <c r="K1398" s="15">
        <f t="shared" si="4"/>
        <v>1001830.808</v>
      </c>
      <c r="L1398" s="45"/>
      <c r="M1398" s="24">
        <v>45887.0</v>
      </c>
    </row>
    <row r="1399" ht="15.75" customHeight="1">
      <c r="A1399" s="39">
        <v>45887.0</v>
      </c>
      <c r="B1399" s="87"/>
      <c r="C1399" s="31" t="s">
        <v>423</v>
      </c>
      <c r="D1399" s="32" t="s">
        <v>99</v>
      </c>
      <c r="E1399" s="31" t="s">
        <v>1556</v>
      </c>
      <c r="F1399" s="32" t="s">
        <v>139</v>
      </c>
      <c r="G1399" s="53">
        <v>1056996.61</v>
      </c>
      <c r="H1399" s="14">
        <f t="shared" si="9"/>
        <v>221969.2881</v>
      </c>
      <c r="I1399" s="14">
        <v>31709.9</v>
      </c>
      <c r="J1399" s="22">
        <v>11626.96</v>
      </c>
      <c r="K1399" s="15">
        <f t="shared" si="4"/>
        <v>1322302.758</v>
      </c>
      <c r="L1399" s="45"/>
      <c r="M1399" s="24">
        <v>45887.0</v>
      </c>
    </row>
    <row r="1400" ht="15.75" customHeight="1">
      <c r="A1400" s="39">
        <v>45887.0</v>
      </c>
      <c r="B1400" s="87"/>
      <c r="C1400" s="31" t="s">
        <v>423</v>
      </c>
      <c r="D1400" s="32" t="s">
        <v>99</v>
      </c>
      <c r="E1400" s="32" t="s">
        <v>1557</v>
      </c>
      <c r="F1400" s="32" t="s">
        <v>139</v>
      </c>
      <c r="G1400" s="53">
        <v>1112008.76</v>
      </c>
      <c r="H1400" s="14">
        <f t="shared" si="9"/>
        <v>233521.8396</v>
      </c>
      <c r="I1400" s="14">
        <v>33360.26</v>
      </c>
      <c r="J1400" s="22">
        <v>12232.1</v>
      </c>
      <c r="K1400" s="15">
        <f t="shared" si="4"/>
        <v>1391122.96</v>
      </c>
      <c r="L1400" s="45"/>
      <c r="M1400" s="24">
        <v>45887.0</v>
      </c>
    </row>
    <row r="1401" ht="15.75" customHeight="1">
      <c r="A1401" s="39">
        <v>45887.0</v>
      </c>
      <c r="B1401" s="87"/>
      <c r="C1401" s="31" t="s">
        <v>423</v>
      </c>
      <c r="D1401" s="32" t="s">
        <v>99</v>
      </c>
      <c r="E1401" s="31" t="s">
        <v>1558</v>
      </c>
      <c r="F1401" s="32" t="s">
        <v>139</v>
      </c>
      <c r="G1401" s="53">
        <v>1207685.93</v>
      </c>
      <c r="H1401" s="14">
        <f t="shared" si="9"/>
        <v>253614.0453</v>
      </c>
      <c r="I1401" s="14">
        <v>36230.58</v>
      </c>
      <c r="J1401" s="22">
        <v>13284.55</v>
      </c>
      <c r="K1401" s="15">
        <f t="shared" si="4"/>
        <v>1510815.105</v>
      </c>
      <c r="L1401" s="45"/>
      <c r="M1401" s="24">
        <v>45887.0</v>
      </c>
    </row>
    <row r="1402" ht="15.75" customHeight="1">
      <c r="A1402" s="39">
        <v>45887.0</v>
      </c>
      <c r="B1402" s="87"/>
      <c r="C1402" s="31" t="s">
        <v>1199</v>
      </c>
      <c r="D1402" s="32" t="s">
        <v>15</v>
      </c>
      <c r="E1402" s="31" t="s">
        <v>1559</v>
      </c>
      <c r="F1402" s="32" t="s">
        <v>139</v>
      </c>
      <c r="G1402" s="53">
        <v>4973320.13</v>
      </c>
      <c r="H1402" s="14">
        <f t="shared" si="9"/>
        <v>1044397.227</v>
      </c>
      <c r="I1402" s="50"/>
      <c r="J1402" s="14"/>
      <c r="K1402" s="15">
        <f t="shared" si="4"/>
        <v>6017717.357</v>
      </c>
      <c r="L1402" s="45"/>
      <c r="M1402" s="24">
        <v>45888.0</v>
      </c>
    </row>
    <row r="1403" ht="15.75" customHeight="1">
      <c r="A1403" s="39">
        <v>45887.0</v>
      </c>
      <c r="B1403" s="87"/>
      <c r="C1403" s="31" t="s">
        <v>1199</v>
      </c>
      <c r="D1403" s="32" t="s">
        <v>15</v>
      </c>
      <c r="E1403" s="31" t="s">
        <v>1560</v>
      </c>
      <c r="F1403" s="32" t="s">
        <v>139</v>
      </c>
      <c r="G1403" s="53">
        <v>5026489.39</v>
      </c>
      <c r="H1403" s="14">
        <f t="shared" si="9"/>
        <v>1055562.772</v>
      </c>
      <c r="I1403" s="50"/>
      <c r="J1403" s="14"/>
      <c r="K1403" s="15">
        <f t="shared" si="4"/>
        <v>6082052.162</v>
      </c>
      <c r="L1403" s="45"/>
      <c r="M1403" s="24">
        <v>45888.0</v>
      </c>
    </row>
    <row r="1404" ht="15.75" customHeight="1">
      <c r="A1404" s="63">
        <v>45888.0</v>
      </c>
      <c r="B1404" s="64"/>
      <c r="C1404" s="57" t="s">
        <v>1542</v>
      </c>
      <c r="D1404" s="57" t="s">
        <v>1543</v>
      </c>
      <c r="E1404" s="58" t="s">
        <v>1544</v>
      </c>
      <c r="F1404" s="58" t="s">
        <v>139</v>
      </c>
      <c r="G1404" s="65">
        <v>-509013.86</v>
      </c>
      <c r="H1404" s="9">
        <f t="shared" si="9"/>
        <v>-106892.9106</v>
      </c>
      <c r="I1404" s="56"/>
      <c r="J1404" s="60"/>
      <c r="K1404" s="10">
        <f t="shared" si="4"/>
        <v>-615906.7706</v>
      </c>
      <c r="L1404" s="61"/>
      <c r="M1404" s="62"/>
    </row>
    <row r="1405" ht="15.75" customHeight="1">
      <c r="A1405" s="63">
        <v>45888.0</v>
      </c>
      <c r="B1405" s="64"/>
      <c r="C1405" s="57" t="s">
        <v>1542</v>
      </c>
      <c r="D1405" s="57" t="s">
        <v>1543</v>
      </c>
      <c r="E1405" s="58" t="s">
        <v>1561</v>
      </c>
      <c r="F1405" s="58" t="s">
        <v>139</v>
      </c>
      <c r="G1405" s="65">
        <v>5.3238280485E8</v>
      </c>
      <c r="H1405" s="9">
        <f t="shared" si="9"/>
        <v>111800389</v>
      </c>
      <c r="I1405" s="56"/>
      <c r="J1405" s="60"/>
      <c r="K1405" s="10">
        <f t="shared" si="4"/>
        <v>644183193.9</v>
      </c>
      <c r="L1405" s="61"/>
      <c r="M1405" s="62"/>
    </row>
    <row r="1406" ht="15.75" customHeight="1">
      <c r="A1406" s="63">
        <v>45888.0</v>
      </c>
      <c r="B1406" s="64"/>
      <c r="C1406" s="57" t="s">
        <v>1542</v>
      </c>
      <c r="D1406" s="57" t="s">
        <v>1543</v>
      </c>
      <c r="E1406" s="58" t="s">
        <v>1561</v>
      </c>
      <c r="F1406" s="58" t="s">
        <v>139</v>
      </c>
      <c r="G1406" s="65">
        <v>-5.3238280485E8</v>
      </c>
      <c r="H1406" s="9">
        <f t="shared" si="9"/>
        <v>-111800389</v>
      </c>
      <c r="I1406" s="56"/>
      <c r="J1406" s="60"/>
      <c r="K1406" s="10">
        <f t="shared" si="4"/>
        <v>-644183193.9</v>
      </c>
      <c r="L1406" s="61"/>
      <c r="M1406" s="62"/>
    </row>
    <row r="1407" ht="15.75" customHeight="1">
      <c r="A1407" s="39">
        <v>45888.0</v>
      </c>
      <c r="B1407" s="87"/>
      <c r="C1407" s="31" t="s">
        <v>1183</v>
      </c>
      <c r="D1407" s="32" t="s">
        <v>15</v>
      </c>
      <c r="E1407" s="31" t="s">
        <v>1562</v>
      </c>
      <c r="F1407" s="32" t="s">
        <v>139</v>
      </c>
      <c r="G1407" s="53">
        <v>6893260.18</v>
      </c>
      <c r="H1407" s="14">
        <f t="shared" si="9"/>
        <v>1447584.638</v>
      </c>
      <c r="I1407" s="22">
        <v>206797.81</v>
      </c>
      <c r="J1407" s="14"/>
      <c r="K1407" s="15">
        <f t="shared" si="4"/>
        <v>8547642.628</v>
      </c>
      <c r="L1407" s="45"/>
      <c r="M1407" s="24">
        <v>45889.0</v>
      </c>
    </row>
    <row r="1408" ht="15.75" customHeight="1">
      <c r="A1408" s="39">
        <v>45888.0</v>
      </c>
      <c r="B1408" s="87"/>
      <c r="C1408" s="31" t="s">
        <v>1183</v>
      </c>
      <c r="D1408" s="32" t="s">
        <v>15</v>
      </c>
      <c r="E1408" s="31" t="s">
        <v>1563</v>
      </c>
      <c r="F1408" s="32" t="s">
        <v>139</v>
      </c>
      <c r="G1408" s="53">
        <v>8119472.63</v>
      </c>
      <c r="H1408" s="14">
        <f t="shared" si="9"/>
        <v>1705089.252</v>
      </c>
      <c r="I1408" s="22">
        <v>243584.18</v>
      </c>
      <c r="J1408" s="14"/>
      <c r="K1408" s="15">
        <f t="shared" si="4"/>
        <v>10068146.06</v>
      </c>
      <c r="L1408" s="45"/>
      <c r="M1408" s="24">
        <v>45889.0</v>
      </c>
    </row>
    <row r="1409" ht="15.75" customHeight="1">
      <c r="A1409" s="39">
        <v>45888.0</v>
      </c>
      <c r="B1409" s="87"/>
      <c r="C1409" s="31" t="s">
        <v>1564</v>
      </c>
      <c r="D1409" s="32" t="s">
        <v>15</v>
      </c>
      <c r="E1409" s="31" t="s">
        <v>1565</v>
      </c>
      <c r="F1409" s="32" t="s">
        <v>139</v>
      </c>
      <c r="G1409" s="53">
        <v>5154641.05</v>
      </c>
      <c r="H1409" s="14">
        <f t="shared" si="9"/>
        <v>1082474.621</v>
      </c>
      <c r="I1409" s="22">
        <v>154639.23</v>
      </c>
      <c r="J1409" s="14"/>
      <c r="K1409" s="15">
        <f t="shared" si="4"/>
        <v>6391754.901</v>
      </c>
      <c r="L1409" s="45"/>
      <c r="M1409" s="24">
        <v>45889.0</v>
      </c>
    </row>
    <row r="1410" ht="15.75" customHeight="1">
      <c r="A1410" s="39">
        <v>45888.0</v>
      </c>
      <c r="B1410" s="87"/>
      <c r="C1410" s="31" t="s">
        <v>1564</v>
      </c>
      <c r="D1410" s="32" t="s">
        <v>15</v>
      </c>
      <c r="E1410" s="31" t="s">
        <v>1566</v>
      </c>
      <c r="F1410" s="32" t="s">
        <v>139</v>
      </c>
      <c r="G1410" s="53">
        <v>6861890.29</v>
      </c>
      <c r="H1410" s="14">
        <f t="shared" si="9"/>
        <v>1440996.961</v>
      </c>
      <c r="I1410" s="22">
        <v>205856.71</v>
      </c>
      <c r="J1410" s="14"/>
      <c r="K1410" s="15">
        <f t="shared" si="4"/>
        <v>8508743.961</v>
      </c>
      <c r="L1410" s="45"/>
      <c r="M1410" s="24">
        <v>45889.0</v>
      </c>
    </row>
    <row r="1411" ht="15.75" customHeight="1">
      <c r="A1411" s="39">
        <v>45831.0</v>
      </c>
      <c r="B1411" s="50"/>
      <c r="C1411" s="31" t="s">
        <v>137</v>
      </c>
      <c r="D1411" s="32" t="s">
        <v>15</v>
      </c>
      <c r="E1411" s="31" t="s">
        <v>1567</v>
      </c>
      <c r="F1411" s="46">
        <v>45833.0</v>
      </c>
      <c r="G1411" s="22">
        <v>8645322.06</v>
      </c>
      <c r="H1411" s="14">
        <f t="shared" si="9"/>
        <v>1815517.633</v>
      </c>
      <c r="I1411" s="14"/>
      <c r="J1411" s="14"/>
      <c r="K1411" s="15">
        <f t="shared" si="4"/>
        <v>10460839.69</v>
      </c>
      <c r="L1411" s="45"/>
      <c r="M1411" s="24">
        <v>45860.0</v>
      </c>
    </row>
    <row r="1412" ht="15.75" customHeight="1">
      <c r="A1412" s="39">
        <v>45831.0</v>
      </c>
      <c r="B1412" s="50"/>
      <c r="C1412" s="31" t="s">
        <v>137</v>
      </c>
      <c r="D1412" s="32" t="s">
        <v>15</v>
      </c>
      <c r="E1412" s="32" t="s">
        <v>1568</v>
      </c>
      <c r="F1412" s="46">
        <v>45833.0</v>
      </c>
      <c r="G1412" s="22">
        <v>8497431.42</v>
      </c>
      <c r="H1412" s="14">
        <f t="shared" si="9"/>
        <v>1784460.598</v>
      </c>
      <c r="I1412" s="14"/>
      <c r="J1412" s="14"/>
      <c r="K1412" s="15">
        <f t="shared" si="4"/>
        <v>10281892.02</v>
      </c>
      <c r="L1412" s="45"/>
      <c r="M1412" s="24">
        <v>45890.0</v>
      </c>
    </row>
    <row r="1413" ht="15.75" customHeight="1">
      <c r="A1413" s="39">
        <v>45831.0</v>
      </c>
      <c r="B1413" s="50"/>
      <c r="C1413" s="31" t="s">
        <v>137</v>
      </c>
      <c r="D1413" s="32" t="s">
        <v>99</v>
      </c>
      <c r="E1413" s="32" t="s">
        <v>1569</v>
      </c>
      <c r="F1413" s="46">
        <v>45833.0</v>
      </c>
      <c r="G1413" s="22">
        <v>8231591.72</v>
      </c>
      <c r="H1413" s="14">
        <f t="shared" si="9"/>
        <v>1728634.261</v>
      </c>
      <c r="I1413" s="14"/>
      <c r="J1413" s="22">
        <v>205789.79</v>
      </c>
      <c r="K1413" s="15">
        <f t="shared" si="4"/>
        <v>10166015.77</v>
      </c>
      <c r="L1413" s="45"/>
      <c r="M1413" s="24">
        <v>45890.0</v>
      </c>
    </row>
    <row r="1414" ht="15.75" customHeight="1">
      <c r="A1414" s="39">
        <v>45831.0</v>
      </c>
      <c r="B1414" s="50"/>
      <c r="C1414" s="31" t="s">
        <v>137</v>
      </c>
      <c r="D1414" s="32" t="s">
        <v>99</v>
      </c>
      <c r="E1414" s="32" t="s">
        <v>1570</v>
      </c>
      <c r="F1414" s="46">
        <v>45833.0</v>
      </c>
      <c r="G1414" s="22">
        <v>7629685.19</v>
      </c>
      <c r="H1414" s="14">
        <f t="shared" si="9"/>
        <v>1602233.89</v>
      </c>
      <c r="I1414" s="14"/>
      <c r="J1414" s="22">
        <v>190742.13</v>
      </c>
      <c r="K1414" s="15">
        <f t="shared" si="4"/>
        <v>9422661.21</v>
      </c>
      <c r="L1414" s="45"/>
      <c r="M1414" s="24">
        <v>45890.0</v>
      </c>
    </row>
    <row r="1415" ht="15.75" customHeight="1">
      <c r="A1415" s="39">
        <v>45888.0</v>
      </c>
      <c r="B1415" s="87"/>
      <c r="C1415" s="31" t="s">
        <v>1179</v>
      </c>
      <c r="D1415" s="32" t="s">
        <v>99</v>
      </c>
      <c r="E1415" s="31" t="s">
        <v>1571</v>
      </c>
      <c r="F1415" s="32" t="s">
        <v>139</v>
      </c>
      <c r="G1415" s="53">
        <v>1.201643009E7</v>
      </c>
      <c r="H1415" s="14">
        <f t="shared" si="9"/>
        <v>2523450.319</v>
      </c>
      <c r="I1415" s="22">
        <v>360492.9</v>
      </c>
      <c r="J1415" s="22">
        <v>180246.45</v>
      </c>
      <c r="K1415" s="15">
        <f t="shared" si="4"/>
        <v>15080619.76</v>
      </c>
      <c r="L1415" s="45"/>
      <c r="M1415" s="24">
        <v>46015.0</v>
      </c>
    </row>
    <row r="1416" ht="15.75" customHeight="1">
      <c r="A1416" s="39">
        <v>45888.0</v>
      </c>
      <c r="B1416" s="87"/>
      <c r="C1416" s="31" t="s">
        <v>1179</v>
      </c>
      <c r="D1416" s="32" t="s">
        <v>99</v>
      </c>
      <c r="E1416" s="31" t="s">
        <v>1572</v>
      </c>
      <c r="F1416" s="32" t="s">
        <v>139</v>
      </c>
      <c r="G1416" s="53">
        <v>7989570.18</v>
      </c>
      <c r="H1416" s="14">
        <f t="shared" si="9"/>
        <v>1677809.738</v>
      </c>
      <c r="I1416" s="50"/>
      <c r="J1416" s="22">
        <v>119843.55</v>
      </c>
      <c r="K1416" s="15">
        <f t="shared" si="4"/>
        <v>9787223.468</v>
      </c>
      <c r="L1416" s="45"/>
      <c r="M1416" s="24">
        <v>46015.0</v>
      </c>
    </row>
    <row r="1417" ht="15.75" customHeight="1">
      <c r="A1417" s="39">
        <v>45888.0</v>
      </c>
      <c r="B1417" s="87"/>
      <c r="C1417" s="31" t="s">
        <v>1179</v>
      </c>
      <c r="D1417" s="32" t="s">
        <v>99</v>
      </c>
      <c r="E1417" s="31" t="s">
        <v>1573</v>
      </c>
      <c r="F1417" s="32" t="s">
        <v>139</v>
      </c>
      <c r="G1417" s="53">
        <v>7022710.19</v>
      </c>
      <c r="H1417" s="14">
        <f t="shared" si="9"/>
        <v>1474769.14</v>
      </c>
      <c r="I1417" s="50"/>
      <c r="J1417" s="14"/>
      <c r="K1417" s="15">
        <f t="shared" si="4"/>
        <v>8497479.33</v>
      </c>
      <c r="L1417" s="45"/>
      <c r="M1417" s="24">
        <v>46015.0</v>
      </c>
    </row>
    <row r="1418" ht="15.75" customHeight="1">
      <c r="A1418" s="39">
        <v>45888.0</v>
      </c>
      <c r="B1418" s="87"/>
      <c r="C1418" s="31" t="s">
        <v>1179</v>
      </c>
      <c r="D1418" s="32" t="s">
        <v>15</v>
      </c>
      <c r="E1418" s="31" t="s">
        <v>1574</v>
      </c>
      <c r="F1418" s="32" t="s">
        <v>139</v>
      </c>
      <c r="G1418" s="53">
        <v>1.284965008E7</v>
      </c>
      <c r="H1418" s="14">
        <f t="shared" si="9"/>
        <v>2698426.517</v>
      </c>
      <c r="I1418" s="50"/>
      <c r="J1418" s="22">
        <v>192744.75</v>
      </c>
      <c r="K1418" s="15">
        <f t="shared" si="4"/>
        <v>15740821.35</v>
      </c>
      <c r="L1418" s="45"/>
      <c r="M1418" s="24">
        <v>46015.0</v>
      </c>
    </row>
    <row r="1419" ht="15.75" customHeight="1">
      <c r="A1419" s="39">
        <v>45888.0</v>
      </c>
      <c r="B1419" s="87"/>
      <c r="C1419" s="31" t="s">
        <v>1179</v>
      </c>
      <c r="D1419" s="32" t="s">
        <v>15</v>
      </c>
      <c r="E1419" s="31" t="s">
        <v>1575</v>
      </c>
      <c r="F1419" s="32" t="s">
        <v>139</v>
      </c>
      <c r="G1419" s="53">
        <v>1.216628042E7</v>
      </c>
      <c r="H1419" s="14">
        <f t="shared" si="9"/>
        <v>2554918.888</v>
      </c>
      <c r="I1419" s="50"/>
      <c r="J1419" s="22">
        <v>182494.21</v>
      </c>
      <c r="K1419" s="15">
        <f t="shared" si="4"/>
        <v>14903693.52</v>
      </c>
      <c r="L1419" s="45"/>
      <c r="M1419" s="24">
        <v>46015.0</v>
      </c>
    </row>
    <row r="1420" ht="15.75" customHeight="1">
      <c r="A1420" s="39">
        <v>45888.0</v>
      </c>
      <c r="B1420" s="87"/>
      <c r="C1420" s="31" t="s">
        <v>1179</v>
      </c>
      <c r="D1420" s="32" t="s">
        <v>15</v>
      </c>
      <c r="E1420" s="31" t="s">
        <v>1576</v>
      </c>
      <c r="F1420" s="32" t="s">
        <v>139</v>
      </c>
      <c r="G1420" s="53">
        <v>4978470.63</v>
      </c>
      <c r="H1420" s="14">
        <f t="shared" si="9"/>
        <v>1045478.832</v>
      </c>
      <c r="I1420" s="50"/>
      <c r="J1420" s="22">
        <v>74677.06</v>
      </c>
      <c r="K1420" s="15">
        <f t="shared" si="4"/>
        <v>6098626.522</v>
      </c>
      <c r="L1420" s="45"/>
      <c r="M1420" s="24">
        <v>46015.0</v>
      </c>
    </row>
    <row r="1421" ht="15.75" customHeight="1">
      <c r="A1421" s="39">
        <v>45888.0</v>
      </c>
      <c r="B1421" s="87"/>
      <c r="C1421" s="31" t="s">
        <v>1577</v>
      </c>
      <c r="D1421" s="32" t="s">
        <v>15</v>
      </c>
      <c r="E1421" s="31" t="s">
        <v>1578</v>
      </c>
      <c r="F1421" s="32" t="s">
        <v>139</v>
      </c>
      <c r="G1421" s="53">
        <v>4000030.75</v>
      </c>
      <c r="H1421" s="14">
        <f t="shared" si="9"/>
        <v>840006.4575</v>
      </c>
      <c r="I1421" s="22">
        <v>120000.92</v>
      </c>
      <c r="J1421" s="14"/>
      <c r="K1421" s="15">
        <f t="shared" si="4"/>
        <v>4960038.128</v>
      </c>
      <c r="L1421" s="45"/>
      <c r="M1421" s="24">
        <v>45890.0</v>
      </c>
    </row>
    <row r="1422" ht="15.75" customHeight="1">
      <c r="A1422" s="39">
        <v>45888.0</v>
      </c>
      <c r="B1422" s="87"/>
      <c r="C1422" s="31" t="s">
        <v>1577</v>
      </c>
      <c r="D1422" s="32" t="s">
        <v>15</v>
      </c>
      <c r="E1422" s="32" t="s">
        <v>1579</v>
      </c>
      <c r="F1422" s="32" t="s">
        <v>139</v>
      </c>
      <c r="G1422" s="53">
        <v>1000137.08</v>
      </c>
      <c r="H1422" s="14">
        <f t="shared" si="9"/>
        <v>210028.7868</v>
      </c>
      <c r="I1422" s="50"/>
      <c r="J1422" s="14"/>
      <c r="K1422" s="15">
        <f t="shared" si="4"/>
        <v>1210165.867</v>
      </c>
      <c r="L1422" s="45"/>
      <c r="M1422" s="24">
        <v>45890.0</v>
      </c>
    </row>
    <row r="1423" ht="15.75" customHeight="1">
      <c r="A1423" s="39">
        <v>45889.0</v>
      </c>
      <c r="B1423" s="87"/>
      <c r="C1423" s="31" t="s">
        <v>1136</v>
      </c>
      <c r="D1423" s="32" t="s">
        <v>15</v>
      </c>
      <c r="E1423" s="31" t="s">
        <v>1580</v>
      </c>
      <c r="F1423" s="32" t="s">
        <v>139</v>
      </c>
      <c r="G1423" s="53">
        <v>4.132535E7</v>
      </c>
      <c r="H1423" s="14">
        <f t="shared" si="9"/>
        <v>8678323.5</v>
      </c>
      <c r="I1423" s="22">
        <v>1239760.5</v>
      </c>
      <c r="J1423" s="14"/>
      <c r="K1423" s="15">
        <f t="shared" si="4"/>
        <v>51243434</v>
      </c>
      <c r="L1423" s="45"/>
      <c r="M1423" s="6"/>
    </row>
    <row r="1424" ht="15.75" customHeight="1">
      <c r="A1424" s="39">
        <v>45889.0</v>
      </c>
      <c r="B1424" s="87"/>
      <c r="C1424" s="31" t="s">
        <v>1136</v>
      </c>
      <c r="D1424" s="32" t="s">
        <v>15</v>
      </c>
      <c r="E1424" s="31" t="s">
        <v>1581</v>
      </c>
      <c r="F1424" s="32" t="s">
        <v>139</v>
      </c>
      <c r="G1424" s="53">
        <v>4.133436644E7</v>
      </c>
      <c r="H1424" s="14">
        <f t="shared" si="9"/>
        <v>8680216.952</v>
      </c>
      <c r="I1424" s="22">
        <v>1240030.99</v>
      </c>
      <c r="J1424" s="14"/>
      <c r="K1424" s="15">
        <f t="shared" si="4"/>
        <v>51254614.38</v>
      </c>
      <c r="L1424" s="45"/>
      <c r="M1424" s="6"/>
    </row>
    <row r="1425" ht="15.75" customHeight="1">
      <c r="A1425" s="39">
        <v>45889.0</v>
      </c>
      <c r="B1425" s="87"/>
      <c r="C1425" s="31" t="s">
        <v>1136</v>
      </c>
      <c r="D1425" s="32" t="s">
        <v>15</v>
      </c>
      <c r="E1425" s="31" t="s">
        <v>1582</v>
      </c>
      <c r="F1425" s="32" t="s">
        <v>139</v>
      </c>
      <c r="G1425" s="53">
        <v>4.131633356E7</v>
      </c>
      <c r="H1425" s="14">
        <f t="shared" si="9"/>
        <v>8676430.048</v>
      </c>
      <c r="I1425" s="22">
        <v>1239490.01</v>
      </c>
      <c r="J1425" s="14"/>
      <c r="K1425" s="15">
        <f t="shared" si="4"/>
        <v>51232253.62</v>
      </c>
      <c r="L1425" s="45"/>
      <c r="M1425" s="6"/>
    </row>
    <row r="1426" ht="15.75" customHeight="1">
      <c r="A1426" s="39">
        <v>45889.0</v>
      </c>
      <c r="B1426" s="87"/>
      <c r="C1426" s="31" t="s">
        <v>1136</v>
      </c>
      <c r="D1426" s="32" t="s">
        <v>15</v>
      </c>
      <c r="E1426" s="31" t="s">
        <v>1583</v>
      </c>
      <c r="F1426" s="32" t="s">
        <v>139</v>
      </c>
      <c r="G1426" s="53">
        <v>4.131933904E7</v>
      </c>
      <c r="H1426" s="14">
        <f t="shared" si="9"/>
        <v>8677061.198</v>
      </c>
      <c r="I1426" s="22">
        <v>1239580.17</v>
      </c>
      <c r="J1426" s="14"/>
      <c r="K1426" s="15">
        <f t="shared" si="4"/>
        <v>51235980.41</v>
      </c>
      <c r="L1426" s="45"/>
      <c r="M1426" s="6"/>
    </row>
    <row r="1427" ht="15.75" customHeight="1">
      <c r="A1427" s="39">
        <v>45889.0</v>
      </c>
      <c r="B1427" s="87"/>
      <c r="C1427" s="31" t="s">
        <v>1136</v>
      </c>
      <c r="D1427" s="32" t="s">
        <v>15</v>
      </c>
      <c r="E1427" s="31" t="s">
        <v>1584</v>
      </c>
      <c r="F1427" s="32" t="s">
        <v>139</v>
      </c>
      <c r="G1427" s="53">
        <v>4.131633356E7</v>
      </c>
      <c r="H1427" s="14">
        <f t="shared" si="9"/>
        <v>8676430.048</v>
      </c>
      <c r="I1427" s="22">
        <v>1239490.01</v>
      </c>
      <c r="J1427" s="14"/>
      <c r="K1427" s="15">
        <f t="shared" si="4"/>
        <v>51232253.62</v>
      </c>
      <c r="L1427" s="45"/>
      <c r="M1427" s="6"/>
    </row>
    <row r="1428" ht="15.75" customHeight="1">
      <c r="A1428" s="39">
        <v>45889.0</v>
      </c>
      <c r="B1428" s="87"/>
      <c r="C1428" s="31" t="s">
        <v>1136</v>
      </c>
      <c r="D1428" s="32" t="s">
        <v>99</v>
      </c>
      <c r="E1428" s="31" t="s">
        <v>1585</v>
      </c>
      <c r="F1428" s="32" t="s">
        <v>139</v>
      </c>
      <c r="G1428" s="53">
        <v>2.479334739E7</v>
      </c>
      <c r="H1428" s="14">
        <f t="shared" si="9"/>
        <v>5206602.952</v>
      </c>
      <c r="I1428" s="22">
        <v>743800.42</v>
      </c>
      <c r="J1428" s="14"/>
      <c r="K1428" s="15">
        <f t="shared" si="4"/>
        <v>30743750.76</v>
      </c>
      <c r="L1428" s="45"/>
      <c r="M1428" s="6"/>
    </row>
    <row r="1429" ht="15.75" customHeight="1">
      <c r="A1429" s="39">
        <v>45889.0</v>
      </c>
      <c r="B1429" s="87"/>
      <c r="C1429" s="31" t="s">
        <v>1136</v>
      </c>
      <c r="D1429" s="32" t="s">
        <v>99</v>
      </c>
      <c r="E1429" s="31" t="s">
        <v>1586</v>
      </c>
      <c r="F1429" s="32" t="s">
        <v>139</v>
      </c>
      <c r="G1429" s="53">
        <v>2.47903425E7</v>
      </c>
      <c r="H1429" s="14">
        <f t="shared" si="9"/>
        <v>5205971.925</v>
      </c>
      <c r="I1429" s="22">
        <v>743710.28</v>
      </c>
      <c r="J1429" s="14"/>
      <c r="K1429" s="15">
        <f t="shared" si="4"/>
        <v>30740024.71</v>
      </c>
      <c r="L1429" s="45"/>
      <c r="M1429" s="6"/>
    </row>
    <row r="1430" ht="15.75" customHeight="1">
      <c r="A1430" s="39">
        <v>45889.0</v>
      </c>
      <c r="B1430" s="87"/>
      <c r="C1430" s="31" t="s">
        <v>1136</v>
      </c>
      <c r="D1430" s="32" t="s">
        <v>99</v>
      </c>
      <c r="E1430" s="31" t="s">
        <v>1587</v>
      </c>
      <c r="F1430" s="32" t="s">
        <v>139</v>
      </c>
      <c r="G1430" s="53">
        <v>2.479635228E7</v>
      </c>
      <c r="H1430" s="14">
        <f t="shared" si="9"/>
        <v>5207233.979</v>
      </c>
      <c r="I1430" s="22">
        <v>743890.57</v>
      </c>
      <c r="J1430" s="14"/>
      <c r="K1430" s="15">
        <f t="shared" si="4"/>
        <v>30747476.83</v>
      </c>
      <c r="L1430" s="45"/>
      <c r="M1430" s="6"/>
    </row>
    <row r="1431" ht="15.75" customHeight="1">
      <c r="A1431" s="39">
        <v>45889.0</v>
      </c>
      <c r="B1431" s="87"/>
      <c r="C1431" s="31" t="s">
        <v>1136</v>
      </c>
      <c r="D1431" s="32" t="s">
        <v>99</v>
      </c>
      <c r="E1431" s="31" t="s">
        <v>1588</v>
      </c>
      <c r="F1431" s="32" t="s">
        <v>139</v>
      </c>
      <c r="G1431" s="53">
        <v>2.47903425E7</v>
      </c>
      <c r="H1431" s="14">
        <f t="shared" si="9"/>
        <v>5205971.925</v>
      </c>
      <c r="I1431" s="22">
        <v>743710.28</v>
      </c>
      <c r="J1431" s="14"/>
      <c r="K1431" s="15">
        <f t="shared" si="4"/>
        <v>30740024.71</v>
      </c>
      <c r="L1431" s="45"/>
      <c r="M1431" s="6"/>
    </row>
    <row r="1432" ht="15.75" customHeight="1">
      <c r="A1432" s="39">
        <v>45889.0</v>
      </c>
      <c r="B1432" s="87"/>
      <c r="C1432" s="31" t="s">
        <v>1136</v>
      </c>
      <c r="D1432" s="32" t="s">
        <v>99</v>
      </c>
      <c r="E1432" s="31" t="s">
        <v>1589</v>
      </c>
      <c r="F1432" s="32" t="s">
        <v>139</v>
      </c>
      <c r="G1432" s="53">
        <v>2.479635228E7</v>
      </c>
      <c r="H1432" s="14">
        <f t="shared" si="9"/>
        <v>5207233.979</v>
      </c>
      <c r="I1432" s="22">
        <v>743890.57</v>
      </c>
      <c r="J1432" s="14"/>
      <c r="K1432" s="15">
        <f t="shared" si="4"/>
        <v>30747476.83</v>
      </c>
      <c r="L1432" s="45"/>
      <c r="M1432" s="6"/>
    </row>
    <row r="1433" ht="15.75" customHeight="1">
      <c r="A1433" s="39">
        <v>45889.0</v>
      </c>
      <c r="B1433" s="87"/>
      <c r="C1433" s="31" t="s">
        <v>1285</v>
      </c>
      <c r="D1433" s="32" t="s">
        <v>15</v>
      </c>
      <c r="E1433" s="31" t="s">
        <v>1590</v>
      </c>
      <c r="F1433" s="32" t="s">
        <v>139</v>
      </c>
      <c r="G1433" s="53">
        <v>3004950.08</v>
      </c>
      <c r="H1433" s="14">
        <f t="shared" si="9"/>
        <v>631039.5168</v>
      </c>
      <c r="I1433" s="50"/>
      <c r="J1433" s="14"/>
      <c r="K1433" s="15">
        <f t="shared" si="4"/>
        <v>3635989.597</v>
      </c>
      <c r="L1433" s="45"/>
      <c r="M1433" s="24">
        <v>45890.0</v>
      </c>
    </row>
    <row r="1434" ht="15.75" customHeight="1">
      <c r="A1434" s="39">
        <v>45889.0</v>
      </c>
      <c r="B1434" s="87"/>
      <c r="C1434" s="31" t="s">
        <v>146</v>
      </c>
      <c r="D1434" s="32" t="s">
        <v>15</v>
      </c>
      <c r="E1434" s="31" t="s">
        <v>1591</v>
      </c>
      <c r="F1434" s="32" t="s">
        <v>139</v>
      </c>
      <c r="G1434" s="53">
        <v>4986350.19</v>
      </c>
      <c r="H1434" s="14">
        <f t="shared" si="9"/>
        <v>1047133.54</v>
      </c>
      <c r="I1434" s="50"/>
      <c r="J1434" s="14"/>
      <c r="K1434" s="15">
        <f t="shared" si="4"/>
        <v>6033483.73</v>
      </c>
      <c r="L1434" s="45"/>
      <c r="M1434" s="19" t="s">
        <v>1592</v>
      </c>
    </row>
    <row r="1435" ht="15.75" customHeight="1">
      <c r="A1435" s="39">
        <v>45889.0</v>
      </c>
      <c r="B1435" s="87"/>
      <c r="C1435" s="31" t="s">
        <v>146</v>
      </c>
      <c r="D1435" s="32" t="s">
        <v>15</v>
      </c>
      <c r="E1435" s="31" t="s">
        <v>1593</v>
      </c>
      <c r="F1435" s="32" t="s">
        <v>139</v>
      </c>
      <c r="G1435" s="53">
        <v>5124530.42</v>
      </c>
      <c r="H1435" s="14">
        <f t="shared" si="9"/>
        <v>1076151.388</v>
      </c>
      <c r="I1435" s="50"/>
      <c r="J1435" s="14"/>
      <c r="K1435" s="15">
        <f t="shared" si="4"/>
        <v>6200681.808</v>
      </c>
      <c r="L1435" s="45"/>
      <c r="M1435" s="19" t="s">
        <v>1592</v>
      </c>
    </row>
    <row r="1436" ht="15.75" customHeight="1">
      <c r="A1436" s="39">
        <v>45889.0</v>
      </c>
      <c r="B1436" s="87"/>
      <c r="C1436" s="31" t="s">
        <v>146</v>
      </c>
      <c r="D1436" s="32" t="s">
        <v>15</v>
      </c>
      <c r="E1436" s="31" t="s">
        <v>1594</v>
      </c>
      <c r="F1436" s="32" t="s">
        <v>139</v>
      </c>
      <c r="G1436" s="53">
        <v>5184380.73</v>
      </c>
      <c r="H1436" s="14">
        <f t="shared" si="9"/>
        <v>1088719.953</v>
      </c>
      <c r="I1436" s="50"/>
      <c r="J1436" s="14"/>
      <c r="K1436" s="15">
        <f t="shared" si="4"/>
        <v>6273100.683</v>
      </c>
      <c r="L1436" s="45"/>
      <c r="M1436" s="19" t="s">
        <v>1592</v>
      </c>
    </row>
    <row r="1437" ht="15.75" customHeight="1">
      <c r="A1437" s="39">
        <v>45889.0</v>
      </c>
      <c r="B1437" s="87"/>
      <c r="C1437" s="31" t="s">
        <v>146</v>
      </c>
      <c r="D1437" s="32" t="s">
        <v>15</v>
      </c>
      <c r="E1437" s="31" t="s">
        <v>1595</v>
      </c>
      <c r="F1437" s="32" t="s">
        <v>139</v>
      </c>
      <c r="G1437" s="53">
        <v>-4986350.19</v>
      </c>
      <c r="H1437" s="14">
        <f t="shared" si="9"/>
        <v>-1047133.54</v>
      </c>
      <c r="I1437" s="50"/>
      <c r="J1437" s="14"/>
      <c r="K1437" s="15">
        <f t="shared" si="4"/>
        <v>-6033483.73</v>
      </c>
      <c r="L1437" s="45"/>
      <c r="M1437" s="19" t="s">
        <v>1592</v>
      </c>
    </row>
    <row r="1438" ht="15.75" customHeight="1">
      <c r="A1438" s="39">
        <v>45889.0</v>
      </c>
      <c r="B1438" s="87"/>
      <c r="C1438" s="31" t="s">
        <v>146</v>
      </c>
      <c r="D1438" s="32" t="s">
        <v>15</v>
      </c>
      <c r="E1438" s="31" t="s">
        <v>1596</v>
      </c>
      <c r="F1438" s="32" t="s">
        <v>139</v>
      </c>
      <c r="G1438" s="53">
        <v>-5184380.73</v>
      </c>
      <c r="H1438" s="14">
        <f t="shared" si="9"/>
        <v>-1088719.953</v>
      </c>
      <c r="I1438" s="50"/>
      <c r="J1438" s="14"/>
      <c r="K1438" s="15">
        <f t="shared" si="4"/>
        <v>-6273100.683</v>
      </c>
      <c r="L1438" s="45"/>
      <c r="M1438" s="19" t="s">
        <v>1592</v>
      </c>
    </row>
    <row r="1439" ht="15.75" customHeight="1">
      <c r="A1439" s="39">
        <v>45889.0</v>
      </c>
      <c r="B1439" s="87"/>
      <c r="C1439" s="31" t="s">
        <v>146</v>
      </c>
      <c r="D1439" s="32" t="s">
        <v>15</v>
      </c>
      <c r="E1439" s="31" t="s">
        <v>1597</v>
      </c>
      <c r="F1439" s="32" t="s">
        <v>139</v>
      </c>
      <c r="G1439" s="53">
        <v>-5124530.42</v>
      </c>
      <c r="H1439" s="14">
        <f t="shared" si="9"/>
        <v>-1076151.388</v>
      </c>
      <c r="I1439" s="50"/>
      <c r="J1439" s="14"/>
      <c r="K1439" s="15">
        <f t="shared" si="4"/>
        <v>-6200681.808</v>
      </c>
      <c r="L1439" s="45"/>
      <c r="M1439" s="19" t="s">
        <v>1592</v>
      </c>
    </row>
    <row r="1440" ht="15.75" customHeight="1">
      <c r="A1440" s="39">
        <v>45889.0</v>
      </c>
      <c r="B1440" s="87"/>
      <c r="C1440" s="31" t="s">
        <v>146</v>
      </c>
      <c r="D1440" s="32" t="s">
        <v>15</v>
      </c>
      <c r="E1440" s="31" t="s">
        <v>1598</v>
      </c>
      <c r="F1440" s="32" t="s">
        <v>139</v>
      </c>
      <c r="G1440" s="53">
        <v>4986350.19</v>
      </c>
      <c r="H1440" s="14">
        <f t="shared" si="9"/>
        <v>1047133.54</v>
      </c>
      <c r="I1440" s="50"/>
      <c r="J1440" s="14"/>
      <c r="K1440" s="15">
        <f t="shared" si="4"/>
        <v>6033483.73</v>
      </c>
      <c r="L1440" s="45"/>
      <c r="M1440" s="19" t="s">
        <v>1592</v>
      </c>
    </row>
    <row r="1441" ht="15.75" customHeight="1">
      <c r="A1441" s="39">
        <v>45889.0</v>
      </c>
      <c r="B1441" s="87"/>
      <c r="C1441" s="31" t="s">
        <v>146</v>
      </c>
      <c r="D1441" s="32" t="s">
        <v>15</v>
      </c>
      <c r="E1441" s="32" t="s">
        <v>1599</v>
      </c>
      <c r="F1441" s="32" t="s">
        <v>139</v>
      </c>
      <c r="G1441" s="53">
        <v>5124530.42</v>
      </c>
      <c r="H1441" s="14">
        <f t="shared" si="9"/>
        <v>1076151.388</v>
      </c>
      <c r="I1441" s="50"/>
      <c r="J1441" s="14"/>
      <c r="K1441" s="15">
        <f t="shared" si="4"/>
        <v>6200681.808</v>
      </c>
      <c r="L1441" s="45"/>
      <c r="M1441" s="19" t="s">
        <v>1592</v>
      </c>
    </row>
    <row r="1442" ht="15.75" customHeight="1">
      <c r="A1442" s="39">
        <v>45889.0</v>
      </c>
      <c r="B1442" s="87"/>
      <c r="C1442" s="31" t="s">
        <v>146</v>
      </c>
      <c r="D1442" s="32" t="s">
        <v>15</v>
      </c>
      <c r="E1442" s="32" t="s">
        <v>1600</v>
      </c>
      <c r="F1442" s="32" t="s">
        <v>139</v>
      </c>
      <c r="G1442" s="53">
        <v>5184380.73</v>
      </c>
      <c r="H1442" s="14">
        <f t="shared" si="9"/>
        <v>1088719.953</v>
      </c>
      <c r="I1442" s="50"/>
      <c r="J1442" s="14"/>
      <c r="K1442" s="15">
        <f t="shared" si="4"/>
        <v>6273100.683</v>
      </c>
      <c r="L1442" s="45"/>
      <c r="M1442" s="19" t="s">
        <v>1592</v>
      </c>
    </row>
    <row r="1443" ht="15.75" customHeight="1">
      <c r="A1443" s="39">
        <v>45890.0</v>
      </c>
      <c r="B1443" s="87"/>
      <c r="C1443" s="31" t="s">
        <v>247</v>
      </c>
      <c r="D1443" s="32" t="s">
        <v>15</v>
      </c>
      <c r="E1443" s="31" t="s">
        <v>1601</v>
      </c>
      <c r="F1443" s="32" t="s">
        <v>139</v>
      </c>
      <c r="G1443" s="53">
        <v>9983450.12</v>
      </c>
      <c r="H1443" s="14">
        <f t="shared" si="9"/>
        <v>2096524.525</v>
      </c>
      <c r="I1443" s="50"/>
      <c r="J1443" s="14"/>
      <c r="K1443" s="15">
        <f t="shared" si="4"/>
        <v>12079974.65</v>
      </c>
      <c r="L1443" s="45"/>
      <c r="M1443" s="24">
        <v>45954.0</v>
      </c>
    </row>
    <row r="1444" ht="15.75" customHeight="1">
      <c r="A1444" s="39">
        <v>45890.0</v>
      </c>
      <c r="B1444" s="87"/>
      <c r="C1444" s="31" t="s">
        <v>247</v>
      </c>
      <c r="D1444" s="32" t="s">
        <v>15</v>
      </c>
      <c r="E1444" s="31" t="s">
        <v>1602</v>
      </c>
      <c r="F1444" s="32" t="s">
        <v>139</v>
      </c>
      <c r="G1444" s="53">
        <v>9745650.17</v>
      </c>
      <c r="H1444" s="14">
        <f t="shared" si="9"/>
        <v>2046586.536</v>
      </c>
      <c r="I1444" s="50"/>
      <c r="J1444" s="14"/>
      <c r="K1444" s="15">
        <f t="shared" si="4"/>
        <v>11792236.71</v>
      </c>
      <c r="L1444" s="45"/>
      <c r="M1444" s="24">
        <v>45926.0</v>
      </c>
    </row>
    <row r="1445" ht="15.75" customHeight="1">
      <c r="A1445" s="39">
        <v>45890.0</v>
      </c>
      <c r="B1445" s="87"/>
      <c r="C1445" s="31" t="s">
        <v>247</v>
      </c>
      <c r="D1445" s="32" t="s">
        <v>15</v>
      </c>
      <c r="E1445" s="31" t="s">
        <v>1603</v>
      </c>
      <c r="F1445" s="32" t="s">
        <v>139</v>
      </c>
      <c r="G1445" s="53">
        <v>1.535285008E7</v>
      </c>
      <c r="H1445" s="14">
        <f t="shared" si="9"/>
        <v>3224098.517</v>
      </c>
      <c r="I1445" s="50"/>
      <c r="J1445" s="14"/>
      <c r="K1445" s="15">
        <f t="shared" si="4"/>
        <v>18576948.6</v>
      </c>
      <c r="L1445" s="45"/>
      <c r="M1445" s="24">
        <v>45954.0</v>
      </c>
    </row>
    <row r="1446" ht="15.75" customHeight="1">
      <c r="A1446" s="39">
        <v>45890.0</v>
      </c>
      <c r="B1446" s="87"/>
      <c r="C1446" s="31" t="s">
        <v>429</v>
      </c>
      <c r="D1446" s="32" t="s">
        <v>99</v>
      </c>
      <c r="E1446" s="31" t="s">
        <v>1604</v>
      </c>
      <c r="F1446" s="32" t="s">
        <v>139</v>
      </c>
      <c r="G1446" s="53">
        <v>6823460.16</v>
      </c>
      <c r="H1446" s="14">
        <f t="shared" si="9"/>
        <v>1432926.634</v>
      </c>
      <c r="I1446" s="50"/>
      <c r="J1446" s="14"/>
      <c r="K1446" s="15">
        <f t="shared" si="4"/>
        <v>8256386.794</v>
      </c>
      <c r="L1446" s="45"/>
      <c r="M1446" s="6"/>
    </row>
    <row r="1447" ht="15.75" customHeight="1">
      <c r="A1447" s="39">
        <v>45890.0</v>
      </c>
      <c r="B1447" s="87"/>
      <c r="C1447" s="31" t="s">
        <v>429</v>
      </c>
      <c r="D1447" s="32" t="s">
        <v>99</v>
      </c>
      <c r="E1447" s="31" t="s">
        <v>1605</v>
      </c>
      <c r="F1447" s="32" t="s">
        <v>139</v>
      </c>
      <c r="G1447" s="53">
        <v>8283690.07</v>
      </c>
      <c r="H1447" s="14">
        <f t="shared" si="9"/>
        <v>1739574.915</v>
      </c>
      <c r="I1447" s="50"/>
      <c r="J1447" s="22">
        <v>8283.69</v>
      </c>
      <c r="K1447" s="15">
        <f t="shared" si="4"/>
        <v>10031548.67</v>
      </c>
      <c r="L1447" s="45"/>
      <c r="M1447" s="6"/>
    </row>
    <row r="1448" ht="15.75" customHeight="1">
      <c r="A1448" s="39">
        <v>45890.0</v>
      </c>
      <c r="B1448" s="87"/>
      <c r="C1448" s="31" t="s">
        <v>429</v>
      </c>
      <c r="D1448" s="32" t="s">
        <v>99</v>
      </c>
      <c r="E1448" s="31" t="s">
        <v>1606</v>
      </c>
      <c r="F1448" s="32" t="s">
        <v>139</v>
      </c>
      <c r="G1448" s="53">
        <v>4921840.32</v>
      </c>
      <c r="H1448" s="14">
        <f t="shared" si="9"/>
        <v>1033586.467</v>
      </c>
      <c r="I1448" s="50"/>
      <c r="J1448" s="22">
        <v>4921.84</v>
      </c>
      <c r="K1448" s="15">
        <f t="shared" si="4"/>
        <v>5960348.627</v>
      </c>
      <c r="L1448" s="45"/>
      <c r="M1448" s="24">
        <v>45904.0</v>
      </c>
    </row>
    <row r="1449" ht="15.75" customHeight="1">
      <c r="A1449" s="39">
        <v>45894.0</v>
      </c>
      <c r="B1449" s="87"/>
      <c r="C1449" s="32" t="s">
        <v>122</v>
      </c>
      <c r="D1449" s="32" t="s">
        <v>15</v>
      </c>
      <c r="E1449" s="31" t="s">
        <v>1607</v>
      </c>
      <c r="F1449" s="32" t="s">
        <v>139</v>
      </c>
      <c r="G1449" s="53">
        <v>4961644.69</v>
      </c>
      <c r="H1449" s="14">
        <f t="shared" si="9"/>
        <v>1041945.385</v>
      </c>
      <c r="I1449" s="50"/>
      <c r="J1449" s="14"/>
      <c r="K1449" s="15">
        <f t="shared" si="4"/>
        <v>6003590.075</v>
      </c>
      <c r="L1449" s="45"/>
      <c r="M1449" s="24">
        <v>45924.0</v>
      </c>
    </row>
    <row r="1450" ht="15.75" customHeight="1">
      <c r="A1450" s="39">
        <v>45894.0</v>
      </c>
      <c r="B1450" s="87"/>
      <c r="C1450" s="31" t="s">
        <v>1285</v>
      </c>
      <c r="D1450" s="32" t="s">
        <v>15</v>
      </c>
      <c r="E1450" s="31" t="s">
        <v>1608</v>
      </c>
      <c r="F1450" s="32" t="s">
        <v>139</v>
      </c>
      <c r="G1450" s="53">
        <v>3007920.19</v>
      </c>
      <c r="H1450" s="14">
        <f t="shared" si="9"/>
        <v>631663.2399</v>
      </c>
      <c r="I1450" s="50"/>
      <c r="J1450" s="14"/>
      <c r="K1450" s="15">
        <f t="shared" si="4"/>
        <v>3639583.43</v>
      </c>
      <c r="L1450" s="45"/>
      <c r="M1450" s="19" t="s">
        <v>1592</v>
      </c>
    </row>
    <row r="1451" ht="15.75" customHeight="1">
      <c r="A1451" s="39">
        <v>45894.0</v>
      </c>
      <c r="B1451" s="87"/>
      <c r="C1451" s="31" t="s">
        <v>379</v>
      </c>
      <c r="D1451" s="32" t="s">
        <v>15</v>
      </c>
      <c r="E1451" s="31" t="s">
        <v>1609</v>
      </c>
      <c r="F1451" s="32" t="s">
        <v>139</v>
      </c>
      <c r="G1451" s="53">
        <v>3168690.12</v>
      </c>
      <c r="H1451" s="14">
        <f t="shared" si="9"/>
        <v>665424.9252</v>
      </c>
      <c r="I1451" s="50"/>
      <c r="J1451" s="14"/>
      <c r="K1451" s="15">
        <f t="shared" si="4"/>
        <v>3834115.045</v>
      </c>
      <c r="L1451" s="45"/>
      <c r="M1451" s="24">
        <v>45913.0</v>
      </c>
    </row>
    <row r="1452" ht="15.75" customHeight="1">
      <c r="A1452" s="39">
        <v>45894.0</v>
      </c>
      <c r="B1452" s="87"/>
      <c r="C1452" s="31" t="s">
        <v>379</v>
      </c>
      <c r="D1452" s="32" t="s">
        <v>15</v>
      </c>
      <c r="E1452" s="31" t="s">
        <v>1610</v>
      </c>
      <c r="F1452" s="32" t="s">
        <v>139</v>
      </c>
      <c r="G1452" s="53">
        <v>2843530.95</v>
      </c>
      <c r="H1452" s="14">
        <f t="shared" si="9"/>
        <v>597141.4995</v>
      </c>
      <c r="I1452" s="50"/>
      <c r="J1452" s="14"/>
      <c r="K1452" s="15">
        <f t="shared" si="4"/>
        <v>3440672.45</v>
      </c>
      <c r="L1452" s="45"/>
      <c r="M1452" s="24">
        <v>45913.0</v>
      </c>
    </row>
    <row r="1453" ht="15.75" customHeight="1">
      <c r="A1453" s="39">
        <v>45894.0</v>
      </c>
      <c r="B1453" s="87"/>
      <c r="C1453" s="31" t="s">
        <v>74</v>
      </c>
      <c r="D1453" s="32" t="s">
        <v>15</v>
      </c>
      <c r="E1453" s="31" t="s">
        <v>1611</v>
      </c>
      <c r="F1453" s="32" t="s">
        <v>139</v>
      </c>
      <c r="G1453" s="53">
        <v>6521940.08</v>
      </c>
      <c r="H1453" s="14">
        <f t="shared" si="9"/>
        <v>1369607.417</v>
      </c>
      <c r="I1453" s="50"/>
      <c r="J1453" s="22">
        <v>104351.04</v>
      </c>
      <c r="K1453" s="15">
        <f t="shared" si="4"/>
        <v>7995898.537</v>
      </c>
      <c r="L1453" s="45"/>
      <c r="M1453" s="24">
        <v>45919.0</v>
      </c>
    </row>
    <row r="1454" ht="15.75" customHeight="1">
      <c r="A1454" s="39">
        <v>45894.0</v>
      </c>
      <c r="B1454" s="87"/>
      <c r="C1454" s="31" t="s">
        <v>74</v>
      </c>
      <c r="D1454" s="32" t="s">
        <v>15</v>
      </c>
      <c r="E1454" s="31" t="s">
        <v>1612</v>
      </c>
      <c r="F1454" s="32" t="s">
        <v>139</v>
      </c>
      <c r="G1454" s="53">
        <v>3678180.37</v>
      </c>
      <c r="H1454" s="14">
        <f t="shared" si="9"/>
        <v>772417.8777</v>
      </c>
      <c r="I1454" s="50"/>
      <c r="J1454" s="14"/>
      <c r="K1454" s="15">
        <f t="shared" si="4"/>
        <v>4450598.248</v>
      </c>
      <c r="L1454" s="45"/>
      <c r="M1454" s="24">
        <v>45919.0</v>
      </c>
    </row>
    <row r="1455" ht="15.75" customHeight="1">
      <c r="A1455" s="39">
        <v>45894.0</v>
      </c>
      <c r="B1455" s="87"/>
      <c r="C1455" s="31" t="s">
        <v>74</v>
      </c>
      <c r="D1455" s="32" t="s">
        <v>15</v>
      </c>
      <c r="E1455" s="31" t="s">
        <v>1613</v>
      </c>
      <c r="F1455" s="32" t="s">
        <v>139</v>
      </c>
      <c r="G1455" s="53">
        <v>1892290.3</v>
      </c>
      <c r="H1455" s="14">
        <f t="shared" si="9"/>
        <v>397380.963</v>
      </c>
      <c r="I1455" s="22">
        <v>56768.71</v>
      </c>
      <c r="J1455" s="22">
        <v>30276.64</v>
      </c>
      <c r="K1455" s="15">
        <f t="shared" si="4"/>
        <v>2376716.613</v>
      </c>
      <c r="L1455" s="45"/>
      <c r="M1455" s="24">
        <v>45925.0</v>
      </c>
    </row>
    <row r="1456" ht="15.75" customHeight="1">
      <c r="A1456" s="39">
        <v>45894.0</v>
      </c>
      <c r="B1456" s="87"/>
      <c r="C1456" s="31" t="s">
        <v>74</v>
      </c>
      <c r="D1456" s="32" t="s">
        <v>15</v>
      </c>
      <c r="E1456" s="31" t="s">
        <v>1614</v>
      </c>
      <c r="F1456" s="32" t="s">
        <v>139</v>
      </c>
      <c r="G1456" s="53">
        <v>5991820.64</v>
      </c>
      <c r="H1456" s="14">
        <f t="shared" si="9"/>
        <v>1258282.334</v>
      </c>
      <c r="I1456" s="50"/>
      <c r="J1456" s="14"/>
      <c r="K1456" s="15">
        <f t="shared" si="4"/>
        <v>7250102.974</v>
      </c>
      <c r="L1456" s="45"/>
      <c r="M1456" s="24">
        <v>45925.0</v>
      </c>
    </row>
    <row r="1457" ht="15.75" customHeight="1">
      <c r="A1457" s="39">
        <v>45894.0</v>
      </c>
      <c r="B1457" s="87"/>
      <c r="C1457" s="31" t="s">
        <v>74</v>
      </c>
      <c r="D1457" s="32" t="s">
        <v>15</v>
      </c>
      <c r="E1457" s="31" t="s">
        <v>1615</v>
      </c>
      <c r="F1457" s="32" t="s">
        <v>139</v>
      </c>
      <c r="G1457" s="53">
        <v>2008360.18</v>
      </c>
      <c r="H1457" s="14">
        <f t="shared" si="9"/>
        <v>421755.6378</v>
      </c>
      <c r="I1457" s="50"/>
      <c r="J1457" s="22">
        <v>32133.76</v>
      </c>
      <c r="K1457" s="15">
        <f t="shared" si="4"/>
        <v>2462249.578</v>
      </c>
      <c r="L1457" s="45"/>
      <c r="M1457" s="24">
        <v>45925.0</v>
      </c>
    </row>
    <row r="1458" ht="15.75" customHeight="1">
      <c r="A1458" s="39">
        <v>45894.0</v>
      </c>
      <c r="B1458" s="87"/>
      <c r="C1458" s="31" t="s">
        <v>379</v>
      </c>
      <c r="D1458" s="32" t="s">
        <v>99</v>
      </c>
      <c r="E1458" s="31" t="s">
        <v>1616</v>
      </c>
      <c r="F1458" s="32" t="s">
        <v>139</v>
      </c>
      <c r="G1458" s="53">
        <v>3168690.55</v>
      </c>
      <c r="H1458" s="14">
        <f t="shared" si="9"/>
        <v>665425.0155</v>
      </c>
      <c r="I1458" s="50"/>
      <c r="J1458" s="22">
        <v>3168.69</v>
      </c>
      <c r="K1458" s="15">
        <f t="shared" si="4"/>
        <v>3837284.256</v>
      </c>
      <c r="L1458" s="45"/>
      <c r="M1458" s="6"/>
    </row>
    <row r="1459" ht="15.75" customHeight="1">
      <c r="A1459" s="39">
        <v>45894.0</v>
      </c>
      <c r="B1459" s="87"/>
      <c r="C1459" s="31" t="s">
        <v>379</v>
      </c>
      <c r="D1459" s="32" t="s">
        <v>99</v>
      </c>
      <c r="E1459" s="31" t="s">
        <v>1617</v>
      </c>
      <c r="F1459" s="32" t="s">
        <v>139</v>
      </c>
      <c r="G1459" s="53">
        <v>2843530.12</v>
      </c>
      <c r="H1459" s="14">
        <f t="shared" si="9"/>
        <v>597141.3252</v>
      </c>
      <c r="I1459" s="50"/>
      <c r="J1459" s="14"/>
      <c r="K1459" s="15">
        <f t="shared" si="4"/>
        <v>3440671.445</v>
      </c>
      <c r="L1459" s="45"/>
      <c r="M1459" s="6"/>
    </row>
    <row r="1460" ht="15.75" customHeight="1">
      <c r="A1460" s="39">
        <v>45814.0</v>
      </c>
      <c r="B1460" s="50"/>
      <c r="C1460" s="31" t="s">
        <v>171</v>
      </c>
      <c r="D1460" s="32" t="s">
        <v>15</v>
      </c>
      <c r="E1460" s="31" t="s">
        <v>1618</v>
      </c>
      <c r="F1460" s="46">
        <v>45833.0</v>
      </c>
      <c r="G1460" s="22">
        <v>1.000102293E7</v>
      </c>
      <c r="H1460" s="14">
        <f t="shared" si="9"/>
        <v>2100214.815</v>
      </c>
      <c r="I1460" s="14"/>
      <c r="J1460" s="14"/>
      <c r="K1460" s="15">
        <f t="shared" si="4"/>
        <v>12101237.75</v>
      </c>
      <c r="L1460" s="45"/>
      <c r="M1460" s="24">
        <v>45818.0</v>
      </c>
    </row>
    <row r="1461" ht="15.75" customHeight="1">
      <c r="A1461" s="39">
        <v>45814.0</v>
      </c>
      <c r="B1461" s="50"/>
      <c r="C1461" s="31" t="s">
        <v>171</v>
      </c>
      <c r="D1461" s="32" t="s">
        <v>15</v>
      </c>
      <c r="E1461" s="31" t="s">
        <v>1619</v>
      </c>
      <c r="F1461" s="46">
        <v>45833.0</v>
      </c>
      <c r="G1461" s="22">
        <v>1.000073109E7</v>
      </c>
      <c r="H1461" s="14">
        <f t="shared" si="9"/>
        <v>2100153.529</v>
      </c>
      <c r="I1461" s="14"/>
      <c r="J1461" s="14"/>
      <c r="K1461" s="15">
        <f t="shared" si="4"/>
        <v>12100884.62</v>
      </c>
      <c r="L1461" s="45"/>
      <c r="M1461" s="24">
        <v>45818.0</v>
      </c>
    </row>
    <row r="1462" ht="15.75" customHeight="1">
      <c r="A1462" s="39">
        <v>45848.0</v>
      </c>
      <c r="B1462" s="39"/>
      <c r="C1462" s="31" t="s">
        <v>171</v>
      </c>
      <c r="D1462" s="32" t="s">
        <v>15</v>
      </c>
      <c r="E1462" s="31" t="s">
        <v>1620</v>
      </c>
      <c r="F1462" s="134">
        <v>45863.0</v>
      </c>
      <c r="G1462" s="53">
        <v>1.000065932E7</v>
      </c>
      <c r="H1462" s="14">
        <f t="shared" si="9"/>
        <v>2100138.457</v>
      </c>
      <c r="I1462" s="50"/>
      <c r="J1462" s="14"/>
      <c r="K1462" s="15">
        <f t="shared" si="4"/>
        <v>12100797.78</v>
      </c>
      <c r="L1462" s="45"/>
      <c r="M1462" s="24">
        <v>45869.0</v>
      </c>
    </row>
    <row r="1463" ht="15.75" customHeight="1">
      <c r="A1463" s="39">
        <v>45895.0</v>
      </c>
      <c r="B1463" s="87"/>
      <c r="C1463" s="31" t="s">
        <v>864</v>
      </c>
      <c r="D1463" s="32" t="s">
        <v>15</v>
      </c>
      <c r="E1463" s="31" t="s">
        <v>1621</v>
      </c>
      <c r="F1463" s="32" t="s">
        <v>139</v>
      </c>
      <c r="G1463" s="53">
        <v>6700172.43</v>
      </c>
      <c r="H1463" s="14">
        <f t="shared" si="9"/>
        <v>1407036.21</v>
      </c>
      <c r="I1463" s="50"/>
      <c r="J1463" s="14"/>
      <c r="K1463" s="15">
        <f t="shared" si="4"/>
        <v>8107208.64</v>
      </c>
      <c r="L1463" s="45"/>
      <c r="M1463" s="142">
        <v>45666.0</v>
      </c>
    </row>
    <row r="1464" ht="15.75" customHeight="1">
      <c r="A1464" s="39">
        <v>45895.0</v>
      </c>
      <c r="B1464" s="87"/>
      <c r="C1464" s="31" t="s">
        <v>864</v>
      </c>
      <c r="D1464" s="32" t="s">
        <v>15</v>
      </c>
      <c r="E1464" s="31" t="s">
        <v>1622</v>
      </c>
      <c r="F1464" s="32" t="s">
        <v>139</v>
      </c>
      <c r="G1464" s="53">
        <v>7838221.08</v>
      </c>
      <c r="H1464" s="14">
        <f t="shared" si="9"/>
        <v>1646026.427</v>
      </c>
      <c r="I1464" s="50"/>
      <c r="J1464" s="14"/>
      <c r="K1464" s="15">
        <f t="shared" si="4"/>
        <v>9484247.507</v>
      </c>
      <c r="L1464" s="45"/>
      <c r="M1464" s="142">
        <v>45666.0</v>
      </c>
    </row>
    <row r="1465" ht="15.75" customHeight="1">
      <c r="A1465" s="39">
        <v>45895.0</v>
      </c>
      <c r="B1465" s="87"/>
      <c r="C1465" s="31" t="s">
        <v>864</v>
      </c>
      <c r="D1465" s="32" t="s">
        <v>15</v>
      </c>
      <c r="E1465" s="31" t="s">
        <v>1623</v>
      </c>
      <c r="F1465" s="32" t="s">
        <v>139</v>
      </c>
      <c r="G1465" s="53">
        <v>7262511.08</v>
      </c>
      <c r="H1465" s="14">
        <f t="shared" si="9"/>
        <v>1525127.327</v>
      </c>
      <c r="I1465" s="22">
        <v>217875.33</v>
      </c>
      <c r="J1465" s="14"/>
      <c r="K1465" s="15">
        <f t="shared" si="4"/>
        <v>9005513.737</v>
      </c>
      <c r="L1465" s="45"/>
      <c r="M1465" s="142">
        <v>45666.0</v>
      </c>
    </row>
    <row r="1466" ht="15.75" customHeight="1">
      <c r="A1466" s="39">
        <v>45895.0</v>
      </c>
      <c r="B1466" s="87"/>
      <c r="C1466" s="31" t="s">
        <v>864</v>
      </c>
      <c r="D1466" s="32" t="s">
        <v>15</v>
      </c>
      <c r="E1466" s="31" t="s">
        <v>1624</v>
      </c>
      <c r="F1466" s="32" t="s">
        <v>139</v>
      </c>
      <c r="G1466" s="53">
        <v>5524212.41</v>
      </c>
      <c r="H1466" s="14">
        <f t="shared" si="9"/>
        <v>1160084.606</v>
      </c>
      <c r="I1466" s="50"/>
      <c r="J1466" s="14"/>
      <c r="K1466" s="15">
        <f t="shared" si="4"/>
        <v>6684297.016</v>
      </c>
      <c r="L1466" s="45"/>
      <c r="M1466" s="142">
        <v>45666.0</v>
      </c>
    </row>
    <row r="1467" ht="15.75" customHeight="1">
      <c r="A1467" s="39">
        <v>45895.0</v>
      </c>
      <c r="B1467" s="87"/>
      <c r="C1467" s="31" t="s">
        <v>864</v>
      </c>
      <c r="D1467" s="32" t="s">
        <v>15</v>
      </c>
      <c r="E1467" s="31" t="s">
        <v>1625</v>
      </c>
      <c r="F1467" s="32" t="s">
        <v>139</v>
      </c>
      <c r="G1467" s="53">
        <v>6843732.08</v>
      </c>
      <c r="H1467" s="14">
        <f t="shared" si="9"/>
        <v>1437183.737</v>
      </c>
      <c r="I1467" s="22">
        <v>205311.96</v>
      </c>
      <c r="J1467" s="14"/>
      <c r="K1467" s="15">
        <f t="shared" si="4"/>
        <v>8486227.777</v>
      </c>
      <c r="L1467" s="45"/>
      <c r="M1467" s="142">
        <v>45666.0</v>
      </c>
    </row>
    <row r="1468" ht="15.75" customHeight="1">
      <c r="A1468" s="39">
        <v>45895.0</v>
      </c>
      <c r="B1468" s="87"/>
      <c r="C1468" s="31" t="s">
        <v>864</v>
      </c>
      <c r="D1468" s="32" t="s">
        <v>15</v>
      </c>
      <c r="E1468" s="32" t="s">
        <v>1626</v>
      </c>
      <c r="F1468" s="32" t="s">
        <v>139</v>
      </c>
      <c r="G1468" s="53">
        <v>7112726.14</v>
      </c>
      <c r="H1468" s="14">
        <f t="shared" si="9"/>
        <v>1493672.489</v>
      </c>
      <c r="I1468" s="50"/>
      <c r="J1468" s="14"/>
      <c r="K1468" s="15">
        <f t="shared" si="4"/>
        <v>8606398.629</v>
      </c>
      <c r="L1468" s="45"/>
      <c r="M1468" s="142">
        <v>45666.0</v>
      </c>
    </row>
    <row r="1469" ht="15.75" customHeight="1">
      <c r="A1469" s="39">
        <v>45895.0</v>
      </c>
      <c r="B1469" s="87"/>
      <c r="C1469" s="31" t="s">
        <v>864</v>
      </c>
      <c r="D1469" s="32" t="s">
        <v>15</v>
      </c>
      <c r="E1469" s="31" t="s">
        <v>1627</v>
      </c>
      <c r="F1469" s="32" t="s">
        <v>139</v>
      </c>
      <c r="G1469" s="53">
        <v>1.595101208E7</v>
      </c>
      <c r="H1469" s="14">
        <f t="shared" si="9"/>
        <v>3349712.537</v>
      </c>
      <c r="I1469" s="22">
        <v>478530.36</v>
      </c>
      <c r="J1469" s="14"/>
      <c r="K1469" s="15">
        <f t="shared" si="4"/>
        <v>19779254.98</v>
      </c>
      <c r="L1469" s="45"/>
      <c r="M1469" s="142">
        <v>45697.0</v>
      </c>
    </row>
    <row r="1470" ht="15.75" customHeight="1">
      <c r="A1470" s="39">
        <v>45895.0</v>
      </c>
      <c r="B1470" s="87"/>
      <c r="C1470" s="31" t="s">
        <v>864</v>
      </c>
      <c r="D1470" s="32" t="s">
        <v>15</v>
      </c>
      <c r="E1470" s="31" t="s">
        <v>1628</v>
      </c>
      <c r="F1470" s="32" t="s">
        <v>139</v>
      </c>
      <c r="G1470" s="53">
        <v>1.727010243E7</v>
      </c>
      <c r="H1470" s="14">
        <f t="shared" si="9"/>
        <v>3626721.51</v>
      </c>
      <c r="I1470" s="22">
        <v>518103.07</v>
      </c>
      <c r="J1470" s="14"/>
      <c r="K1470" s="15">
        <f t="shared" si="4"/>
        <v>21414927.01</v>
      </c>
      <c r="L1470" s="45"/>
      <c r="M1470" s="142">
        <v>45666.0</v>
      </c>
    </row>
    <row r="1471" ht="15.75" customHeight="1">
      <c r="A1471" s="39">
        <v>45895.0</v>
      </c>
      <c r="B1471" s="87"/>
      <c r="C1471" s="31" t="s">
        <v>864</v>
      </c>
      <c r="D1471" s="32" t="s">
        <v>15</v>
      </c>
      <c r="E1471" s="31" t="s">
        <v>1629</v>
      </c>
      <c r="F1471" s="32" t="s">
        <v>139</v>
      </c>
      <c r="G1471" s="53">
        <v>1.147602136E7</v>
      </c>
      <c r="H1471" s="14">
        <f t="shared" si="9"/>
        <v>2409964.486</v>
      </c>
      <c r="I1471" s="22">
        <v>344280.64</v>
      </c>
      <c r="J1471" s="14"/>
      <c r="K1471" s="15">
        <f t="shared" si="4"/>
        <v>14230266.49</v>
      </c>
      <c r="L1471" s="45"/>
      <c r="M1471" s="142">
        <v>45697.0</v>
      </c>
    </row>
    <row r="1472" ht="15.75" customHeight="1">
      <c r="A1472" s="39">
        <v>45895.0</v>
      </c>
      <c r="B1472" s="87"/>
      <c r="C1472" s="31" t="s">
        <v>864</v>
      </c>
      <c r="D1472" s="32" t="s">
        <v>15</v>
      </c>
      <c r="E1472" s="31" t="s">
        <v>1630</v>
      </c>
      <c r="F1472" s="32" t="s">
        <v>139</v>
      </c>
      <c r="G1472" s="53">
        <v>1.268010359E7</v>
      </c>
      <c r="H1472" s="14">
        <f t="shared" si="9"/>
        <v>2662821.754</v>
      </c>
      <c r="I1472" s="22">
        <v>380403.11</v>
      </c>
      <c r="J1472" s="14"/>
      <c r="K1472" s="15">
        <f t="shared" si="4"/>
        <v>15723328.45</v>
      </c>
      <c r="L1472" s="45"/>
      <c r="M1472" s="142">
        <v>45697.0</v>
      </c>
    </row>
    <row r="1473" ht="15.75" customHeight="1">
      <c r="A1473" s="39">
        <v>45895.0</v>
      </c>
      <c r="B1473" s="87"/>
      <c r="C1473" s="31" t="s">
        <v>864</v>
      </c>
      <c r="D1473" s="32" t="s">
        <v>15</v>
      </c>
      <c r="E1473" s="31" t="s">
        <v>1631</v>
      </c>
      <c r="F1473" s="32" t="s">
        <v>139</v>
      </c>
      <c r="G1473" s="53">
        <v>1.034045908E7</v>
      </c>
      <c r="H1473" s="14">
        <f t="shared" si="9"/>
        <v>2171496.407</v>
      </c>
      <c r="I1473" s="50"/>
      <c r="J1473" s="14"/>
      <c r="K1473" s="15">
        <f t="shared" si="4"/>
        <v>12511955.49</v>
      </c>
      <c r="L1473" s="45"/>
      <c r="M1473" s="142">
        <v>45666.0</v>
      </c>
    </row>
    <row r="1474" ht="15.75" customHeight="1">
      <c r="A1474" s="39">
        <v>45895.0</v>
      </c>
      <c r="B1474" s="87"/>
      <c r="C1474" s="31" t="s">
        <v>864</v>
      </c>
      <c r="D1474" s="32" t="s">
        <v>15</v>
      </c>
      <c r="E1474" s="31" t="s">
        <v>1632</v>
      </c>
      <c r="F1474" s="32" t="s">
        <v>139</v>
      </c>
      <c r="G1474" s="53">
        <v>2.876002534E7</v>
      </c>
      <c r="H1474" s="14">
        <f t="shared" si="9"/>
        <v>6039605.321</v>
      </c>
      <c r="I1474" s="22">
        <v>862800.76</v>
      </c>
      <c r="J1474" s="14"/>
      <c r="K1474" s="15">
        <f t="shared" si="4"/>
        <v>35662431.42</v>
      </c>
      <c r="L1474" s="45"/>
      <c r="M1474" s="142">
        <v>45697.0</v>
      </c>
    </row>
    <row r="1475" ht="15.75" customHeight="1">
      <c r="A1475" s="39">
        <v>45895.0</v>
      </c>
      <c r="B1475" s="87"/>
      <c r="C1475" s="31" t="s">
        <v>864</v>
      </c>
      <c r="D1475" s="32" t="s">
        <v>15</v>
      </c>
      <c r="E1475" s="31" t="s">
        <v>1633</v>
      </c>
      <c r="F1475" s="32" t="s">
        <v>139</v>
      </c>
      <c r="G1475" s="53">
        <v>2.876002534E7</v>
      </c>
      <c r="H1475" s="14">
        <f t="shared" si="9"/>
        <v>6039605.321</v>
      </c>
      <c r="I1475" s="22">
        <v>862800.76</v>
      </c>
      <c r="J1475" s="14"/>
      <c r="K1475" s="15">
        <f t="shared" si="4"/>
        <v>35662431.42</v>
      </c>
      <c r="L1475" s="45"/>
      <c r="M1475" s="142">
        <v>45697.0</v>
      </c>
    </row>
    <row r="1476" ht="15.75" customHeight="1">
      <c r="A1476" s="39">
        <v>45895.0</v>
      </c>
      <c r="B1476" s="87"/>
      <c r="C1476" s="31" t="s">
        <v>864</v>
      </c>
      <c r="D1476" s="32" t="s">
        <v>15</v>
      </c>
      <c r="E1476" s="31" t="s">
        <v>1634</v>
      </c>
      <c r="F1476" s="32" t="s">
        <v>139</v>
      </c>
      <c r="G1476" s="53">
        <v>2.876002534E7</v>
      </c>
      <c r="H1476" s="14">
        <f t="shared" si="9"/>
        <v>6039605.321</v>
      </c>
      <c r="I1476" s="22">
        <v>862800.76</v>
      </c>
      <c r="J1476" s="14"/>
      <c r="K1476" s="15">
        <f t="shared" si="4"/>
        <v>35662431.42</v>
      </c>
      <c r="L1476" s="45"/>
      <c r="M1476" s="142">
        <v>45666.0</v>
      </c>
    </row>
    <row r="1477" ht="15.75" customHeight="1">
      <c r="A1477" s="39">
        <v>45895.0</v>
      </c>
      <c r="B1477" s="87"/>
      <c r="C1477" s="31" t="s">
        <v>1635</v>
      </c>
      <c r="D1477" s="32" t="s">
        <v>15</v>
      </c>
      <c r="E1477" s="31" t="s">
        <v>1636</v>
      </c>
      <c r="F1477" s="32" t="s">
        <v>139</v>
      </c>
      <c r="G1477" s="53">
        <v>4836262.07</v>
      </c>
      <c r="H1477" s="14">
        <f t="shared" si="9"/>
        <v>1015615.035</v>
      </c>
      <c r="I1477" s="50"/>
      <c r="J1477" s="14"/>
      <c r="K1477" s="15">
        <f t="shared" si="4"/>
        <v>5851877.105</v>
      </c>
      <c r="L1477" s="45"/>
      <c r="M1477" s="142">
        <v>45786.0</v>
      </c>
    </row>
    <row r="1478" ht="15.75" customHeight="1">
      <c r="A1478" s="39">
        <v>45895.0</v>
      </c>
      <c r="B1478" s="87"/>
      <c r="C1478" s="31" t="s">
        <v>1635</v>
      </c>
      <c r="D1478" s="32" t="s">
        <v>15</v>
      </c>
      <c r="E1478" s="31" t="s">
        <v>1637</v>
      </c>
      <c r="F1478" s="32" t="s">
        <v>139</v>
      </c>
      <c r="G1478" s="53">
        <v>8336352.41</v>
      </c>
      <c r="H1478" s="14">
        <f t="shared" si="9"/>
        <v>1750634.006</v>
      </c>
      <c r="I1478" s="22">
        <v>250090.57</v>
      </c>
      <c r="J1478" s="14"/>
      <c r="K1478" s="15">
        <f t="shared" si="4"/>
        <v>10337076.99</v>
      </c>
      <c r="L1478" s="45"/>
      <c r="M1478" s="142">
        <v>45786.0</v>
      </c>
    </row>
    <row r="1479" ht="15.75" customHeight="1">
      <c r="A1479" s="39">
        <v>45895.0</v>
      </c>
      <c r="B1479" s="87"/>
      <c r="C1479" s="31" t="s">
        <v>1635</v>
      </c>
      <c r="D1479" s="32" t="s">
        <v>15</v>
      </c>
      <c r="E1479" s="31" t="s">
        <v>1638</v>
      </c>
      <c r="F1479" s="32" t="s">
        <v>139</v>
      </c>
      <c r="G1479" s="53">
        <v>5463632.27</v>
      </c>
      <c r="H1479" s="14">
        <f t="shared" si="9"/>
        <v>1147362.777</v>
      </c>
      <c r="I1479" s="50"/>
      <c r="J1479" s="14"/>
      <c r="K1479" s="15">
        <f t="shared" si="4"/>
        <v>6610995.047</v>
      </c>
      <c r="L1479" s="45"/>
      <c r="M1479" s="142">
        <v>45786.0</v>
      </c>
    </row>
    <row r="1480" ht="15.75" customHeight="1">
      <c r="A1480" s="39">
        <v>45895.0</v>
      </c>
      <c r="B1480" s="87"/>
      <c r="C1480" s="31" t="s">
        <v>1635</v>
      </c>
      <c r="D1480" s="32" t="s">
        <v>15</v>
      </c>
      <c r="E1480" s="31" t="s">
        <v>1639</v>
      </c>
      <c r="F1480" s="32" t="s">
        <v>139</v>
      </c>
      <c r="G1480" s="53">
        <v>1.222300142E7</v>
      </c>
      <c r="H1480" s="14">
        <f t="shared" si="9"/>
        <v>2566830.298</v>
      </c>
      <c r="I1480" s="22">
        <v>366690.04</v>
      </c>
      <c r="J1480" s="14"/>
      <c r="K1480" s="15">
        <f t="shared" si="4"/>
        <v>15156521.76</v>
      </c>
      <c r="L1480" s="45"/>
      <c r="M1480" s="142">
        <v>45786.0</v>
      </c>
    </row>
    <row r="1481" ht="15.75" customHeight="1">
      <c r="A1481" s="39">
        <v>45895.0</v>
      </c>
      <c r="B1481" s="87"/>
      <c r="C1481" s="31" t="s">
        <v>1635</v>
      </c>
      <c r="D1481" s="32" t="s">
        <v>15</v>
      </c>
      <c r="E1481" s="31" t="s">
        <v>1640</v>
      </c>
      <c r="F1481" s="32" t="s">
        <v>139</v>
      </c>
      <c r="G1481" s="53">
        <v>5436012.41</v>
      </c>
      <c r="H1481" s="14">
        <f t="shared" si="9"/>
        <v>1141562.606</v>
      </c>
      <c r="I1481" s="22">
        <v>163080.37</v>
      </c>
      <c r="J1481" s="14"/>
      <c r="K1481" s="15">
        <f t="shared" si="4"/>
        <v>6740655.386</v>
      </c>
      <c r="L1481" s="45"/>
      <c r="M1481" s="142">
        <v>45786.0</v>
      </c>
    </row>
    <row r="1482" ht="15.75" customHeight="1">
      <c r="A1482" s="39">
        <v>45895.0</v>
      </c>
      <c r="B1482" s="87"/>
      <c r="C1482" s="31" t="s">
        <v>1635</v>
      </c>
      <c r="D1482" s="32" t="s">
        <v>15</v>
      </c>
      <c r="E1482" s="31" t="s">
        <v>1641</v>
      </c>
      <c r="F1482" s="32" t="s">
        <v>139</v>
      </c>
      <c r="G1482" s="53">
        <v>7336261.07</v>
      </c>
      <c r="H1482" s="14">
        <f t="shared" si="9"/>
        <v>1540614.825</v>
      </c>
      <c r="I1482" s="22">
        <v>220087.83</v>
      </c>
      <c r="J1482" s="14"/>
      <c r="K1482" s="15">
        <f t="shared" si="4"/>
        <v>9096963.725</v>
      </c>
      <c r="L1482" s="45"/>
      <c r="M1482" s="142">
        <v>45786.0</v>
      </c>
    </row>
    <row r="1483" ht="15.75" customHeight="1">
      <c r="A1483" s="39">
        <v>45895.0</v>
      </c>
      <c r="B1483" s="87"/>
      <c r="C1483" s="31" t="s">
        <v>1635</v>
      </c>
      <c r="D1483" s="32" t="s">
        <v>15</v>
      </c>
      <c r="E1483" s="32" t="s">
        <v>1642</v>
      </c>
      <c r="F1483" s="32" t="s">
        <v>139</v>
      </c>
      <c r="G1483" s="53">
        <v>8047008.29</v>
      </c>
      <c r="H1483" s="14">
        <f t="shared" si="9"/>
        <v>1689871.741</v>
      </c>
      <c r="I1483" s="22">
        <v>241410.25</v>
      </c>
      <c r="J1483" s="14"/>
      <c r="K1483" s="15">
        <f t="shared" si="4"/>
        <v>9978290.281</v>
      </c>
      <c r="L1483" s="45"/>
      <c r="M1483" s="142">
        <v>45786.0</v>
      </c>
    </row>
    <row r="1484" ht="15.75" customHeight="1">
      <c r="A1484" s="39">
        <v>45895.0</v>
      </c>
      <c r="B1484" s="87"/>
      <c r="C1484" s="31" t="s">
        <v>635</v>
      </c>
      <c r="D1484" s="32" t="s">
        <v>15</v>
      </c>
      <c r="E1484" s="31" t="s">
        <v>1643</v>
      </c>
      <c r="F1484" s="32" t="s">
        <v>139</v>
      </c>
      <c r="G1484" s="53">
        <v>7733722.18</v>
      </c>
      <c r="H1484" s="14">
        <f t="shared" si="9"/>
        <v>1624081.658</v>
      </c>
      <c r="I1484" s="22">
        <v>232011.67</v>
      </c>
      <c r="J1484" s="14"/>
      <c r="K1484" s="15">
        <f t="shared" si="4"/>
        <v>9589815.508</v>
      </c>
      <c r="L1484" s="45"/>
      <c r="M1484" s="24">
        <v>45919.0</v>
      </c>
    </row>
    <row r="1485" ht="15.75" customHeight="1">
      <c r="A1485" s="39">
        <v>45895.0</v>
      </c>
      <c r="B1485" s="87"/>
      <c r="C1485" s="31" t="s">
        <v>635</v>
      </c>
      <c r="D1485" s="32" t="s">
        <v>15</v>
      </c>
      <c r="E1485" s="31" t="s">
        <v>1644</v>
      </c>
      <c r="F1485" s="32" t="s">
        <v>139</v>
      </c>
      <c r="G1485" s="53">
        <v>6252524.96</v>
      </c>
      <c r="H1485" s="14">
        <f t="shared" si="9"/>
        <v>1313030.242</v>
      </c>
      <c r="I1485" s="22">
        <v>187575.75</v>
      </c>
      <c r="J1485" s="14"/>
      <c r="K1485" s="15">
        <f t="shared" si="4"/>
        <v>7753130.952</v>
      </c>
      <c r="L1485" s="45"/>
      <c r="M1485" s="24">
        <v>45919.0</v>
      </c>
    </row>
    <row r="1486" ht="15.75" customHeight="1">
      <c r="A1486" s="39">
        <v>45895.0</v>
      </c>
      <c r="B1486" s="87"/>
      <c r="C1486" s="31" t="s">
        <v>635</v>
      </c>
      <c r="D1486" s="32" t="s">
        <v>15</v>
      </c>
      <c r="E1486" s="31" t="s">
        <v>1645</v>
      </c>
      <c r="F1486" s="32" t="s">
        <v>139</v>
      </c>
      <c r="G1486" s="53">
        <v>1.100275526E7</v>
      </c>
      <c r="H1486" s="14">
        <f t="shared" si="9"/>
        <v>2310578.605</v>
      </c>
      <c r="I1486" s="22">
        <v>330082.66</v>
      </c>
      <c r="J1486" s="14"/>
      <c r="K1486" s="15">
        <f t="shared" si="4"/>
        <v>13643416.52</v>
      </c>
      <c r="L1486" s="45"/>
      <c r="M1486" s="24">
        <v>45919.0</v>
      </c>
    </row>
    <row r="1487" ht="15.75" customHeight="1">
      <c r="A1487" s="39">
        <v>45895.0</v>
      </c>
      <c r="B1487" s="87"/>
      <c r="C1487" s="31" t="s">
        <v>635</v>
      </c>
      <c r="D1487" s="32" t="s">
        <v>15</v>
      </c>
      <c r="E1487" s="32" t="s">
        <v>1646</v>
      </c>
      <c r="F1487" s="32" t="s">
        <v>139</v>
      </c>
      <c r="G1487" s="53">
        <v>1.109928315E7</v>
      </c>
      <c r="H1487" s="14">
        <f t="shared" si="9"/>
        <v>2330849.462</v>
      </c>
      <c r="I1487" s="22">
        <v>332978.49</v>
      </c>
      <c r="J1487" s="14"/>
      <c r="K1487" s="15">
        <f t="shared" si="4"/>
        <v>13763111.1</v>
      </c>
      <c r="L1487" s="45"/>
      <c r="M1487" s="24">
        <v>45919.0</v>
      </c>
    </row>
    <row r="1488" ht="15.75" customHeight="1">
      <c r="A1488" s="39">
        <v>45895.0</v>
      </c>
      <c r="B1488" s="87"/>
      <c r="C1488" s="31" t="s">
        <v>635</v>
      </c>
      <c r="D1488" s="32" t="s">
        <v>15</v>
      </c>
      <c r="E1488" s="31" t="s">
        <v>1647</v>
      </c>
      <c r="F1488" s="32" t="s">
        <v>139</v>
      </c>
      <c r="G1488" s="53">
        <v>1.344488013E7</v>
      </c>
      <c r="H1488" s="14">
        <f t="shared" si="9"/>
        <v>2823424.827</v>
      </c>
      <c r="I1488" s="22">
        <v>403346.4</v>
      </c>
      <c r="J1488" s="14"/>
      <c r="K1488" s="15">
        <f t="shared" si="4"/>
        <v>16671651.36</v>
      </c>
      <c r="L1488" s="45"/>
      <c r="M1488" s="24">
        <v>45919.0</v>
      </c>
    </row>
    <row r="1489" ht="15.75" customHeight="1">
      <c r="A1489" s="39">
        <v>45895.0</v>
      </c>
      <c r="B1489" s="87"/>
      <c r="C1489" s="31" t="s">
        <v>635</v>
      </c>
      <c r="D1489" s="32" t="s">
        <v>15</v>
      </c>
      <c r="E1489" s="32" t="s">
        <v>1648</v>
      </c>
      <c r="F1489" s="32" t="s">
        <v>139</v>
      </c>
      <c r="G1489" s="53">
        <v>1.292387205E7</v>
      </c>
      <c r="H1489" s="14">
        <f t="shared" si="9"/>
        <v>2714013.131</v>
      </c>
      <c r="I1489" s="22">
        <v>387716.16</v>
      </c>
      <c r="J1489" s="14"/>
      <c r="K1489" s="15">
        <f t="shared" si="4"/>
        <v>16025601.34</v>
      </c>
      <c r="L1489" s="45"/>
      <c r="M1489" s="24">
        <v>45919.0</v>
      </c>
    </row>
    <row r="1490" ht="15.75" customHeight="1">
      <c r="A1490" s="39">
        <v>45895.0</v>
      </c>
      <c r="B1490" s="87"/>
      <c r="C1490" s="31" t="s">
        <v>635</v>
      </c>
      <c r="D1490" s="32" t="s">
        <v>15</v>
      </c>
      <c r="E1490" s="32" t="s">
        <v>1649</v>
      </c>
      <c r="F1490" s="32" t="s">
        <v>139</v>
      </c>
      <c r="G1490" s="53">
        <v>9937326.16</v>
      </c>
      <c r="H1490" s="14">
        <f t="shared" si="9"/>
        <v>2086838.494</v>
      </c>
      <c r="I1490" s="22">
        <v>298119.78</v>
      </c>
      <c r="J1490" s="14"/>
      <c r="K1490" s="15">
        <f t="shared" si="4"/>
        <v>12322284.43</v>
      </c>
      <c r="L1490" s="45"/>
      <c r="M1490" s="24">
        <v>45919.0</v>
      </c>
    </row>
    <row r="1491" ht="15.75" customHeight="1">
      <c r="A1491" s="63">
        <v>45896.0</v>
      </c>
      <c r="B1491" s="64"/>
      <c r="C1491" s="58" t="s">
        <v>1473</v>
      </c>
      <c r="D1491" s="58" t="s">
        <v>1650</v>
      </c>
      <c r="E1491" s="58" t="s">
        <v>1651</v>
      </c>
      <c r="F1491" s="58" t="s">
        <v>139</v>
      </c>
      <c r="G1491" s="65">
        <v>1.1485728E7</v>
      </c>
      <c r="H1491" s="9">
        <f t="shared" si="9"/>
        <v>2412002.88</v>
      </c>
      <c r="I1491" s="44"/>
      <c r="J1491" s="60"/>
      <c r="K1491" s="10">
        <f t="shared" si="4"/>
        <v>13897730.88</v>
      </c>
      <c r="L1491" s="61"/>
      <c r="M1491" s="62"/>
    </row>
    <row r="1492" ht="15.75" customHeight="1">
      <c r="A1492" s="63">
        <v>45896.0</v>
      </c>
      <c r="B1492" s="64"/>
      <c r="C1492" s="58" t="s">
        <v>1652</v>
      </c>
      <c r="D1492" s="58" t="s">
        <v>1650</v>
      </c>
      <c r="E1492" s="58" t="s">
        <v>1653</v>
      </c>
      <c r="F1492" s="58" t="s">
        <v>139</v>
      </c>
      <c r="G1492" s="65">
        <v>9171656.06</v>
      </c>
      <c r="H1492" s="9">
        <f t="shared" si="9"/>
        <v>1926047.773</v>
      </c>
      <c r="I1492" s="44"/>
      <c r="J1492" s="60"/>
      <c r="K1492" s="10">
        <f t="shared" si="4"/>
        <v>11097703.83</v>
      </c>
      <c r="L1492" s="61"/>
      <c r="M1492" s="62"/>
    </row>
    <row r="1493" ht="15.75" customHeight="1">
      <c r="A1493" s="63">
        <v>45896.0</v>
      </c>
      <c r="B1493" s="64"/>
      <c r="C1493" s="58" t="s">
        <v>1654</v>
      </c>
      <c r="D1493" s="58" t="s">
        <v>1650</v>
      </c>
      <c r="E1493" s="58" t="s">
        <v>1655</v>
      </c>
      <c r="F1493" s="58" t="s">
        <v>139</v>
      </c>
      <c r="G1493" s="65">
        <v>1.0881216E7</v>
      </c>
      <c r="H1493" s="9">
        <f t="shared" si="9"/>
        <v>2285055.36</v>
      </c>
      <c r="I1493" s="56"/>
      <c r="J1493" s="60"/>
      <c r="K1493" s="10">
        <f t="shared" si="4"/>
        <v>13166271.36</v>
      </c>
      <c r="L1493" s="61"/>
      <c r="M1493" s="62"/>
    </row>
    <row r="1494" ht="15.75" customHeight="1">
      <c r="A1494" s="63">
        <v>45896.0</v>
      </c>
      <c r="B1494" s="64"/>
      <c r="C1494" s="58" t="s">
        <v>1652</v>
      </c>
      <c r="D1494" s="58" t="s">
        <v>1650</v>
      </c>
      <c r="E1494" s="58" t="s">
        <v>1656</v>
      </c>
      <c r="F1494" s="58" t="s">
        <v>139</v>
      </c>
      <c r="G1494" s="65">
        <v>1.089996E7</v>
      </c>
      <c r="H1494" s="9">
        <f t="shared" si="9"/>
        <v>2288991.6</v>
      </c>
      <c r="I1494" s="56"/>
      <c r="J1494" s="60"/>
      <c r="K1494" s="10">
        <f t="shared" si="4"/>
        <v>13188951.6</v>
      </c>
      <c r="L1494" s="61"/>
      <c r="M1494" s="62"/>
    </row>
    <row r="1495" ht="15.75" customHeight="1">
      <c r="A1495" s="63">
        <v>45896.0</v>
      </c>
      <c r="B1495" s="64"/>
      <c r="C1495" s="58" t="s">
        <v>1654</v>
      </c>
      <c r="D1495" s="58" t="s">
        <v>1650</v>
      </c>
      <c r="E1495" s="58" t="s">
        <v>1657</v>
      </c>
      <c r="F1495" s="58" t="s">
        <v>139</v>
      </c>
      <c r="G1495" s="65">
        <v>6095899.01</v>
      </c>
      <c r="H1495" s="9">
        <f t="shared" si="9"/>
        <v>1280138.792</v>
      </c>
      <c r="I1495" s="56"/>
      <c r="J1495" s="60"/>
      <c r="K1495" s="10">
        <f t="shared" si="4"/>
        <v>7376037.802</v>
      </c>
      <c r="L1495" s="61"/>
      <c r="M1495" s="62"/>
    </row>
    <row r="1496" ht="15.75" customHeight="1">
      <c r="A1496" s="63">
        <v>45896.0</v>
      </c>
      <c r="B1496" s="64"/>
      <c r="C1496" s="58" t="s">
        <v>1654</v>
      </c>
      <c r="D1496" s="58" t="s">
        <v>1650</v>
      </c>
      <c r="E1496" s="58" t="s">
        <v>1658</v>
      </c>
      <c r="F1496" s="58" t="s">
        <v>139</v>
      </c>
      <c r="G1496" s="65">
        <v>1.12613619E7</v>
      </c>
      <c r="H1496" s="9">
        <f t="shared" si="9"/>
        <v>2364885.999</v>
      </c>
      <c r="I1496" s="56"/>
      <c r="J1496" s="60"/>
      <c r="K1496" s="10">
        <f t="shared" si="4"/>
        <v>13626247.9</v>
      </c>
      <c r="L1496" s="61"/>
      <c r="M1496" s="62"/>
    </row>
    <row r="1497" ht="15.75" customHeight="1">
      <c r="A1497" s="63">
        <v>45896.0</v>
      </c>
      <c r="B1497" s="64"/>
      <c r="C1497" s="58" t="s">
        <v>1473</v>
      </c>
      <c r="D1497" s="58" t="s">
        <v>1650</v>
      </c>
      <c r="E1497" s="58" t="s">
        <v>1659</v>
      </c>
      <c r="F1497" s="58" t="s">
        <v>139</v>
      </c>
      <c r="G1497" s="65">
        <v>2243948.54</v>
      </c>
      <c r="H1497" s="9">
        <f t="shared" si="9"/>
        <v>471229.1934</v>
      </c>
      <c r="I1497" s="56"/>
      <c r="J1497" s="60"/>
      <c r="K1497" s="10">
        <f t="shared" si="4"/>
        <v>2715177.733</v>
      </c>
      <c r="L1497" s="61"/>
      <c r="M1497" s="62"/>
    </row>
    <row r="1498" ht="15.75" customHeight="1">
      <c r="A1498" s="63">
        <v>45896.0</v>
      </c>
      <c r="B1498" s="64"/>
      <c r="C1498" s="58" t="s">
        <v>1652</v>
      </c>
      <c r="D1498" s="58" t="s">
        <v>1650</v>
      </c>
      <c r="E1498" s="58" t="s">
        <v>1660</v>
      </c>
      <c r="F1498" s="58" t="s">
        <v>139</v>
      </c>
      <c r="G1498" s="65">
        <v>9928410.23</v>
      </c>
      <c r="H1498" s="9">
        <f t="shared" si="9"/>
        <v>2084966.148</v>
      </c>
      <c r="I1498" s="56"/>
      <c r="J1498" s="60"/>
      <c r="K1498" s="10">
        <f t="shared" si="4"/>
        <v>12013376.38</v>
      </c>
      <c r="L1498" s="61"/>
      <c r="M1498" s="62"/>
    </row>
    <row r="1499" ht="15.75" customHeight="1">
      <c r="A1499" s="63">
        <v>45896.0</v>
      </c>
      <c r="B1499" s="64"/>
      <c r="C1499" s="58" t="s">
        <v>1473</v>
      </c>
      <c r="D1499" s="58" t="s">
        <v>1650</v>
      </c>
      <c r="E1499" s="58" t="s">
        <v>1661</v>
      </c>
      <c r="F1499" s="58" t="s">
        <v>139</v>
      </c>
      <c r="G1499" s="65">
        <v>1.0276704E7</v>
      </c>
      <c r="H1499" s="9">
        <f t="shared" si="9"/>
        <v>2158107.84</v>
      </c>
      <c r="I1499" s="56"/>
      <c r="J1499" s="60"/>
      <c r="K1499" s="10">
        <f t="shared" si="4"/>
        <v>12434811.84</v>
      </c>
      <c r="L1499" s="61"/>
      <c r="M1499" s="62"/>
    </row>
    <row r="1500" ht="15.75" customHeight="1">
      <c r="A1500" s="63">
        <v>45896.0</v>
      </c>
      <c r="B1500" s="64"/>
      <c r="C1500" s="141" t="s">
        <v>969</v>
      </c>
      <c r="D1500" s="58" t="s">
        <v>1650</v>
      </c>
      <c r="E1500" s="58" t="s">
        <v>1662</v>
      </c>
      <c r="F1500" s="58" t="s">
        <v>139</v>
      </c>
      <c r="G1500" s="65">
        <v>1.000034997E7</v>
      </c>
      <c r="H1500" s="9">
        <f t="shared" si="9"/>
        <v>2100073.494</v>
      </c>
      <c r="I1500" s="56"/>
      <c r="J1500" s="60"/>
      <c r="K1500" s="10">
        <f t="shared" si="4"/>
        <v>12100423.46</v>
      </c>
      <c r="L1500" s="61"/>
      <c r="M1500" s="62"/>
    </row>
    <row r="1501" ht="15.75" customHeight="1">
      <c r="A1501" s="63">
        <v>45896.0</v>
      </c>
      <c r="B1501" s="64"/>
      <c r="C1501" s="58" t="s">
        <v>1473</v>
      </c>
      <c r="D1501" s="58" t="s">
        <v>1650</v>
      </c>
      <c r="E1501" s="58" t="s">
        <v>1663</v>
      </c>
      <c r="F1501" s="58" t="s">
        <v>139</v>
      </c>
      <c r="G1501" s="65">
        <v>1.2694752E7</v>
      </c>
      <c r="H1501" s="9">
        <f t="shared" si="9"/>
        <v>2665897.92</v>
      </c>
      <c r="I1501" s="56"/>
      <c r="J1501" s="60"/>
      <c r="K1501" s="10">
        <f t="shared" si="4"/>
        <v>15360649.92</v>
      </c>
      <c r="L1501" s="61"/>
      <c r="M1501" s="62"/>
    </row>
    <row r="1502" ht="15.75" customHeight="1">
      <c r="A1502" s="63">
        <v>45896.0</v>
      </c>
      <c r="B1502" s="64"/>
      <c r="C1502" s="58" t="s">
        <v>1654</v>
      </c>
      <c r="D1502" s="58" t="s">
        <v>1650</v>
      </c>
      <c r="E1502" s="58" t="s">
        <v>1664</v>
      </c>
      <c r="F1502" s="58" t="s">
        <v>139</v>
      </c>
      <c r="G1502" s="65">
        <v>1.209024E7</v>
      </c>
      <c r="H1502" s="9">
        <f t="shared" si="9"/>
        <v>2538950.4</v>
      </c>
      <c r="I1502" s="56"/>
      <c r="J1502" s="60"/>
      <c r="K1502" s="10">
        <f t="shared" si="4"/>
        <v>14629190.4</v>
      </c>
      <c r="L1502" s="61"/>
      <c r="M1502" s="62"/>
    </row>
    <row r="1503" ht="15.75" customHeight="1">
      <c r="A1503" s="63">
        <v>45896.0</v>
      </c>
      <c r="B1503" s="64"/>
      <c r="C1503" s="58" t="s">
        <v>1654</v>
      </c>
      <c r="D1503" s="58" t="s">
        <v>1650</v>
      </c>
      <c r="E1503" s="58" t="s">
        <v>1665</v>
      </c>
      <c r="F1503" s="58" t="s">
        <v>139</v>
      </c>
      <c r="G1503" s="65">
        <v>9672192.0</v>
      </c>
      <c r="H1503" s="9">
        <f t="shared" si="9"/>
        <v>2031160.32</v>
      </c>
      <c r="I1503" s="56"/>
      <c r="J1503" s="60"/>
      <c r="K1503" s="10">
        <f t="shared" si="4"/>
        <v>11703352.32</v>
      </c>
      <c r="L1503" s="61"/>
      <c r="M1503" s="62"/>
    </row>
    <row r="1504" ht="15.75" customHeight="1">
      <c r="A1504" s="63">
        <v>45896.0</v>
      </c>
      <c r="B1504" s="64"/>
      <c r="C1504" s="58" t="s">
        <v>1473</v>
      </c>
      <c r="D1504" s="58" t="s">
        <v>1650</v>
      </c>
      <c r="E1504" s="58" t="s">
        <v>1666</v>
      </c>
      <c r="F1504" s="58" t="s">
        <v>139</v>
      </c>
      <c r="G1504" s="65">
        <v>1.3299264E7</v>
      </c>
      <c r="H1504" s="9">
        <f t="shared" si="9"/>
        <v>2792845.44</v>
      </c>
      <c r="I1504" s="56"/>
      <c r="J1504" s="60"/>
      <c r="K1504" s="10">
        <f t="shared" si="4"/>
        <v>16092109.44</v>
      </c>
      <c r="L1504" s="61"/>
      <c r="M1504" s="62"/>
    </row>
    <row r="1505" ht="15.75" customHeight="1">
      <c r="A1505" s="63">
        <v>45896.0</v>
      </c>
      <c r="B1505" s="64"/>
      <c r="C1505" s="58" t="s">
        <v>1652</v>
      </c>
      <c r="D1505" s="58" t="s">
        <v>1244</v>
      </c>
      <c r="E1505" s="58" t="s">
        <v>1667</v>
      </c>
      <c r="F1505" s="58" t="s">
        <v>139</v>
      </c>
      <c r="G1505" s="65">
        <v>9815296.73</v>
      </c>
      <c r="H1505" s="9">
        <f t="shared" si="9"/>
        <v>2061212.313</v>
      </c>
      <c r="I1505" s="56"/>
      <c r="J1505" s="60"/>
      <c r="K1505" s="10">
        <f t="shared" si="4"/>
        <v>11876509.04</v>
      </c>
      <c r="L1505" s="61"/>
      <c r="M1505" s="62"/>
    </row>
    <row r="1506" ht="15.75" customHeight="1">
      <c r="A1506" s="63">
        <v>45896.0</v>
      </c>
      <c r="B1506" s="64"/>
      <c r="C1506" s="58" t="s">
        <v>1652</v>
      </c>
      <c r="D1506" s="58" t="s">
        <v>1244</v>
      </c>
      <c r="E1506" s="58" t="s">
        <v>1668</v>
      </c>
      <c r="F1506" s="58" t="s">
        <v>139</v>
      </c>
      <c r="G1506" s="65">
        <v>1.842727501E7</v>
      </c>
      <c r="H1506" s="9">
        <f t="shared" si="9"/>
        <v>3869727.752</v>
      </c>
      <c r="I1506" s="56"/>
      <c r="J1506" s="60"/>
      <c r="K1506" s="10">
        <f t="shared" si="4"/>
        <v>22297002.76</v>
      </c>
      <c r="L1506" s="61"/>
      <c r="M1506" s="62"/>
    </row>
    <row r="1507" ht="15.75" customHeight="1">
      <c r="A1507" s="63">
        <v>45896.0</v>
      </c>
      <c r="B1507" s="64"/>
      <c r="C1507" s="58" t="s">
        <v>1669</v>
      </c>
      <c r="D1507" s="58" t="s">
        <v>1244</v>
      </c>
      <c r="E1507" s="58" t="s">
        <v>1670</v>
      </c>
      <c r="F1507" s="58" t="s">
        <v>139</v>
      </c>
      <c r="G1507" s="65">
        <v>1.370549621E7</v>
      </c>
      <c r="H1507" s="9">
        <f t="shared" si="9"/>
        <v>2878154.204</v>
      </c>
      <c r="I1507" s="44"/>
      <c r="J1507" s="60"/>
      <c r="K1507" s="10">
        <f t="shared" si="4"/>
        <v>16583650.41</v>
      </c>
      <c r="L1507" s="61"/>
      <c r="M1507" s="62"/>
    </row>
    <row r="1508" ht="15.75" customHeight="1">
      <c r="A1508" s="39">
        <v>45897.0</v>
      </c>
      <c r="B1508" s="87"/>
      <c r="C1508" s="31" t="s">
        <v>623</v>
      </c>
      <c r="D1508" s="32" t="s">
        <v>15</v>
      </c>
      <c r="E1508" s="31" t="s">
        <v>1671</v>
      </c>
      <c r="F1508" s="32" t="s">
        <v>139</v>
      </c>
      <c r="G1508" s="53">
        <v>2190182.03</v>
      </c>
      <c r="H1508" s="14">
        <f t="shared" si="9"/>
        <v>459938.2263</v>
      </c>
      <c r="I1508" s="22">
        <v>65705.46</v>
      </c>
      <c r="J1508" s="22">
        <v>17521.46</v>
      </c>
      <c r="K1508" s="15">
        <f t="shared" si="4"/>
        <v>2733347.176</v>
      </c>
      <c r="L1508" s="45"/>
      <c r="M1508" s="19" t="s">
        <v>1672</v>
      </c>
    </row>
    <row r="1509" ht="15.75" customHeight="1">
      <c r="A1509" s="39">
        <v>45897.0</v>
      </c>
      <c r="B1509" s="87"/>
      <c r="C1509" s="31" t="s">
        <v>623</v>
      </c>
      <c r="D1509" s="32" t="s">
        <v>15</v>
      </c>
      <c r="E1509" s="31" t="s">
        <v>1673</v>
      </c>
      <c r="F1509" s="32" t="s">
        <v>139</v>
      </c>
      <c r="G1509" s="53">
        <v>6525121.08</v>
      </c>
      <c r="H1509" s="14">
        <f t="shared" si="9"/>
        <v>1370275.427</v>
      </c>
      <c r="I1509" s="50"/>
      <c r="J1509" s="22">
        <v>52200.97</v>
      </c>
      <c r="K1509" s="15">
        <f t="shared" si="4"/>
        <v>7947597.477</v>
      </c>
      <c r="L1509" s="45"/>
      <c r="M1509" s="19" t="s">
        <v>1672</v>
      </c>
    </row>
    <row r="1510" ht="15.75" customHeight="1">
      <c r="A1510" s="39">
        <v>45897.0</v>
      </c>
      <c r="B1510" s="87"/>
      <c r="C1510" s="31" t="s">
        <v>623</v>
      </c>
      <c r="D1510" s="32" t="s">
        <v>15</v>
      </c>
      <c r="E1510" s="31" t="s">
        <v>1674</v>
      </c>
      <c r="F1510" s="32" t="s">
        <v>139</v>
      </c>
      <c r="G1510" s="53">
        <v>971636.23</v>
      </c>
      <c r="H1510" s="14">
        <f t="shared" si="9"/>
        <v>204043.6083</v>
      </c>
      <c r="I1510" s="50"/>
      <c r="J1510" s="14"/>
      <c r="K1510" s="15">
        <f t="shared" si="4"/>
        <v>1175679.838</v>
      </c>
      <c r="L1510" s="45"/>
      <c r="M1510" s="19" t="s">
        <v>1672</v>
      </c>
    </row>
    <row r="1511" ht="15.75" customHeight="1">
      <c r="A1511" s="39">
        <v>45897.0</v>
      </c>
      <c r="B1511" s="87"/>
      <c r="C1511" s="31" t="s">
        <v>623</v>
      </c>
      <c r="D1511" s="32" t="s">
        <v>15</v>
      </c>
      <c r="E1511" s="31" t="s">
        <v>1675</v>
      </c>
      <c r="F1511" s="32" t="s">
        <v>139</v>
      </c>
      <c r="G1511" s="53">
        <v>5392502.85</v>
      </c>
      <c r="H1511" s="14">
        <f t="shared" si="9"/>
        <v>1132425.599</v>
      </c>
      <c r="I1511" s="22">
        <v>161775.09</v>
      </c>
      <c r="J1511" s="22">
        <v>43140.02</v>
      </c>
      <c r="K1511" s="15">
        <f t="shared" si="4"/>
        <v>6729843.559</v>
      </c>
      <c r="L1511" s="45"/>
      <c r="M1511" s="19" t="s">
        <v>1672</v>
      </c>
    </row>
    <row r="1512" ht="15.75" customHeight="1">
      <c r="A1512" s="39">
        <v>45897.0</v>
      </c>
      <c r="B1512" s="87"/>
      <c r="C1512" s="31" t="s">
        <v>623</v>
      </c>
      <c r="D1512" s="32" t="s">
        <v>15</v>
      </c>
      <c r="E1512" s="31" t="s">
        <v>1676</v>
      </c>
      <c r="F1512" s="32" t="s">
        <v>139</v>
      </c>
      <c r="G1512" s="53">
        <v>2900112.43</v>
      </c>
      <c r="H1512" s="14">
        <f t="shared" si="9"/>
        <v>609023.6103</v>
      </c>
      <c r="I1512" s="22">
        <v>87003.37</v>
      </c>
      <c r="J1512" s="22">
        <v>23200.9</v>
      </c>
      <c r="K1512" s="15">
        <f t="shared" si="4"/>
        <v>3619340.31</v>
      </c>
      <c r="L1512" s="45"/>
      <c r="M1512" s="19" t="s">
        <v>1672</v>
      </c>
    </row>
    <row r="1513" ht="15.75" customHeight="1">
      <c r="A1513" s="39">
        <v>45897.0</v>
      </c>
      <c r="B1513" s="87"/>
      <c r="C1513" s="31" t="s">
        <v>623</v>
      </c>
      <c r="D1513" s="32" t="s">
        <v>15</v>
      </c>
      <c r="E1513" s="31" t="s">
        <v>1677</v>
      </c>
      <c r="F1513" s="32" t="s">
        <v>139</v>
      </c>
      <c r="G1513" s="53">
        <v>7852025.36</v>
      </c>
      <c r="H1513" s="14">
        <f t="shared" si="9"/>
        <v>1648925.326</v>
      </c>
      <c r="I1513" s="22">
        <v>235560.76</v>
      </c>
      <c r="J1513" s="22">
        <v>62816.2</v>
      </c>
      <c r="K1513" s="15">
        <f t="shared" si="4"/>
        <v>9799327.646</v>
      </c>
      <c r="L1513" s="45"/>
      <c r="M1513" s="19" t="s">
        <v>1672</v>
      </c>
    </row>
    <row r="1514" ht="15.75" customHeight="1">
      <c r="A1514" s="39">
        <v>45897.0</v>
      </c>
      <c r="B1514" s="87"/>
      <c r="C1514" s="31" t="s">
        <v>1189</v>
      </c>
      <c r="D1514" s="32" t="s">
        <v>15</v>
      </c>
      <c r="E1514" s="31" t="s">
        <v>1678</v>
      </c>
      <c r="F1514" s="32" t="s">
        <v>139</v>
      </c>
      <c r="G1514" s="53">
        <v>8009350.14</v>
      </c>
      <c r="H1514" s="14">
        <f t="shared" si="9"/>
        <v>1681963.529</v>
      </c>
      <c r="I1514" s="22">
        <v>240280.5</v>
      </c>
      <c r="J1514" s="14"/>
      <c r="K1514" s="15">
        <f t="shared" si="4"/>
        <v>9931594.169</v>
      </c>
      <c r="L1514" s="45"/>
      <c r="M1514" s="24">
        <v>45916.0</v>
      </c>
    </row>
    <row r="1515" ht="15.75" customHeight="1">
      <c r="A1515" s="39">
        <v>45897.0</v>
      </c>
      <c r="B1515" s="87"/>
      <c r="C1515" s="31" t="s">
        <v>1189</v>
      </c>
      <c r="D1515" s="32" t="s">
        <v>15</v>
      </c>
      <c r="E1515" s="31" t="s">
        <v>1679</v>
      </c>
      <c r="F1515" s="32" t="s">
        <v>139</v>
      </c>
      <c r="G1515" s="53">
        <v>4998381.27</v>
      </c>
      <c r="H1515" s="14">
        <f t="shared" si="9"/>
        <v>1049660.067</v>
      </c>
      <c r="I1515" s="22">
        <v>149951.44</v>
      </c>
      <c r="J1515" s="14"/>
      <c r="K1515" s="15">
        <f t="shared" si="4"/>
        <v>6197992.777</v>
      </c>
      <c r="L1515" s="45"/>
      <c r="M1515" s="24">
        <v>45916.0</v>
      </c>
    </row>
    <row r="1516" ht="15.75" customHeight="1">
      <c r="A1516" s="63">
        <v>45897.0</v>
      </c>
      <c r="B1516" s="64"/>
      <c r="C1516" s="57" t="s">
        <v>1405</v>
      </c>
      <c r="D1516" s="57" t="s">
        <v>1406</v>
      </c>
      <c r="E1516" s="58" t="s">
        <v>1680</v>
      </c>
      <c r="F1516" s="58" t="s">
        <v>139</v>
      </c>
      <c r="G1516" s="65">
        <v>1.726935E7</v>
      </c>
      <c r="H1516" s="9">
        <f t="shared" si="9"/>
        <v>3626563.5</v>
      </c>
      <c r="I1516" s="56"/>
      <c r="J1516" s="60"/>
      <c r="K1516" s="10">
        <f t="shared" si="4"/>
        <v>20895913.5</v>
      </c>
      <c r="L1516" s="61"/>
      <c r="M1516" s="62"/>
    </row>
    <row r="1517" ht="15.75" customHeight="1">
      <c r="A1517" s="63">
        <v>45897.0</v>
      </c>
      <c r="B1517" s="64"/>
      <c r="C1517" s="57" t="s">
        <v>1405</v>
      </c>
      <c r="D1517" s="57" t="s">
        <v>1406</v>
      </c>
      <c r="E1517" s="58" t="s">
        <v>1681</v>
      </c>
      <c r="F1517" s="58" t="s">
        <v>139</v>
      </c>
      <c r="G1517" s="65">
        <v>2.8035787E7</v>
      </c>
      <c r="H1517" s="9">
        <f t="shared" si="9"/>
        <v>5887515.27</v>
      </c>
      <c r="I1517" s="56"/>
      <c r="J1517" s="60"/>
      <c r="K1517" s="10">
        <f t="shared" si="4"/>
        <v>33923302.27</v>
      </c>
      <c r="L1517" s="61"/>
      <c r="M1517" s="62"/>
    </row>
    <row r="1518" ht="15.75" customHeight="1">
      <c r="A1518" s="63">
        <v>45897.0</v>
      </c>
      <c r="B1518" s="64"/>
      <c r="C1518" s="57" t="s">
        <v>1405</v>
      </c>
      <c r="D1518" s="57" t="s">
        <v>1406</v>
      </c>
      <c r="E1518" s="58" t="s">
        <v>1682</v>
      </c>
      <c r="F1518" s="58" t="s">
        <v>139</v>
      </c>
      <c r="G1518" s="65">
        <v>2.029305E7</v>
      </c>
      <c r="H1518" s="9">
        <f t="shared" si="9"/>
        <v>4261540.5</v>
      </c>
      <c r="I1518" s="56"/>
      <c r="J1518" s="60"/>
      <c r="K1518" s="10">
        <f t="shared" si="4"/>
        <v>24554590.5</v>
      </c>
      <c r="L1518" s="61"/>
      <c r="M1518" s="62"/>
    </row>
    <row r="1519" ht="15.75" customHeight="1">
      <c r="A1519" s="63">
        <v>45897.0</v>
      </c>
      <c r="B1519" s="64"/>
      <c r="C1519" s="57" t="s">
        <v>1405</v>
      </c>
      <c r="D1519" s="57" t="s">
        <v>1406</v>
      </c>
      <c r="E1519" s="58" t="s">
        <v>1683</v>
      </c>
      <c r="F1519" s="58" t="s">
        <v>139</v>
      </c>
      <c r="G1519" s="65">
        <v>1.9853718E7</v>
      </c>
      <c r="H1519" s="9">
        <f t="shared" si="9"/>
        <v>4169280.78</v>
      </c>
      <c r="I1519" s="56"/>
      <c r="J1519" s="60"/>
      <c r="K1519" s="10">
        <f t="shared" si="4"/>
        <v>24022998.78</v>
      </c>
      <c r="L1519" s="61"/>
      <c r="M1519" s="62"/>
    </row>
    <row r="1520" ht="15.75" customHeight="1">
      <c r="A1520" s="63">
        <v>45897.0</v>
      </c>
      <c r="B1520" s="64"/>
      <c r="C1520" s="57" t="s">
        <v>1411</v>
      </c>
      <c r="D1520" s="57" t="s">
        <v>1406</v>
      </c>
      <c r="E1520" s="58" t="s">
        <v>1684</v>
      </c>
      <c r="F1520" s="58" t="s">
        <v>139</v>
      </c>
      <c r="G1520" s="65">
        <v>1.5038031E7</v>
      </c>
      <c r="H1520" s="9">
        <f t="shared" si="9"/>
        <v>3157986.51</v>
      </c>
      <c r="I1520" s="56"/>
      <c r="J1520" s="60"/>
      <c r="K1520" s="10">
        <f t="shared" si="4"/>
        <v>18196017.51</v>
      </c>
      <c r="L1520" s="61"/>
      <c r="M1520" s="62"/>
    </row>
    <row r="1521" ht="15.75" customHeight="1">
      <c r="A1521" s="39">
        <v>45897.0</v>
      </c>
      <c r="B1521" s="87"/>
      <c r="C1521" s="31" t="s">
        <v>1685</v>
      </c>
      <c r="D1521" s="32" t="s">
        <v>15</v>
      </c>
      <c r="E1521" s="32" t="s">
        <v>1686</v>
      </c>
      <c r="F1521" s="32" t="s">
        <v>139</v>
      </c>
      <c r="G1521" s="53">
        <v>1.237828008E7</v>
      </c>
      <c r="H1521" s="14">
        <f t="shared" si="9"/>
        <v>2599438.817</v>
      </c>
      <c r="I1521" s="50"/>
      <c r="J1521" s="14"/>
      <c r="K1521" s="15">
        <f t="shared" si="4"/>
        <v>14977718.9</v>
      </c>
      <c r="L1521" s="45"/>
      <c r="M1521" s="24">
        <v>45918.0</v>
      </c>
    </row>
    <row r="1522" ht="15.75" customHeight="1">
      <c r="A1522" s="39">
        <v>45897.0</v>
      </c>
      <c r="B1522" s="87"/>
      <c r="C1522" s="31" t="s">
        <v>1685</v>
      </c>
      <c r="D1522" s="32" t="s">
        <v>15</v>
      </c>
      <c r="E1522" s="32" t="s">
        <v>1687</v>
      </c>
      <c r="F1522" s="32" t="s">
        <v>139</v>
      </c>
      <c r="G1522" s="53">
        <v>1.098369042E7</v>
      </c>
      <c r="H1522" s="14">
        <f t="shared" si="9"/>
        <v>2306574.988</v>
      </c>
      <c r="I1522" s="50"/>
      <c r="J1522" s="14"/>
      <c r="K1522" s="15">
        <f t="shared" si="4"/>
        <v>13290265.41</v>
      </c>
      <c r="L1522" s="45"/>
      <c r="M1522" s="24">
        <v>45918.0</v>
      </c>
    </row>
    <row r="1523" ht="15.75" customHeight="1">
      <c r="A1523" s="39">
        <v>45897.0</v>
      </c>
      <c r="B1523" s="87"/>
      <c r="C1523" s="31" t="s">
        <v>1685</v>
      </c>
      <c r="D1523" s="32" t="s">
        <v>15</v>
      </c>
      <c r="E1523" s="32" t="s">
        <v>1688</v>
      </c>
      <c r="F1523" s="32" t="s">
        <v>139</v>
      </c>
      <c r="G1523" s="53">
        <v>1.164694042E7</v>
      </c>
      <c r="H1523" s="14">
        <f t="shared" si="9"/>
        <v>2445857.488</v>
      </c>
      <c r="I1523" s="50"/>
      <c r="J1523" s="14"/>
      <c r="K1523" s="15">
        <f t="shared" si="4"/>
        <v>14092797.91</v>
      </c>
      <c r="L1523" s="45"/>
      <c r="M1523" s="24">
        <v>45918.0</v>
      </c>
    </row>
    <row r="1524" ht="15.75" customHeight="1">
      <c r="A1524" s="63">
        <v>45898.0</v>
      </c>
      <c r="B1524" s="120" t="s">
        <v>1689</v>
      </c>
      <c r="C1524" s="58" t="s">
        <v>1690</v>
      </c>
      <c r="D1524" s="58" t="s">
        <v>1005</v>
      </c>
      <c r="E1524" s="58" t="s">
        <v>1691</v>
      </c>
      <c r="F1524" s="58" t="s">
        <v>139</v>
      </c>
      <c r="G1524" s="65">
        <v>5451822.6</v>
      </c>
      <c r="H1524" s="9">
        <f t="shared" si="9"/>
        <v>1144882.746</v>
      </c>
      <c r="I1524" s="56"/>
      <c r="J1524" s="60"/>
      <c r="K1524" s="10">
        <f t="shared" si="4"/>
        <v>6596705.346</v>
      </c>
      <c r="L1524" s="61"/>
      <c r="M1524" s="62"/>
    </row>
    <row r="1525" ht="15.75" customHeight="1">
      <c r="A1525" s="63">
        <v>45898.0</v>
      </c>
      <c r="B1525" s="120" t="s">
        <v>1689</v>
      </c>
      <c r="C1525" s="58" t="s">
        <v>1692</v>
      </c>
      <c r="D1525" s="58" t="s">
        <v>1005</v>
      </c>
      <c r="E1525" s="58" t="s">
        <v>1693</v>
      </c>
      <c r="F1525" s="58" t="s">
        <v>139</v>
      </c>
      <c r="G1525" s="65">
        <v>5597040.0</v>
      </c>
      <c r="H1525" s="9">
        <f t="shared" si="9"/>
        <v>1175378.4</v>
      </c>
      <c r="I1525" s="56"/>
      <c r="J1525" s="60"/>
      <c r="K1525" s="10">
        <f t="shared" si="4"/>
        <v>6772418.4</v>
      </c>
      <c r="L1525" s="61"/>
      <c r="M1525" s="62"/>
    </row>
    <row r="1526" ht="15.75" customHeight="1">
      <c r="A1526" s="63">
        <v>45898.0</v>
      </c>
      <c r="B1526" s="120" t="s">
        <v>1689</v>
      </c>
      <c r="C1526" s="58" t="s">
        <v>1694</v>
      </c>
      <c r="D1526" s="58" t="s">
        <v>1005</v>
      </c>
      <c r="E1526" s="58" t="s">
        <v>1695</v>
      </c>
      <c r="F1526" s="58" t="s">
        <v>139</v>
      </c>
      <c r="G1526" s="65">
        <v>5044371.92</v>
      </c>
      <c r="H1526" s="9">
        <f t="shared" si="9"/>
        <v>1059318.103</v>
      </c>
      <c r="I1526" s="56"/>
      <c r="J1526" s="60"/>
      <c r="K1526" s="10">
        <f t="shared" si="4"/>
        <v>6103690.023</v>
      </c>
      <c r="L1526" s="61"/>
      <c r="M1526" s="62"/>
    </row>
    <row r="1527" ht="15.75" customHeight="1">
      <c r="A1527" s="55">
        <v>45898.0</v>
      </c>
      <c r="B1527" s="64"/>
      <c r="C1527" s="58" t="s">
        <v>969</v>
      </c>
      <c r="D1527" s="58" t="s">
        <v>1696</v>
      </c>
      <c r="E1527" s="58" t="s">
        <v>1697</v>
      </c>
      <c r="F1527" s="58" t="s">
        <v>139</v>
      </c>
      <c r="G1527" s="65">
        <v>3017160.0</v>
      </c>
      <c r="H1527" s="9">
        <f t="shared" si="9"/>
        <v>633603.6</v>
      </c>
      <c r="I1527" s="56"/>
      <c r="J1527" s="44">
        <v>90514.8</v>
      </c>
      <c r="K1527" s="10">
        <f t="shared" si="4"/>
        <v>3741278.4</v>
      </c>
      <c r="L1527" s="61"/>
      <c r="M1527" s="62"/>
    </row>
    <row r="1528" ht="15.75" customHeight="1">
      <c r="A1528" s="39">
        <v>45899.0</v>
      </c>
      <c r="B1528" s="87"/>
      <c r="C1528" s="31" t="s">
        <v>221</v>
      </c>
      <c r="D1528" s="32" t="s">
        <v>99</v>
      </c>
      <c r="E1528" s="31" t="s">
        <v>1698</v>
      </c>
      <c r="F1528" s="32" t="s">
        <v>139</v>
      </c>
      <c r="G1528" s="53">
        <v>3.333520896E7</v>
      </c>
      <c r="H1528" s="14">
        <f t="shared" si="9"/>
        <v>7000393.882</v>
      </c>
      <c r="I1528" s="22">
        <v>1000056.27</v>
      </c>
      <c r="J1528" s="22">
        <v>1666760.45</v>
      </c>
      <c r="K1528" s="15">
        <f t="shared" si="4"/>
        <v>43002419.56</v>
      </c>
      <c r="L1528" s="45"/>
      <c r="M1528" s="6"/>
    </row>
    <row r="1529" ht="15.75" customHeight="1">
      <c r="A1529" s="39">
        <v>45899.0</v>
      </c>
      <c r="B1529" s="87"/>
      <c r="C1529" s="31" t="s">
        <v>221</v>
      </c>
      <c r="D1529" s="32" t="s">
        <v>15</v>
      </c>
      <c r="E1529" s="31" t="s">
        <v>1699</v>
      </c>
      <c r="F1529" s="32" t="s">
        <v>139</v>
      </c>
      <c r="G1529" s="53">
        <v>3.333405918E7</v>
      </c>
      <c r="H1529" s="14">
        <f t="shared" si="9"/>
        <v>7000152.428</v>
      </c>
      <c r="I1529" s="50"/>
      <c r="J1529" s="22">
        <v>1666702.96</v>
      </c>
      <c r="K1529" s="15">
        <f t="shared" si="4"/>
        <v>42000914.57</v>
      </c>
      <c r="L1529" s="45"/>
      <c r="M1529" s="6"/>
    </row>
    <row r="1530" ht="15.75" customHeight="1">
      <c r="A1530" s="39">
        <v>45899.0</v>
      </c>
      <c r="B1530" s="87"/>
      <c r="C1530" s="31" t="s">
        <v>216</v>
      </c>
      <c r="D1530" s="32" t="s">
        <v>15</v>
      </c>
      <c r="E1530" s="31" t="s">
        <v>1700</v>
      </c>
      <c r="F1530" s="32" t="s">
        <v>139</v>
      </c>
      <c r="G1530" s="53">
        <v>3.333421985E7</v>
      </c>
      <c r="H1530" s="14">
        <f t="shared" si="9"/>
        <v>7000186.169</v>
      </c>
      <c r="I1530" s="22">
        <v>1000026.6</v>
      </c>
      <c r="J1530" s="22">
        <v>583348.85</v>
      </c>
      <c r="K1530" s="15">
        <f t="shared" si="4"/>
        <v>41917781.47</v>
      </c>
      <c r="L1530" s="45"/>
      <c r="M1530" s="6"/>
    </row>
    <row r="1531" ht="15.75" customHeight="1">
      <c r="A1531" s="39">
        <v>45899.0</v>
      </c>
      <c r="B1531" s="87"/>
      <c r="C1531" s="31" t="s">
        <v>216</v>
      </c>
      <c r="D1531" s="32" t="s">
        <v>99</v>
      </c>
      <c r="E1531" s="31" t="s">
        <v>1701</v>
      </c>
      <c r="F1531" s="32" t="s">
        <v>139</v>
      </c>
      <c r="G1531" s="53">
        <v>3.333476125E7</v>
      </c>
      <c r="H1531" s="14">
        <f t="shared" si="9"/>
        <v>7000299.863</v>
      </c>
      <c r="I1531" s="22">
        <v>1000042.84</v>
      </c>
      <c r="J1531" s="22">
        <v>583358.32</v>
      </c>
      <c r="K1531" s="15">
        <f t="shared" si="4"/>
        <v>41918462.27</v>
      </c>
      <c r="L1531" s="45"/>
      <c r="M1531" s="6"/>
    </row>
    <row r="1532" ht="15.75" customHeight="1">
      <c r="A1532" s="39">
        <v>45899.0</v>
      </c>
      <c r="B1532" s="87"/>
      <c r="C1532" s="31" t="s">
        <v>22</v>
      </c>
      <c r="D1532" s="32" t="s">
        <v>99</v>
      </c>
      <c r="E1532" s="31" t="s">
        <v>1702</v>
      </c>
      <c r="F1532" s="32" t="s">
        <v>139</v>
      </c>
      <c r="G1532" s="53">
        <v>3.333421334E7</v>
      </c>
      <c r="H1532" s="14">
        <f t="shared" si="9"/>
        <v>7000184.801</v>
      </c>
      <c r="I1532" s="22">
        <v>1000026.4</v>
      </c>
      <c r="J1532" s="22">
        <v>166671.07</v>
      </c>
      <c r="K1532" s="15">
        <f t="shared" si="4"/>
        <v>41501095.61</v>
      </c>
      <c r="L1532" s="45"/>
      <c r="M1532" s="6"/>
    </row>
    <row r="1533" ht="15.75" customHeight="1">
      <c r="A1533" s="39">
        <v>45899.0</v>
      </c>
      <c r="B1533" s="87"/>
      <c r="C1533" s="31" t="s">
        <v>22</v>
      </c>
      <c r="D1533" s="32" t="s">
        <v>15</v>
      </c>
      <c r="E1533" s="31" t="s">
        <v>1703</v>
      </c>
      <c r="F1533" s="32" t="s">
        <v>139</v>
      </c>
      <c r="G1533" s="53">
        <v>3.333456928E7</v>
      </c>
      <c r="H1533" s="14">
        <f t="shared" si="9"/>
        <v>7000259.549</v>
      </c>
      <c r="I1533" s="22">
        <v>1000037.08</v>
      </c>
      <c r="J1533" s="22">
        <v>166672.85</v>
      </c>
      <c r="K1533" s="15">
        <f t="shared" si="4"/>
        <v>41501538.76</v>
      </c>
      <c r="L1533" s="45"/>
      <c r="M1533" s="19" t="s">
        <v>1704</v>
      </c>
    </row>
    <row r="1534" ht="15.75" customHeight="1">
      <c r="A1534" s="39">
        <v>45899.0</v>
      </c>
      <c r="B1534" s="87"/>
      <c r="C1534" s="31" t="s">
        <v>1635</v>
      </c>
      <c r="D1534" s="19" t="s">
        <v>1287</v>
      </c>
      <c r="E1534" s="32" t="s">
        <v>1705</v>
      </c>
      <c r="F1534" s="32" t="s">
        <v>139</v>
      </c>
      <c r="G1534" s="53">
        <v>2.0699973E7</v>
      </c>
      <c r="H1534" s="14">
        <f t="shared" si="9"/>
        <v>4346994.33</v>
      </c>
      <c r="I1534" s="50"/>
      <c r="J1534" s="14"/>
      <c r="K1534" s="15">
        <f t="shared" si="4"/>
        <v>25046967.33</v>
      </c>
      <c r="L1534" s="45"/>
      <c r="M1534" s="24">
        <v>45904.0</v>
      </c>
    </row>
    <row r="1535" ht="15.75" customHeight="1">
      <c r="A1535" s="39">
        <v>45899.0</v>
      </c>
      <c r="B1535" s="87"/>
      <c r="C1535" s="31" t="s">
        <v>1635</v>
      </c>
      <c r="D1535" s="19" t="s">
        <v>1287</v>
      </c>
      <c r="E1535" s="32" t="s">
        <v>1706</v>
      </c>
      <c r="F1535" s="32" t="s">
        <v>139</v>
      </c>
      <c r="G1535" s="53">
        <v>2.1039977E7</v>
      </c>
      <c r="H1535" s="14">
        <f t="shared" si="9"/>
        <v>4418395.17</v>
      </c>
      <c r="I1535" s="50"/>
      <c r="J1535" s="14"/>
      <c r="K1535" s="15">
        <f t="shared" si="4"/>
        <v>25458372.17</v>
      </c>
      <c r="L1535" s="45"/>
      <c r="M1535" s="142">
        <v>45786.0</v>
      </c>
    </row>
    <row r="1536" ht="15.75" customHeight="1">
      <c r="A1536" s="39">
        <v>45899.0</v>
      </c>
      <c r="B1536" s="87"/>
      <c r="C1536" s="31" t="s">
        <v>1635</v>
      </c>
      <c r="D1536" s="19" t="s">
        <v>1287</v>
      </c>
      <c r="E1536" s="32" t="s">
        <v>1707</v>
      </c>
      <c r="F1536" s="32" t="s">
        <v>139</v>
      </c>
      <c r="G1536" s="53">
        <v>2.065318E7</v>
      </c>
      <c r="H1536" s="14">
        <f t="shared" si="9"/>
        <v>4337167.8</v>
      </c>
      <c r="I1536" s="50"/>
      <c r="J1536" s="14"/>
      <c r="K1536" s="15">
        <f t="shared" si="4"/>
        <v>24990347.8</v>
      </c>
      <c r="L1536" s="45"/>
      <c r="M1536" s="142">
        <v>45786.0</v>
      </c>
    </row>
    <row r="1537" ht="15.75" customHeight="1">
      <c r="A1537" s="39">
        <v>45899.0</v>
      </c>
      <c r="B1537" s="87"/>
      <c r="C1537" s="31" t="s">
        <v>864</v>
      </c>
      <c r="D1537" s="19" t="s">
        <v>1287</v>
      </c>
      <c r="E1537" s="32" t="s">
        <v>1708</v>
      </c>
      <c r="F1537" s="32" t="s">
        <v>139</v>
      </c>
      <c r="G1537" s="53">
        <v>1.6864784E7</v>
      </c>
      <c r="H1537" s="14">
        <f t="shared" si="9"/>
        <v>3541604.64</v>
      </c>
      <c r="I1537" s="50"/>
      <c r="J1537" s="22">
        <v>590267.44</v>
      </c>
      <c r="K1537" s="15">
        <f t="shared" si="4"/>
        <v>20996656.08</v>
      </c>
      <c r="L1537" s="45"/>
      <c r="M1537" s="24">
        <v>45904.0</v>
      </c>
      <c r="N1537" s="143" t="s">
        <v>1709</v>
      </c>
    </row>
    <row r="1538" ht="15.75" customHeight="1">
      <c r="A1538" s="39">
        <v>45899.0</v>
      </c>
      <c r="B1538" s="87"/>
      <c r="C1538" s="31" t="s">
        <v>864</v>
      </c>
      <c r="D1538" s="19" t="s">
        <v>1287</v>
      </c>
      <c r="E1538" s="32" t="s">
        <v>1710</v>
      </c>
      <c r="F1538" s="32" t="s">
        <v>139</v>
      </c>
      <c r="G1538" s="53">
        <v>2.0743979E7</v>
      </c>
      <c r="H1538" s="14">
        <f t="shared" si="9"/>
        <v>4356235.59</v>
      </c>
      <c r="I1538" s="50"/>
      <c r="J1538" s="22">
        <v>726039.27</v>
      </c>
      <c r="K1538" s="15">
        <f t="shared" si="4"/>
        <v>25826253.86</v>
      </c>
      <c r="L1538" s="45"/>
      <c r="M1538" s="24">
        <v>45904.0</v>
      </c>
      <c r="N1538" s="143" t="s">
        <v>1709</v>
      </c>
    </row>
    <row r="1539" ht="15.75" customHeight="1">
      <c r="A1539" s="39">
        <v>45899.0</v>
      </c>
      <c r="B1539" s="87"/>
      <c r="C1539" s="31" t="s">
        <v>864</v>
      </c>
      <c r="D1539" s="19" t="s">
        <v>1287</v>
      </c>
      <c r="E1539" s="32" t="s">
        <v>1711</v>
      </c>
      <c r="F1539" s="32" t="s">
        <v>139</v>
      </c>
      <c r="G1539" s="53">
        <v>2.065318E7</v>
      </c>
      <c r="H1539" s="14">
        <f t="shared" si="9"/>
        <v>4337167.8</v>
      </c>
      <c r="I1539" s="50"/>
      <c r="J1539" s="22">
        <v>722861.3</v>
      </c>
      <c r="K1539" s="15">
        <f t="shared" si="4"/>
        <v>25713209.1</v>
      </c>
      <c r="L1539" s="45"/>
      <c r="M1539" s="24">
        <v>45904.0</v>
      </c>
      <c r="N1539" s="143" t="s">
        <v>1709</v>
      </c>
    </row>
    <row r="1540" ht="15.75" customHeight="1">
      <c r="A1540" s="39">
        <v>45899.0</v>
      </c>
      <c r="B1540" s="87"/>
      <c r="C1540" s="31" t="s">
        <v>864</v>
      </c>
      <c r="D1540" s="19" t="s">
        <v>1287</v>
      </c>
      <c r="E1540" s="32" t="s">
        <v>1712</v>
      </c>
      <c r="F1540" s="32" t="s">
        <v>139</v>
      </c>
      <c r="G1540" s="53">
        <v>2.0699973E7</v>
      </c>
      <c r="H1540" s="14">
        <f t="shared" si="9"/>
        <v>4346994.33</v>
      </c>
      <c r="I1540" s="50"/>
      <c r="J1540" s="22">
        <v>724499.06</v>
      </c>
      <c r="K1540" s="15">
        <f t="shared" si="4"/>
        <v>25771466.39</v>
      </c>
      <c r="L1540" s="45"/>
      <c r="M1540" s="24">
        <v>45905.0</v>
      </c>
    </row>
    <row r="1541" ht="15.75" customHeight="1">
      <c r="A1541" s="39">
        <v>45899.0</v>
      </c>
      <c r="B1541" s="87"/>
      <c r="C1541" s="31" t="s">
        <v>864</v>
      </c>
      <c r="D1541" s="19" t="s">
        <v>1287</v>
      </c>
      <c r="E1541" s="32" t="s">
        <v>1713</v>
      </c>
      <c r="F1541" s="32" t="s">
        <v>139</v>
      </c>
      <c r="G1541" s="53">
        <v>2.1039977E7</v>
      </c>
      <c r="H1541" s="14">
        <f t="shared" si="9"/>
        <v>4418395.17</v>
      </c>
      <c r="I1541" s="50"/>
      <c r="J1541" s="22">
        <v>736399.2</v>
      </c>
      <c r="K1541" s="15">
        <f t="shared" si="4"/>
        <v>26194771.37</v>
      </c>
      <c r="L1541" s="45"/>
      <c r="M1541" s="24">
        <v>45905.0</v>
      </c>
      <c r="N1541" s="143" t="s">
        <v>1709</v>
      </c>
    </row>
    <row r="1542" ht="15.75" customHeight="1">
      <c r="A1542" s="55">
        <v>45902.0</v>
      </c>
      <c r="B1542" s="120" t="s">
        <v>1714</v>
      </c>
      <c r="C1542" s="57" t="s">
        <v>1715</v>
      </c>
      <c r="D1542" s="57" t="s">
        <v>1716</v>
      </c>
      <c r="E1542" s="58" t="s">
        <v>1717</v>
      </c>
      <c r="F1542" s="58" t="s">
        <v>139</v>
      </c>
      <c r="G1542" s="65">
        <v>1.542198E7</v>
      </c>
      <c r="H1542" s="9">
        <f t="shared" si="9"/>
        <v>3238615.8</v>
      </c>
      <c r="I1542" s="56"/>
      <c r="J1542" s="60"/>
      <c r="K1542" s="10">
        <f t="shared" si="4"/>
        <v>18660595.8</v>
      </c>
      <c r="L1542" s="61"/>
      <c r="M1542" s="62"/>
    </row>
    <row r="1543" ht="15.75" customHeight="1">
      <c r="A1543" s="55">
        <v>45902.0</v>
      </c>
      <c r="B1543" s="120" t="s">
        <v>1714</v>
      </c>
      <c r="C1543" s="57" t="s">
        <v>1715</v>
      </c>
      <c r="D1543" s="57" t="s">
        <v>1716</v>
      </c>
      <c r="E1543" s="58" t="s">
        <v>1718</v>
      </c>
      <c r="F1543" s="58" t="s">
        <v>139</v>
      </c>
      <c r="G1543" s="65">
        <v>1.458836E7</v>
      </c>
      <c r="H1543" s="9">
        <f t="shared" si="9"/>
        <v>3063555.6</v>
      </c>
      <c r="I1543" s="56"/>
      <c r="J1543" s="60"/>
      <c r="K1543" s="10">
        <f t="shared" si="4"/>
        <v>17651915.6</v>
      </c>
      <c r="L1543" s="61"/>
      <c r="M1543" s="62"/>
    </row>
    <row r="1544" ht="15.75" customHeight="1">
      <c r="A1544" s="55">
        <v>45902.0</v>
      </c>
      <c r="B1544" s="120" t="s">
        <v>1689</v>
      </c>
      <c r="C1544" s="57" t="s">
        <v>1719</v>
      </c>
      <c r="D1544" s="58" t="s">
        <v>1414</v>
      </c>
      <c r="E1544" s="58" t="s">
        <v>1720</v>
      </c>
      <c r="F1544" s="58" t="s">
        <v>139</v>
      </c>
      <c r="G1544" s="65">
        <f>9600668/1.21</f>
        <v>7934436.364</v>
      </c>
      <c r="H1544" s="9">
        <f t="shared" si="9"/>
        <v>1666231.636</v>
      </c>
      <c r="I1544" s="56"/>
      <c r="J1544" s="60"/>
      <c r="K1544" s="10">
        <f t="shared" si="4"/>
        <v>9600668</v>
      </c>
      <c r="L1544" s="61"/>
      <c r="M1544" s="62"/>
    </row>
    <row r="1545" ht="15.75" customHeight="1">
      <c r="A1545" s="55">
        <v>45902.0</v>
      </c>
      <c r="B1545" s="120" t="s">
        <v>1689</v>
      </c>
      <c r="C1545" s="57" t="s">
        <v>1721</v>
      </c>
      <c r="D1545" s="58" t="s">
        <v>1414</v>
      </c>
      <c r="E1545" s="58" t="s">
        <v>1722</v>
      </c>
      <c r="F1545" s="58" t="s">
        <v>139</v>
      </c>
      <c r="G1545" s="65">
        <f>9204680/1.21</f>
        <v>7607173.554</v>
      </c>
      <c r="H1545" s="9">
        <f t="shared" si="9"/>
        <v>1597506.446</v>
      </c>
      <c r="I1545" s="56"/>
      <c r="J1545" s="60"/>
      <c r="K1545" s="10">
        <f t="shared" si="4"/>
        <v>9204680</v>
      </c>
      <c r="L1545" s="61"/>
      <c r="M1545" s="62"/>
    </row>
    <row r="1546" ht="15.75" customHeight="1">
      <c r="A1546" s="39">
        <v>45902.0</v>
      </c>
      <c r="B1546" s="107" t="s">
        <v>1689</v>
      </c>
      <c r="C1546" s="31" t="s">
        <v>1723</v>
      </c>
      <c r="D1546" s="32" t="s">
        <v>1414</v>
      </c>
      <c r="E1546" s="32" t="s">
        <v>1724</v>
      </c>
      <c r="F1546" s="32" t="s">
        <v>139</v>
      </c>
      <c r="G1546" s="53">
        <f>7200400/1.21</f>
        <v>5950743.802</v>
      </c>
      <c r="H1546" s="14">
        <f t="shared" si="9"/>
        <v>1249656.198</v>
      </c>
      <c r="I1546" s="50"/>
      <c r="J1546" s="14"/>
      <c r="K1546" s="15">
        <f t="shared" si="4"/>
        <v>7200400</v>
      </c>
      <c r="L1546" s="45"/>
      <c r="M1546" s="6"/>
    </row>
    <row r="1547" ht="15.75" customHeight="1">
      <c r="A1547" s="55">
        <v>45902.0</v>
      </c>
      <c r="B1547" s="120" t="s">
        <v>1689</v>
      </c>
      <c r="C1547" s="57" t="s">
        <v>1725</v>
      </c>
      <c r="D1547" s="58" t="s">
        <v>1414</v>
      </c>
      <c r="E1547" s="58" t="s">
        <v>1726</v>
      </c>
      <c r="F1547" s="58" t="s">
        <v>139</v>
      </c>
      <c r="G1547" s="65">
        <f>8200100/1.21</f>
        <v>6776942.149</v>
      </c>
      <c r="H1547" s="9">
        <f t="shared" si="9"/>
        <v>1423157.851</v>
      </c>
      <c r="I1547" s="56"/>
      <c r="J1547" s="60"/>
      <c r="K1547" s="10">
        <f t="shared" si="4"/>
        <v>8200100</v>
      </c>
      <c r="L1547" s="61"/>
      <c r="M1547" s="62"/>
    </row>
    <row r="1548" ht="15.75" customHeight="1">
      <c r="A1548" s="55">
        <v>45902.0</v>
      </c>
      <c r="B1548" s="120" t="s">
        <v>1689</v>
      </c>
      <c r="C1548" s="57" t="s">
        <v>1727</v>
      </c>
      <c r="D1548" s="58" t="s">
        <v>1414</v>
      </c>
      <c r="E1548" s="58" t="s">
        <v>1728</v>
      </c>
      <c r="F1548" s="58" t="s">
        <v>139</v>
      </c>
      <c r="G1548" s="65">
        <f>12000000/1.21</f>
        <v>9917355.372</v>
      </c>
      <c r="H1548" s="9">
        <f t="shared" si="9"/>
        <v>2082644.628</v>
      </c>
      <c r="I1548" s="56"/>
      <c r="J1548" s="60"/>
      <c r="K1548" s="10">
        <f t="shared" si="4"/>
        <v>12000000</v>
      </c>
      <c r="L1548" s="61"/>
      <c r="M1548" s="62"/>
    </row>
    <row r="1549" ht="15.75" customHeight="1">
      <c r="A1549" s="39">
        <v>45902.0</v>
      </c>
      <c r="B1549" s="87"/>
      <c r="C1549" s="31" t="s">
        <v>1285</v>
      </c>
      <c r="D1549" s="32" t="s">
        <v>99</v>
      </c>
      <c r="E1549" s="31" t="s">
        <v>1729</v>
      </c>
      <c r="F1549" s="32" t="s">
        <v>208</v>
      </c>
      <c r="G1549" s="53">
        <v>3012891.26</v>
      </c>
      <c r="H1549" s="14">
        <f t="shared" si="9"/>
        <v>632707.1646</v>
      </c>
      <c r="I1549" s="50"/>
      <c r="J1549" s="14"/>
      <c r="K1549" s="15">
        <f t="shared" si="4"/>
        <v>3645598.425</v>
      </c>
      <c r="L1549" s="45"/>
      <c r="M1549" s="24">
        <v>45904.0</v>
      </c>
    </row>
    <row r="1550" ht="15.75" customHeight="1">
      <c r="A1550" s="39">
        <v>45902.0</v>
      </c>
      <c r="B1550" s="87"/>
      <c r="C1550" s="31" t="s">
        <v>561</v>
      </c>
      <c r="D1550" s="32" t="s">
        <v>99</v>
      </c>
      <c r="E1550" s="31" t="s">
        <v>1730</v>
      </c>
      <c r="F1550" s="32" t="s">
        <v>208</v>
      </c>
      <c r="G1550" s="53">
        <v>3.500109426E7</v>
      </c>
      <c r="H1550" s="14">
        <f t="shared" si="9"/>
        <v>7350229.795</v>
      </c>
      <c r="I1550" s="50"/>
      <c r="J1550" s="14"/>
      <c r="K1550" s="15">
        <f t="shared" si="4"/>
        <v>42351324.05</v>
      </c>
      <c r="L1550" s="45"/>
      <c r="M1550" s="24">
        <v>45905.0</v>
      </c>
    </row>
    <row r="1551" ht="15.75" customHeight="1">
      <c r="A1551" s="39">
        <v>45903.0</v>
      </c>
      <c r="B1551" s="87"/>
      <c r="C1551" s="31" t="s">
        <v>1731</v>
      </c>
      <c r="D1551" s="32" t="s">
        <v>99</v>
      </c>
      <c r="E1551" s="31" t="s">
        <v>1732</v>
      </c>
      <c r="F1551" s="32" t="s">
        <v>208</v>
      </c>
      <c r="G1551" s="53">
        <v>5739829.19</v>
      </c>
      <c r="H1551" s="14">
        <f t="shared" si="9"/>
        <v>1205364.13</v>
      </c>
      <c r="I1551" s="22">
        <v>172194.88</v>
      </c>
      <c r="J1551" s="14"/>
      <c r="K1551" s="15">
        <f t="shared" si="4"/>
        <v>7117388.2</v>
      </c>
      <c r="L1551" s="45"/>
      <c r="M1551" s="24">
        <v>45911.0</v>
      </c>
    </row>
    <row r="1552" ht="15.75" customHeight="1">
      <c r="A1552" s="39">
        <v>45903.0</v>
      </c>
      <c r="B1552" s="87"/>
      <c r="C1552" s="31" t="s">
        <v>1731</v>
      </c>
      <c r="D1552" s="32" t="s">
        <v>99</v>
      </c>
      <c r="E1552" s="31" t="s">
        <v>1733</v>
      </c>
      <c r="F1552" s="32" t="s">
        <v>208</v>
      </c>
      <c r="G1552" s="53">
        <v>7163516.02</v>
      </c>
      <c r="H1552" s="14">
        <f t="shared" si="9"/>
        <v>1504338.364</v>
      </c>
      <c r="I1552" s="22">
        <v>214905.48</v>
      </c>
      <c r="J1552" s="14"/>
      <c r="K1552" s="15">
        <f t="shared" si="4"/>
        <v>8882759.864</v>
      </c>
      <c r="L1552" s="45"/>
      <c r="M1552" s="24">
        <v>45904.0</v>
      </c>
    </row>
    <row r="1553" ht="15.75" customHeight="1">
      <c r="A1553" s="39">
        <v>45903.0</v>
      </c>
      <c r="B1553" s="87"/>
      <c r="C1553" s="31" t="s">
        <v>1731</v>
      </c>
      <c r="D1553" s="32" t="s">
        <v>99</v>
      </c>
      <c r="E1553" s="31" t="s">
        <v>1734</v>
      </c>
      <c r="F1553" s="32" t="s">
        <v>208</v>
      </c>
      <c r="G1553" s="53">
        <v>3736362.07</v>
      </c>
      <c r="H1553" s="14">
        <f t="shared" si="9"/>
        <v>784636.0347</v>
      </c>
      <c r="I1553" s="22">
        <v>112090.86</v>
      </c>
      <c r="J1553" s="14"/>
      <c r="K1553" s="15">
        <f t="shared" si="4"/>
        <v>4633088.965</v>
      </c>
      <c r="L1553" s="45"/>
      <c r="M1553" s="24">
        <v>45904.0</v>
      </c>
    </row>
    <row r="1554" ht="15.75" customHeight="1">
      <c r="A1554" s="39">
        <v>45903.0</v>
      </c>
      <c r="B1554" s="87"/>
      <c r="C1554" s="31" t="s">
        <v>168</v>
      </c>
      <c r="D1554" s="32" t="s">
        <v>99</v>
      </c>
      <c r="E1554" s="31" t="s">
        <v>1735</v>
      </c>
      <c r="F1554" s="32" t="s">
        <v>208</v>
      </c>
      <c r="G1554" s="53">
        <v>1.265283041E7</v>
      </c>
      <c r="H1554" s="14">
        <f t="shared" si="9"/>
        <v>2657094.386</v>
      </c>
      <c r="I1554" s="22">
        <v>379584.91</v>
      </c>
      <c r="J1554" s="14"/>
      <c r="K1554" s="15">
        <f t="shared" si="4"/>
        <v>15689509.71</v>
      </c>
      <c r="L1554" s="45"/>
      <c r="M1554" s="24">
        <v>45911.0</v>
      </c>
    </row>
    <row r="1555" ht="15.75" customHeight="1">
      <c r="A1555" s="39">
        <v>45903.0</v>
      </c>
      <c r="B1555" s="87"/>
      <c r="C1555" s="31" t="s">
        <v>16</v>
      </c>
      <c r="D1555" s="32" t="s">
        <v>99</v>
      </c>
      <c r="E1555" s="31" t="s">
        <v>1736</v>
      </c>
      <c r="F1555" s="32" t="s">
        <v>208</v>
      </c>
      <c r="G1555" s="53">
        <v>9919680.13</v>
      </c>
      <c r="H1555" s="14">
        <f t="shared" si="9"/>
        <v>2083132.827</v>
      </c>
      <c r="I1555" s="22">
        <v>297590.4</v>
      </c>
      <c r="J1555" s="14"/>
      <c r="K1555" s="15">
        <f t="shared" si="4"/>
        <v>12300403.36</v>
      </c>
      <c r="L1555" s="45"/>
      <c r="M1555" s="6"/>
    </row>
    <row r="1556" ht="15.75" customHeight="1">
      <c r="A1556" s="39">
        <v>45903.0</v>
      </c>
      <c r="B1556" s="87"/>
      <c r="C1556" s="31" t="s">
        <v>497</v>
      </c>
      <c r="D1556" s="32" t="s">
        <v>15</v>
      </c>
      <c r="E1556" s="31" t="s">
        <v>1737</v>
      </c>
      <c r="F1556" s="32" t="s">
        <v>208</v>
      </c>
      <c r="G1556" s="53">
        <v>8001205.63</v>
      </c>
      <c r="H1556" s="14">
        <f t="shared" si="9"/>
        <v>1680253.182</v>
      </c>
      <c r="I1556" s="50"/>
      <c r="J1556" s="14"/>
      <c r="K1556" s="15">
        <f t="shared" si="4"/>
        <v>9681458.812</v>
      </c>
      <c r="L1556" s="45"/>
      <c r="M1556" s="24">
        <v>45919.0</v>
      </c>
    </row>
    <row r="1557" ht="15.75" customHeight="1">
      <c r="A1557" s="55">
        <v>45903.0</v>
      </c>
      <c r="B1557" s="64"/>
      <c r="C1557" s="57" t="s">
        <v>969</v>
      </c>
      <c r="D1557" s="57" t="s">
        <v>1021</v>
      </c>
      <c r="E1557" s="58" t="s">
        <v>1738</v>
      </c>
      <c r="F1557" s="58" t="s">
        <v>139</v>
      </c>
      <c r="G1557" s="65">
        <v>5003580.0</v>
      </c>
      <c r="H1557" s="9">
        <f t="shared" si="9"/>
        <v>1050751.8</v>
      </c>
      <c r="I1557" s="56"/>
      <c r="J1557" s="60"/>
      <c r="K1557" s="10">
        <f t="shared" si="4"/>
        <v>6054331.8</v>
      </c>
      <c r="L1557" s="61"/>
      <c r="M1557" s="62"/>
    </row>
    <row r="1558" ht="15.75" customHeight="1">
      <c r="A1558" s="39">
        <v>45903.0</v>
      </c>
      <c r="B1558" s="87"/>
      <c r="C1558" s="31" t="s">
        <v>1731</v>
      </c>
      <c r="D1558" s="32" t="s">
        <v>99</v>
      </c>
      <c r="E1558" s="31" t="s">
        <v>1739</v>
      </c>
      <c r="F1558" s="32" t="s">
        <v>208</v>
      </c>
      <c r="G1558" s="53">
        <v>4123221.08</v>
      </c>
      <c r="H1558" s="14">
        <f t="shared" si="9"/>
        <v>865876.4268</v>
      </c>
      <c r="I1558" s="22">
        <v>123696.63</v>
      </c>
      <c r="J1558" s="14"/>
      <c r="K1558" s="15">
        <f t="shared" si="4"/>
        <v>5112794.137</v>
      </c>
      <c r="L1558" s="45"/>
      <c r="M1558" s="24">
        <v>45911.0</v>
      </c>
    </row>
    <row r="1559" ht="15.75" customHeight="1">
      <c r="A1559" s="55">
        <v>45904.0</v>
      </c>
      <c r="B1559" s="64"/>
      <c r="C1559" s="57" t="s">
        <v>1740</v>
      </c>
      <c r="D1559" s="57" t="s">
        <v>1021</v>
      </c>
      <c r="E1559" s="58" t="s">
        <v>1741</v>
      </c>
      <c r="F1559" s="58" t="s">
        <v>139</v>
      </c>
      <c r="G1559" s="65">
        <v>9368710.49</v>
      </c>
      <c r="H1559" s="9">
        <f t="shared" si="9"/>
        <v>1967429.203</v>
      </c>
      <c r="I1559" s="56"/>
      <c r="J1559" s="60"/>
      <c r="K1559" s="10">
        <f t="shared" si="4"/>
        <v>11336139.69</v>
      </c>
      <c r="L1559" s="61"/>
      <c r="M1559" s="62"/>
    </row>
    <row r="1560" ht="15.75" customHeight="1">
      <c r="A1560" s="39">
        <v>45904.0</v>
      </c>
      <c r="B1560" s="87"/>
      <c r="C1560" s="31" t="s">
        <v>1112</v>
      </c>
      <c r="D1560" s="32" t="s">
        <v>15</v>
      </c>
      <c r="E1560" s="31" t="s">
        <v>1742</v>
      </c>
      <c r="F1560" s="32" t="s">
        <v>208</v>
      </c>
      <c r="G1560" s="53">
        <v>1.987372209E7</v>
      </c>
      <c r="H1560" s="14">
        <f t="shared" si="9"/>
        <v>4173481.639</v>
      </c>
      <c r="I1560" s="50"/>
      <c r="J1560" s="14"/>
      <c r="K1560" s="15">
        <f t="shared" si="4"/>
        <v>24047203.73</v>
      </c>
      <c r="L1560" s="45"/>
      <c r="M1560" s="24">
        <v>45904.0</v>
      </c>
    </row>
    <row r="1561" ht="15.75" customHeight="1">
      <c r="A1561" s="39">
        <v>45904.0</v>
      </c>
      <c r="B1561" s="87"/>
      <c r="C1561" s="31" t="s">
        <v>1112</v>
      </c>
      <c r="D1561" s="32" t="s">
        <v>15</v>
      </c>
      <c r="E1561" s="32" t="s">
        <v>1743</v>
      </c>
      <c r="F1561" s="32" t="s">
        <v>208</v>
      </c>
      <c r="G1561" s="53">
        <v>2.109382103E7</v>
      </c>
      <c r="H1561" s="14">
        <f t="shared" si="9"/>
        <v>4429702.416</v>
      </c>
      <c r="I1561" s="50"/>
      <c r="J1561" s="14"/>
      <c r="K1561" s="15">
        <f t="shared" si="4"/>
        <v>25523523.45</v>
      </c>
      <c r="L1561" s="45"/>
      <c r="M1561" s="24">
        <v>45904.0</v>
      </c>
    </row>
    <row r="1562" ht="15.75" customHeight="1">
      <c r="A1562" s="39">
        <v>45904.0</v>
      </c>
      <c r="B1562" s="87"/>
      <c r="C1562" s="31" t="s">
        <v>1112</v>
      </c>
      <c r="D1562" s="32" t="s">
        <v>15</v>
      </c>
      <c r="E1562" s="32" t="s">
        <v>1744</v>
      </c>
      <c r="F1562" s="32" t="s">
        <v>208</v>
      </c>
      <c r="G1562" s="53">
        <v>1.073736213E7</v>
      </c>
      <c r="H1562" s="14">
        <f t="shared" si="9"/>
        <v>2254846.047</v>
      </c>
      <c r="I1562" s="50"/>
      <c r="J1562" s="14"/>
      <c r="K1562" s="15">
        <f t="shared" si="4"/>
        <v>12992208.18</v>
      </c>
      <c r="L1562" s="45"/>
      <c r="M1562" s="24">
        <v>45904.0</v>
      </c>
    </row>
    <row r="1563" ht="15.75" customHeight="1">
      <c r="A1563" s="39">
        <v>45904.0</v>
      </c>
      <c r="B1563" s="87"/>
      <c r="C1563" s="31" t="s">
        <v>1112</v>
      </c>
      <c r="D1563" s="32" t="s">
        <v>15</v>
      </c>
      <c r="E1563" s="32" t="s">
        <v>1745</v>
      </c>
      <c r="F1563" s="32" t="s">
        <v>208</v>
      </c>
      <c r="G1563" s="53">
        <v>1.022262308E7</v>
      </c>
      <c r="H1563" s="14">
        <f t="shared" si="9"/>
        <v>2146750.847</v>
      </c>
      <c r="I1563" s="22">
        <v>306678.69</v>
      </c>
      <c r="J1563" s="14"/>
      <c r="K1563" s="15">
        <f t="shared" si="4"/>
        <v>12676052.62</v>
      </c>
      <c r="L1563" s="45"/>
      <c r="M1563" s="24">
        <v>45904.0</v>
      </c>
    </row>
    <row r="1564" ht="15.75" customHeight="1">
      <c r="A1564" s="55">
        <v>45905.0</v>
      </c>
      <c r="B1564" s="64"/>
      <c r="C1564" s="58" t="s">
        <v>969</v>
      </c>
      <c r="D1564" s="57" t="s">
        <v>1746</v>
      </c>
      <c r="E1564" s="58" t="s">
        <v>1747</v>
      </c>
      <c r="F1564" s="58" t="s">
        <v>139</v>
      </c>
      <c r="G1564" s="65">
        <v>2.0E7</v>
      </c>
      <c r="H1564" s="9">
        <f t="shared" si="9"/>
        <v>4200000</v>
      </c>
      <c r="I1564" s="56"/>
      <c r="J1564" s="60"/>
      <c r="K1564" s="10">
        <f t="shared" si="4"/>
        <v>24200000</v>
      </c>
      <c r="L1564" s="61"/>
      <c r="M1564" s="62"/>
    </row>
    <row r="1565" ht="15.75" customHeight="1">
      <c r="A1565" s="39">
        <v>45905.0</v>
      </c>
      <c r="B1565" s="87"/>
      <c r="C1565" s="144" t="s">
        <v>1577</v>
      </c>
      <c r="D1565" s="32" t="s">
        <v>99</v>
      </c>
      <c r="E1565" s="31" t="s">
        <v>1748</v>
      </c>
      <c r="F1565" s="32" t="s">
        <v>208</v>
      </c>
      <c r="G1565" s="53">
        <v>3600256.8</v>
      </c>
      <c r="H1565" s="14">
        <f t="shared" si="9"/>
        <v>756053.928</v>
      </c>
      <c r="I1565" s="22">
        <v>108007.7</v>
      </c>
      <c r="J1565" s="14"/>
      <c r="K1565" s="15">
        <f t="shared" si="4"/>
        <v>4464318.428</v>
      </c>
      <c r="L1565" s="45"/>
      <c r="M1565" s="24">
        <v>45911.0</v>
      </c>
    </row>
    <row r="1566" ht="15.75" customHeight="1">
      <c r="A1566" s="39">
        <v>45905.0</v>
      </c>
      <c r="B1566" s="87"/>
      <c r="C1566" s="144" t="s">
        <v>1577</v>
      </c>
      <c r="D1566" s="32" t="s">
        <v>99</v>
      </c>
      <c r="E1566" s="32" t="s">
        <v>1749</v>
      </c>
      <c r="F1566" s="32" t="s">
        <v>208</v>
      </c>
      <c r="G1566" s="53">
        <v>950059.43</v>
      </c>
      <c r="H1566" s="14">
        <f t="shared" si="9"/>
        <v>199512.4803</v>
      </c>
      <c r="I1566" s="50"/>
      <c r="J1566" s="14"/>
      <c r="K1566" s="15">
        <f t="shared" si="4"/>
        <v>1149571.91</v>
      </c>
      <c r="L1566" s="45"/>
      <c r="M1566" s="24">
        <v>45911.0</v>
      </c>
    </row>
    <row r="1567" ht="15.75" customHeight="1">
      <c r="A1567" s="55">
        <v>45905.0</v>
      </c>
      <c r="B1567" s="64"/>
      <c r="C1567" s="58" t="s">
        <v>1242</v>
      </c>
      <c r="D1567" s="58" t="s">
        <v>1240</v>
      </c>
      <c r="E1567" s="56"/>
      <c r="F1567" s="58" t="s">
        <v>139</v>
      </c>
      <c r="G1567" s="65">
        <v>3548358.43</v>
      </c>
      <c r="H1567" s="9">
        <f t="shared" si="9"/>
        <v>745155.2703</v>
      </c>
      <c r="I1567" s="56"/>
      <c r="J1567" s="60"/>
      <c r="K1567" s="10">
        <f t="shared" si="4"/>
        <v>4293513.7</v>
      </c>
      <c r="L1567" s="61"/>
      <c r="M1567" s="62"/>
    </row>
    <row r="1568" ht="15.75" customHeight="1">
      <c r="A1568" s="55">
        <v>45905.0</v>
      </c>
      <c r="B1568" s="64"/>
      <c r="C1568" s="58" t="s">
        <v>1669</v>
      </c>
      <c r="D1568" s="58" t="s">
        <v>1240</v>
      </c>
      <c r="E1568" s="56"/>
      <c r="F1568" s="58" t="s">
        <v>139</v>
      </c>
      <c r="G1568" s="65">
        <v>6554816.88</v>
      </c>
      <c r="H1568" s="9">
        <f t="shared" si="9"/>
        <v>1376511.545</v>
      </c>
      <c r="I1568" s="56"/>
      <c r="J1568" s="60"/>
      <c r="K1568" s="10">
        <f t="shared" si="4"/>
        <v>7931328.425</v>
      </c>
      <c r="L1568" s="61"/>
      <c r="M1568" s="62"/>
    </row>
    <row r="1569" ht="15.75" customHeight="1">
      <c r="A1569" s="39">
        <v>45848.0</v>
      </c>
      <c r="B1569" s="39"/>
      <c r="C1569" s="31" t="s">
        <v>171</v>
      </c>
      <c r="D1569" s="32" t="s">
        <v>99</v>
      </c>
      <c r="E1569" s="31" t="s">
        <v>1750</v>
      </c>
      <c r="F1569" s="134">
        <v>45863.0</v>
      </c>
      <c r="G1569" s="53">
        <v>1.000079232E7</v>
      </c>
      <c r="H1569" s="14">
        <f t="shared" si="9"/>
        <v>2100166.387</v>
      </c>
      <c r="I1569" s="50"/>
      <c r="J1569" s="14"/>
      <c r="K1569" s="15">
        <f t="shared" si="4"/>
        <v>12100958.71</v>
      </c>
      <c r="L1569" s="45"/>
      <c r="M1569" s="24">
        <v>45870.0</v>
      </c>
    </row>
    <row r="1570" ht="15.75" customHeight="1">
      <c r="A1570" s="39">
        <v>45877.0</v>
      </c>
      <c r="B1570" s="87"/>
      <c r="C1570" s="31" t="s">
        <v>171</v>
      </c>
      <c r="D1570" s="32" t="s">
        <v>99</v>
      </c>
      <c r="E1570" s="31" t="s">
        <v>1751</v>
      </c>
      <c r="F1570" s="32" t="s">
        <v>139</v>
      </c>
      <c r="G1570" s="53">
        <v>1.282615124E7</v>
      </c>
      <c r="H1570" s="14">
        <f t="shared" si="9"/>
        <v>2693491.76</v>
      </c>
      <c r="I1570" s="50"/>
      <c r="J1570" s="14"/>
      <c r="K1570" s="15">
        <f t="shared" si="4"/>
        <v>15519643</v>
      </c>
      <c r="L1570" s="45"/>
      <c r="M1570" s="24">
        <v>45900.0</v>
      </c>
    </row>
    <row r="1571" ht="15.75" customHeight="1">
      <c r="A1571" s="39">
        <v>45877.0</v>
      </c>
      <c r="B1571" s="87"/>
      <c r="C1571" s="31" t="s">
        <v>171</v>
      </c>
      <c r="D1571" s="32" t="s">
        <v>99</v>
      </c>
      <c r="E1571" s="31" t="s">
        <v>1752</v>
      </c>
      <c r="F1571" s="32" t="s">
        <v>139</v>
      </c>
      <c r="G1571" s="53">
        <v>1.623326241E7</v>
      </c>
      <c r="H1571" s="14">
        <f t="shared" si="9"/>
        <v>3408985.106</v>
      </c>
      <c r="I1571" s="50"/>
      <c r="J1571" s="14"/>
      <c r="K1571" s="15">
        <f t="shared" si="4"/>
        <v>19642247.52</v>
      </c>
      <c r="L1571" s="45"/>
      <c r="M1571" s="24">
        <v>45900.0</v>
      </c>
    </row>
    <row r="1572" ht="15.75" customHeight="1">
      <c r="A1572" s="39">
        <v>45877.0</v>
      </c>
      <c r="B1572" s="87"/>
      <c r="C1572" s="31" t="s">
        <v>171</v>
      </c>
      <c r="D1572" s="32" t="s">
        <v>99</v>
      </c>
      <c r="E1572" s="31" t="s">
        <v>1753</v>
      </c>
      <c r="F1572" s="32" t="s">
        <v>139</v>
      </c>
      <c r="G1572" s="53">
        <v>1.383737634E7</v>
      </c>
      <c r="H1572" s="14">
        <f t="shared" si="9"/>
        <v>2905849.031</v>
      </c>
      <c r="I1572" s="50"/>
      <c r="J1572" s="14"/>
      <c r="K1572" s="15">
        <f t="shared" si="4"/>
        <v>16743225.37</v>
      </c>
      <c r="L1572" s="45"/>
      <c r="M1572" s="24">
        <v>45900.0</v>
      </c>
    </row>
    <row r="1573" ht="15.75" customHeight="1">
      <c r="A1573" s="39">
        <v>45848.0</v>
      </c>
      <c r="B1573" s="39"/>
      <c r="C1573" s="31" t="s">
        <v>171</v>
      </c>
      <c r="D1573" s="32" t="s">
        <v>15</v>
      </c>
      <c r="E1573" s="31" t="s">
        <v>1754</v>
      </c>
      <c r="F1573" s="134">
        <v>45863.0</v>
      </c>
      <c r="G1573" s="53">
        <v>1.000105685E7</v>
      </c>
      <c r="H1573" s="14">
        <f t="shared" si="9"/>
        <v>2100221.939</v>
      </c>
      <c r="I1573" s="50"/>
      <c r="J1573" s="14"/>
      <c r="K1573" s="15">
        <f t="shared" si="4"/>
        <v>12101278.79</v>
      </c>
      <c r="L1573" s="45"/>
      <c r="M1573" s="24">
        <v>45869.0</v>
      </c>
    </row>
    <row r="1574" ht="15.75" customHeight="1">
      <c r="A1574" s="39">
        <v>45848.0</v>
      </c>
      <c r="B1574" s="39"/>
      <c r="C1574" s="31" t="s">
        <v>171</v>
      </c>
      <c r="D1574" s="32" t="s">
        <v>15</v>
      </c>
      <c r="E1574" s="31" t="s">
        <v>1755</v>
      </c>
      <c r="F1574" s="134">
        <v>45863.0</v>
      </c>
      <c r="G1574" s="53">
        <v>1.000112951E7</v>
      </c>
      <c r="H1574" s="14">
        <f t="shared" si="9"/>
        <v>2100237.197</v>
      </c>
      <c r="I1574" s="50"/>
      <c r="J1574" s="14"/>
      <c r="K1574" s="15">
        <f t="shared" si="4"/>
        <v>12101366.71</v>
      </c>
      <c r="L1574" s="45"/>
      <c r="M1574" s="24">
        <v>45869.0</v>
      </c>
    </row>
    <row r="1575" ht="15.75" customHeight="1">
      <c r="A1575" s="39">
        <v>45848.0</v>
      </c>
      <c r="B1575" s="39"/>
      <c r="C1575" s="31" t="s">
        <v>171</v>
      </c>
      <c r="D1575" s="32" t="s">
        <v>15</v>
      </c>
      <c r="E1575" s="31" t="s">
        <v>1756</v>
      </c>
      <c r="F1575" s="134">
        <v>45863.0</v>
      </c>
      <c r="G1575" s="53">
        <v>1.000082417E7</v>
      </c>
      <c r="H1575" s="14">
        <f t="shared" si="9"/>
        <v>2100173.076</v>
      </c>
      <c r="I1575" s="50"/>
      <c r="J1575" s="14"/>
      <c r="K1575" s="15">
        <f t="shared" si="4"/>
        <v>12100997.25</v>
      </c>
      <c r="L1575" s="45"/>
      <c r="M1575" s="24">
        <v>45869.0</v>
      </c>
    </row>
    <row r="1576" ht="15.75" customHeight="1">
      <c r="A1576" s="39">
        <v>45848.0</v>
      </c>
      <c r="B1576" s="39"/>
      <c r="C1576" s="31" t="s">
        <v>171</v>
      </c>
      <c r="D1576" s="32" t="s">
        <v>15</v>
      </c>
      <c r="E1576" s="31" t="s">
        <v>1757</v>
      </c>
      <c r="F1576" s="134">
        <v>45863.0</v>
      </c>
      <c r="G1576" s="53">
        <v>1.000104871E7</v>
      </c>
      <c r="H1576" s="14">
        <f t="shared" si="9"/>
        <v>2100220.229</v>
      </c>
      <c r="I1576" s="50"/>
      <c r="J1576" s="14"/>
      <c r="K1576" s="15">
        <f t="shared" si="4"/>
        <v>12101268.94</v>
      </c>
      <c r="L1576" s="45"/>
      <c r="M1576" s="24">
        <v>45869.0</v>
      </c>
    </row>
    <row r="1577" ht="15.75" customHeight="1">
      <c r="A1577" s="39">
        <v>45909.0</v>
      </c>
      <c r="B1577" s="87"/>
      <c r="C1577" s="31" t="s">
        <v>1112</v>
      </c>
      <c r="D1577" s="32" t="s">
        <v>99</v>
      </c>
      <c r="E1577" s="32" t="s">
        <v>1758</v>
      </c>
      <c r="F1577" s="32" t="s">
        <v>208</v>
      </c>
      <c r="G1577" s="53">
        <v>8272623.09</v>
      </c>
      <c r="H1577" s="14">
        <f t="shared" si="9"/>
        <v>1737250.849</v>
      </c>
      <c r="I1577" s="22">
        <v>248178.69</v>
      </c>
      <c r="J1577" s="14"/>
      <c r="K1577" s="15">
        <f t="shared" si="4"/>
        <v>10258052.63</v>
      </c>
      <c r="L1577" s="45"/>
      <c r="M1577" s="24">
        <v>45911.0</v>
      </c>
    </row>
    <row r="1578" ht="15.75" customHeight="1">
      <c r="A1578" s="39">
        <v>45909.0</v>
      </c>
      <c r="B1578" s="87"/>
      <c r="C1578" s="31" t="s">
        <v>1112</v>
      </c>
      <c r="D1578" s="32" t="s">
        <v>99</v>
      </c>
      <c r="E1578" s="32" t="s">
        <v>1759</v>
      </c>
      <c r="F1578" s="32" t="s">
        <v>208</v>
      </c>
      <c r="G1578" s="53">
        <v>6615235.09</v>
      </c>
      <c r="H1578" s="14">
        <f t="shared" si="9"/>
        <v>1389199.369</v>
      </c>
      <c r="I1578" s="22">
        <v>198457.05</v>
      </c>
      <c r="J1578" s="14"/>
      <c r="K1578" s="15">
        <f t="shared" si="4"/>
        <v>8202891.509</v>
      </c>
      <c r="L1578" s="45"/>
      <c r="M1578" s="24">
        <v>45911.0</v>
      </c>
    </row>
    <row r="1579" ht="15.75" customHeight="1">
      <c r="A1579" s="39">
        <v>45909.0</v>
      </c>
      <c r="B1579" s="87"/>
      <c r="C1579" s="31" t="s">
        <v>1112</v>
      </c>
      <c r="D1579" s="32" t="s">
        <v>99</v>
      </c>
      <c r="E1579" s="32" t="s">
        <v>1760</v>
      </c>
      <c r="F1579" s="32" t="s">
        <v>208</v>
      </c>
      <c r="G1579" s="53">
        <v>1.088272236E7</v>
      </c>
      <c r="H1579" s="14">
        <f t="shared" si="9"/>
        <v>2285371.696</v>
      </c>
      <c r="I1579" s="22">
        <v>326481.67</v>
      </c>
      <c r="J1579" s="14"/>
      <c r="K1579" s="15">
        <f t="shared" si="4"/>
        <v>13494575.73</v>
      </c>
      <c r="L1579" s="45"/>
      <c r="M1579" s="24">
        <v>45911.0</v>
      </c>
    </row>
    <row r="1580" ht="15.75" customHeight="1">
      <c r="A1580" s="145">
        <v>45909.0</v>
      </c>
      <c r="B1580" s="146"/>
      <c r="C1580" s="147" t="s">
        <v>635</v>
      </c>
      <c r="D1580" s="148" t="s">
        <v>99</v>
      </c>
      <c r="E1580" s="147" t="s">
        <v>1761</v>
      </c>
      <c r="F1580" s="148" t="s">
        <v>208</v>
      </c>
      <c r="G1580" s="149">
        <v>7325352.09</v>
      </c>
      <c r="H1580" s="150">
        <f t="shared" si="9"/>
        <v>1538323.939</v>
      </c>
      <c r="I1580" s="151">
        <v>219760.56</v>
      </c>
      <c r="J1580" s="150"/>
      <c r="K1580" s="152">
        <f t="shared" si="4"/>
        <v>9083436.589</v>
      </c>
      <c r="L1580" s="153"/>
      <c r="M1580" s="154"/>
    </row>
    <row r="1581" ht="15.75" customHeight="1">
      <c r="A1581" s="145">
        <v>45909.0</v>
      </c>
      <c r="B1581" s="146"/>
      <c r="C1581" s="147" t="s">
        <v>635</v>
      </c>
      <c r="D1581" s="148" t="s">
        <v>99</v>
      </c>
      <c r="E1581" s="147" t="s">
        <v>1762</v>
      </c>
      <c r="F1581" s="148" t="s">
        <v>208</v>
      </c>
      <c r="G1581" s="149">
        <v>8736362.27</v>
      </c>
      <c r="H1581" s="150">
        <f t="shared" si="9"/>
        <v>1834636.077</v>
      </c>
      <c r="I1581" s="151">
        <v>262090.87</v>
      </c>
      <c r="J1581" s="150"/>
      <c r="K1581" s="152">
        <f t="shared" si="4"/>
        <v>10833089.22</v>
      </c>
      <c r="L1581" s="153"/>
      <c r="M1581" s="154"/>
    </row>
    <row r="1582" ht="15.75" customHeight="1">
      <c r="A1582" s="145">
        <v>45909.0</v>
      </c>
      <c r="B1582" s="146"/>
      <c r="C1582" s="147" t="s">
        <v>635</v>
      </c>
      <c r="D1582" s="148" t="s">
        <v>99</v>
      </c>
      <c r="E1582" s="148" t="s">
        <v>1763</v>
      </c>
      <c r="F1582" s="148" t="s">
        <v>208</v>
      </c>
      <c r="G1582" s="149">
        <v>6736362.22</v>
      </c>
      <c r="H1582" s="150">
        <f t="shared" si="9"/>
        <v>1414636.066</v>
      </c>
      <c r="I1582" s="151">
        <v>202090.87</v>
      </c>
      <c r="J1582" s="150"/>
      <c r="K1582" s="152">
        <f t="shared" si="4"/>
        <v>8353089.156</v>
      </c>
      <c r="L1582" s="153"/>
      <c r="M1582" s="154"/>
    </row>
    <row r="1583" ht="15.75" customHeight="1">
      <c r="A1583" s="145">
        <v>45909.0</v>
      </c>
      <c r="B1583" s="146"/>
      <c r="C1583" s="147" t="s">
        <v>635</v>
      </c>
      <c r="D1583" s="148" t="s">
        <v>99</v>
      </c>
      <c r="E1583" s="147" t="s">
        <v>1764</v>
      </c>
      <c r="F1583" s="148" t="s">
        <v>208</v>
      </c>
      <c r="G1583" s="149">
        <v>6337223.16</v>
      </c>
      <c r="H1583" s="150">
        <f t="shared" si="9"/>
        <v>1330816.864</v>
      </c>
      <c r="I1583" s="151">
        <v>190116.69</v>
      </c>
      <c r="J1583" s="150"/>
      <c r="K1583" s="152">
        <f t="shared" si="4"/>
        <v>7858156.714</v>
      </c>
      <c r="L1583" s="153"/>
      <c r="M1583" s="154"/>
    </row>
    <row r="1584" ht="15.75" customHeight="1">
      <c r="A1584" s="145">
        <v>45909.0</v>
      </c>
      <c r="B1584" s="146"/>
      <c r="C1584" s="147" t="s">
        <v>635</v>
      </c>
      <c r="D1584" s="148" t="s">
        <v>99</v>
      </c>
      <c r="E1584" s="147" t="s">
        <v>1765</v>
      </c>
      <c r="F1584" s="148" t="s">
        <v>208</v>
      </c>
      <c r="G1584" s="149">
        <v>4439221.85</v>
      </c>
      <c r="H1584" s="150">
        <f t="shared" si="9"/>
        <v>932236.5885</v>
      </c>
      <c r="I1584" s="151">
        <v>133176.66</v>
      </c>
      <c r="J1584" s="150"/>
      <c r="K1584" s="152">
        <f t="shared" si="4"/>
        <v>5504635.099</v>
      </c>
      <c r="L1584" s="153"/>
      <c r="M1584" s="154"/>
    </row>
    <row r="1585" ht="15.75" customHeight="1">
      <c r="A1585" s="145">
        <v>45909.0</v>
      </c>
      <c r="B1585" s="146"/>
      <c r="C1585" s="147" t="s">
        <v>635</v>
      </c>
      <c r="D1585" s="148" t="s">
        <v>99</v>
      </c>
      <c r="E1585" s="148" t="s">
        <v>1766</v>
      </c>
      <c r="F1585" s="148" t="s">
        <v>208</v>
      </c>
      <c r="G1585" s="149">
        <v>6674573.36</v>
      </c>
      <c r="H1585" s="150">
        <f t="shared" si="9"/>
        <v>1401660.406</v>
      </c>
      <c r="I1585" s="151">
        <v>200237.2</v>
      </c>
      <c r="J1585" s="150"/>
      <c r="K1585" s="152">
        <f t="shared" si="4"/>
        <v>8276470.966</v>
      </c>
      <c r="L1585" s="153"/>
      <c r="M1585" s="154"/>
    </row>
    <row r="1586" ht="15.75" customHeight="1">
      <c r="A1586" s="39">
        <v>45909.0</v>
      </c>
      <c r="B1586" s="87"/>
      <c r="C1586" s="31" t="s">
        <v>635</v>
      </c>
      <c r="D1586" s="32" t="s">
        <v>15</v>
      </c>
      <c r="E1586" s="31" t="s">
        <v>1767</v>
      </c>
      <c r="F1586" s="32" t="s">
        <v>208</v>
      </c>
      <c r="G1586" s="53">
        <v>3382722.19</v>
      </c>
      <c r="H1586" s="14">
        <f t="shared" si="9"/>
        <v>710371.6599</v>
      </c>
      <c r="I1586" s="22">
        <v>101481.67</v>
      </c>
      <c r="J1586" s="14"/>
      <c r="K1586" s="15">
        <f t="shared" si="4"/>
        <v>4194575.52</v>
      </c>
      <c r="L1586" s="45"/>
      <c r="M1586" s="24">
        <v>45965.0</v>
      </c>
    </row>
    <row r="1587" ht="15.75" customHeight="1">
      <c r="A1587" s="39">
        <v>45909.0</v>
      </c>
      <c r="B1587" s="87"/>
      <c r="C1587" s="31" t="s">
        <v>635</v>
      </c>
      <c r="D1587" s="32" t="s">
        <v>15</v>
      </c>
      <c r="E1587" s="31" t="s">
        <v>1768</v>
      </c>
      <c r="F1587" s="32" t="s">
        <v>208</v>
      </c>
      <c r="G1587" s="53">
        <v>4487373.49</v>
      </c>
      <c r="H1587" s="14">
        <f t="shared" si="9"/>
        <v>942348.4329</v>
      </c>
      <c r="I1587" s="22">
        <v>134621.2</v>
      </c>
      <c r="J1587" s="14"/>
      <c r="K1587" s="15">
        <f t="shared" si="4"/>
        <v>5564343.123</v>
      </c>
      <c r="L1587" s="45"/>
      <c r="M1587" s="24">
        <v>45965.0</v>
      </c>
    </row>
    <row r="1588" ht="15.75" customHeight="1">
      <c r="A1588" s="39">
        <v>45909.0</v>
      </c>
      <c r="B1588" s="87"/>
      <c r="C1588" s="31" t="s">
        <v>635</v>
      </c>
      <c r="D1588" s="32" t="s">
        <v>15</v>
      </c>
      <c r="E1588" s="32" t="s">
        <v>1769</v>
      </c>
      <c r="F1588" s="32" t="s">
        <v>208</v>
      </c>
      <c r="G1588" s="53">
        <v>5554343.56</v>
      </c>
      <c r="H1588" s="14">
        <f t="shared" si="9"/>
        <v>1166412.148</v>
      </c>
      <c r="I1588" s="22">
        <v>166630.31</v>
      </c>
      <c r="J1588" s="14"/>
      <c r="K1588" s="15">
        <f t="shared" si="4"/>
        <v>6887386.018</v>
      </c>
      <c r="L1588" s="45"/>
      <c r="M1588" s="24">
        <v>45965.0</v>
      </c>
    </row>
    <row r="1589" ht="15.75" customHeight="1">
      <c r="A1589" s="39">
        <v>45909.0</v>
      </c>
      <c r="B1589" s="87"/>
      <c r="C1589" s="31" t="s">
        <v>635</v>
      </c>
      <c r="D1589" s="32" t="s">
        <v>15</v>
      </c>
      <c r="E1589" s="31" t="s">
        <v>1770</v>
      </c>
      <c r="F1589" s="32" t="s">
        <v>208</v>
      </c>
      <c r="G1589" s="53">
        <v>4500237.49</v>
      </c>
      <c r="H1589" s="14">
        <f t="shared" si="9"/>
        <v>945049.8729</v>
      </c>
      <c r="I1589" s="22">
        <v>135007.12</v>
      </c>
      <c r="J1589" s="14"/>
      <c r="K1589" s="15">
        <f t="shared" si="4"/>
        <v>5580294.483</v>
      </c>
      <c r="L1589" s="45"/>
      <c r="M1589" s="24">
        <v>45965.0</v>
      </c>
    </row>
    <row r="1590" ht="15.75" customHeight="1">
      <c r="A1590" s="39">
        <v>45909.0</v>
      </c>
      <c r="B1590" s="87"/>
      <c r="C1590" s="31" t="s">
        <v>635</v>
      </c>
      <c r="D1590" s="32" t="s">
        <v>15</v>
      </c>
      <c r="E1590" s="31" t="s">
        <v>1771</v>
      </c>
      <c r="F1590" s="32" t="s">
        <v>208</v>
      </c>
      <c r="G1590" s="53">
        <v>6352523.86</v>
      </c>
      <c r="H1590" s="14">
        <f t="shared" si="9"/>
        <v>1334030.011</v>
      </c>
      <c r="I1590" s="22">
        <v>190575.72</v>
      </c>
      <c r="J1590" s="14"/>
      <c r="K1590" s="15">
        <f t="shared" si="4"/>
        <v>7877129.591</v>
      </c>
      <c r="L1590" s="45"/>
      <c r="M1590" s="24">
        <v>45965.0</v>
      </c>
    </row>
    <row r="1591" ht="15.75" customHeight="1">
      <c r="A1591" s="39">
        <v>45909.0</v>
      </c>
      <c r="B1591" s="87"/>
      <c r="C1591" s="31" t="s">
        <v>635</v>
      </c>
      <c r="D1591" s="32" t="s">
        <v>15</v>
      </c>
      <c r="E1591" s="32" t="s">
        <v>1772</v>
      </c>
      <c r="F1591" s="32" t="s">
        <v>208</v>
      </c>
      <c r="G1591" s="53">
        <v>5557473.29</v>
      </c>
      <c r="H1591" s="14">
        <f t="shared" si="9"/>
        <v>1167069.391</v>
      </c>
      <c r="I1591" s="22">
        <v>166724.2</v>
      </c>
      <c r="J1591" s="14"/>
      <c r="K1591" s="15">
        <f t="shared" si="4"/>
        <v>6891266.881</v>
      </c>
      <c r="L1591" s="45"/>
      <c r="M1591" s="24">
        <v>45965.0</v>
      </c>
    </row>
    <row r="1592" ht="15.75" customHeight="1">
      <c r="A1592" s="39">
        <v>45909.0</v>
      </c>
      <c r="B1592" s="87"/>
      <c r="C1592" s="31" t="s">
        <v>635</v>
      </c>
      <c r="D1592" s="32" t="s">
        <v>15</v>
      </c>
      <c r="E1592" s="31" t="s">
        <v>1773</v>
      </c>
      <c r="F1592" s="32" t="s">
        <v>208</v>
      </c>
      <c r="G1592" s="53">
        <v>5554346.82</v>
      </c>
      <c r="H1592" s="14">
        <f t="shared" si="9"/>
        <v>1166412.832</v>
      </c>
      <c r="I1592" s="22">
        <v>166630.4</v>
      </c>
      <c r="J1592" s="14"/>
      <c r="K1592" s="15">
        <f t="shared" si="4"/>
        <v>6887390.052</v>
      </c>
      <c r="L1592" s="45"/>
      <c r="M1592" s="24">
        <v>45965.0</v>
      </c>
    </row>
    <row r="1593" ht="15.75" customHeight="1">
      <c r="A1593" s="55">
        <v>45909.0</v>
      </c>
      <c r="B1593" s="64"/>
      <c r="C1593" s="57" t="s">
        <v>1136</v>
      </c>
      <c r="D1593" s="58" t="s">
        <v>15</v>
      </c>
      <c r="E1593" s="57" t="s">
        <v>1774</v>
      </c>
      <c r="F1593" s="58" t="s">
        <v>208</v>
      </c>
      <c r="G1593" s="65">
        <v>3.86955E7</v>
      </c>
      <c r="H1593" s="9">
        <f t="shared" si="9"/>
        <v>8126055</v>
      </c>
      <c r="I1593" s="44">
        <v>1160865.0</v>
      </c>
      <c r="J1593" s="60"/>
      <c r="K1593" s="10">
        <f t="shared" si="4"/>
        <v>47982420</v>
      </c>
      <c r="L1593" s="61"/>
      <c r="M1593" s="62"/>
    </row>
    <row r="1594" ht="15.75" customHeight="1">
      <c r="A1594" s="55">
        <v>45909.0</v>
      </c>
      <c r="B1594" s="64"/>
      <c r="C1594" s="57" t="s">
        <v>1136</v>
      </c>
      <c r="D1594" s="58" t="s">
        <v>15</v>
      </c>
      <c r="E1594" s="57" t="s">
        <v>1775</v>
      </c>
      <c r="F1594" s="58" t="s">
        <v>208</v>
      </c>
      <c r="G1594" s="65">
        <v>3.872026512E7</v>
      </c>
      <c r="H1594" s="9">
        <f t="shared" si="9"/>
        <v>8131255.675</v>
      </c>
      <c r="I1594" s="44">
        <v>1161607.95</v>
      </c>
      <c r="J1594" s="60"/>
      <c r="K1594" s="10">
        <f t="shared" si="4"/>
        <v>48013128.75</v>
      </c>
      <c r="L1594" s="61"/>
      <c r="M1594" s="62"/>
    </row>
    <row r="1595" ht="15.75" customHeight="1">
      <c r="A1595" s="55">
        <v>45909.0</v>
      </c>
      <c r="B1595" s="64"/>
      <c r="C1595" s="57" t="s">
        <v>1136</v>
      </c>
      <c r="D1595" s="58" t="s">
        <v>15</v>
      </c>
      <c r="E1595" s="58" t="s">
        <v>1776</v>
      </c>
      <c r="F1595" s="58" t="s">
        <v>208</v>
      </c>
      <c r="G1595" s="65">
        <v>3.86800218E7</v>
      </c>
      <c r="H1595" s="9">
        <f t="shared" si="9"/>
        <v>8122804.578</v>
      </c>
      <c r="I1595" s="44">
        <v>1160400.65</v>
      </c>
      <c r="J1595" s="60"/>
      <c r="K1595" s="10">
        <f t="shared" si="4"/>
        <v>47963227.03</v>
      </c>
      <c r="L1595" s="61"/>
      <c r="M1595" s="62"/>
    </row>
    <row r="1596" ht="15.75" customHeight="1">
      <c r="A1596" s="39">
        <v>45909.0</v>
      </c>
      <c r="B1596" s="87"/>
      <c r="C1596" s="31" t="s">
        <v>1136</v>
      </c>
      <c r="D1596" s="32" t="s">
        <v>99</v>
      </c>
      <c r="E1596" s="31" t="s">
        <v>1777</v>
      </c>
      <c r="F1596" s="32" t="s">
        <v>208</v>
      </c>
      <c r="G1596" s="53">
        <v>3.1569306E7</v>
      </c>
      <c r="H1596" s="14">
        <f t="shared" si="9"/>
        <v>6629554.26</v>
      </c>
      <c r="I1596" s="22">
        <v>947079.18</v>
      </c>
      <c r="J1596" s="14"/>
      <c r="K1596" s="15">
        <f t="shared" si="4"/>
        <v>39145939.44</v>
      </c>
      <c r="L1596" s="45"/>
      <c r="M1596" s="24">
        <v>45932.0</v>
      </c>
    </row>
    <row r="1597" ht="15.75" customHeight="1">
      <c r="A1597" s="39">
        <v>45909.0</v>
      </c>
      <c r="B1597" s="87"/>
      <c r="C1597" s="31" t="s">
        <v>1136</v>
      </c>
      <c r="D1597" s="32" t="s">
        <v>99</v>
      </c>
      <c r="E1597" s="32" t="s">
        <v>1778</v>
      </c>
      <c r="F1597" s="32" t="s">
        <v>208</v>
      </c>
      <c r="G1597" s="53">
        <v>3.156311594E7</v>
      </c>
      <c r="H1597" s="14">
        <f t="shared" si="9"/>
        <v>6628254.347</v>
      </c>
      <c r="I1597" s="22">
        <v>946893.48</v>
      </c>
      <c r="J1597" s="14"/>
      <c r="K1597" s="15">
        <f t="shared" si="4"/>
        <v>39138263.77</v>
      </c>
      <c r="L1597" s="45"/>
      <c r="M1597" s="24">
        <v>45932.0</v>
      </c>
    </row>
    <row r="1598" ht="15.75" customHeight="1">
      <c r="A1598" s="39">
        <v>45909.0</v>
      </c>
      <c r="B1598" s="87"/>
      <c r="C1598" s="31" t="s">
        <v>1136</v>
      </c>
      <c r="D1598" s="32" t="s">
        <v>99</v>
      </c>
      <c r="E1598" s="32" t="s">
        <v>1779</v>
      </c>
      <c r="F1598" s="32" t="s">
        <v>208</v>
      </c>
      <c r="G1598" s="53">
        <v>3.157549606E7</v>
      </c>
      <c r="H1598" s="14">
        <f t="shared" si="9"/>
        <v>6630854.173</v>
      </c>
      <c r="I1598" s="22">
        <v>947264.88</v>
      </c>
      <c r="J1598" s="14"/>
      <c r="K1598" s="15">
        <f t="shared" si="4"/>
        <v>39153615.11</v>
      </c>
      <c r="L1598" s="45"/>
      <c r="M1598" s="24">
        <v>45932.0</v>
      </c>
    </row>
    <row r="1599" ht="15.75" customHeight="1">
      <c r="A1599" s="39">
        <v>45910.0</v>
      </c>
      <c r="B1599" s="87"/>
      <c r="C1599" s="31" t="s">
        <v>1136</v>
      </c>
      <c r="D1599" s="32" t="s">
        <v>99</v>
      </c>
      <c r="E1599" s="31" t="s">
        <v>1780</v>
      </c>
      <c r="F1599" s="32" t="s">
        <v>208</v>
      </c>
      <c r="G1599" s="53">
        <v>3.164668175E7</v>
      </c>
      <c r="H1599" s="14">
        <f t="shared" si="9"/>
        <v>6645803.168</v>
      </c>
      <c r="I1599" s="22">
        <v>949400.45</v>
      </c>
      <c r="J1599" s="14"/>
      <c r="K1599" s="15">
        <f t="shared" si="4"/>
        <v>39241885.37</v>
      </c>
      <c r="L1599" s="45"/>
      <c r="M1599" s="24">
        <v>45932.0</v>
      </c>
    </row>
    <row r="1600" ht="15.75" customHeight="1">
      <c r="A1600" s="39">
        <v>45910.0</v>
      </c>
      <c r="B1600" s="87"/>
      <c r="C1600" s="31" t="s">
        <v>1136</v>
      </c>
      <c r="D1600" s="32" t="s">
        <v>99</v>
      </c>
      <c r="E1600" s="31" t="s">
        <v>1781</v>
      </c>
      <c r="F1600" s="32" t="s">
        <v>208</v>
      </c>
      <c r="G1600" s="53">
        <v>3.149193025E7</v>
      </c>
      <c r="H1600" s="14">
        <f t="shared" si="9"/>
        <v>6613305.353</v>
      </c>
      <c r="I1600" s="22">
        <v>944757.91</v>
      </c>
      <c r="J1600" s="14"/>
      <c r="K1600" s="15">
        <f t="shared" si="4"/>
        <v>39049993.51</v>
      </c>
      <c r="L1600" s="45"/>
      <c r="M1600" s="24">
        <v>45932.0</v>
      </c>
    </row>
    <row r="1601" ht="15.75" customHeight="1">
      <c r="A1601" s="39">
        <v>45910.0</v>
      </c>
      <c r="B1601" s="87"/>
      <c r="C1601" s="31" t="s">
        <v>1136</v>
      </c>
      <c r="D1601" s="32" t="s">
        <v>15</v>
      </c>
      <c r="E1601" s="31" t="s">
        <v>1782</v>
      </c>
      <c r="F1601" s="32" t="s">
        <v>208</v>
      </c>
      <c r="G1601" s="53">
        <v>3.869240436E7</v>
      </c>
      <c r="H1601" s="14">
        <f t="shared" si="9"/>
        <v>8125404.916</v>
      </c>
      <c r="I1601" s="22">
        <v>1160772.13</v>
      </c>
      <c r="J1601" s="14"/>
      <c r="K1601" s="15">
        <f t="shared" si="4"/>
        <v>47978581.41</v>
      </c>
      <c r="L1601" s="45"/>
      <c r="M1601" s="6"/>
    </row>
    <row r="1602" ht="15.75" customHeight="1">
      <c r="A1602" s="39">
        <v>45910.0</v>
      </c>
      <c r="B1602" s="87"/>
      <c r="C1602" s="31" t="s">
        <v>1136</v>
      </c>
      <c r="D1602" s="32" t="s">
        <v>15</v>
      </c>
      <c r="E1602" s="31" t="s">
        <v>1783</v>
      </c>
      <c r="F1602" s="32" t="s">
        <v>208</v>
      </c>
      <c r="G1602" s="53">
        <v>3.868930872E7</v>
      </c>
      <c r="H1602" s="14">
        <f t="shared" si="9"/>
        <v>8124754.831</v>
      </c>
      <c r="I1602" s="22">
        <v>1160679.26</v>
      </c>
      <c r="J1602" s="14"/>
      <c r="K1602" s="15">
        <f t="shared" si="4"/>
        <v>47974742.81</v>
      </c>
      <c r="L1602" s="45"/>
      <c r="M1602" s="6"/>
    </row>
    <row r="1603" ht="15.75" customHeight="1">
      <c r="A1603" s="39">
        <v>45910.0</v>
      </c>
      <c r="B1603" s="87"/>
      <c r="C1603" s="31" t="s">
        <v>1136</v>
      </c>
      <c r="D1603" s="32" t="s">
        <v>15</v>
      </c>
      <c r="E1603" s="31" t="s">
        <v>1784</v>
      </c>
      <c r="F1603" s="32" t="s">
        <v>208</v>
      </c>
      <c r="G1603" s="53">
        <v>3.86955E7</v>
      </c>
      <c r="H1603" s="14">
        <f t="shared" si="9"/>
        <v>8126055</v>
      </c>
      <c r="I1603" s="22">
        <v>1160865.0</v>
      </c>
      <c r="J1603" s="14"/>
      <c r="K1603" s="15">
        <f t="shared" si="4"/>
        <v>47982420</v>
      </c>
      <c r="L1603" s="45"/>
      <c r="M1603" s="6"/>
    </row>
    <row r="1604" ht="15.75" customHeight="1">
      <c r="A1604" s="39">
        <v>45910.0</v>
      </c>
      <c r="B1604" s="87"/>
      <c r="C1604" s="144" t="s">
        <v>1183</v>
      </c>
      <c r="D1604" s="32" t="s">
        <v>15</v>
      </c>
      <c r="E1604" s="31" t="s">
        <v>1785</v>
      </c>
      <c r="F1604" s="32" t="s">
        <v>208</v>
      </c>
      <c r="G1604" s="53">
        <v>1.553389018E7</v>
      </c>
      <c r="H1604" s="14">
        <f t="shared" si="9"/>
        <v>3262116.938</v>
      </c>
      <c r="I1604" s="22">
        <v>466016.71</v>
      </c>
      <c r="J1604" s="14"/>
      <c r="K1604" s="15">
        <f t="shared" si="4"/>
        <v>19262023.83</v>
      </c>
      <c r="L1604" s="45"/>
      <c r="M1604" s="24">
        <v>45916.0</v>
      </c>
    </row>
    <row r="1605" ht="15.75" customHeight="1">
      <c r="A1605" s="39">
        <v>45910.0</v>
      </c>
      <c r="B1605" s="87"/>
      <c r="C1605" s="144" t="s">
        <v>1183</v>
      </c>
      <c r="D1605" s="32" t="s">
        <v>15</v>
      </c>
      <c r="E1605" s="31" t="s">
        <v>1786</v>
      </c>
      <c r="F1605" s="32" t="s">
        <v>208</v>
      </c>
      <c r="G1605" s="53">
        <v>9784321.43</v>
      </c>
      <c r="H1605" s="14">
        <f t="shared" si="9"/>
        <v>2054707.5</v>
      </c>
      <c r="I1605" s="22">
        <v>293529.64</v>
      </c>
      <c r="J1605" s="14"/>
      <c r="K1605" s="15">
        <f t="shared" si="4"/>
        <v>12132558.57</v>
      </c>
      <c r="L1605" s="45"/>
      <c r="M1605" s="24">
        <v>45916.0</v>
      </c>
    </row>
    <row r="1606" ht="15.75" customHeight="1">
      <c r="A1606" s="39">
        <v>45910.0</v>
      </c>
      <c r="B1606" s="87"/>
      <c r="C1606" s="144" t="s">
        <v>1731</v>
      </c>
      <c r="D1606" s="32" t="s">
        <v>15</v>
      </c>
      <c r="E1606" s="31" t="s">
        <v>1787</v>
      </c>
      <c r="F1606" s="32" t="s">
        <v>208</v>
      </c>
      <c r="G1606" s="53">
        <v>4437236.14</v>
      </c>
      <c r="H1606" s="14">
        <f t="shared" si="9"/>
        <v>931819.5894</v>
      </c>
      <c r="I1606" s="22">
        <v>133117.08</v>
      </c>
      <c r="J1606" s="14"/>
      <c r="K1606" s="15">
        <f t="shared" si="4"/>
        <v>5502172.809</v>
      </c>
      <c r="L1606" s="45"/>
      <c r="M1606" s="24">
        <v>45924.0</v>
      </c>
    </row>
    <row r="1607" ht="15.75" customHeight="1">
      <c r="A1607" s="39">
        <v>45910.0</v>
      </c>
      <c r="B1607" s="87"/>
      <c r="C1607" s="144" t="s">
        <v>1731</v>
      </c>
      <c r="D1607" s="32" t="s">
        <v>15</v>
      </c>
      <c r="E1607" s="31" t="s">
        <v>1788</v>
      </c>
      <c r="F1607" s="32" t="s">
        <v>208</v>
      </c>
      <c r="G1607" s="53">
        <v>4433523.07</v>
      </c>
      <c r="H1607" s="14">
        <f t="shared" si="9"/>
        <v>931039.8447</v>
      </c>
      <c r="I1607" s="22">
        <v>133005.69</v>
      </c>
      <c r="J1607" s="14"/>
      <c r="K1607" s="15">
        <f t="shared" si="4"/>
        <v>5497568.605</v>
      </c>
      <c r="L1607" s="45"/>
      <c r="M1607" s="24">
        <v>45924.0</v>
      </c>
    </row>
    <row r="1608" ht="15.75" customHeight="1">
      <c r="A1608" s="39">
        <v>45911.0</v>
      </c>
      <c r="B1608" s="87"/>
      <c r="C1608" s="32" t="s">
        <v>53</v>
      </c>
      <c r="D1608" s="32" t="s">
        <v>15</v>
      </c>
      <c r="E1608" s="31" t="s">
        <v>1789</v>
      </c>
      <c r="F1608" s="32" t="s">
        <v>208</v>
      </c>
      <c r="G1608" s="53">
        <v>2560710.98</v>
      </c>
      <c r="H1608" s="14">
        <f t="shared" si="9"/>
        <v>537749.3058</v>
      </c>
      <c r="I1608" s="22"/>
      <c r="J1608" s="14"/>
      <c r="K1608" s="15">
        <f t="shared" si="4"/>
        <v>3098460.286</v>
      </c>
      <c r="L1608" s="45"/>
      <c r="M1608" s="24">
        <v>45911.0</v>
      </c>
    </row>
    <row r="1609" ht="15.75" customHeight="1">
      <c r="A1609" s="39">
        <v>45911.0</v>
      </c>
      <c r="B1609" s="87"/>
      <c r="C1609" s="32" t="s">
        <v>53</v>
      </c>
      <c r="D1609" s="32" t="s">
        <v>99</v>
      </c>
      <c r="E1609" s="32" t="s">
        <v>1790</v>
      </c>
      <c r="F1609" s="32" t="s">
        <v>208</v>
      </c>
      <c r="G1609" s="53">
        <f>3073950.01/1.21</f>
        <v>2540454.554</v>
      </c>
      <c r="H1609" s="14">
        <f t="shared" si="9"/>
        <v>533495.4563</v>
      </c>
      <c r="I1609" s="50"/>
      <c r="J1609" s="14"/>
      <c r="K1609" s="15">
        <f t="shared" si="4"/>
        <v>3073950.01</v>
      </c>
      <c r="L1609" s="45"/>
      <c r="M1609" s="24">
        <v>45911.0</v>
      </c>
    </row>
    <row r="1610" ht="15.75" customHeight="1">
      <c r="A1610" s="39">
        <v>45911.0</v>
      </c>
      <c r="B1610" s="87"/>
      <c r="C1610" s="32" t="s">
        <v>53</v>
      </c>
      <c r="D1610" s="32" t="s">
        <v>99</v>
      </c>
      <c r="E1610" s="32" t="s">
        <v>1791</v>
      </c>
      <c r="F1610" s="32" t="s">
        <v>208</v>
      </c>
      <c r="G1610" s="53">
        <f>1998934.59/1.21</f>
        <v>1652012.058</v>
      </c>
      <c r="H1610" s="14">
        <f t="shared" si="9"/>
        <v>346922.5321</v>
      </c>
      <c r="I1610" s="50"/>
      <c r="J1610" s="14"/>
      <c r="K1610" s="15">
        <f t="shared" si="4"/>
        <v>1998934.59</v>
      </c>
      <c r="L1610" s="45"/>
      <c r="M1610" s="24">
        <v>45911.0</v>
      </c>
    </row>
    <row r="1611" ht="15.75" customHeight="1">
      <c r="A1611" s="39">
        <v>45911.0</v>
      </c>
      <c r="B1611" s="87"/>
      <c r="C1611" s="31" t="s">
        <v>64</v>
      </c>
      <c r="D1611" s="32" t="s">
        <v>15</v>
      </c>
      <c r="E1611" s="31" t="s">
        <v>1792</v>
      </c>
      <c r="F1611" s="32" t="s">
        <v>208</v>
      </c>
      <c r="G1611" s="53">
        <v>1.151193012E7</v>
      </c>
      <c r="H1611" s="14">
        <f t="shared" si="9"/>
        <v>2417505.325</v>
      </c>
      <c r="I1611" s="50"/>
      <c r="J1611" s="14"/>
      <c r="K1611" s="15">
        <f t="shared" si="4"/>
        <v>13929435.45</v>
      </c>
      <c r="L1611" s="45"/>
      <c r="M1611" s="24">
        <v>45917.0</v>
      </c>
    </row>
    <row r="1612" ht="15.75" customHeight="1">
      <c r="A1612" s="39">
        <v>45911.0</v>
      </c>
      <c r="B1612" s="87"/>
      <c r="C1612" s="31" t="s">
        <v>64</v>
      </c>
      <c r="D1612" s="32" t="s">
        <v>99</v>
      </c>
      <c r="E1612" s="31" t="s">
        <v>1793</v>
      </c>
      <c r="F1612" s="32" t="s">
        <v>208</v>
      </c>
      <c r="G1612" s="53">
        <v>9502840.41</v>
      </c>
      <c r="H1612" s="14">
        <f t="shared" si="9"/>
        <v>1995596.486</v>
      </c>
      <c r="I1612" s="22">
        <v>285085.21</v>
      </c>
      <c r="J1612" s="14"/>
      <c r="K1612" s="15">
        <f t="shared" si="4"/>
        <v>11783522.11</v>
      </c>
      <c r="L1612" s="45"/>
      <c r="M1612" s="6"/>
    </row>
    <row r="1613" ht="15.75" customHeight="1">
      <c r="A1613" s="39">
        <v>45911.0</v>
      </c>
      <c r="B1613" s="87"/>
      <c r="C1613" s="31" t="s">
        <v>657</v>
      </c>
      <c r="D1613" s="32" t="s">
        <v>15</v>
      </c>
      <c r="E1613" s="31" t="s">
        <v>1794</v>
      </c>
      <c r="F1613" s="32" t="s">
        <v>208</v>
      </c>
      <c r="G1613" s="53">
        <v>7353155.3</v>
      </c>
      <c r="H1613" s="14">
        <f t="shared" si="9"/>
        <v>1544162.613</v>
      </c>
      <c r="I1613" s="22">
        <v>220594.66</v>
      </c>
      <c r="J1613" s="14"/>
      <c r="K1613" s="15">
        <f t="shared" si="4"/>
        <v>9117912.573</v>
      </c>
      <c r="L1613" s="45"/>
      <c r="M1613" s="24">
        <v>45919.0</v>
      </c>
    </row>
    <row r="1614" ht="15.75" customHeight="1">
      <c r="A1614" s="39">
        <v>45911.0</v>
      </c>
      <c r="B1614" s="87"/>
      <c r="C1614" s="31" t="s">
        <v>657</v>
      </c>
      <c r="D1614" s="32" t="s">
        <v>15</v>
      </c>
      <c r="E1614" s="31" t="s">
        <v>1795</v>
      </c>
      <c r="F1614" s="32" t="s">
        <v>208</v>
      </c>
      <c r="G1614" s="53">
        <v>8661032.85</v>
      </c>
      <c r="H1614" s="14">
        <f t="shared" si="9"/>
        <v>1818816.899</v>
      </c>
      <c r="I1614" s="22">
        <v>259830.99</v>
      </c>
      <c r="J1614" s="14"/>
      <c r="K1614" s="15">
        <f t="shared" si="4"/>
        <v>10739680.74</v>
      </c>
      <c r="L1614" s="45"/>
      <c r="M1614" s="24">
        <v>45919.0</v>
      </c>
    </row>
    <row r="1615" ht="15.75" customHeight="1">
      <c r="A1615" s="39">
        <v>45911.0</v>
      </c>
      <c r="B1615" s="87"/>
      <c r="C1615" s="31" t="s">
        <v>1796</v>
      </c>
      <c r="D1615" s="32" t="s">
        <v>99</v>
      </c>
      <c r="E1615" s="31" t="s">
        <v>1797</v>
      </c>
      <c r="F1615" s="32" t="s">
        <v>208</v>
      </c>
      <c r="G1615" s="53">
        <v>4302980.13</v>
      </c>
      <c r="H1615" s="14">
        <f t="shared" si="9"/>
        <v>903625.8273</v>
      </c>
      <c r="I1615" s="22">
        <v>129089.4</v>
      </c>
      <c r="J1615" s="22">
        <v>30120.86</v>
      </c>
      <c r="K1615" s="15">
        <f t="shared" si="4"/>
        <v>5365816.217</v>
      </c>
      <c r="L1615" s="45"/>
      <c r="M1615" s="24">
        <v>45916.0</v>
      </c>
    </row>
    <row r="1616" ht="15.75" customHeight="1">
      <c r="A1616" s="39">
        <v>45911.0</v>
      </c>
      <c r="B1616" s="87"/>
      <c r="C1616" s="31" t="s">
        <v>1796</v>
      </c>
      <c r="D1616" s="32" t="s">
        <v>15</v>
      </c>
      <c r="E1616" s="31" t="s">
        <v>1798</v>
      </c>
      <c r="F1616" s="32" t="s">
        <v>208</v>
      </c>
      <c r="G1616" s="53">
        <v>5307680.23</v>
      </c>
      <c r="H1616" s="14">
        <f t="shared" si="9"/>
        <v>1114612.848</v>
      </c>
      <c r="I1616" s="22">
        <v>159230.41</v>
      </c>
      <c r="J1616" s="22">
        <v>37153.76</v>
      </c>
      <c r="K1616" s="15">
        <f t="shared" si="4"/>
        <v>6618677.248</v>
      </c>
      <c r="L1616" s="45"/>
      <c r="M1616" s="24">
        <v>45916.0</v>
      </c>
    </row>
    <row r="1617" ht="15.75" customHeight="1">
      <c r="A1617" s="39">
        <v>45911.0</v>
      </c>
      <c r="B1617" s="87"/>
      <c r="C1617" s="31" t="s">
        <v>74</v>
      </c>
      <c r="D1617" s="32" t="s">
        <v>15</v>
      </c>
      <c r="E1617" s="31" t="s">
        <v>1799</v>
      </c>
      <c r="F1617" s="32" t="s">
        <v>208</v>
      </c>
      <c r="G1617" s="53">
        <v>1897321.52</v>
      </c>
      <c r="H1617" s="14">
        <f t="shared" si="9"/>
        <v>398437.5192</v>
      </c>
      <c r="I1617" s="22">
        <v>56919.0</v>
      </c>
      <c r="J1617" s="22">
        <v>30357.0</v>
      </c>
      <c r="K1617" s="15">
        <f t="shared" si="4"/>
        <v>2383035.039</v>
      </c>
      <c r="L1617" s="45"/>
      <c r="M1617" s="24">
        <v>45960.0</v>
      </c>
    </row>
    <row r="1618" ht="15.75" customHeight="1">
      <c r="A1618" s="39">
        <v>45911.0</v>
      </c>
      <c r="B1618" s="87"/>
      <c r="C1618" s="31" t="s">
        <v>74</v>
      </c>
      <c r="D1618" s="32" t="s">
        <v>15</v>
      </c>
      <c r="E1618" s="31" t="s">
        <v>1800</v>
      </c>
      <c r="F1618" s="32" t="s">
        <v>208</v>
      </c>
      <c r="G1618" s="53">
        <v>3682280.13</v>
      </c>
      <c r="H1618" s="14">
        <f t="shared" si="9"/>
        <v>773278.8273</v>
      </c>
      <c r="I1618" s="22"/>
      <c r="J1618" s="14"/>
      <c r="K1618" s="15">
        <f t="shared" si="4"/>
        <v>4455558.957</v>
      </c>
      <c r="L1618" s="45"/>
      <c r="M1618" s="24">
        <v>45960.0</v>
      </c>
    </row>
    <row r="1619" ht="15.75" customHeight="1">
      <c r="A1619" s="39">
        <v>45911.0</v>
      </c>
      <c r="B1619" s="87"/>
      <c r="C1619" s="31" t="s">
        <v>74</v>
      </c>
      <c r="D1619" s="32" t="s">
        <v>15</v>
      </c>
      <c r="E1619" s="31" t="s">
        <v>1801</v>
      </c>
      <c r="F1619" s="32" t="s">
        <v>208</v>
      </c>
      <c r="G1619" s="53">
        <v>5997580.12</v>
      </c>
      <c r="H1619" s="14">
        <f t="shared" si="9"/>
        <v>1259491.825</v>
      </c>
      <c r="I1619" s="22"/>
      <c r="J1619" s="14"/>
      <c r="K1619" s="15">
        <f t="shared" si="4"/>
        <v>7257071.945</v>
      </c>
      <c r="L1619" s="45"/>
      <c r="M1619" s="24">
        <v>45946.0</v>
      </c>
    </row>
    <row r="1620" ht="15.75" customHeight="1">
      <c r="A1620" s="39">
        <v>45911.0</v>
      </c>
      <c r="B1620" s="87"/>
      <c r="C1620" s="31" t="s">
        <v>74</v>
      </c>
      <c r="D1620" s="32" t="s">
        <v>15</v>
      </c>
      <c r="E1620" s="31" t="s">
        <v>1802</v>
      </c>
      <c r="F1620" s="32" t="s">
        <v>208</v>
      </c>
      <c r="G1620" s="53">
        <v>6529270.16</v>
      </c>
      <c r="H1620" s="14">
        <f t="shared" si="9"/>
        <v>1371146.734</v>
      </c>
      <c r="I1620" s="22"/>
      <c r="J1620" s="22">
        <v>104468.32</v>
      </c>
      <c r="K1620" s="15">
        <f t="shared" si="4"/>
        <v>8004885.214</v>
      </c>
      <c r="L1620" s="45"/>
      <c r="M1620" s="24">
        <v>45946.0</v>
      </c>
    </row>
    <row r="1621" ht="15.75" customHeight="1">
      <c r="A1621" s="39">
        <v>45911.0</v>
      </c>
      <c r="B1621" s="87"/>
      <c r="C1621" s="31" t="s">
        <v>74</v>
      </c>
      <c r="D1621" s="32" t="s">
        <v>15</v>
      </c>
      <c r="E1621" s="31" t="s">
        <v>1803</v>
      </c>
      <c r="F1621" s="32" t="s">
        <v>208</v>
      </c>
      <c r="G1621" s="53">
        <v>2014950.29</v>
      </c>
      <c r="H1621" s="14">
        <f t="shared" si="9"/>
        <v>423139.5609</v>
      </c>
      <c r="I1621" s="22"/>
      <c r="J1621" s="22">
        <v>32239.2</v>
      </c>
      <c r="K1621" s="15">
        <f t="shared" si="4"/>
        <v>2470329.051</v>
      </c>
      <c r="L1621" s="45"/>
      <c r="M1621" s="24">
        <v>45960.0</v>
      </c>
    </row>
    <row r="1622" ht="15.75" customHeight="1">
      <c r="A1622" s="39">
        <v>45912.0</v>
      </c>
      <c r="B1622" s="87"/>
      <c r="C1622" s="31" t="s">
        <v>1112</v>
      </c>
      <c r="D1622" s="32" t="s">
        <v>99</v>
      </c>
      <c r="E1622" s="32" t="s">
        <v>1804</v>
      </c>
      <c r="F1622" s="32" t="s">
        <v>208</v>
      </c>
      <c r="G1622" s="53">
        <v>1.485747313E7</v>
      </c>
      <c r="H1622" s="14">
        <f t="shared" si="9"/>
        <v>3120069.357</v>
      </c>
      <c r="I1622" s="22"/>
      <c r="J1622" s="14"/>
      <c r="K1622" s="15">
        <f t="shared" si="4"/>
        <v>17977542.49</v>
      </c>
      <c r="L1622" s="45"/>
      <c r="M1622" s="24">
        <v>45917.0</v>
      </c>
    </row>
    <row r="1623" ht="15.75" customHeight="1">
      <c r="A1623" s="39">
        <v>45912.0</v>
      </c>
      <c r="B1623" s="87"/>
      <c r="C1623" s="31" t="s">
        <v>1112</v>
      </c>
      <c r="D1623" s="32" t="s">
        <v>99</v>
      </c>
      <c r="E1623" s="32" t="s">
        <v>1805</v>
      </c>
      <c r="F1623" s="32" t="s">
        <v>208</v>
      </c>
      <c r="G1623" s="53">
        <v>1.525522309E7</v>
      </c>
      <c r="H1623" s="14">
        <f t="shared" si="9"/>
        <v>3203596.849</v>
      </c>
      <c r="I1623" s="22"/>
      <c r="J1623" s="14"/>
      <c r="K1623" s="15">
        <f t="shared" si="4"/>
        <v>18458819.94</v>
      </c>
      <c r="L1623" s="45"/>
      <c r="M1623" s="24">
        <v>45917.0</v>
      </c>
    </row>
    <row r="1624" ht="15.75" customHeight="1">
      <c r="A1624" s="39">
        <v>45916.0</v>
      </c>
      <c r="B1624" s="87"/>
      <c r="C1624" s="144" t="s">
        <v>1285</v>
      </c>
      <c r="D1624" s="32" t="s">
        <v>15</v>
      </c>
      <c r="E1624" s="31" t="s">
        <v>1806</v>
      </c>
      <c r="F1624" s="32" t="s">
        <v>208</v>
      </c>
      <c r="G1624" s="53">
        <v>4003890.23</v>
      </c>
      <c r="H1624" s="14">
        <f t="shared" si="9"/>
        <v>840816.9483</v>
      </c>
      <c r="I1624" s="22"/>
      <c r="J1624" s="14"/>
      <c r="K1624" s="15">
        <f t="shared" si="4"/>
        <v>4844707.178</v>
      </c>
      <c r="L1624" s="45"/>
      <c r="M1624" s="24">
        <v>45917.0</v>
      </c>
    </row>
    <row r="1625" ht="15.75" customHeight="1">
      <c r="A1625" s="55">
        <v>45916.0</v>
      </c>
      <c r="B1625" s="64"/>
      <c r="C1625" s="57" t="s">
        <v>561</v>
      </c>
      <c r="D1625" s="58" t="s">
        <v>15</v>
      </c>
      <c r="E1625" s="57" t="s">
        <v>1807</v>
      </c>
      <c r="F1625" s="58" t="s">
        <v>208</v>
      </c>
      <c r="G1625" s="65">
        <v>6837362.32</v>
      </c>
      <c r="H1625" s="9">
        <f t="shared" si="9"/>
        <v>1435846.087</v>
      </c>
      <c r="I1625" s="44"/>
      <c r="J1625" s="60"/>
      <c r="K1625" s="10">
        <f t="shared" si="4"/>
        <v>8273208.407</v>
      </c>
      <c r="L1625" s="61"/>
      <c r="M1625" s="62"/>
    </row>
    <row r="1626" ht="15.75" customHeight="1">
      <c r="A1626" s="55">
        <v>45916.0</v>
      </c>
      <c r="B1626" s="64"/>
      <c r="C1626" s="57" t="s">
        <v>561</v>
      </c>
      <c r="D1626" s="58" t="s">
        <v>15</v>
      </c>
      <c r="E1626" s="58" t="s">
        <v>1808</v>
      </c>
      <c r="F1626" s="58" t="s">
        <v>208</v>
      </c>
      <c r="G1626" s="65">
        <v>9927372.13</v>
      </c>
      <c r="H1626" s="9">
        <f t="shared" si="9"/>
        <v>2084748.147</v>
      </c>
      <c r="I1626" s="44"/>
      <c r="J1626" s="60"/>
      <c r="K1626" s="10">
        <f t="shared" si="4"/>
        <v>12012120.28</v>
      </c>
      <c r="L1626" s="61"/>
      <c r="M1626" s="62"/>
    </row>
    <row r="1627" ht="15.75" customHeight="1">
      <c r="A1627" s="55">
        <v>45916.0</v>
      </c>
      <c r="B1627" s="64"/>
      <c r="C1627" s="57" t="s">
        <v>561</v>
      </c>
      <c r="D1627" s="58" t="s">
        <v>15</v>
      </c>
      <c r="E1627" s="58" t="s">
        <v>1809</v>
      </c>
      <c r="F1627" s="58" t="s">
        <v>208</v>
      </c>
      <c r="G1627" s="65">
        <v>1.023373208E7</v>
      </c>
      <c r="H1627" s="9">
        <f t="shared" si="9"/>
        <v>2149083.737</v>
      </c>
      <c r="I1627" s="44"/>
      <c r="J1627" s="60"/>
      <c r="K1627" s="10">
        <f t="shared" si="4"/>
        <v>12382815.82</v>
      </c>
      <c r="L1627" s="61"/>
      <c r="M1627" s="62"/>
    </row>
    <row r="1628" ht="15.75" customHeight="1">
      <c r="A1628" s="55">
        <v>45916.0</v>
      </c>
      <c r="B1628" s="64"/>
      <c r="C1628" s="57" t="s">
        <v>561</v>
      </c>
      <c r="D1628" s="58" t="s">
        <v>15</v>
      </c>
      <c r="E1628" s="58" t="s">
        <v>1810</v>
      </c>
      <c r="F1628" s="58" t="s">
        <v>208</v>
      </c>
      <c r="G1628" s="65">
        <v>9902223.42</v>
      </c>
      <c r="H1628" s="9">
        <f t="shared" si="9"/>
        <v>2079466.918</v>
      </c>
      <c r="I1628" s="44"/>
      <c r="J1628" s="60"/>
      <c r="K1628" s="10">
        <f t="shared" si="4"/>
        <v>11981690.34</v>
      </c>
      <c r="L1628" s="61"/>
      <c r="M1628" s="62"/>
    </row>
    <row r="1629" ht="15.75" customHeight="1">
      <c r="A1629" s="55">
        <v>45916.0</v>
      </c>
      <c r="B1629" s="64"/>
      <c r="C1629" s="57" t="s">
        <v>561</v>
      </c>
      <c r="D1629" s="58" t="s">
        <v>15</v>
      </c>
      <c r="E1629" s="58" t="s">
        <v>1811</v>
      </c>
      <c r="F1629" s="58" t="s">
        <v>208</v>
      </c>
      <c r="G1629" s="65">
        <v>1.394834823E7</v>
      </c>
      <c r="H1629" s="9">
        <f t="shared" si="9"/>
        <v>2929153.128</v>
      </c>
      <c r="I1629" s="44"/>
      <c r="J1629" s="60"/>
      <c r="K1629" s="10">
        <f t="shared" si="4"/>
        <v>16877501.36</v>
      </c>
      <c r="L1629" s="61"/>
      <c r="M1629" s="62"/>
    </row>
    <row r="1630" ht="15.75" customHeight="1">
      <c r="A1630" s="39">
        <v>45917.0</v>
      </c>
      <c r="B1630" s="87"/>
      <c r="C1630" s="31" t="s">
        <v>1796</v>
      </c>
      <c r="D1630" s="32" t="s">
        <v>99</v>
      </c>
      <c r="E1630" s="31" t="s">
        <v>1812</v>
      </c>
      <c r="F1630" s="32" t="s">
        <v>208</v>
      </c>
      <c r="G1630" s="53">
        <v>5011780.85</v>
      </c>
      <c r="H1630" s="14">
        <f t="shared" si="9"/>
        <v>1052473.979</v>
      </c>
      <c r="I1630" s="22">
        <v>150353.43</v>
      </c>
      <c r="J1630" s="22">
        <v>35082.47</v>
      </c>
      <c r="K1630" s="15">
        <f t="shared" si="4"/>
        <v>6249690.729</v>
      </c>
      <c r="L1630" s="45"/>
      <c r="M1630" s="24">
        <v>45925.0</v>
      </c>
    </row>
    <row r="1631" ht="15.75" customHeight="1">
      <c r="A1631" s="39">
        <v>45917.0</v>
      </c>
      <c r="B1631" s="87"/>
      <c r="C1631" s="31" t="s">
        <v>1796</v>
      </c>
      <c r="D1631" s="32" t="s">
        <v>15</v>
      </c>
      <c r="E1631" s="31" t="s">
        <v>1813</v>
      </c>
      <c r="F1631" s="32" t="s">
        <v>208</v>
      </c>
      <c r="G1631" s="53">
        <v>4302950.42</v>
      </c>
      <c r="H1631" s="14">
        <f t="shared" si="9"/>
        <v>903619.5882</v>
      </c>
      <c r="I1631" s="22">
        <v>129088.51</v>
      </c>
      <c r="J1631" s="22">
        <v>30120.65</v>
      </c>
      <c r="K1631" s="15">
        <f t="shared" si="4"/>
        <v>5365779.168</v>
      </c>
      <c r="L1631" s="45"/>
      <c r="M1631" s="24">
        <v>45919.0</v>
      </c>
    </row>
    <row r="1632" ht="15.75" customHeight="1">
      <c r="A1632" s="39">
        <v>45917.0</v>
      </c>
      <c r="B1632" s="87"/>
      <c r="C1632" s="31" t="s">
        <v>140</v>
      </c>
      <c r="D1632" s="32" t="s">
        <v>15</v>
      </c>
      <c r="E1632" s="31" t="s">
        <v>1814</v>
      </c>
      <c r="F1632" s="32" t="s">
        <v>208</v>
      </c>
      <c r="G1632" s="53">
        <v>2507370.36</v>
      </c>
      <c r="H1632" s="14">
        <f t="shared" si="9"/>
        <v>526547.7756</v>
      </c>
      <c r="I1632" s="22">
        <v>75221.11</v>
      </c>
      <c r="J1632" s="22">
        <v>22566.33</v>
      </c>
      <c r="K1632" s="15">
        <f t="shared" si="4"/>
        <v>3131705.576</v>
      </c>
      <c r="L1632" s="45"/>
      <c r="M1632" s="24">
        <v>45925.0</v>
      </c>
    </row>
    <row r="1633" ht="15.75" customHeight="1">
      <c r="A1633" s="39">
        <v>45917.0</v>
      </c>
      <c r="B1633" s="87"/>
      <c r="C1633" s="31" t="s">
        <v>1112</v>
      </c>
      <c r="D1633" s="32" t="s">
        <v>15</v>
      </c>
      <c r="E1633" s="31" t="s">
        <v>1815</v>
      </c>
      <c r="F1633" s="32" t="s">
        <v>208</v>
      </c>
      <c r="G1633" s="53">
        <v>9983737.49</v>
      </c>
      <c r="H1633" s="14">
        <f t="shared" si="9"/>
        <v>2096584.873</v>
      </c>
      <c r="I1633" s="22"/>
      <c r="J1633" s="14"/>
      <c r="K1633" s="15">
        <f t="shared" si="4"/>
        <v>12080322.36</v>
      </c>
      <c r="L1633" s="45"/>
      <c r="M1633" s="24">
        <v>45917.0</v>
      </c>
    </row>
    <row r="1634" ht="15.75" customHeight="1">
      <c r="A1634" s="39">
        <v>45917.0</v>
      </c>
      <c r="B1634" s="87"/>
      <c r="C1634" s="31" t="s">
        <v>1112</v>
      </c>
      <c r="D1634" s="32" t="s">
        <v>15</v>
      </c>
      <c r="E1634" s="31" t="s">
        <v>1816</v>
      </c>
      <c r="F1634" s="32" t="s">
        <v>208</v>
      </c>
      <c r="G1634" s="53">
        <v>1.012292907E7</v>
      </c>
      <c r="H1634" s="14">
        <f t="shared" si="9"/>
        <v>2125815.105</v>
      </c>
      <c r="I1634" s="22"/>
      <c r="J1634" s="14"/>
      <c r="K1634" s="15">
        <f t="shared" si="4"/>
        <v>12248744.17</v>
      </c>
      <c r="L1634" s="45"/>
      <c r="M1634" s="24">
        <v>45917.0</v>
      </c>
    </row>
    <row r="1635" ht="15.75" customHeight="1">
      <c r="A1635" s="39">
        <v>45918.0</v>
      </c>
      <c r="B1635" s="87"/>
      <c r="C1635" s="31" t="s">
        <v>159</v>
      </c>
      <c r="D1635" s="32" t="s">
        <v>99</v>
      </c>
      <c r="E1635" s="31" t="s">
        <v>1817</v>
      </c>
      <c r="F1635" s="32" t="s">
        <v>208</v>
      </c>
      <c r="G1635" s="53">
        <v>2502940.52</v>
      </c>
      <c r="H1635" s="14">
        <f t="shared" si="9"/>
        <v>525617.5092</v>
      </c>
      <c r="I1635" s="22">
        <v>75088.22</v>
      </c>
      <c r="J1635" s="22">
        <v>30035.29</v>
      </c>
      <c r="K1635" s="15">
        <f t="shared" si="4"/>
        <v>3133681.539</v>
      </c>
      <c r="L1635" s="45"/>
      <c r="M1635" s="24">
        <v>45971.0</v>
      </c>
    </row>
    <row r="1636" ht="15.75" customHeight="1">
      <c r="A1636" s="39">
        <v>45918.0</v>
      </c>
      <c r="B1636" s="87"/>
      <c r="C1636" s="31" t="s">
        <v>159</v>
      </c>
      <c r="D1636" s="32" t="s">
        <v>15</v>
      </c>
      <c r="E1636" s="31" t="s">
        <v>1818</v>
      </c>
      <c r="F1636" s="32" t="s">
        <v>208</v>
      </c>
      <c r="G1636" s="53">
        <v>5009830.42</v>
      </c>
      <c r="H1636" s="14">
        <f t="shared" si="9"/>
        <v>1052064.388</v>
      </c>
      <c r="I1636" s="22">
        <v>150294.91</v>
      </c>
      <c r="J1636" s="14"/>
      <c r="K1636" s="15">
        <f t="shared" si="4"/>
        <v>6212189.718</v>
      </c>
      <c r="L1636" s="45"/>
      <c r="M1636" s="24">
        <v>45925.0</v>
      </c>
    </row>
    <row r="1637" ht="15.75" customHeight="1">
      <c r="A1637" s="39">
        <v>45918.0</v>
      </c>
      <c r="B1637" s="87"/>
      <c r="C1637" s="31" t="s">
        <v>146</v>
      </c>
      <c r="D1637" s="32" t="s">
        <v>15</v>
      </c>
      <c r="E1637" s="31" t="s">
        <v>1819</v>
      </c>
      <c r="F1637" s="32" t="s">
        <v>208</v>
      </c>
      <c r="G1637" s="53">
        <v>9982350.42</v>
      </c>
      <c r="H1637" s="14">
        <f t="shared" si="9"/>
        <v>2096293.588</v>
      </c>
      <c r="I1637" s="22"/>
      <c r="J1637" s="14"/>
      <c r="K1637" s="15">
        <f t="shared" si="4"/>
        <v>12078644.01</v>
      </c>
      <c r="L1637" s="45"/>
      <c r="M1637" s="24">
        <v>45933.0</v>
      </c>
    </row>
    <row r="1638" ht="15.75" customHeight="1">
      <c r="A1638" s="39">
        <v>45918.0</v>
      </c>
      <c r="B1638" s="87"/>
      <c r="C1638" s="31" t="s">
        <v>146</v>
      </c>
      <c r="D1638" s="32" t="s">
        <v>15</v>
      </c>
      <c r="E1638" s="31" t="s">
        <v>1820</v>
      </c>
      <c r="F1638" s="32" t="s">
        <v>208</v>
      </c>
      <c r="G1638" s="53">
        <v>1.002148023E7</v>
      </c>
      <c r="H1638" s="14">
        <f t="shared" si="9"/>
        <v>2104510.848</v>
      </c>
      <c r="I1638" s="22"/>
      <c r="J1638" s="14"/>
      <c r="K1638" s="15">
        <f t="shared" si="4"/>
        <v>12125991.08</v>
      </c>
      <c r="L1638" s="45"/>
      <c r="M1638" s="24">
        <v>45933.0</v>
      </c>
    </row>
    <row r="1639" ht="15.75" customHeight="1">
      <c r="A1639" s="39">
        <v>45854.0</v>
      </c>
      <c r="B1639" s="87"/>
      <c r="C1639" s="31" t="s">
        <v>137</v>
      </c>
      <c r="D1639" s="32" t="s">
        <v>99</v>
      </c>
      <c r="E1639" s="32" t="s">
        <v>1821</v>
      </c>
      <c r="F1639" s="134">
        <v>45863.0</v>
      </c>
      <c r="G1639" s="53">
        <v>9993690.12</v>
      </c>
      <c r="H1639" s="14">
        <f t="shared" si="9"/>
        <v>2098674.925</v>
      </c>
      <c r="I1639" s="50"/>
      <c r="J1639" s="22">
        <v>399747.6</v>
      </c>
      <c r="K1639" s="15">
        <f t="shared" si="4"/>
        <v>12492112.65</v>
      </c>
      <c r="L1639" s="45"/>
      <c r="M1639" s="24">
        <v>45882.0</v>
      </c>
    </row>
    <row r="1640" ht="15.75" customHeight="1">
      <c r="A1640" s="39">
        <v>45854.0</v>
      </c>
      <c r="B1640" s="87"/>
      <c r="C1640" s="31" t="s">
        <v>137</v>
      </c>
      <c r="D1640" s="32" t="s">
        <v>99</v>
      </c>
      <c r="E1640" s="32" t="s">
        <v>1822</v>
      </c>
      <c r="F1640" s="134">
        <v>45863.0</v>
      </c>
      <c r="G1640" s="53">
        <v>9796260.64</v>
      </c>
      <c r="H1640" s="14">
        <f t="shared" si="9"/>
        <v>2057214.734</v>
      </c>
      <c r="I1640" s="50"/>
      <c r="J1640" s="22">
        <v>391850.43</v>
      </c>
      <c r="K1640" s="15">
        <f t="shared" si="4"/>
        <v>12245325.8</v>
      </c>
      <c r="L1640" s="45"/>
      <c r="M1640" s="6"/>
    </row>
    <row r="1641" ht="15.75" customHeight="1">
      <c r="A1641" s="39">
        <v>45854.0</v>
      </c>
      <c r="B1641" s="87"/>
      <c r="C1641" s="31" t="s">
        <v>137</v>
      </c>
      <c r="D1641" s="32" t="s">
        <v>15</v>
      </c>
      <c r="E1641" s="31" t="s">
        <v>1823</v>
      </c>
      <c r="F1641" s="134">
        <v>45863.0</v>
      </c>
      <c r="G1641" s="53">
        <v>9845270.42</v>
      </c>
      <c r="H1641" s="14">
        <f t="shared" si="9"/>
        <v>2067506.788</v>
      </c>
      <c r="I1641" s="50"/>
      <c r="J1641" s="14"/>
      <c r="K1641" s="15">
        <f t="shared" si="4"/>
        <v>11912777.21</v>
      </c>
      <c r="L1641" s="45"/>
      <c r="M1641" s="24">
        <v>45918.0</v>
      </c>
    </row>
    <row r="1642" ht="15.75" customHeight="1">
      <c r="A1642" s="39">
        <v>45922.0</v>
      </c>
      <c r="B1642" s="87"/>
      <c r="C1642" s="31" t="s">
        <v>1796</v>
      </c>
      <c r="D1642" s="32" t="s">
        <v>15</v>
      </c>
      <c r="E1642" s="31" t="s">
        <v>1824</v>
      </c>
      <c r="F1642" s="32" t="s">
        <v>208</v>
      </c>
      <c r="G1642" s="53">
        <v>4009790.23</v>
      </c>
      <c r="H1642" s="14">
        <f t="shared" si="9"/>
        <v>842055.9483</v>
      </c>
      <c r="I1642" s="22">
        <v>120293.71</v>
      </c>
      <c r="J1642" s="22">
        <v>28068.53</v>
      </c>
      <c r="K1642" s="15">
        <f t="shared" si="4"/>
        <v>5000208.418</v>
      </c>
      <c r="L1642" s="45"/>
      <c r="M1642" s="24">
        <v>45925.0</v>
      </c>
    </row>
    <row r="1643" ht="15.75" customHeight="1">
      <c r="A1643" s="39">
        <v>45922.0</v>
      </c>
      <c r="B1643" s="87"/>
      <c r="C1643" s="31" t="s">
        <v>1796</v>
      </c>
      <c r="D1643" s="32" t="s">
        <v>99</v>
      </c>
      <c r="E1643" s="31" t="s">
        <v>1825</v>
      </c>
      <c r="F1643" s="32" t="s">
        <v>208</v>
      </c>
      <c r="G1643" s="53">
        <v>4702950.52</v>
      </c>
      <c r="H1643" s="14">
        <f t="shared" si="9"/>
        <v>987619.6092</v>
      </c>
      <c r="I1643" s="22">
        <v>141088.52</v>
      </c>
      <c r="J1643" s="22">
        <v>32920.65</v>
      </c>
      <c r="K1643" s="15">
        <f t="shared" si="4"/>
        <v>5864579.299</v>
      </c>
      <c r="L1643" s="45"/>
      <c r="M1643" s="24">
        <v>45925.0</v>
      </c>
    </row>
    <row r="1644" ht="15.75" customHeight="1">
      <c r="A1644" s="39">
        <v>45923.0</v>
      </c>
      <c r="B1644" s="87"/>
      <c r="C1644" s="31" t="s">
        <v>423</v>
      </c>
      <c r="D1644" s="32" t="s">
        <v>99</v>
      </c>
      <c r="E1644" s="31" t="s">
        <v>1826</v>
      </c>
      <c r="F1644" s="32" t="s">
        <v>208</v>
      </c>
      <c r="G1644" s="53">
        <v>3138579.96</v>
      </c>
      <c r="H1644" s="14">
        <f t="shared" si="9"/>
        <v>659101.7916</v>
      </c>
      <c r="I1644" s="22">
        <v>94157.4</v>
      </c>
      <c r="J1644" s="22">
        <v>34524.38</v>
      </c>
      <c r="K1644" s="15">
        <f t="shared" si="4"/>
        <v>3926363.532</v>
      </c>
      <c r="L1644" s="45"/>
      <c r="M1644" s="24">
        <v>45924.0</v>
      </c>
    </row>
    <row r="1645" ht="15.75" customHeight="1">
      <c r="A1645" s="39">
        <v>45923.0</v>
      </c>
      <c r="B1645" s="87"/>
      <c r="C1645" s="31" t="s">
        <v>423</v>
      </c>
      <c r="D1645" s="32" t="s">
        <v>99</v>
      </c>
      <c r="E1645" s="31" t="s">
        <v>1827</v>
      </c>
      <c r="F1645" s="32" t="s">
        <v>208</v>
      </c>
      <c r="G1645" s="53">
        <v>2866559.77</v>
      </c>
      <c r="H1645" s="14">
        <f t="shared" si="9"/>
        <v>601977.5517</v>
      </c>
      <c r="I1645" s="22">
        <v>85996.79</v>
      </c>
      <c r="J1645" s="22">
        <v>31532.16</v>
      </c>
      <c r="K1645" s="15">
        <f t="shared" si="4"/>
        <v>3586066.272</v>
      </c>
      <c r="L1645" s="45"/>
      <c r="M1645" s="24">
        <v>45924.0</v>
      </c>
    </row>
    <row r="1646" ht="15.75" customHeight="1">
      <c r="A1646" s="39">
        <v>45923.0</v>
      </c>
      <c r="B1646" s="87"/>
      <c r="C1646" s="32" t="s">
        <v>122</v>
      </c>
      <c r="D1646" s="32" t="s">
        <v>15</v>
      </c>
      <c r="E1646" s="31" t="s">
        <v>1828</v>
      </c>
      <c r="F1646" s="32" t="s">
        <v>208</v>
      </c>
      <c r="G1646" s="53">
        <v>4966811.29</v>
      </c>
      <c r="H1646" s="14">
        <f t="shared" si="9"/>
        <v>1043030.371</v>
      </c>
      <c r="I1646" s="50"/>
      <c r="J1646" s="14"/>
      <c r="K1646" s="15">
        <f t="shared" si="4"/>
        <v>6009841.661</v>
      </c>
      <c r="L1646" s="45"/>
      <c r="M1646" s="24">
        <v>45924.0</v>
      </c>
    </row>
    <row r="1647" ht="15.75" customHeight="1">
      <c r="A1647" s="39">
        <v>45923.0</v>
      </c>
      <c r="B1647" s="87"/>
      <c r="C1647" s="31" t="s">
        <v>1285</v>
      </c>
      <c r="D1647" s="32" t="s">
        <v>99</v>
      </c>
      <c r="E1647" s="31" t="s">
        <v>1829</v>
      </c>
      <c r="F1647" s="32" t="s">
        <v>208</v>
      </c>
      <c r="G1647" s="53">
        <v>3011830.23</v>
      </c>
      <c r="H1647" s="14">
        <f t="shared" si="9"/>
        <v>632484.3483</v>
      </c>
      <c r="I1647" s="50"/>
      <c r="J1647" s="14"/>
      <c r="K1647" s="15">
        <f t="shared" si="4"/>
        <v>3644314.578</v>
      </c>
      <c r="L1647" s="45"/>
      <c r="M1647" s="24">
        <v>45925.0</v>
      </c>
    </row>
    <row r="1648" ht="15.75" customHeight="1">
      <c r="A1648" s="39">
        <v>45923.0</v>
      </c>
      <c r="B1648" s="87"/>
      <c r="C1648" s="31" t="s">
        <v>423</v>
      </c>
      <c r="D1648" s="32" t="s">
        <v>99</v>
      </c>
      <c r="E1648" s="31" t="s">
        <v>1830</v>
      </c>
      <c r="F1648" s="32" t="s">
        <v>208</v>
      </c>
      <c r="G1648" s="53">
        <v>6000970.44</v>
      </c>
      <c r="H1648" s="14">
        <f t="shared" si="9"/>
        <v>1260203.792</v>
      </c>
      <c r="I1648" s="22">
        <v>180029.11</v>
      </c>
      <c r="J1648" s="22">
        <v>66010.67</v>
      </c>
      <c r="K1648" s="15">
        <f t="shared" si="4"/>
        <v>7507214.012</v>
      </c>
      <c r="L1648" s="45"/>
      <c r="M1648" s="24">
        <v>45924.0</v>
      </c>
    </row>
    <row r="1649" ht="15.75" customHeight="1">
      <c r="A1649" s="39">
        <v>45854.0</v>
      </c>
      <c r="B1649" s="87"/>
      <c r="C1649" s="31" t="s">
        <v>137</v>
      </c>
      <c r="D1649" s="32" t="s">
        <v>15</v>
      </c>
      <c r="E1649" s="31" t="s">
        <v>1831</v>
      </c>
      <c r="F1649" s="134">
        <v>45863.0</v>
      </c>
      <c r="G1649" s="53">
        <v>9974210.73</v>
      </c>
      <c r="H1649" s="14">
        <f t="shared" si="9"/>
        <v>2094584.253</v>
      </c>
      <c r="I1649" s="50"/>
      <c r="J1649" s="14"/>
      <c r="K1649" s="15">
        <f t="shared" si="4"/>
        <v>12068794.98</v>
      </c>
      <c r="L1649" s="45"/>
      <c r="M1649" s="24">
        <v>45908.0</v>
      </c>
    </row>
    <row r="1650" ht="15.75" customHeight="1">
      <c r="A1650" s="39">
        <v>45888.0</v>
      </c>
      <c r="B1650" s="87"/>
      <c r="C1650" s="31" t="s">
        <v>137</v>
      </c>
      <c r="D1650" s="32" t="s">
        <v>99</v>
      </c>
      <c r="E1650" s="32" t="s">
        <v>1832</v>
      </c>
      <c r="F1650" s="32" t="s">
        <v>139</v>
      </c>
      <c r="G1650" s="53">
        <v>1.014359029E7</v>
      </c>
      <c r="H1650" s="14">
        <f t="shared" si="9"/>
        <v>2130153.961</v>
      </c>
      <c r="I1650" s="50"/>
      <c r="J1650" s="22">
        <v>202871.81</v>
      </c>
      <c r="K1650" s="15">
        <f t="shared" si="4"/>
        <v>12476616.06</v>
      </c>
      <c r="L1650" s="45"/>
      <c r="M1650" s="6"/>
    </row>
    <row r="1651" ht="15.75" customHeight="1">
      <c r="A1651" s="39">
        <v>45888.0</v>
      </c>
      <c r="B1651" s="87"/>
      <c r="C1651" s="31" t="s">
        <v>137</v>
      </c>
      <c r="D1651" s="32" t="s">
        <v>15</v>
      </c>
      <c r="E1651" s="31" t="s">
        <v>1833</v>
      </c>
      <c r="F1651" s="32" t="s">
        <v>139</v>
      </c>
      <c r="G1651" s="53">
        <v>9640690.19</v>
      </c>
      <c r="H1651" s="14">
        <f t="shared" si="9"/>
        <v>2024544.94</v>
      </c>
      <c r="I1651" s="50"/>
      <c r="J1651" s="14"/>
      <c r="K1651" s="15">
        <f t="shared" si="4"/>
        <v>11665235.13</v>
      </c>
      <c r="L1651" s="45"/>
      <c r="M1651" s="6"/>
    </row>
    <row r="1652" ht="15.75" customHeight="1">
      <c r="A1652" s="39">
        <v>45924.0</v>
      </c>
      <c r="B1652" s="87"/>
      <c r="C1652" s="31" t="s">
        <v>247</v>
      </c>
      <c r="D1652" s="32" t="s">
        <v>99</v>
      </c>
      <c r="E1652" s="31" t="s">
        <v>1834</v>
      </c>
      <c r="F1652" s="32" t="s">
        <v>208</v>
      </c>
      <c r="G1652" s="53">
        <v>1.237848019E7</v>
      </c>
      <c r="H1652" s="14">
        <f t="shared" si="9"/>
        <v>2599480.84</v>
      </c>
      <c r="I1652" s="50"/>
      <c r="J1652" s="14"/>
      <c r="K1652" s="15">
        <f t="shared" si="4"/>
        <v>14977961.03</v>
      </c>
      <c r="L1652" s="45"/>
      <c r="M1652" s="24">
        <v>45939.0</v>
      </c>
    </row>
    <row r="1653" ht="15.75" customHeight="1">
      <c r="A1653" s="39">
        <v>45924.0</v>
      </c>
      <c r="B1653" s="87"/>
      <c r="C1653" s="31" t="s">
        <v>247</v>
      </c>
      <c r="D1653" s="32" t="s">
        <v>99</v>
      </c>
      <c r="E1653" s="31" t="s">
        <v>1835</v>
      </c>
      <c r="F1653" s="32" t="s">
        <v>208</v>
      </c>
      <c r="G1653" s="53">
        <v>1.499754085E7</v>
      </c>
      <c r="H1653" s="14">
        <f t="shared" si="9"/>
        <v>3149483.579</v>
      </c>
      <c r="I1653" s="50"/>
      <c r="J1653" s="14"/>
      <c r="K1653" s="15">
        <f t="shared" si="4"/>
        <v>18147024.43</v>
      </c>
      <c r="L1653" s="45"/>
      <c r="M1653" s="24">
        <v>45939.0</v>
      </c>
    </row>
    <row r="1654" ht="15.75" customHeight="1">
      <c r="A1654" s="39">
        <v>45924.0</v>
      </c>
      <c r="B1654" s="87"/>
      <c r="C1654" s="31" t="s">
        <v>247</v>
      </c>
      <c r="D1654" s="32" t="s">
        <v>99</v>
      </c>
      <c r="E1654" s="31" t="s">
        <v>1836</v>
      </c>
      <c r="F1654" s="32" t="s">
        <v>208</v>
      </c>
      <c r="G1654" s="53">
        <v>1.263189098E7</v>
      </c>
      <c r="H1654" s="14">
        <f t="shared" si="9"/>
        <v>2652697.106</v>
      </c>
      <c r="I1654" s="50"/>
      <c r="J1654" s="14"/>
      <c r="K1654" s="15">
        <f t="shared" si="4"/>
        <v>15284588.09</v>
      </c>
      <c r="L1654" s="45"/>
      <c r="M1654" s="24">
        <v>45939.0</v>
      </c>
    </row>
    <row r="1655" ht="15.75" customHeight="1">
      <c r="A1655" s="39">
        <v>45924.0</v>
      </c>
      <c r="B1655" s="87"/>
      <c r="C1655" s="31" t="s">
        <v>757</v>
      </c>
      <c r="D1655" s="32" t="s">
        <v>99</v>
      </c>
      <c r="E1655" s="31" t="s">
        <v>1837</v>
      </c>
      <c r="F1655" s="32" t="s">
        <v>208</v>
      </c>
      <c r="G1655" s="53">
        <v>1.511385029E7</v>
      </c>
      <c r="H1655" s="14">
        <f t="shared" si="9"/>
        <v>3173908.561</v>
      </c>
      <c r="I1655" s="22">
        <v>453415.51</v>
      </c>
      <c r="J1655" s="14"/>
      <c r="K1655" s="15">
        <f t="shared" si="4"/>
        <v>18741174.36</v>
      </c>
      <c r="L1655" s="45"/>
      <c r="M1655" s="24">
        <v>45925.0</v>
      </c>
    </row>
    <row r="1656" ht="15.75" customHeight="1">
      <c r="A1656" s="39">
        <v>45924.0</v>
      </c>
      <c r="B1656" s="87"/>
      <c r="C1656" s="31" t="s">
        <v>757</v>
      </c>
      <c r="D1656" s="32" t="s">
        <v>99</v>
      </c>
      <c r="E1656" s="31" t="s">
        <v>1838</v>
      </c>
      <c r="F1656" s="32" t="s">
        <v>208</v>
      </c>
      <c r="G1656" s="53">
        <v>2.989735019E7</v>
      </c>
      <c r="H1656" s="14">
        <f t="shared" si="9"/>
        <v>6278443.54</v>
      </c>
      <c r="I1656" s="22">
        <v>896920.51</v>
      </c>
      <c r="J1656" s="14"/>
      <c r="K1656" s="15">
        <f t="shared" si="4"/>
        <v>37072714.24</v>
      </c>
      <c r="L1656" s="45"/>
      <c r="M1656" s="24">
        <v>45925.0</v>
      </c>
    </row>
    <row r="1657" ht="15.75" customHeight="1">
      <c r="A1657" s="39">
        <v>45924.0</v>
      </c>
      <c r="B1657" s="87"/>
      <c r="C1657" s="31" t="s">
        <v>757</v>
      </c>
      <c r="D1657" s="32" t="s">
        <v>15</v>
      </c>
      <c r="E1657" s="31" t="s">
        <v>1839</v>
      </c>
      <c r="F1657" s="32" t="s">
        <v>208</v>
      </c>
      <c r="G1657" s="53">
        <v>1.481953018E7</v>
      </c>
      <c r="H1657" s="14">
        <f t="shared" si="9"/>
        <v>3112101.338</v>
      </c>
      <c r="I1657" s="50"/>
      <c r="J1657" s="14"/>
      <c r="K1657" s="15">
        <f t="shared" si="4"/>
        <v>17931631.52</v>
      </c>
      <c r="L1657" s="45"/>
      <c r="M1657" s="24">
        <v>45925.0</v>
      </c>
    </row>
    <row r="1658" ht="15.75" customHeight="1">
      <c r="A1658" s="39">
        <v>45924.0</v>
      </c>
      <c r="B1658" s="87"/>
      <c r="C1658" s="31" t="s">
        <v>757</v>
      </c>
      <c r="D1658" s="32" t="s">
        <v>15</v>
      </c>
      <c r="E1658" s="32" t="s">
        <v>1840</v>
      </c>
      <c r="F1658" s="32" t="s">
        <v>208</v>
      </c>
      <c r="G1658" s="53">
        <v>1.518658041E7</v>
      </c>
      <c r="H1658" s="14">
        <f t="shared" si="9"/>
        <v>3189181.886</v>
      </c>
      <c r="I1658" s="22">
        <v>455597.41</v>
      </c>
      <c r="J1658" s="14"/>
      <c r="K1658" s="15">
        <f t="shared" si="4"/>
        <v>18831359.71</v>
      </c>
      <c r="L1658" s="45"/>
      <c r="M1658" s="24">
        <v>45925.0</v>
      </c>
    </row>
    <row r="1659" ht="15.75" customHeight="1">
      <c r="A1659" s="55">
        <v>45924.0</v>
      </c>
      <c r="B1659" s="64"/>
      <c r="C1659" s="57" t="s">
        <v>757</v>
      </c>
      <c r="D1659" s="58" t="s">
        <v>15</v>
      </c>
      <c r="E1659" s="57" t="s">
        <v>1841</v>
      </c>
      <c r="F1659" s="58" t="s">
        <v>208</v>
      </c>
      <c r="G1659" s="65">
        <v>3002980.42</v>
      </c>
      <c r="H1659" s="9">
        <f t="shared" si="9"/>
        <v>630625.8882</v>
      </c>
      <c r="I1659" s="44">
        <v>90089.41</v>
      </c>
      <c r="J1659" s="60"/>
      <c r="K1659" s="10">
        <f t="shared" si="4"/>
        <v>3723695.718</v>
      </c>
      <c r="L1659" s="61"/>
      <c r="M1659" s="62"/>
    </row>
    <row r="1660" ht="15.75" customHeight="1">
      <c r="A1660" s="39">
        <v>45925.0</v>
      </c>
      <c r="B1660" s="87"/>
      <c r="C1660" s="31" t="s">
        <v>1842</v>
      </c>
      <c r="D1660" s="32" t="s">
        <v>15</v>
      </c>
      <c r="E1660" s="31" t="s">
        <v>1843</v>
      </c>
      <c r="F1660" s="32" t="s">
        <v>208</v>
      </c>
      <c r="G1660" s="53">
        <v>1.948857059E7</v>
      </c>
      <c r="H1660" s="14">
        <f t="shared" si="9"/>
        <v>4092599.824</v>
      </c>
      <c r="I1660" s="22"/>
      <c r="J1660" s="14"/>
      <c r="K1660" s="15">
        <f t="shared" si="4"/>
        <v>23581170.41</v>
      </c>
      <c r="L1660" s="45"/>
      <c r="M1660" s="24">
        <v>45923.0</v>
      </c>
    </row>
    <row r="1661" ht="15.75" customHeight="1">
      <c r="A1661" s="39">
        <v>45925.0</v>
      </c>
      <c r="B1661" s="87"/>
      <c r="C1661" s="31" t="s">
        <v>1842</v>
      </c>
      <c r="D1661" s="32" t="s">
        <v>99</v>
      </c>
      <c r="E1661" s="31" t="s">
        <v>1844</v>
      </c>
      <c r="F1661" s="32" t="s">
        <v>208</v>
      </c>
      <c r="G1661" s="53">
        <v>2.526186029E7</v>
      </c>
      <c r="H1661" s="14">
        <f t="shared" si="9"/>
        <v>5304990.661</v>
      </c>
      <c r="I1661" s="50"/>
      <c r="J1661" s="14"/>
      <c r="K1661" s="15">
        <f t="shared" si="4"/>
        <v>30566850.95</v>
      </c>
      <c r="L1661" s="45"/>
      <c r="M1661" s="24">
        <v>45923.0</v>
      </c>
    </row>
    <row r="1662" ht="15.75" customHeight="1">
      <c r="A1662" s="39">
        <v>45925.0</v>
      </c>
      <c r="B1662" s="87"/>
      <c r="C1662" s="31" t="s">
        <v>1845</v>
      </c>
      <c r="D1662" s="32" t="s">
        <v>99</v>
      </c>
      <c r="E1662" s="31" t="s">
        <v>1846</v>
      </c>
      <c r="F1662" s="32" t="s">
        <v>208</v>
      </c>
      <c r="G1662" s="53">
        <v>4226108.29</v>
      </c>
      <c r="H1662" s="14">
        <f t="shared" si="9"/>
        <v>887482.7409</v>
      </c>
      <c r="I1662" s="50"/>
      <c r="J1662" s="22">
        <v>169044.33</v>
      </c>
      <c r="K1662" s="15">
        <f t="shared" si="4"/>
        <v>5282635.361</v>
      </c>
      <c r="L1662" s="45"/>
      <c r="M1662" s="24">
        <v>45926.0</v>
      </c>
    </row>
    <row r="1663" ht="15.75" customHeight="1">
      <c r="A1663" s="39">
        <v>45925.0</v>
      </c>
      <c r="B1663" s="87"/>
      <c r="C1663" s="31" t="s">
        <v>1845</v>
      </c>
      <c r="D1663" s="32" t="s">
        <v>99</v>
      </c>
      <c r="E1663" s="31" t="s">
        <v>1847</v>
      </c>
      <c r="F1663" s="32" t="s">
        <v>208</v>
      </c>
      <c r="G1663" s="53">
        <v>3334012.51</v>
      </c>
      <c r="H1663" s="14">
        <f t="shared" si="9"/>
        <v>700142.6271</v>
      </c>
      <c r="I1663" s="50"/>
      <c r="J1663" s="14"/>
      <c r="K1663" s="15">
        <f t="shared" si="4"/>
        <v>4034155.137</v>
      </c>
      <c r="L1663" s="45"/>
      <c r="M1663" s="24">
        <v>45926.0</v>
      </c>
    </row>
    <row r="1664" ht="15.75" customHeight="1">
      <c r="A1664" s="39">
        <v>45925.0</v>
      </c>
      <c r="B1664" s="87"/>
      <c r="C1664" s="31" t="s">
        <v>1845</v>
      </c>
      <c r="D1664" s="32" t="s">
        <v>99</v>
      </c>
      <c r="E1664" s="31" t="s">
        <v>1848</v>
      </c>
      <c r="F1664" s="32" t="s">
        <v>208</v>
      </c>
      <c r="G1664" s="53">
        <v>2900164.25</v>
      </c>
      <c r="H1664" s="14">
        <f t="shared" si="9"/>
        <v>609034.4925</v>
      </c>
      <c r="I1664" s="50"/>
      <c r="J1664" s="22">
        <v>116006.57</v>
      </c>
      <c r="K1664" s="15">
        <f t="shared" si="4"/>
        <v>3625205.313</v>
      </c>
      <c r="L1664" s="45"/>
      <c r="M1664" s="24">
        <v>45926.0</v>
      </c>
    </row>
    <row r="1665" ht="15.75" customHeight="1">
      <c r="A1665" s="39">
        <v>45925.0</v>
      </c>
      <c r="B1665" s="87"/>
      <c r="C1665" s="31" t="s">
        <v>1845</v>
      </c>
      <c r="D1665" s="32" t="s">
        <v>99</v>
      </c>
      <c r="E1665" s="31" t="s">
        <v>1849</v>
      </c>
      <c r="F1665" s="32" t="s">
        <v>208</v>
      </c>
      <c r="G1665" s="53">
        <v>3795107.16</v>
      </c>
      <c r="H1665" s="14">
        <f t="shared" si="9"/>
        <v>796972.5036</v>
      </c>
      <c r="I1665" s="50"/>
      <c r="J1665" s="22">
        <v>151804.29</v>
      </c>
      <c r="K1665" s="15">
        <f t="shared" si="4"/>
        <v>4743883.954</v>
      </c>
      <c r="L1665" s="45"/>
      <c r="M1665" s="24">
        <v>45926.0</v>
      </c>
    </row>
    <row r="1666" ht="15.75" customHeight="1">
      <c r="A1666" s="39">
        <v>45925.0</v>
      </c>
      <c r="B1666" s="87"/>
      <c r="C1666" s="31" t="s">
        <v>1845</v>
      </c>
      <c r="D1666" s="32" t="s">
        <v>99</v>
      </c>
      <c r="E1666" s="31" t="s">
        <v>1850</v>
      </c>
      <c r="F1666" s="32" t="s">
        <v>208</v>
      </c>
      <c r="G1666" s="53">
        <v>5015620.45</v>
      </c>
      <c r="H1666" s="14">
        <f t="shared" si="9"/>
        <v>1053280.295</v>
      </c>
      <c r="I1666" s="50"/>
      <c r="J1666" s="22">
        <v>200624.82</v>
      </c>
      <c r="K1666" s="15">
        <f t="shared" si="4"/>
        <v>6269525.565</v>
      </c>
      <c r="L1666" s="45"/>
      <c r="M1666" s="24">
        <v>45926.0</v>
      </c>
    </row>
    <row r="1667" ht="15.75" customHeight="1">
      <c r="A1667" s="39">
        <v>45925.0</v>
      </c>
      <c r="B1667" s="87"/>
      <c r="C1667" s="31" t="s">
        <v>1845</v>
      </c>
      <c r="D1667" s="32" t="s">
        <v>15</v>
      </c>
      <c r="E1667" s="31" t="s">
        <v>1851</v>
      </c>
      <c r="F1667" s="32" t="s">
        <v>208</v>
      </c>
      <c r="G1667" s="53">
        <v>2664266.09</v>
      </c>
      <c r="H1667" s="14">
        <f t="shared" si="9"/>
        <v>559495.8789</v>
      </c>
      <c r="I1667" s="50"/>
      <c r="J1667" s="22">
        <v>106570.64</v>
      </c>
      <c r="K1667" s="15">
        <f t="shared" si="4"/>
        <v>3330332.609</v>
      </c>
      <c r="L1667" s="45"/>
      <c r="M1667" s="24">
        <v>45926.0</v>
      </c>
    </row>
    <row r="1668" ht="15.75" customHeight="1">
      <c r="A1668" s="39">
        <v>45925.0</v>
      </c>
      <c r="B1668" s="87"/>
      <c r="C1668" s="31" t="s">
        <v>1845</v>
      </c>
      <c r="D1668" s="32" t="s">
        <v>15</v>
      </c>
      <c r="E1668" s="31" t="s">
        <v>1852</v>
      </c>
      <c r="F1668" s="32" t="s">
        <v>208</v>
      </c>
      <c r="G1668" s="53">
        <v>3484740.29</v>
      </c>
      <c r="H1668" s="14">
        <f t="shared" si="9"/>
        <v>731795.4609</v>
      </c>
      <c r="I1668" s="50"/>
      <c r="J1668" s="14"/>
      <c r="K1668" s="15">
        <f t="shared" si="4"/>
        <v>4216535.751</v>
      </c>
      <c r="L1668" s="45"/>
      <c r="M1668" s="24">
        <v>45925.0</v>
      </c>
    </row>
    <row r="1669" ht="15.75" customHeight="1">
      <c r="A1669" s="39">
        <v>45925.0</v>
      </c>
      <c r="B1669" s="87"/>
      <c r="C1669" s="31" t="s">
        <v>1845</v>
      </c>
      <c r="D1669" s="32" t="s">
        <v>15</v>
      </c>
      <c r="E1669" s="31" t="s">
        <v>1853</v>
      </c>
      <c r="F1669" s="32" t="s">
        <v>208</v>
      </c>
      <c r="G1669" s="53">
        <v>3018902.59</v>
      </c>
      <c r="H1669" s="14">
        <f t="shared" si="9"/>
        <v>633969.5439</v>
      </c>
      <c r="I1669" s="50"/>
      <c r="J1669" s="14"/>
      <c r="K1669" s="15">
        <f t="shared" si="4"/>
        <v>3652872.134</v>
      </c>
      <c r="L1669" s="45"/>
      <c r="M1669" s="24">
        <v>45926.0</v>
      </c>
    </row>
    <row r="1670" ht="15.75" customHeight="1">
      <c r="A1670" s="39">
        <v>45926.0</v>
      </c>
      <c r="B1670" s="87"/>
      <c r="C1670" s="31" t="s">
        <v>1854</v>
      </c>
      <c r="D1670" s="32" t="s">
        <v>15</v>
      </c>
      <c r="E1670" s="31" t="s">
        <v>1855</v>
      </c>
      <c r="F1670" s="32" t="s">
        <v>208</v>
      </c>
      <c r="G1670" s="53">
        <v>2.211131175E7</v>
      </c>
      <c r="H1670" s="14">
        <f t="shared" si="9"/>
        <v>4643375.468</v>
      </c>
      <c r="I1670" s="22">
        <v>663339.35</v>
      </c>
      <c r="J1670" s="22">
        <v>1326678.71</v>
      </c>
      <c r="K1670" s="15">
        <f t="shared" si="4"/>
        <v>28744705.28</v>
      </c>
      <c r="L1670" s="45"/>
      <c r="M1670" s="24">
        <v>45939.0</v>
      </c>
    </row>
    <row r="1671" ht="15.75" customHeight="1">
      <c r="A1671" s="39">
        <v>45926.0</v>
      </c>
      <c r="B1671" s="87"/>
      <c r="C1671" s="31" t="s">
        <v>1854</v>
      </c>
      <c r="D1671" s="32" t="s">
        <v>15</v>
      </c>
      <c r="E1671" s="31" t="s">
        <v>1856</v>
      </c>
      <c r="F1671" s="32" t="s">
        <v>208</v>
      </c>
      <c r="G1671" s="53">
        <v>2.211131175E7</v>
      </c>
      <c r="H1671" s="14">
        <f t="shared" si="9"/>
        <v>4643375.468</v>
      </c>
      <c r="I1671" s="22">
        <v>663339.35</v>
      </c>
      <c r="J1671" s="22">
        <v>1326678.71</v>
      </c>
      <c r="K1671" s="15">
        <f t="shared" si="4"/>
        <v>28744705.28</v>
      </c>
      <c r="L1671" s="45"/>
      <c r="M1671" s="24">
        <v>45939.0</v>
      </c>
    </row>
    <row r="1672" ht="15.75" customHeight="1">
      <c r="A1672" s="39">
        <v>45926.0</v>
      </c>
      <c r="B1672" s="87"/>
      <c r="C1672" s="31" t="s">
        <v>1854</v>
      </c>
      <c r="D1672" s="32" t="s">
        <v>99</v>
      </c>
      <c r="E1672" s="31" t="s">
        <v>1857</v>
      </c>
      <c r="F1672" s="32" t="s">
        <v>208</v>
      </c>
      <c r="G1672" s="53">
        <v>2.9482981E7</v>
      </c>
      <c r="H1672" s="14">
        <f t="shared" si="9"/>
        <v>6191426.01</v>
      </c>
      <c r="I1672" s="22">
        <v>884489.43</v>
      </c>
      <c r="J1672" s="22">
        <v>1768978.86</v>
      </c>
      <c r="K1672" s="15">
        <f t="shared" si="4"/>
        <v>38327875.3</v>
      </c>
      <c r="L1672" s="45"/>
      <c r="M1672" s="24">
        <v>45939.0</v>
      </c>
    </row>
    <row r="1673" ht="15.75" customHeight="1">
      <c r="A1673" s="39">
        <v>45926.0</v>
      </c>
      <c r="B1673" s="87"/>
      <c r="C1673" s="31" t="s">
        <v>1858</v>
      </c>
      <c r="D1673" s="32" t="s">
        <v>15</v>
      </c>
      <c r="E1673" s="31" t="s">
        <v>1859</v>
      </c>
      <c r="F1673" s="32" t="s">
        <v>208</v>
      </c>
      <c r="G1673" s="53">
        <v>1.2917457E7</v>
      </c>
      <c r="H1673" s="14">
        <f t="shared" si="9"/>
        <v>2712665.97</v>
      </c>
      <c r="I1673" s="138">
        <v>387523.71</v>
      </c>
      <c r="J1673" s="138">
        <v>103339.66</v>
      </c>
      <c r="K1673" s="15">
        <f t="shared" si="4"/>
        <v>16120986.34</v>
      </c>
      <c r="L1673" s="45"/>
      <c r="M1673" s="24">
        <v>45937.0</v>
      </c>
    </row>
    <row r="1674" ht="15.75" customHeight="1">
      <c r="A1674" s="39">
        <v>45926.0</v>
      </c>
      <c r="B1674" s="87"/>
      <c r="C1674" s="31" t="s">
        <v>1858</v>
      </c>
      <c r="D1674" s="32" t="s">
        <v>99</v>
      </c>
      <c r="E1674" s="31" t="s">
        <v>1860</v>
      </c>
      <c r="F1674" s="32" t="s">
        <v>208</v>
      </c>
      <c r="G1674" s="53">
        <v>8610936.0</v>
      </c>
      <c r="H1674" s="14">
        <f t="shared" si="9"/>
        <v>1808296.56</v>
      </c>
      <c r="I1674" s="138">
        <v>258328.08</v>
      </c>
      <c r="J1674" s="138">
        <v>68887.49</v>
      </c>
      <c r="K1674" s="15">
        <f t="shared" si="4"/>
        <v>10746448.13</v>
      </c>
      <c r="L1674" s="45"/>
      <c r="M1674" s="24">
        <v>45937.0</v>
      </c>
    </row>
    <row r="1675" ht="15.75" customHeight="1">
      <c r="A1675" s="39">
        <v>45926.0</v>
      </c>
      <c r="B1675" s="87"/>
      <c r="C1675" s="31" t="s">
        <v>1861</v>
      </c>
      <c r="D1675" s="32" t="s">
        <v>99</v>
      </c>
      <c r="E1675" s="31" t="s">
        <v>1862</v>
      </c>
      <c r="F1675" s="32" t="s">
        <v>208</v>
      </c>
      <c r="G1675" s="53">
        <v>1.6621134E7</v>
      </c>
      <c r="H1675" s="14">
        <f t="shared" si="9"/>
        <v>3490438.14</v>
      </c>
      <c r="I1675" s="138">
        <v>498634.02</v>
      </c>
      <c r="J1675" s="138">
        <v>265938.14</v>
      </c>
      <c r="K1675" s="15">
        <f t="shared" si="4"/>
        <v>20876144.3</v>
      </c>
      <c r="L1675" s="45"/>
      <c r="M1675" s="24">
        <v>45938.0</v>
      </c>
    </row>
    <row r="1676" ht="15.75" customHeight="1">
      <c r="A1676" s="39">
        <v>45926.0</v>
      </c>
      <c r="B1676" s="87"/>
      <c r="C1676" s="31" t="s">
        <v>1861</v>
      </c>
      <c r="D1676" s="32" t="s">
        <v>15</v>
      </c>
      <c r="E1676" s="31" t="s">
        <v>1863</v>
      </c>
      <c r="F1676" s="32" t="s">
        <v>208</v>
      </c>
      <c r="G1676" s="53">
        <v>2.4932556E7</v>
      </c>
      <c r="H1676" s="14">
        <f t="shared" si="9"/>
        <v>5235836.76</v>
      </c>
      <c r="I1676" s="138">
        <v>747976.68</v>
      </c>
      <c r="J1676" s="138">
        <v>398920.9</v>
      </c>
      <c r="K1676" s="15">
        <f t="shared" si="4"/>
        <v>31315290.34</v>
      </c>
      <c r="L1676" s="45"/>
      <c r="M1676" s="24">
        <v>45938.0</v>
      </c>
    </row>
    <row r="1677" ht="15.75" customHeight="1">
      <c r="A1677" s="39">
        <v>45926.0</v>
      </c>
      <c r="B1677" s="87"/>
      <c r="C1677" s="31" t="s">
        <v>1189</v>
      </c>
      <c r="D1677" s="32" t="s">
        <v>99</v>
      </c>
      <c r="E1677" s="31" t="s">
        <v>1864</v>
      </c>
      <c r="F1677" s="32" t="s">
        <v>208</v>
      </c>
      <c r="G1677" s="53">
        <v>4996590.59</v>
      </c>
      <c r="H1677" s="14">
        <f t="shared" si="9"/>
        <v>1049284.024</v>
      </c>
      <c r="I1677" s="138">
        <v>149897.72</v>
      </c>
      <c r="J1677" s="33"/>
      <c r="K1677" s="15">
        <f t="shared" si="4"/>
        <v>6195772.334</v>
      </c>
      <c r="L1677" s="45"/>
      <c r="M1677" s="24">
        <v>45938.0</v>
      </c>
    </row>
    <row r="1678" ht="15.75" customHeight="1">
      <c r="A1678" s="39">
        <v>45926.0</v>
      </c>
      <c r="B1678" s="87"/>
      <c r="C1678" s="31" t="s">
        <v>1189</v>
      </c>
      <c r="D1678" s="32" t="s">
        <v>15</v>
      </c>
      <c r="E1678" s="31" t="s">
        <v>1865</v>
      </c>
      <c r="F1678" s="32" t="s">
        <v>208</v>
      </c>
      <c r="G1678" s="53">
        <v>1.501184029E7</v>
      </c>
      <c r="H1678" s="14">
        <f t="shared" si="9"/>
        <v>3152486.461</v>
      </c>
      <c r="I1678" s="138">
        <v>450355.21</v>
      </c>
      <c r="J1678" s="33"/>
      <c r="K1678" s="15">
        <f t="shared" si="4"/>
        <v>18614681.96</v>
      </c>
      <c r="L1678" s="45"/>
      <c r="M1678" s="24">
        <v>45938.0</v>
      </c>
    </row>
    <row r="1679" ht="15.75" customHeight="1">
      <c r="A1679" s="39">
        <v>45926.0</v>
      </c>
      <c r="B1679" s="87"/>
      <c r="C1679" s="31" t="s">
        <v>231</v>
      </c>
      <c r="D1679" s="32" t="s">
        <v>15</v>
      </c>
      <c r="E1679" s="31" t="s">
        <v>1866</v>
      </c>
      <c r="F1679" s="32" t="s">
        <v>208</v>
      </c>
      <c r="G1679" s="53">
        <v>3371940.84</v>
      </c>
      <c r="H1679" s="14">
        <f t="shared" si="9"/>
        <v>708107.5764</v>
      </c>
      <c r="I1679" s="138">
        <v>101158.23</v>
      </c>
      <c r="J1679" s="138">
        <v>10115.82</v>
      </c>
      <c r="K1679" s="15">
        <f t="shared" si="4"/>
        <v>4191322.466</v>
      </c>
      <c r="L1679" s="45"/>
      <c r="M1679" s="6"/>
    </row>
    <row r="1680" ht="15.75" customHeight="1">
      <c r="A1680" s="55">
        <v>45930.0</v>
      </c>
      <c r="B1680" s="64"/>
      <c r="C1680" s="58" t="s">
        <v>864</v>
      </c>
      <c r="D1680" s="58" t="s">
        <v>1867</v>
      </c>
      <c r="E1680" s="58" t="s">
        <v>1868</v>
      </c>
      <c r="F1680" s="58" t="s">
        <v>208</v>
      </c>
      <c r="G1680" s="65">
        <v>1.676849E7</v>
      </c>
      <c r="H1680" s="9">
        <f t="shared" si="9"/>
        <v>3521382.9</v>
      </c>
      <c r="I1680" s="155">
        <v>586897.15</v>
      </c>
      <c r="J1680" s="60"/>
      <c r="K1680" s="10">
        <f t="shared" si="4"/>
        <v>20876770.05</v>
      </c>
      <c r="L1680" s="61"/>
      <c r="M1680" s="62"/>
    </row>
    <row r="1681" ht="15.75" customHeight="1">
      <c r="A1681" s="55">
        <v>45930.0</v>
      </c>
      <c r="B1681" s="156"/>
      <c r="C1681" s="58" t="s">
        <v>864</v>
      </c>
      <c r="D1681" s="58" t="s">
        <v>1867</v>
      </c>
      <c r="E1681" s="58" t="s">
        <v>1869</v>
      </c>
      <c r="F1681" s="58" t="s">
        <v>208</v>
      </c>
      <c r="G1681" s="65">
        <v>1.898432E7</v>
      </c>
      <c r="H1681" s="9">
        <f t="shared" si="9"/>
        <v>3986707.2</v>
      </c>
      <c r="I1681" s="44">
        <v>664451.2</v>
      </c>
      <c r="J1681" s="60"/>
      <c r="K1681" s="10">
        <f t="shared" si="4"/>
        <v>23635478.4</v>
      </c>
      <c r="L1681" s="61"/>
      <c r="M1681" s="62"/>
    </row>
    <row r="1682" ht="15.75" customHeight="1">
      <c r="A1682" s="55">
        <v>45930.0</v>
      </c>
      <c r="B1682" s="56"/>
      <c r="C1682" s="58" t="s">
        <v>864</v>
      </c>
      <c r="D1682" s="58" t="s">
        <v>1867</v>
      </c>
      <c r="E1682" s="58" t="s">
        <v>1870</v>
      </c>
      <c r="F1682" s="58" t="s">
        <v>208</v>
      </c>
      <c r="G1682" s="65">
        <v>1.847032E7</v>
      </c>
      <c r="H1682" s="9">
        <f t="shared" si="9"/>
        <v>3878767.2</v>
      </c>
      <c r="I1682" s="44">
        <v>646461.2</v>
      </c>
      <c r="J1682" s="60"/>
      <c r="K1682" s="10">
        <f t="shared" si="4"/>
        <v>22995548.4</v>
      </c>
      <c r="L1682" s="61"/>
      <c r="M1682" s="62"/>
    </row>
    <row r="1683" ht="15.75" customHeight="1">
      <c r="A1683" s="55">
        <v>45930.0</v>
      </c>
      <c r="B1683" s="56"/>
      <c r="C1683" s="58" t="s">
        <v>864</v>
      </c>
      <c r="D1683" s="58" t="s">
        <v>1867</v>
      </c>
      <c r="E1683" s="58" t="s">
        <v>1871</v>
      </c>
      <c r="F1683" s="58" t="s">
        <v>208</v>
      </c>
      <c r="G1683" s="65">
        <v>1.778565E7</v>
      </c>
      <c r="H1683" s="9">
        <f t="shared" si="9"/>
        <v>3734986.5</v>
      </c>
      <c r="I1683" s="44">
        <v>622497.75</v>
      </c>
      <c r="J1683" s="60"/>
      <c r="K1683" s="10">
        <f t="shared" si="4"/>
        <v>22143134.25</v>
      </c>
      <c r="L1683" s="61"/>
      <c r="M1683" s="62"/>
    </row>
    <row r="1684" ht="15.75" customHeight="1">
      <c r="A1684" s="55">
        <v>45930.0</v>
      </c>
      <c r="B1684" s="56"/>
      <c r="C1684" s="58" t="s">
        <v>864</v>
      </c>
      <c r="D1684" s="58" t="s">
        <v>1872</v>
      </c>
      <c r="E1684" s="58">
        <v>2.00538048E8</v>
      </c>
      <c r="F1684" s="58" t="s">
        <v>208</v>
      </c>
      <c r="G1684" s="65">
        <v>1.198957E7</v>
      </c>
      <c r="H1684" s="9">
        <f t="shared" si="9"/>
        <v>2517809.7</v>
      </c>
      <c r="I1684" s="44"/>
      <c r="J1684" s="44">
        <v>419634.95</v>
      </c>
      <c r="K1684" s="10">
        <f t="shared" si="4"/>
        <v>14927014.65</v>
      </c>
      <c r="L1684" s="61"/>
      <c r="M1684" s="62"/>
    </row>
    <row r="1685" ht="15.75" customHeight="1">
      <c r="A1685" s="55">
        <v>45930.0</v>
      </c>
      <c r="B1685" s="56"/>
      <c r="C1685" s="58" t="s">
        <v>864</v>
      </c>
      <c r="D1685" s="58" t="s">
        <v>1872</v>
      </c>
      <c r="E1685" s="57">
        <v>2.00538051E8</v>
      </c>
      <c r="F1685" s="58" t="s">
        <v>208</v>
      </c>
      <c r="G1685" s="65">
        <v>1.215836E7</v>
      </c>
      <c r="H1685" s="9">
        <f t="shared" si="9"/>
        <v>2553255.6</v>
      </c>
      <c r="I1685" s="44"/>
      <c r="J1685" s="44">
        <v>12158.36</v>
      </c>
      <c r="K1685" s="10">
        <f t="shared" si="4"/>
        <v>14723773.96</v>
      </c>
      <c r="L1685" s="61"/>
      <c r="M1685" s="62"/>
    </row>
    <row r="1686" ht="15.75" customHeight="1">
      <c r="A1686" s="55">
        <v>45930.0</v>
      </c>
      <c r="B1686" s="56"/>
      <c r="C1686" s="58" t="s">
        <v>864</v>
      </c>
      <c r="D1686" s="58" t="s">
        <v>1872</v>
      </c>
      <c r="E1686" s="57">
        <v>2.0053805E8</v>
      </c>
      <c r="F1686" s="58" t="s">
        <v>208</v>
      </c>
      <c r="G1686" s="65">
        <v>1.299357E7</v>
      </c>
      <c r="H1686" s="9">
        <f t="shared" si="9"/>
        <v>2728649.7</v>
      </c>
      <c r="I1686" s="44"/>
      <c r="J1686" s="44">
        <v>12993.57</v>
      </c>
      <c r="K1686" s="10">
        <f t="shared" si="4"/>
        <v>15735213.27</v>
      </c>
      <c r="L1686" s="61"/>
      <c r="M1686" s="62"/>
    </row>
    <row r="1687" ht="15.75" customHeight="1">
      <c r="A1687" s="55">
        <v>45930.0</v>
      </c>
      <c r="B1687" s="56"/>
      <c r="C1687" s="58" t="s">
        <v>864</v>
      </c>
      <c r="D1687" s="58" t="s">
        <v>1872</v>
      </c>
      <c r="E1687" s="58">
        <v>2.00538049E8</v>
      </c>
      <c r="F1687" s="58" t="s">
        <v>208</v>
      </c>
      <c r="G1687" s="65">
        <v>1.285689E7</v>
      </c>
      <c r="H1687" s="9">
        <f t="shared" si="9"/>
        <v>2699946.9</v>
      </c>
      <c r="I1687" s="44"/>
      <c r="J1687" s="44">
        <v>12856.89</v>
      </c>
      <c r="K1687" s="10">
        <f t="shared" si="4"/>
        <v>15569693.79</v>
      </c>
      <c r="L1687" s="61"/>
      <c r="M1687" s="62"/>
    </row>
    <row r="1688" ht="15.75" customHeight="1">
      <c r="A1688" s="39">
        <v>45930.0</v>
      </c>
      <c r="B1688" s="50"/>
      <c r="C1688" s="31" t="s">
        <v>554</v>
      </c>
      <c r="D1688" s="32" t="s">
        <v>15</v>
      </c>
      <c r="E1688" s="31" t="s">
        <v>1873</v>
      </c>
      <c r="F1688" s="32" t="s">
        <v>208</v>
      </c>
      <c r="G1688" s="53">
        <v>1.290905241E7</v>
      </c>
      <c r="H1688" s="14">
        <f t="shared" si="9"/>
        <v>2710901.006</v>
      </c>
      <c r="I1688" s="22">
        <v>387271.57</v>
      </c>
      <c r="J1688" s="22">
        <v>129090.52</v>
      </c>
      <c r="K1688" s="15">
        <f t="shared" si="4"/>
        <v>16136315.51</v>
      </c>
      <c r="L1688" s="45"/>
      <c r="M1688" s="24">
        <v>45939.0</v>
      </c>
    </row>
    <row r="1689" ht="15.75" customHeight="1">
      <c r="A1689" s="39">
        <v>45930.0</v>
      </c>
      <c r="B1689" s="50"/>
      <c r="C1689" s="31" t="s">
        <v>554</v>
      </c>
      <c r="D1689" s="32" t="s">
        <v>15</v>
      </c>
      <c r="E1689" s="32" t="s">
        <v>1874</v>
      </c>
      <c r="F1689" s="32" t="s">
        <v>208</v>
      </c>
      <c r="G1689" s="53">
        <v>1.374636249E7</v>
      </c>
      <c r="H1689" s="14">
        <f t="shared" si="9"/>
        <v>2886736.123</v>
      </c>
      <c r="I1689" s="22">
        <v>412390.87</v>
      </c>
      <c r="J1689" s="22">
        <v>137463.62</v>
      </c>
      <c r="K1689" s="15">
        <f t="shared" si="4"/>
        <v>17182953.1</v>
      </c>
      <c r="L1689" s="45"/>
      <c r="M1689" s="24">
        <v>45939.0</v>
      </c>
    </row>
    <row r="1690" ht="15.75" customHeight="1">
      <c r="A1690" s="39">
        <v>45930.0</v>
      </c>
      <c r="B1690" s="50"/>
      <c r="C1690" s="31" t="s">
        <v>554</v>
      </c>
      <c r="D1690" s="32" t="s">
        <v>15</v>
      </c>
      <c r="E1690" s="32" t="s">
        <v>1875</v>
      </c>
      <c r="F1690" s="32" t="s">
        <v>208</v>
      </c>
      <c r="G1690" s="53">
        <v>8672522.08</v>
      </c>
      <c r="H1690" s="14">
        <f t="shared" si="9"/>
        <v>1821229.637</v>
      </c>
      <c r="I1690" s="22">
        <v>260175.66</v>
      </c>
      <c r="J1690" s="22">
        <v>86725.22</v>
      </c>
      <c r="K1690" s="15">
        <f t="shared" si="4"/>
        <v>10840652.6</v>
      </c>
      <c r="L1690" s="45"/>
      <c r="M1690" s="24">
        <v>45939.0</v>
      </c>
    </row>
    <row r="1691" ht="15.75" customHeight="1">
      <c r="A1691" s="39">
        <v>45930.0</v>
      </c>
      <c r="B1691" s="157"/>
      <c r="C1691" s="31" t="s">
        <v>554</v>
      </c>
      <c r="D1691" s="32" t="s">
        <v>15</v>
      </c>
      <c r="E1691" s="31" t="s">
        <v>1876</v>
      </c>
      <c r="F1691" s="32" t="s">
        <v>208</v>
      </c>
      <c r="G1691" s="53">
        <v>3736262.09</v>
      </c>
      <c r="H1691" s="14">
        <f t="shared" si="9"/>
        <v>784615.0389</v>
      </c>
      <c r="I1691" s="22"/>
      <c r="J1691" s="22">
        <v>37362.62</v>
      </c>
      <c r="K1691" s="15">
        <f t="shared" si="4"/>
        <v>4558239.749</v>
      </c>
      <c r="L1691" s="45"/>
      <c r="M1691" s="24">
        <v>45939.0</v>
      </c>
    </row>
    <row r="1692" ht="15.75" customHeight="1">
      <c r="A1692" s="39">
        <v>45930.0</v>
      </c>
      <c r="B1692" s="50"/>
      <c r="C1692" s="31" t="s">
        <v>554</v>
      </c>
      <c r="D1692" s="32" t="s">
        <v>15</v>
      </c>
      <c r="E1692" s="32" t="s">
        <v>1877</v>
      </c>
      <c r="F1692" s="32" t="s">
        <v>208</v>
      </c>
      <c r="G1692" s="53">
        <v>1723636.94</v>
      </c>
      <c r="H1692" s="14">
        <f t="shared" si="9"/>
        <v>361963.7574</v>
      </c>
      <c r="I1692" s="22"/>
      <c r="J1692" s="22">
        <v>17236.37</v>
      </c>
      <c r="K1692" s="15">
        <f t="shared" si="4"/>
        <v>2102837.067</v>
      </c>
      <c r="L1692" s="45"/>
      <c r="M1692" s="24">
        <v>45939.0</v>
      </c>
    </row>
    <row r="1693" ht="15.75" customHeight="1">
      <c r="A1693" s="55">
        <v>45930.0</v>
      </c>
      <c r="B1693" s="56"/>
      <c r="C1693" s="57" t="s">
        <v>969</v>
      </c>
      <c r="D1693" s="58" t="s">
        <v>1878</v>
      </c>
      <c r="E1693" s="58" t="s">
        <v>1879</v>
      </c>
      <c r="F1693" s="58" t="s">
        <v>208</v>
      </c>
      <c r="G1693" s="65">
        <v>5149391.0</v>
      </c>
      <c r="H1693" s="9">
        <f t="shared" si="9"/>
        <v>1081372.11</v>
      </c>
      <c r="I1693" s="44"/>
      <c r="J1693" s="60"/>
      <c r="K1693" s="10">
        <f t="shared" si="4"/>
        <v>6230763.11</v>
      </c>
      <c r="L1693" s="61"/>
      <c r="M1693" s="62"/>
    </row>
    <row r="1694" ht="15.75" customHeight="1">
      <c r="A1694" s="55">
        <v>45930.0</v>
      </c>
      <c r="B1694" s="56"/>
      <c r="C1694" s="57" t="s">
        <v>1635</v>
      </c>
      <c r="D1694" s="57" t="s">
        <v>1880</v>
      </c>
      <c r="E1694" s="58" t="s">
        <v>1881</v>
      </c>
      <c r="F1694" s="58" t="s">
        <v>208</v>
      </c>
      <c r="G1694" s="65">
        <v>1.2055068E7</v>
      </c>
      <c r="H1694" s="9">
        <f t="shared" si="9"/>
        <v>2531564.28</v>
      </c>
      <c r="I1694" s="121">
        <v>361652.04</v>
      </c>
      <c r="J1694" s="121"/>
      <c r="K1694" s="10">
        <f t="shared" si="4"/>
        <v>14948284.32</v>
      </c>
      <c r="L1694" s="61"/>
      <c r="M1694" s="62"/>
    </row>
    <row r="1695" ht="15.75" customHeight="1">
      <c r="A1695" s="55">
        <v>45930.0</v>
      </c>
      <c r="B1695" s="56"/>
      <c r="C1695" s="58" t="s">
        <v>864</v>
      </c>
      <c r="D1695" s="57" t="s">
        <v>1880</v>
      </c>
      <c r="E1695" s="58" t="s">
        <v>1881</v>
      </c>
      <c r="F1695" s="58" t="s">
        <v>208</v>
      </c>
      <c r="G1695" s="65">
        <v>1.5130266E7</v>
      </c>
      <c r="H1695" s="9">
        <f t="shared" si="9"/>
        <v>3177355.86</v>
      </c>
      <c r="I1695" s="121">
        <v>453907.98</v>
      </c>
      <c r="J1695" s="121"/>
      <c r="K1695" s="10">
        <f t="shared" si="4"/>
        <v>18761529.84</v>
      </c>
      <c r="L1695" s="61"/>
      <c r="M1695" s="62"/>
    </row>
    <row r="1696" ht="15.75" customHeight="1">
      <c r="A1696" s="55">
        <v>45930.0</v>
      </c>
      <c r="B1696" s="56"/>
      <c r="C1696" s="58" t="s">
        <v>1669</v>
      </c>
      <c r="D1696" s="58" t="s">
        <v>1244</v>
      </c>
      <c r="E1696" s="58" t="s">
        <v>1882</v>
      </c>
      <c r="F1696" s="58" t="s">
        <v>208</v>
      </c>
      <c r="G1696" s="65">
        <v>1.564005298E7</v>
      </c>
      <c r="H1696" s="9">
        <f t="shared" si="9"/>
        <v>3284411.126</v>
      </c>
      <c r="I1696" s="44"/>
      <c r="J1696" s="60"/>
      <c r="K1696" s="10">
        <f t="shared" si="4"/>
        <v>18924464.11</v>
      </c>
      <c r="L1696" s="61"/>
      <c r="M1696" s="62"/>
    </row>
    <row r="1697" ht="15.75" customHeight="1">
      <c r="A1697" s="55">
        <v>45930.0</v>
      </c>
      <c r="B1697" s="56"/>
      <c r="C1697" s="58" t="s">
        <v>1473</v>
      </c>
      <c r="D1697" s="58" t="s">
        <v>1244</v>
      </c>
      <c r="E1697" s="58" t="s">
        <v>1883</v>
      </c>
      <c r="F1697" s="58" t="s">
        <v>208</v>
      </c>
      <c r="G1697" s="65">
        <v>1.387064737E7</v>
      </c>
      <c r="H1697" s="9">
        <f t="shared" si="9"/>
        <v>2912835.948</v>
      </c>
      <c r="I1697" s="44"/>
      <c r="J1697" s="60"/>
      <c r="K1697" s="10">
        <f t="shared" si="4"/>
        <v>16783483.32</v>
      </c>
      <c r="L1697" s="61"/>
      <c r="M1697" s="62"/>
    </row>
    <row r="1698" ht="15.75" customHeight="1">
      <c r="A1698" s="55">
        <v>45930.0</v>
      </c>
      <c r="B1698" s="56"/>
      <c r="C1698" s="58" t="s">
        <v>1473</v>
      </c>
      <c r="D1698" s="58" t="s">
        <v>1244</v>
      </c>
      <c r="E1698" s="58" t="s">
        <v>1884</v>
      </c>
      <c r="F1698" s="58" t="s">
        <v>208</v>
      </c>
      <c r="G1698" s="65">
        <v>1.764557994E7</v>
      </c>
      <c r="H1698" s="9">
        <f t="shared" si="9"/>
        <v>3705571.787</v>
      </c>
      <c r="I1698" s="56"/>
      <c r="J1698" s="60"/>
      <c r="K1698" s="10">
        <f t="shared" si="4"/>
        <v>21351151.73</v>
      </c>
      <c r="L1698" s="61"/>
      <c r="M1698" s="62"/>
    </row>
    <row r="1699" ht="15.75" customHeight="1">
      <c r="A1699" s="55">
        <v>45930.0</v>
      </c>
      <c r="B1699" s="56"/>
      <c r="C1699" s="58" t="s">
        <v>1652</v>
      </c>
      <c r="D1699" s="58" t="s">
        <v>1244</v>
      </c>
      <c r="E1699" s="58" t="s">
        <v>1885</v>
      </c>
      <c r="F1699" s="58" t="s">
        <v>208</v>
      </c>
      <c r="G1699" s="65">
        <v>2.201149548E7</v>
      </c>
      <c r="H1699" s="9">
        <f t="shared" si="9"/>
        <v>4622414.051</v>
      </c>
      <c r="I1699" s="56"/>
      <c r="J1699" s="60"/>
      <c r="K1699" s="10">
        <f t="shared" si="4"/>
        <v>26633909.53</v>
      </c>
      <c r="L1699" s="61"/>
      <c r="M1699" s="62"/>
    </row>
    <row r="1700" ht="15.75" customHeight="1">
      <c r="A1700" s="39">
        <v>45930.0</v>
      </c>
      <c r="B1700" s="50"/>
      <c r="C1700" s="31" t="s">
        <v>635</v>
      </c>
      <c r="D1700" s="32" t="s">
        <v>99</v>
      </c>
      <c r="E1700" s="32" t="s">
        <v>1886</v>
      </c>
      <c r="F1700" s="32" t="s">
        <v>208</v>
      </c>
      <c r="G1700" s="53">
        <v>8838549.57</v>
      </c>
      <c r="H1700" s="14">
        <f t="shared" si="9"/>
        <v>1856095.41</v>
      </c>
      <c r="I1700" s="50"/>
      <c r="J1700" s="14"/>
      <c r="K1700" s="15">
        <f t="shared" si="4"/>
        <v>10694644.98</v>
      </c>
      <c r="L1700" s="45"/>
      <c r="M1700" s="24">
        <v>45989.0</v>
      </c>
    </row>
    <row r="1701" ht="15.75" customHeight="1">
      <c r="A1701" s="39">
        <v>45930.0</v>
      </c>
      <c r="B1701" s="157"/>
      <c r="C1701" s="31" t="s">
        <v>635</v>
      </c>
      <c r="D1701" s="32" t="s">
        <v>99</v>
      </c>
      <c r="E1701" s="32" t="s">
        <v>1887</v>
      </c>
      <c r="F1701" s="32" t="s">
        <v>208</v>
      </c>
      <c r="G1701" s="53">
        <v>1.033876246E7</v>
      </c>
      <c r="H1701" s="14">
        <f t="shared" si="9"/>
        <v>2171140.117</v>
      </c>
      <c r="I1701" s="50"/>
      <c r="J1701" s="14"/>
      <c r="K1701" s="15">
        <f t="shared" si="4"/>
        <v>12509902.58</v>
      </c>
      <c r="L1701" s="45"/>
      <c r="M1701" s="24">
        <v>45989.0</v>
      </c>
    </row>
    <row r="1702" ht="15.75" customHeight="1">
      <c r="A1702" s="39">
        <v>45930.0</v>
      </c>
      <c r="B1702" s="50"/>
      <c r="C1702" s="31" t="s">
        <v>635</v>
      </c>
      <c r="D1702" s="32" t="s">
        <v>99</v>
      </c>
      <c r="E1702" s="32" t="s">
        <v>1888</v>
      </c>
      <c r="F1702" s="32" t="s">
        <v>208</v>
      </c>
      <c r="G1702" s="53">
        <v>1.223943912E7</v>
      </c>
      <c r="H1702" s="14">
        <f t="shared" si="9"/>
        <v>2570282.215</v>
      </c>
      <c r="I1702" s="50"/>
      <c r="J1702" s="14"/>
      <c r="K1702" s="15">
        <f t="shared" si="4"/>
        <v>14809721.34</v>
      </c>
      <c r="L1702" s="45"/>
      <c r="M1702" s="24">
        <v>45989.0</v>
      </c>
    </row>
    <row r="1703" ht="15.75" customHeight="1">
      <c r="A1703" s="39">
        <v>45930.0</v>
      </c>
      <c r="B1703" s="50"/>
      <c r="C1703" s="31" t="s">
        <v>635</v>
      </c>
      <c r="D1703" s="32" t="s">
        <v>99</v>
      </c>
      <c r="E1703" s="32" t="s">
        <v>1889</v>
      </c>
      <c r="F1703" s="32" t="s">
        <v>208</v>
      </c>
      <c r="G1703" s="53">
        <v>1.447386303E7</v>
      </c>
      <c r="H1703" s="14">
        <f t="shared" si="9"/>
        <v>3039511.236</v>
      </c>
      <c r="I1703" s="50"/>
      <c r="J1703" s="14"/>
      <c r="K1703" s="15">
        <f t="shared" si="4"/>
        <v>17513374.27</v>
      </c>
      <c r="L1703" s="45"/>
      <c r="M1703" s="24">
        <v>45989.0</v>
      </c>
    </row>
    <row r="1704" ht="15.75" customHeight="1">
      <c r="A1704" s="39">
        <v>45930.0</v>
      </c>
      <c r="B1704" s="50"/>
      <c r="C1704" s="31" t="s">
        <v>635</v>
      </c>
      <c r="D1704" s="32" t="s">
        <v>99</v>
      </c>
      <c r="E1704" s="32" t="s">
        <v>1890</v>
      </c>
      <c r="F1704" s="32" t="s">
        <v>208</v>
      </c>
      <c r="G1704" s="53">
        <v>5902964.39</v>
      </c>
      <c r="H1704" s="14">
        <f t="shared" si="9"/>
        <v>1239622.522</v>
      </c>
      <c r="I1704" s="50"/>
      <c r="J1704" s="14"/>
      <c r="K1704" s="15">
        <f t="shared" si="4"/>
        <v>7142586.912</v>
      </c>
      <c r="L1704" s="45"/>
      <c r="M1704" s="24">
        <v>45989.0</v>
      </c>
    </row>
    <row r="1705" ht="15.75" customHeight="1">
      <c r="A1705" s="145">
        <v>45930.0</v>
      </c>
      <c r="B1705" s="158"/>
      <c r="C1705" s="147" t="s">
        <v>635</v>
      </c>
      <c r="D1705" s="148" t="s">
        <v>15</v>
      </c>
      <c r="E1705" s="148" t="s">
        <v>1891</v>
      </c>
      <c r="F1705" s="148" t="s">
        <v>208</v>
      </c>
      <c r="G1705" s="149">
        <v>8473996.84</v>
      </c>
      <c r="H1705" s="150">
        <f t="shared" si="9"/>
        <v>1779539.336</v>
      </c>
      <c r="I1705" s="158"/>
      <c r="J1705" s="150"/>
      <c r="K1705" s="152">
        <f t="shared" si="4"/>
        <v>10253536.18</v>
      </c>
      <c r="L1705" s="153"/>
      <c r="M1705" s="159" t="s">
        <v>1892</v>
      </c>
    </row>
    <row r="1706" ht="15.75" customHeight="1">
      <c r="A1706" s="145">
        <v>45930.0</v>
      </c>
      <c r="B1706" s="158"/>
      <c r="C1706" s="147" t="s">
        <v>635</v>
      </c>
      <c r="D1706" s="148" t="s">
        <v>15</v>
      </c>
      <c r="E1706" s="148" t="s">
        <v>1893</v>
      </c>
      <c r="F1706" s="148" t="s">
        <v>208</v>
      </c>
      <c r="G1706" s="149">
        <v>1.183737723E7</v>
      </c>
      <c r="H1706" s="150">
        <f t="shared" si="9"/>
        <v>2485849.218</v>
      </c>
      <c r="I1706" s="158"/>
      <c r="J1706" s="150"/>
      <c r="K1706" s="152">
        <f t="shared" si="4"/>
        <v>14323226.45</v>
      </c>
      <c r="L1706" s="153"/>
      <c r="M1706" s="159" t="s">
        <v>1892</v>
      </c>
    </row>
    <row r="1707" ht="15.75" customHeight="1">
      <c r="A1707" s="145">
        <v>45930.0</v>
      </c>
      <c r="B1707" s="158"/>
      <c r="C1707" s="147" t="s">
        <v>635</v>
      </c>
      <c r="D1707" s="148" t="s">
        <v>15</v>
      </c>
      <c r="E1707" s="148" t="s">
        <v>1894</v>
      </c>
      <c r="F1707" s="148" t="s">
        <v>208</v>
      </c>
      <c r="G1707" s="149">
        <v>1.725648632E7</v>
      </c>
      <c r="H1707" s="150">
        <f t="shared" si="9"/>
        <v>3623862.127</v>
      </c>
      <c r="I1707" s="158"/>
      <c r="J1707" s="150"/>
      <c r="K1707" s="152">
        <f t="shared" si="4"/>
        <v>20880348.45</v>
      </c>
      <c r="L1707" s="153"/>
      <c r="M1707" s="159" t="s">
        <v>1892</v>
      </c>
    </row>
    <row r="1708" ht="15.75" customHeight="1">
      <c r="A1708" s="145">
        <v>45930.0</v>
      </c>
      <c r="B1708" s="158"/>
      <c r="C1708" s="147" t="s">
        <v>635</v>
      </c>
      <c r="D1708" s="148" t="s">
        <v>15</v>
      </c>
      <c r="E1708" s="148" t="s">
        <v>1895</v>
      </c>
      <c r="F1708" s="148" t="s">
        <v>208</v>
      </c>
      <c r="G1708" s="149">
        <v>5938589.18</v>
      </c>
      <c r="H1708" s="150">
        <f t="shared" si="9"/>
        <v>1247103.728</v>
      </c>
      <c r="I1708" s="158"/>
      <c r="J1708" s="150"/>
      <c r="K1708" s="152">
        <f t="shared" si="4"/>
        <v>7185692.908</v>
      </c>
      <c r="L1708" s="153"/>
      <c r="M1708" s="159" t="s">
        <v>1892</v>
      </c>
    </row>
    <row r="1709" ht="15.75" customHeight="1">
      <c r="A1709" s="145">
        <v>45930.0</v>
      </c>
      <c r="B1709" s="158"/>
      <c r="C1709" s="147" t="s">
        <v>635</v>
      </c>
      <c r="D1709" s="148" t="s">
        <v>15</v>
      </c>
      <c r="E1709" s="148" t="s">
        <v>1896</v>
      </c>
      <c r="F1709" s="148" t="s">
        <v>208</v>
      </c>
      <c r="G1709" s="149">
        <v>5293884.55</v>
      </c>
      <c r="H1709" s="150">
        <f t="shared" si="9"/>
        <v>1111715.756</v>
      </c>
      <c r="I1709" s="158"/>
      <c r="J1709" s="150"/>
      <c r="K1709" s="152">
        <f t="shared" si="4"/>
        <v>6405600.306</v>
      </c>
      <c r="L1709" s="153"/>
      <c r="M1709" s="159" t="s">
        <v>1892</v>
      </c>
    </row>
    <row r="1710" ht="15.75" customHeight="1">
      <c r="A1710" s="145">
        <v>45930.0</v>
      </c>
      <c r="B1710" s="158"/>
      <c r="C1710" s="147" t="s">
        <v>635</v>
      </c>
      <c r="D1710" s="148" t="s">
        <v>15</v>
      </c>
      <c r="E1710" s="148" t="s">
        <v>1897</v>
      </c>
      <c r="F1710" s="148" t="s">
        <v>208</v>
      </c>
      <c r="G1710" s="149">
        <v>4887405.63</v>
      </c>
      <c r="H1710" s="150">
        <f t="shared" si="9"/>
        <v>1026355.182</v>
      </c>
      <c r="I1710" s="158"/>
      <c r="J1710" s="150"/>
      <c r="K1710" s="152">
        <f t="shared" si="4"/>
        <v>5913760.812</v>
      </c>
      <c r="L1710" s="153"/>
      <c r="M1710" s="159" t="s">
        <v>1892</v>
      </c>
    </row>
    <row r="1711" ht="15.75" customHeight="1">
      <c r="A1711" s="145">
        <v>45930.0</v>
      </c>
      <c r="B1711" s="158"/>
      <c r="C1711" s="147" t="s">
        <v>635</v>
      </c>
      <c r="D1711" s="148" t="s">
        <v>15</v>
      </c>
      <c r="E1711" s="148" t="s">
        <v>1898</v>
      </c>
      <c r="F1711" s="148" t="s">
        <v>208</v>
      </c>
      <c r="G1711" s="149">
        <v>5790590.08</v>
      </c>
      <c r="H1711" s="150">
        <f t="shared" si="9"/>
        <v>1216023.917</v>
      </c>
      <c r="I1711" s="158"/>
      <c r="J1711" s="150"/>
      <c r="K1711" s="152">
        <f t="shared" si="4"/>
        <v>7006613.997</v>
      </c>
      <c r="L1711" s="153"/>
      <c r="M1711" s="159" t="s">
        <v>1892</v>
      </c>
    </row>
    <row r="1712" ht="15.75" customHeight="1">
      <c r="A1712" s="39">
        <v>45930.0</v>
      </c>
      <c r="B1712" s="50"/>
      <c r="C1712" s="31" t="s">
        <v>111</v>
      </c>
      <c r="D1712" s="32" t="s">
        <v>99</v>
      </c>
      <c r="E1712" s="32" t="s">
        <v>1899</v>
      </c>
      <c r="F1712" s="32" t="s">
        <v>208</v>
      </c>
      <c r="G1712" s="53">
        <v>1.213568E7</v>
      </c>
      <c r="H1712" s="14">
        <f t="shared" si="9"/>
        <v>2548492.8</v>
      </c>
      <c r="I1712" s="50"/>
      <c r="J1712" s="14"/>
      <c r="K1712" s="15">
        <f t="shared" si="4"/>
        <v>14684172.8</v>
      </c>
      <c r="L1712" s="45"/>
      <c r="M1712" s="24">
        <v>45953.0</v>
      </c>
    </row>
    <row r="1713" ht="15.75" customHeight="1">
      <c r="A1713" s="39">
        <v>45930.0</v>
      </c>
      <c r="B1713" s="50"/>
      <c r="C1713" s="31" t="s">
        <v>111</v>
      </c>
      <c r="D1713" s="32" t="s">
        <v>99</v>
      </c>
      <c r="E1713" s="32" t="s">
        <v>1900</v>
      </c>
      <c r="F1713" s="32" t="s">
        <v>208</v>
      </c>
      <c r="G1713" s="53">
        <v>7878960.0</v>
      </c>
      <c r="H1713" s="14">
        <f t="shared" si="9"/>
        <v>1654581.6</v>
      </c>
      <c r="I1713" s="50"/>
      <c r="J1713" s="14"/>
      <c r="K1713" s="15">
        <f t="shared" si="4"/>
        <v>9533541.6</v>
      </c>
      <c r="L1713" s="45"/>
      <c r="M1713" s="24">
        <v>45953.0</v>
      </c>
    </row>
    <row r="1714" ht="15.75" customHeight="1">
      <c r="A1714" s="55">
        <v>45930.0</v>
      </c>
      <c r="B1714" s="56"/>
      <c r="C1714" s="57" t="s">
        <v>1533</v>
      </c>
      <c r="D1714" s="58" t="s">
        <v>1901</v>
      </c>
      <c r="E1714" s="58" t="s">
        <v>1902</v>
      </c>
      <c r="F1714" s="58" t="s">
        <v>208</v>
      </c>
      <c r="G1714" s="65">
        <v>1.40013388E7</v>
      </c>
      <c r="H1714" s="9">
        <f t="shared" si="9"/>
        <v>2940281.148</v>
      </c>
      <c r="I1714" s="56"/>
      <c r="J1714" s="60"/>
      <c r="K1714" s="10">
        <f t="shared" si="4"/>
        <v>16941619.95</v>
      </c>
      <c r="L1714" s="61"/>
      <c r="M1714" s="62"/>
    </row>
    <row r="1715" ht="15.75" customHeight="1">
      <c r="A1715" s="55">
        <v>45930.0</v>
      </c>
      <c r="B1715" s="56"/>
      <c r="C1715" s="57" t="s">
        <v>1903</v>
      </c>
      <c r="D1715" s="58" t="s">
        <v>1901</v>
      </c>
      <c r="E1715" s="58" t="s">
        <v>1904</v>
      </c>
      <c r="F1715" s="58" t="s">
        <v>208</v>
      </c>
      <c r="G1715" s="65">
        <v>1.500064458E7</v>
      </c>
      <c r="H1715" s="9">
        <f t="shared" si="9"/>
        <v>3150135.362</v>
      </c>
      <c r="I1715" s="56"/>
      <c r="J1715" s="60"/>
      <c r="K1715" s="10">
        <f t="shared" si="4"/>
        <v>18150779.94</v>
      </c>
      <c r="L1715" s="61"/>
      <c r="M1715" s="62"/>
    </row>
    <row r="1716" ht="15.75" customHeight="1">
      <c r="A1716" s="55">
        <v>45930.0</v>
      </c>
      <c r="B1716" s="56"/>
      <c r="C1716" s="57" t="s">
        <v>1248</v>
      </c>
      <c r="D1716" s="58" t="s">
        <v>1901</v>
      </c>
      <c r="E1716" s="58" t="s">
        <v>1905</v>
      </c>
      <c r="F1716" s="58" t="s">
        <v>208</v>
      </c>
      <c r="G1716" s="65">
        <v>1.500721652E7</v>
      </c>
      <c r="H1716" s="9">
        <f t="shared" si="9"/>
        <v>3151515.469</v>
      </c>
      <c r="I1716" s="56"/>
      <c r="J1716" s="60"/>
      <c r="K1716" s="10">
        <f t="shared" si="4"/>
        <v>18158731.99</v>
      </c>
      <c r="L1716" s="61"/>
      <c r="M1716" s="62"/>
    </row>
    <row r="1717" ht="15.75" customHeight="1">
      <c r="A1717" s="39">
        <v>45930.0</v>
      </c>
      <c r="B1717" s="50"/>
      <c r="C1717" s="31" t="s">
        <v>635</v>
      </c>
      <c r="D1717" s="32" t="s">
        <v>99</v>
      </c>
      <c r="E1717" s="32" t="s">
        <v>1906</v>
      </c>
      <c r="F1717" s="32" t="s">
        <v>208</v>
      </c>
      <c r="G1717" s="53">
        <v>8839069.08</v>
      </c>
      <c r="H1717" s="14">
        <f t="shared" si="9"/>
        <v>1856204.507</v>
      </c>
      <c r="I1717" s="50"/>
      <c r="J1717" s="14"/>
      <c r="K1717" s="15">
        <f t="shared" si="4"/>
        <v>10695273.59</v>
      </c>
      <c r="L1717" s="45"/>
      <c r="M1717" s="24">
        <v>45989.0</v>
      </c>
    </row>
    <row r="1718" ht="15.75" customHeight="1">
      <c r="A1718" s="39">
        <v>45930.0</v>
      </c>
      <c r="B1718" s="50"/>
      <c r="C1718" s="31" t="s">
        <v>635</v>
      </c>
      <c r="D1718" s="32" t="s">
        <v>99</v>
      </c>
      <c r="E1718" s="32" t="s">
        <v>1907</v>
      </c>
      <c r="F1718" s="32" t="s">
        <v>208</v>
      </c>
      <c r="G1718" s="53">
        <v>1.116293299E7</v>
      </c>
      <c r="H1718" s="14">
        <f t="shared" si="9"/>
        <v>2344215.928</v>
      </c>
      <c r="I1718" s="50"/>
      <c r="J1718" s="14"/>
      <c r="K1718" s="15">
        <f t="shared" si="4"/>
        <v>13507148.92</v>
      </c>
      <c r="L1718" s="45"/>
      <c r="M1718" s="24">
        <v>45989.0</v>
      </c>
    </row>
    <row r="1719" ht="15.75" customHeight="1">
      <c r="A1719" s="55">
        <v>45930.0</v>
      </c>
      <c r="B1719" s="56"/>
      <c r="C1719" s="57" t="s">
        <v>1908</v>
      </c>
      <c r="D1719" s="160" t="s">
        <v>1543</v>
      </c>
      <c r="E1719" s="58" t="s">
        <v>1909</v>
      </c>
      <c r="F1719" s="58" t="s">
        <v>208</v>
      </c>
      <c r="G1719" s="65">
        <v>1.000130539E7</v>
      </c>
      <c r="H1719" s="9">
        <f t="shared" si="9"/>
        <v>2100274.132</v>
      </c>
      <c r="I1719" s="56"/>
      <c r="J1719" s="60"/>
      <c r="K1719" s="10">
        <f t="shared" si="4"/>
        <v>12101579.52</v>
      </c>
      <c r="L1719" s="61"/>
      <c r="M1719" s="62"/>
    </row>
    <row r="1720" ht="15.75" customHeight="1">
      <c r="A1720" s="39">
        <v>45934.0</v>
      </c>
      <c r="B1720" s="157"/>
      <c r="C1720" s="31" t="s">
        <v>1842</v>
      </c>
      <c r="D1720" s="32" t="s">
        <v>15</v>
      </c>
      <c r="E1720" s="32" t="s">
        <v>1910</v>
      </c>
      <c r="F1720" s="161">
        <v>45955.0</v>
      </c>
      <c r="G1720" s="53">
        <v>2.258279074E7</v>
      </c>
      <c r="H1720" s="14">
        <f t="shared" si="9"/>
        <v>4742386.055</v>
      </c>
      <c r="I1720" s="50"/>
      <c r="J1720" s="14"/>
      <c r="K1720" s="15">
        <f t="shared" si="4"/>
        <v>27325176.8</v>
      </c>
      <c r="L1720" s="45"/>
      <c r="M1720" s="24">
        <v>45936.0</v>
      </c>
    </row>
    <row r="1721" ht="15.75" customHeight="1">
      <c r="A1721" s="39">
        <v>45934.0</v>
      </c>
      <c r="B1721" s="50"/>
      <c r="C1721" s="31" t="s">
        <v>1842</v>
      </c>
      <c r="D1721" s="32" t="s">
        <v>99</v>
      </c>
      <c r="E1721" s="31" t="s">
        <v>1911</v>
      </c>
      <c r="F1721" s="161">
        <v>45955.0</v>
      </c>
      <c r="G1721" s="53">
        <v>2.682046019E7</v>
      </c>
      <c r="H1721" s="14">
        <f t="shared" si="9"/>
        <v>5632296.64</v>
      </c>
      <c r="I1721" s="50"/>
      <c r="J1721" s="14"/>
      <c r="K1721" s="15">
        <f t="shared" si="4"/>
        <v>32452756.83</v>
      </c>
      <c r="L1721" s="45"/>
      <c r="M1721" s="24">
        <v>45936.0</v>
      </c>
    </row>
    <row r="1722" ht="15.75" customHeight="1">
      <c r="A1722" s="39">
        <v>45936.0</v>
      </c>
      <c r="B1722" s="50"/>
      <c r="C1722" s="31" t="s">
        <v>16</v>
      </c>
      <c r="D1722" s="32" t="s">
        <v>99</v>
      </c>
      <c r="E1722" s="31" t="s">
        <v>1912</v>
      </c>
      <c r="F1722" s="161">
        <v>45955.0</v>
      </c>
      <c r="G1722" s="53">
        <v>1.250289195E7</v>
      </c>
      <c r="H1722" s="14">
        <f t="shared" si="9"/>
        <v>2625607.31</v>
      </c>
      <c r="I1722" s="37">
        <v>375086.76</v>
      </c>
      <c r="J1722" s="14"/>
      <c r="K1722" s="15">
        <f t="shared" si="4"/>
        <v>15503586.02</v>
      </c>
      <c r="L1722" s="45"/>
      <c r="M1722" s="6"/>
    </row>
    <row r="1723" ht="15.75" customHeight="1">
      <c r="A1723" s="39">
        <v>45937.0</v>
      </c>
      <c r="B1723" s="50"/>
      <c r="C1723" s="31" t="s">
        <v>16</v>
      </c>
      <c r="D1723" s="32" t="s">
        <v>99</v>
      </c>
      <c r="E1723" s="31" t="s">
        <v>1913</v>
      </c>
      <c r="F1723" s="161">
        <v>45955.0</v>
      </c>
      <c r="G1723" s="53">
        <v>-1.250289195E7</v>
      </c>
      <c r="H1723" s="14">
        <f t="shared" si="9"/>
        <v>-2625607.31</v>
      </c>
      <c r="I1723" s="22">
        <v>-375086.76</v>
      </c>
      <c r="J1723" s="14"/>
      <c r="K1723" s="15">
        <f t="shared" si="4"/>
        <v>-15503586.02</v>
      </c>
      <c r="L1723" s="45"/>
      <c r="M1723" s="6"/>
    </row>
    <row r="1724" ht="15.75" customHeight="1">
      <c r="A1724" s="39">
        <v>45937.0</v>
      </c>
      <c r="B1724" s="50"/>
      <c r="C1724" s="31" t="s">
        <v>16</v>
      </c>
      <c r="D1724" s="32" t="s">
        <v>99</v>
      </c>
      <c r="E1724" s="31" t="s">
        <v>1914</v>
      </c>
      <c r="F1724" s="161">
        <v>45955.0</v>
      </c>
      <c r="G1724" s="53">
        <v>1.025846019E7</v>
      </c>
      <c r="H1724" s="14">
        <f t="shared" si="9"/>
        <v>2154276.64</v>
      </c>
      <c r="I1724" s="37">
        <v>307753.81</v>
      </c>
      <c r="J1724" s="14"/>
      <c r="K1724" s="15">
        <f t="shared" si="4"/>
        <v>12720490.64</v>
      </c>
      <c r="L1724" s="45"/>
      <c r="M1724" s="6"/>
    </row>
    <row r="1725" ht="15.75" customHeight="1">
      <c r="A1725" s="162">
        <v>45939.0</v>
      </c>
      <c r="B1725" s="50"/>
      <c r="C1725" s="31" t="s">
        <v>1112</v>
      </c>
      <c r="D1725" s="32" t="s">
        <v>15</v>
      </c>
      <c r="E1725" s="31" t="s">
        <v>1915</v>
      </c>
      <c r="F1725" s="161">
        <v>45955.0</v>
      </c>
      <c r="G1725" s="53">
        <v>1.751951822E7</v>
      </c>
      <c r="H1725" s="14">
        <f t="shared" si="9"/>
        <v>3679098.826</v>
      </c>
      <c r="I1725" s="50"/>
      <c r="J1725" s="14"/>
      <c r="K1725" s="15">
        <f t="shared" si="4"/>
        <v>21198617.05</v>
      </c>
      <c r="L1725" s="45"/>
      <c r="M1725" s="24">
        <v>45951.0</v>
      </c>
    </row>
    <row r="1726" ht="15.75" customHeight="1">
      <c r="A1726" s="162">
        <v>45939.0</v>
      </c>
      <c r="B1726" s="50"/>
      <c r="C1726" s="31" t="s">
        <v>1112</v>
      </c>
      <c r="D1726" s="32" t="s">
        <v>15</v>
      </c>
      <c r="E1726" s="32" t="s">
        <v>1916</v>
      </c>
      <c r="F1726" s="161">
        <v>45955.0</v>
      </c>
      <c r="G1726" s="53">
        <v>1.748049565E7</v>
      </c>
      <c r="H1726" s="14">
        <f t="shared" si="9"/>
        <v>3670904.087</v>
      </c>
      <c r="I1726" s="50"/>
      <c r="J1726" s="14"/>
      <c r="K1726" s="15">
        <f t="shared" si="4"/>
        <v>21151399.74</v>
      </c>
      <c r="L1726" s="45"/>
      <c r="M1726" s="24">
        <v>45951.0</v>
      </c>
    </row>
    <row r="1727" ht="15.75" customHeight="1">
      <c r="A1727" s="162">
        <v>45939.0</v>
      </c>
      <c r="B1727" s="50"/>
      <c r="C1727" s="31" t="s">
        <v>1112</v>
      </c>
      <c r="D1727" s="32" t="s">
        <v>99</v>
      </c>
      <c r="E1727" s="32" t="s">
        <v>1917</v>
      </c>
      <c r="F1727" s="161">
        <v>45955.0</v>
      </c>
      <c r="G1727" s="53">
        <v>1.580968967E7</v>
      </c>
      <c r="H1727" s="14">
        <f t="shared" si="9"/>
        <v>3320034.831</v>
      </c>
      <c r="I1727" s="50"/>
      <c r="J1727" s="14"/>
      <c r="K1727" s="15">
        <f t="shared" si="4"/>
        <v>19129724.5</v>
      </c>
      <c r="L1727" s="45"/>
      <c r="M1727" s="24">
        <v>45954.0</v>
      </c>
    </row>
    <row r="1728" ht="15.75" customHeight="1">
      <c r="A1728" s="162">
        <v>45939.0</v>
      </c>
      <c r="B1728" s="50"/>
      <c r="C1728" s="31" t="s">
        <v>1112</v>
      </c>
      <c r="D1728" s="32" t="s">
        <v>99</v>
      </c>
      <c r="E1728" s="32" t="s">
        <v>1918</v>
      </c>
      <c r="F1728" s="161">
        <v>45955.0</v>
      </c>
      <c r="G1728" s="53">
        <v>1.919032516E7</v>
      </c>
      <c r="H1728" s="14">
        <f t="shared" si="9"/>
        <v>4029968.284</v>
      </c>
      <c r="I1728" s="50"/>
      <c r="J1728" s="14"/>
      <c r="K1728" s="15">
        <f t="shared" si="4"/>
        <v>23220293.44</v>
      </c>
      <c r="L1728" s="45"/>
      <c r="M1728" s="24">
        <v>45954.0</v>
      </c>
    </row>
    <row r="1729" ht="15.75" customHeight="1">
      <c r="A1729" s="162">
        <v>45943.0</v>
      </c>
      <c r="B1729" s="50"/>
      <c r="C1729" s="31" t="s">
        <v>1277</v>
      </c>
      <c r="D1729" s="32" t="s">
        <v>99</v>
      </c>
      <c r="E1729" s="31" t="s">
        <v>1919</v>
      </c>
      <c r="F1729" s="161">
        <v>45955.0</v>
      </c>
      <c r="G1729" s="53">
        <v>2169583.09</v>
      </c>
      <c r="H1729" s="14">
        <f t="shared" si="9"/>
        <v>455612.4489</v>
      </c>
      <c r="I1729" s="50"/>
      <c r="J1729" s="14"/>
      <c r="K1729" s="15">
        <f t="shared" si="4"/>
        <v>2625195.539</v>
      </c>
      <c r="L1729" s="45"/>
      <c r="M1729" s="6"/>
    </row>
    <row r="1730" ht="15.75" customHeight="1">
      <c r="A1730" s="162">
        <v>45943.0</v>
      </c>
      <c r="B1730" s="50"/>
      <c r="C1730" s="31" t="s">
        <v>1277</v>
      </c>
      <c r="D1730" s="32" t="s">
        <v>99</v>
      </c>
      <c r="E1730" s="31" t="s">
        <v>1920</v>
      </c>
      <c r="F1730" s="161">
        <v>45955.0</v>
      </c>
      <c r="G1730" s="53">
        <v>2391546.46</v>
      </c>
      <c r="H1730" s="14">
        <f t="shared" si="9"/>
        <v>502224.7566</v>
      </c>
      <c r="I1730" s="37">
        <v>71746.39</v>
      </c>
      <c r="J1730" s="14"/>
      <c r="K1730" s="15">
        <f t="shared" si="4"/>
        <v>2965517.607</v>
      </c>
      <c r="L1730" s="45"/>
      <c r="M1730" s="6"/>
    </row>
    <row r="1731" ht="15.75" customHeight="1">
      <c r="A1731" s="162">
        <v>45943.0</v>
      </c>
      <c r="B1731" s="50"/>
      <c r="C1731" s="31" t="s">
        <v>1277</v>
      </c>
      <c r="D1731" s="32" t="s">
        <v>99</v>
      </c>
      <c r="E1731" s="31" t="s">
        <v>1921</v>
      </c>
      <c r="F1731" s="161">
        <v>45955.0</v>
      </c>
      <c r="G1731" s="53">
        <v>2449640.85</v>
      </c>
      <c r="H1731" s="14">
        <f t="shared" si="9"/>
        <v>514424.5785</v>
      </c>
      <c r="I1731" s="37">
        <v>73489.23</v>
      </c>
      <c r="J1731" s="14"/>
      <c r="K1731" s="15">
        <f t="shared" si="4"/>
        <v>3037554.659</v>
      </c>
      <c r="L1731" s="45"/>
      <c r="M1731" s="6"/>
    </row>
    <row r="1732" ht="15.75" customHeight="1">
      <c r="A1732" s="162">
        <v>45943.0</v>
      </c>
      <c r="B1732" s="50"/>
      <c r="C1732" s="31" t="s">
        <v>1277</v>
      </c>
      <c r="D1732" s="32" t="s">
        <v>15</v>
      </c>
      <c r="E1732" s="31" t="s">
        <v>1922</v>
      </c>
      <c r="F1732" s="161">
        <v>45955.0</v>
      </c>
      <c r="G1732" s="53">
        <v>2511470.28</v>
      </c>
      <c r="H1732" s="14">
        <f t="shared" si="9"/>
        <v>527408.7588</v>
      </c>
      <c r="I1732" s="22">
        <v>75344.11</v>
      </c>
      <c r="J1732" s="14"/>
      <c r="K1732" s="15">
        <f t="shared" si="4"/>
        <v>3114223.149</v>
      </c>
      <c r="L1732" s="45"/>
      <c r="M1732" s="6"/>
    </row>
    <row r="1733" ht="15.75" customHeight="1">
      <c r="A1733" s="162">
        <v>45943.0</v>
      </c>
      <c r="B1733" s="50"/>
      <c r="C1733" s="31" t="s">
        <v>1283</v>
      </c>
      <c r="D1733" s="32" t="s">
        <v>99</v>
      </c>
      <c r="E1733" s="31" t="s">
        <v>1923</v>
      </c>
      <c r="F1733" s="161">
        <v>45955.0</v>
      </c>
      <c r="G1733" s="53">
        <v>1943575.18</v>
      </c>
      <c r="H1733" s="14">
        <f t="shared" si="9"/>
        <v>408150.7878</v>
      </c>
      <c r="I1733" s="22">
        <v>58307.26</v>
      </c>
      <c r="J1733" s="22">
        <v>9717.88</v>
      </c>
      <c r="K1733" s="15">
        <f t="shared" si="4"/>
        <v>2419751.108</v>
      </c>
      <c r="L1733" s="45"/>
      <c r="M1733" s="6"/>
    </row>
    <row r="1734" ht="15.75" customHeight="1">
      <c r="A1734" s="162">
        <v>45943.0</v>
      </c>
      <c r="B1734" s="50"/>
      <c r="C1734" s="31" t="s">
        <v>1283</v>
      </c>
      <c r="D1734" s="32" t="s">
        <v>99</v>
      </c>
      <c r="E1734" s="31" t="s">
        <v>1924</v>
      </c>
      <c r="F1734" s="161">
        <v>45955.0</v>
      </c>
      <c r="G1734" s="53">
        <v>2179420.39</v>
      </c>
      <c r="H1734" s="14">
        <f t="shared" si="9"/>
        <v>457678.2819</v>
      </c>
      <c r="I1734" s="22">
        <v>65382.61</v>
      </c>
      <c r="J1734" s="22">
        <v>10897.1</v>
      </c>
      <c r="K1734" s="15">
        <f t="shared" si="4"/>
        <v>2713378.382</v>
      </c>
      <c r="L1734" s="45"/>
      <c r="M1734" s="6"/>
    </row>
    <row r="1735" ht="15.75" customHeight="1">
      <c r="A1735" s="162">
        <v>45943.0</v>
      </c>
      <c r="B1735" s="50"/>
      <c r="C1735" s="31" t="s">
        <v>1283</v>
      </c>
      <c r="D1735" s="32" t="s">
        <v>99</v>
      </c>
      <c r="E1735" s="31" t="s">
        <v>1925</v>
      </c>
      <c r="F1735" s="161">
        <v>45955.0</v>
      </c>
      <c r="G1735" s="53">
        <v>1892548.26</v>
      </c>
      <c r="H1735" s="14">
        <f t="shared" si="9"/>
        <v>397435.1346</v>
      </c>
      <c r="I1735" s="37"/>
      <c r="J1735" s="22">
        <v>9462.74</v>
      </c>
      <c r="K1735" s="15">
        <f t="shared" si="4"/>
        <v>2299446.135</v>
      </c>
      <c r="L1735" s="45"/>
      <c r="M1735" s="6"/>
    </row>
    <row r="1736" ht="15.75" customHeight="1">
      <c r="A1736" s="162">
        <v>45943.0</v>
      </c>
      <c r="B1736" s="50"/>
      <c r="C1736" s="31" t="s">
        <v>1283</v>
      </c>
      <c r="D1736" s="32" t="s">
        <v>15</v>
      </c>
      <c r="E1736" s="32" t="s">
        <v>1926</v>
      </c>
      <c r="F1736" s="161">
        <v>45955.0</v>
      </c>
      <c r="G1736" s="53">
        <v>2504685.07</v>
      </c>
      <c r="H1736" s="14">
        <f t="shared" si="9"/>
        <v>525983.8647</v>
      </c>
      <c r="I1736" s="22">
        <v>75140.55</v>
      </c>
      <c r="J1736" s="22">
        <v>12523.43</v>
      </c>
      <c r="K1736" s="15">
        <f t="shared" si="4"/>
        <v>3118332.915</v>
      </c>
      <c r="L1736" s="45"/>
      <c r="M1736" s="6"/>
    </row>
    <row r="1737" ht="15.75" customHeight="1">
      <c r="A1737" s="162">
        <v>45943.0</v>
      </c>
      <c r="B1737" s="50"/>
      <c r="C1737" s="31" t="s">
        <v>64</v>
      </c>
      <c r="D1737" s="32" t="s">
        <v>99</v>
      </c>
      <c r="E1737" s="31" t="s">
        <v>1927</v>
      </c>
      <c r="F1737" s="161">
        <v>45955.0</v>
      </c>
      <c r="G1737" s="53">
        <v>9812433.28</v>
      </c>
      <c r="H1737" s="14">
        <f t="shared" si="9"/>
        <v>2060610.989</v>
      </c>
      <c r="I1737" s="22">
        <v>294373.0</v>
      </c>
      <c r="J1737" s="14"/>
      <c r="K1737" s="15">
        <f t="shared" si="4"/>
        <v>12167417.27</v>
      </c>
      <c r="L1737" s="45"/>
      <c r="M1737" s="24">
        <v>45947.0</v>
      </c>
    </row>
    <row r="1738" ht="15.75" customHeight="1">
      <c r="A1738" s="162">
        <v>45943.0</v>
      </c>
      <c r="B1738" s="50"/>
      <c r="C1738" s="31" t="s">
        <v>64</v>
      </c>
      <c r="D1738" s="32" t="s">
        <v>15</v>
      </c>
      <c r="E1738" s="31" t="s">
        <v>1928</v>
      </c>
      <c r="F1738" s="161">
        <v>45955.0</v>
      </c>
      <c r="G1738" s="53">
        <v>1.180367026E7</v>
      </c>
      <c r="H1738" s="14">
        <f t="shared" si="9"/>
        <v>2478770.755</v>
      </c>
      <c r="I1738" s="50"/>
      <c r="J1738" s="14"/>
      <c r="K1738" s="15">
        <f t="shared" si="4"/>
        <v>14282441.01</v>
      </c>
      <c r="L1738" s="45"/>
      <c r="M1738" s="24">
        <v>45947.0</v>
      </c>
    </row>
    <row r="1739" ht="15.75" customHeight="1">
      <c r="A1739" s="162">
        <v>45943.0</v>
      </c>
      <c r="B1739" s="157"/>
      <c r="C1739" s="31" t="s">
        <v>1275</v>
      </c>
      <c r="D1739" s="32" t="s">
        <v>99</v>
      </c>
      <c r="E1739" s="31" t="s">
        <v>1929</v>
      </c>
      <c r="F1739" s="161">
        <v>45955.0</v>
      </c>
      <c r="G1739" s="53">
        <v>5398263.62</v>
      </c>
      <c r="H1739" s="14">
        <f t="shared" si="9"/>
        <v>1133635.36</v>
      </c>
      <c r="I1739" s="22"/>
      <c r="J1739" s="14"/>
      <c r="K1739" s="15">
        <f t="shared" si="4"/>
        <v>6531898.98</v>
      </c>
      <c r="L1739" s="45"/>
      <c r="M1739" s="6"/>
    </row>
    <row r="1740" ht="15.75" customHeight="1">
      <c r="A1740" s="162">
        <v>45943.0</v>
      </c>
      <c r="B1740" s="50"/>
      <c r="C1740" s="31" t="s">
        <v>1275</v>
      </c>
      <c r="D1740" s="32" t="s">
        <v>99</v>
      </c>
      <c r="E1740" s="31" t="s">
        <v>1930</v>
      </c>
      <c r="F1740" s="161">
        <v>45955.0</v>
      </c>
      <c r="G1740" s="53">
        <v>4219322.49</v>
      </c>
      <c r="H1740" s="14">
        <f t="shared" si="9"/>
        <v>886057.7229</v>
      </c>
      <c r="I1740" s="22">
        <v>126579.67</v>
      </c>
      <c r="J1740" s="14"/>
      <c r="K1740" s="15">
        <f t="shared" si="4"/>
        <v>5231959.883</v>
      </c>
      <c r="L1740" s="45"/>
      <c r="M1740" s="6"/>
    </row>
    <row r="1741" ht="15.75" customHeight="1">
      <c r="A1741" s="162">
        <v>45943.0</v>
      </c>
      <c r="B1741" s="50"/>
      <c r="C1741" s="31" t="s">
        <v>1275</v>
      </c>
      <c r="D1741" s="32" t="s">
        <v>99</v>
      </c>
      <c r="E1741" s="31" t="s">
        <v>1931</v>
      </c>
      <c r="F1741" s="161">
        <v>45955.0</v>
      </c>
      <c r="G1741" s="53">
        <v>5391685.83</v>
      </c>
      <c r="H1741" s="14">
        <f t="shared" si="9"/>
        <v>1132254.024</v>
      </c>
      <c r="I1741" s="22">
        <v>161750.57</v>
      </c>
      <c r="J1741" s="14"/>
      <c r="K1741" s="15">
        <f t="shared" si="4"/>
        <v>6685690.424</v>
      </c>
      <c r="L1741" s="45"/>
      <c r="M1741" s="6"/>
    </row>
    <row r="1742" ht="15.75" customHeight="1">
      <c r="A1742" s="162">
        <v>45943.0</v>
      </c>
      <c r="B1742" s="50"/>
      <c r="C1742" s="31" t="s">
        <v>1275</v>
      </c>
      <c r="D1742" s="32" t="s">
        <v>15</v>
      </c>
      <c r="E1742" s="31" t="s">
        <v>1932</v>
      </c>
      <c r="F1742" s="161">
        <v>45955.0</v>
      </c>
      <c r="G1742" s="53">
        <v>2503570.52</v>
      </c>
      <c r="H1742" s="14">
        <f t="shared" si="9"/>
        <v>525749.8092</v>
      </c>
      <c r="I1742" s="22">
        <v>75107.12</v>
      </c>
      <c r="J1742" s="14"/>
      <c r="K1742" s="15">
        <f t="shared" si="4"/>
        <v>3104427.449</v>
      </c>
      <c r="L1742" s="45"/>
      <c r="M1742" s="6"/>
    </row>
    <row r="1743" ht="15.75" customHeight="1">
      <c r="A1743" s="162">
        <v>45943.0</v>
      </c>
      <c r="B1743" s="50"/>
      <c r="C1743" s="31" t="s">
        <v>1279</v>
      </c>
      <c r="D1743" s="32" t="s">
        <v>99</v>
      </c>
      <c r="E1743" s="31" t="s">
        <v>1933</v>
      </c>
      <c r="F1743" s="161">
        <v>45955.0</v>
      </c>
      <c r="G1743" s="53">
        <v>6437356.85</v>
      </c>
      <c r="H1743" s="14">
        <f t="shared" si="9"/>
        <v>1351844.939</v>
      </c>
      <c r="I1743" s="22">
        <v>193120.71</v>
      </c>
      <c r="J1743" s="14"/>
      <c r="K1743" s="15">
        <f t="shared" si="4"/>
        <v>7982322.499</v>
      </c>
      <c r="L1743" s="45"/>
      <c r="M1743" s="6"/>
    </row>
    <row r="1744" ht="15.75" customHeight="1">
      <c r="A1744" s="162">
        <v>45943.0</v>
      </c>
      <c r="B1744" s="50"/>
      <c r="C1744" s="31" t="s">
        <v>1279</v>
      </c>
      <c r="D1744" s="32" t="s">
        <v>99</v>
      </c>
      <c r="E1744" s="31" t="s">
        <v>1934</v>
      </c>
      <c r="F1744" s="161">
        <v>45955.0</v>
      </c>
      <c r="G1744" s="53">
        <v>6044820.69</v>
      </c>
      <c r="H1744" s="14">
        <f t="shared" si="9"/>
        <v>1269412.345</v>
      </c>
      <c r="I1744" s="22">
        <v>181344.62</v>
      </c>
      <c r="J1744" s="14"/>
      <c r="K1744" s="15">
        <f t="shared" si="4"/>
        <v>7495577.655</v>
      </c>
      <c r="L1744" s="45"/>
      <c r="M1744" s="6"/>
    </row>
    <row r="1745" ht="15.75" customHeight="1">
      <c r="A1745" s="162">
        <v>45943.0</v>
      </c>
      <c r="B1745" s="50"/>
      <c r="C1745" s="31" t="s">
        <v>1279</v>
      </c>
      <c r="D1745" s="32" t="s">
        <v>99</v>
      </c>
      <c r="E1745" s="32" t="s">
        <v>1935</v>
      </c>
      <c r="F1745" s="161">
        <v>45955.0</v>
      </c>
      <c r="G1745" s="53">
        <v>7521692.56</v>
      </c>
      <c r="H1745" s="14">
        <f t="shared" si="9"/>
        <v>1579555.438</v>
      </c>
      <c r="I1745" s="22"/>
      <c r="J1745" s="14"/>
      <c r="K1745" s="15">
        <f t="shared" si="4"/>
        <v>9101247.998</v>
      </c>
      <c r="L1745" s="45"/>
      <c r="M1745" s="6"/>
    </row>
    <row r="1746" ht="15.75" customHeight="1">
      <c r="A1746" s="162">
        <v>45943.0</v>
      </c>
      <c r="B1746" s="50"/>
      <c r="C1746" s="31" t="s">
        <v>1279</v>
      </c>
      <c r="D1746" s="32" t="s">
        <v>15</v>
      </c>
      <c r="E1746" s="31" t="s">
        <v>1936</v>
      </c>
      <c r="F1746" s="161">
        <v>45955.0</v>
      </c>
      <c r="G1746" s="53">
        <v>2509132.51</v>
      </c>
      <c r="H1746" s="14">
        <f t="shared" si="9"/>
        <v>526917.8271</v>
      </c>
      <c r="I1746" s="22">
        <v>75273.98</v>
      </c>
      <c r="J1746" s="14"/>
      <c r="K1746" s="15">
        <f t="shared" si="4"/>
        <v>3111324.317</v>
      </c>
      <c r="L1746" s="45"/>
      <c r="M1746" s="6"/>
    </row>
    <row r="1747" ht="15.75" customHeight="1">
      <c r="A1747" s="162">
        <v>45943.0</v>
      </c>
      <c r="B1747" s="50"/>
      <c r="C1747" s="31" t="s">
        <v>1281</v>
      </c>
      <c r="D1747" s="32" t="s">
        <v>99</v>
      </c>
      <c r="E1747" s="31" t="s">
        <v>1937</v>
      </c>
      <c r="F1747" s="161">
        <v>45955.0</v>
      </c>
      <c r="G1747" s="53">
        <v>2672581.39</v>
      </c>
      <c r="H1747" s="14">
        <f t="shared" si="9"/>
        <v>561242.0919</v>
      </c>
      <c r="I1747" s="22">
        <v>80177.44</v>
      </c>
      <c r="J1747" s="14"/>
      <c r="K1747" s="15">
        <f t="shared" si="4"/>
        <v>3314000.922</v>
      </c>
      <c r="L1747" s="45"/>
      <c r="M1747" s="6"/>
    </row>
    <row r="1748" ht="15.75" customHeight="1">
      <c r="A1748" s="162">
        <v>45943.0</v>
      </c>
      <c r="B1748" s="50"/>
      <c r="C1748" s="31" t="s">
        <v>1281</v>
      </c>
      <c r="D1748" s="32" t="s">
        <v>99</v>
      </c>
      <c r="E1748" s="31" t="s">
        <v>1938</v>
      </c>
      <c r="F1748" s="161">
        <v>45955.0</v>
      </c>
      <c r="G1748" s="53">
        <v>2119632.74</v>
      </c>
      <c r="H1748" s="14">
        <f t="shared" si="9"/>
        <v>445122.8754</v>
      </c>
      <c r="I1748" s="22">
        <v>63588.98</v>
      </c>
      <c r="J1748" s="14"/>
      <c r="K1748" s="15">
        <f t="shared" si="4"/>
        <v>2628344.595</v>
      </c>
      <c r="L1748" s="45"/>
      <c r="M1748" s="6"/>
    </row>
    <row r="1749" ht="15.75" customHeight="1">
      <c r="A1749" s="162">
        <v>45943.0</v>
      </c>
      <c r="B1749" s="50"/>
      <c r="C1749" s="31" t="s">
        <v>1281</v>
      </c>
      <c r="D1749" s="32" t="s">
        <v>99</v>
      </c>
      <c r="E1749" s="31" t="s">
        <v>1939</v>
      </c>
      <c r="F1749" s="161">
        <v>45955.0</v>
      </c>
      <c r="G1749" s="53">
        <v>2218429.53</v>
      </c>
      <c r="H1749" s="14">
        <f t="shared" si="9"/>
        <v>465870.2013</v>
      </c>
      <c r="I1749" s="22"/>
      <c r="J1749" s="14"/>
      <c r="K1749" s="15">
        <f t="shared" si="4"/>
        <v>2684299.731</v>
      </c>
      <c r="L1749" s="45"/>
      <c r="M1749" s="6"/>
    </row>
    <row r="1750" ht="15.75" customHeight="1">
      <c r="A1750" s="162">
        <v>45943.0</v>
      </c>
      <c r="B1750" s="50"/>
      <c r="C1750" s="31" t="s">
        <v>1281</v>
      </c>
      <c r="D1750" s="32" t="s">
        <v>15</v>
      </c>
      <c r="E1750" s="31" t="s">
        <v>1940</v>
      </c>
      <c r="F1750" s="161">
        <v>45955.0</v>
      </c>
      <c r="G1750" s="53">
        <v>2502993.61</v>
      </c>
      <c r="H1750" s="14">
        <f t="shared" si="9"/>
        <v>525628.6581</v>
      </c>
      <c r="I1750" s="22">
        <v>75089.81</v>
      </c>
      <c r="J1750" s="14"/>
      <c r="K1750" s="15">
        <f t="shared" si="4"/>
        <v>3103712.078</v>
      </c>
      <c r="L1750" s="61"/>
      <c r="M1750" s="62"/>
    </row>
    <row r="1751" ht="15.75" customHeight="1">
      <c r="A1751" s="162">
        <v>45944.0</v>
      </c>
      <c r="B1751" s="50"/>
      <c r="C1751" s="31" t="s">
        <v>1285</v>
      </c>
      <c r="D1751" s="32" t="s">
        <v>15</v>
      </c>
      <c r="E1751" s="32" t="s">
        <v>1941</v>
      </c>
      <c r="F1751" s="161">
        <v>45955.0</v>
      </c>
      <c r="G1751" s="53">
        <v>3015812.95</v>
      </c>
      <c r="H1751" s="14">
        <f t="shared" si="9"/>
        <v>633320.7195</v>
      </c>
      <c r="I1751" s="22"/>
      <c r="J1751" s="14"/>
      <c r="K1751" s="15">
        <f t="shared" si="4"/>
        <v>3649133.67</v>
      </c>
      <c r="L1751" s="45"/>
      <c r="M1751" s="24">
        <v>45944.0</v>
      </c>
    </row>
    <row r="1752" ht="15.75" customHeight="1">
      <c r="A1752" s="162">
        <v>45944.0</v>
      </c>
      <c r="B1752" s="50"/>
      <c r="C1752" s="31" t="s">
        <v>1942</v>
      </c>
      <c r="D1752" s="32" t="s">
        <v>15</v>
      </c>
      <c r="E1752" s="31" t="s">
        <v>1943</v>
      </c>
      <c r="F1752" s="161">
        <v>45955.0</v>
      </c>
      <c r="G1752" s="53">
        <v>1.420052429E7</v>
      </c>
      <c r="H1752" s="14">
        <f t="shared" si="9"/>
        <v>2982110.101</v>
      </c>
      <c r="I1752" s="50"/>
      <c r="J1752" s="14"/>
      <c r="K1752" s="15">
        <f t="shared" si="4"/>
        <v>17182634.39</v>
      </c>
      <c r="L1752" s="45"/>
      <c r="M1752" s="24">
        <v>45951.0</v>
      </c>
    </row>
    <row r="1753" ht="15.75" customHeight="1">
      <c r="A1753" s="162">
        <v>45944.0</v>
      </c>
      <c r="B1753" s="50"/>
      <c r="C1753" s="31" t="s">
        <v>1942</v>
      </c>
      <c r="D1753" s="32" t="s">
        <v>15</v>
      </c>
      <c r="E1753" s="31" t="s">
        <v>1944</v>
      </c>
      <c r="F1753" s="161">
        <v>45955.0</v>
      </c>
      <c r="G1753" s="53">
        <v>1.420080625E7</v>
      </c>
      <c r="H1753" s="14">
        <f t="shared" si="9"/>
        <v>2982169.313</v>
      </c>
      <c r="I1753" s="22"/>
      <c r="J1753" s="14"/>
      <c r="K1753" s="15">
        <f t="shared" si="4"/>
        <v>17182975.56</v>
      </c>
      <c r="L1753" s="45"/>
      <c r="M1753" s="24">
        <v>45951.0</v>
      </c>
    </row>
    <row r="1754" ht="15.75" customHeight="1">
      <c r="A1754" s="162">
        <v>45944.0</v>
      </c>
      <c r="B1754" s="50"/>
      <c r="C1754" s="31" t="s">
        <v>1942</v>
      </c>
      <c r="D1754" s="32" t="s">
        <v>15</v>
      </c>
      <c r="E1754" s="32" t="s">
        <v>1945</v>
      </c>
      <c r="F1754" s="161">
        <v>45955.0</v>
      </c>
      <c r="G1754" s="53">
        <v>1.420029456E7</v>
      </c>
      <c r="H1754" s="14">
        <f t="shared" si="9"/>
        <v>2982061.858</v>
      </c>
      <c r="I1754" s="22"/>
      <c r="J1754" s="14"/>
      <c r="K1754" s="15">
        <f t="shared" si="4"/>
        <v>17182356.42</v>
      </c>
      <c r="L1754" s="45"/>
      <c r="M1754" s="24">
        <v>45951.0</v>
      </c>
    </row>
    <row r="1755" ht="15.75" customHeight="1">
      <c r="A1755" s="162">
        <v>45944.0</v>
      </c>
      <c r="B1755" s="50"/>
      <c r="C1755" s="31" t="s">
        <v>74</v>
      </c>
      <c r="D1755" s="32" t="s">
        <v>15</v>
      </c>
      <c r="E1755" s="31" t="s">
        <v>1946</v>
      </c>
      <c r="F1755" s="161">
        <v>45955.0</v>
      </c>
      <c r="G1755" s="53">
        <v>1954239.75</v>
      </c>
      <c r="H1755" s="14">
        <f t="shared" si="9"/>
        <v>410390.3475</v>
      </c>
      <c r="I1755" s="22">
        <v>58627.19</v>
      </c>
      <c r="J1755" s="22">
        <v>31267.84</v>
      </c>
      <c r="K1755" s="15">
        <f t="shared" si="4"/>
        <v>2454525.128</v>
      </c>
      <c r="L1755" s="45"/>
      <c r="M1755" s="24">
        <v>45950.0</v>
      </c>
    </row>
    <row r="1756" ht="15.75" customHeight="1">
      <c r="A1756" s="162">
        <v>45944.0</v>
      </c>
      <c r="B1756" s="50"/>
      <c r="C1756" s="31" t="s">
        <v>74</v>
      </c>
      <c r="D1756" s="32" t="s">
        <v>15</v>
      </c>
      <c r="E1756" s="31" t="s">
        <v>1947</v>
      </c>
      <c r="F1756" s="161">
        <v>45955.0</v>
      </c>
      <c r="G1756" s="53">
        <v>3792748.41</v>
      </c>
      <c r="H1756" s="14">
        <f t="shared" si="9"/>
        <v>796477.1661</v>
      </c>
      <c r="I1756" s="22"/>
      <c r="J1756" s="14"/>
      <c r="K1756" s="15">
        <f t="shared" si="4"/>
        <v>4589225.576</v>
      </c>
      <c r="L1756" s="45"/>
      <c r="M1756" s="24">
        <v>45950.0</v>
      </c>
    </row>
    <row r="1757" ht="15.75" customHeight="1">
      <c r="A1757" s="162">
        <v>45944.0</v>
      </c>
      <c r="B1757" s="50"/>
      <c r="C1757" s="31" t="s">
        <v>74</v>
      </c>
      <c r="D1757" s="32" t="s">
        <v>15</v>
      </c>
      <c r="E1757" s="31" t="s">
        <v>1948</v>
      </c>
      <c r="F1757" s="161">
        <v>45955.0</v>
      </c>
      <c r="G1757" s="53">
        <v>6177507.49</v>
      </c>
      <c r="H1757" s="14">
        <f t="shared" si="9"/>
        <v>1297276.573</v>
      </c>
      <c r="I1757" s="22"/>
      <c r="J1757" s="14"/>
      <c r="K1757" s="15">
        <f t="shared" si="4"/>
        <v>7474784.063</v>
      </c>
      <c r="L1757" s="45"/>
      <c r="M1757" s="24">
        <v>45950.0</v>
      </c>
    </row>
    <row r="1758" ht="15.75" customHeight="1">
      <c r="A1758" s="162">
        <v>45944.0</v>
      </c>
      <c r="B1758" s="157"/>
      <c r="C1758" s="31" t="s">
        <v>74</v>
      </c>
      <c r="D1758" s="32" t="s">
        <v>15</v>
      </c>
      <c r="E1758" s="31" t="s">
        <v>1949</v>
      </c>
      <c r="F1758" s="161">
        <v>45955.0</v>
      </c>
      <c r="G1758" s="53">
        <v>6725148.19</v>
      </c>
      <c r="H1758" s="14">
        <f t="shared" si="9"/>
        <v>1412281.12</v>
      </c>
      <c r="I1758" s="22"/>
      <c r="J1758" s="22">
        <v>107602.37</v>
      </c>
      <c r="K1758" s="15">
        <f t="shared" si="4"/>
        <v>8245031.68</v>
      </c>
      <c r="L1758" s="45"/>
      <c r="M1758" s="6"/>
    </row>
    <row r="1759" ht="15.75" customHeight="1">
      <c r="A1759" s="162">
        <v>45944.0</v>
      </c>
      <c r="B1759" s="50"/>
      <c r="C1759" s="31" t="s">
        <v>74</v>
      </c>
      <c r="D1759" s="32" t="s">
        <v>15</v>
      </c>
      <c r="E1759" s="31" t="s">
        <v>1950</v>
      </c>
      <c r="F1759" s="161">
        <v>45955.0</v>
      </c>
      <c r="G1759" s="53">
        <v>2075398.59</v>
      </c>
      <c r="H1759" s="14">
        <f t="shared" si="9"/>
        <v>435833.7039</v>
      </c>
      <c r="I1759" s="22"/>
      <c r="J1759" s="22">
        <v>33206.38</v>
      </c>
      <c r="K1759" s="15">
        <f t="shared" si="4"/>
        <v>2544438.674</v>
      </c>
      <c r="L1759" s="45"/>
      <c r="M1759" s="6"/>
    </row>
    <row r="1760" ht="15.75" customHeight="1">
      <c r="A1760" s="162">
        <v>45944.0</v>
      </c>
      <c r="B1760" s="50"/>
      <c r="C1760" s="31" t="s">
        <v>1854</v>
      </c>
      <c r="D1760" s="32" t="s">
        <v>15</v>
      </c>
      <c r="E1760" s="31" t="s">
        <v>1951</v>
      </c>
      <c r="F1760" s="161">
        <v>45955.0</v>
      </c>
      <c r="G1760" s="53">
        <v>2.16765975E7</v>
      </c>
      <c r="H1760" s="14">
        <f t="shared" si="9"/>
        <v>4552085.475</v>
      </c>
      <c r="I1760" s="22">
        <v>650297.93</v>
      </c>
      <c r="J1760" s="22">
        <v>1300595.85</v>
      </c>
      <c r="K1760" s="15">
        <f t="shared" si="4"/>
        <v>28179576.76</v>
      </c>
      <c r="L1760" s="45"/>
      <c r="M1760" s="24">
        <v>45946.0</v>
      </c>
    </row>
    <row r="1761" ht="15.75" customHeight="1">
      <c r="A1761" s="162">
        <v>45944.0</v>
      </c>
      <c r="B1761" s="50"/>
      <c r="C1761" s="31" t="s">
        <v>1854</v>
      </c>
      <c r="D1761" s="32" t="s">
        <v>15</v>
      </c>
      <c r="E1761" s="31" t="s">
        <v>1952</v>
      </c>
      <c r="F1761" s="161">
        <v>45955.0</v>
      </c>
      <c r="G1761" s="53">
        <v>1.205459642E7</v>
      </c>
      <c r="H1761" s="14">
        <f t="shared" si="9"/>
        <v>2531465.248</v>
      </c>
      <c r="I1761" s="22">
        <v>361637.89</v>
      </c>
      <c r="J1761" s="22">
        <v>723275.79</v>
      </c>
      <c r="K1761" s="15">
        <f t="shared" si="4"/>
        <v>15670975.35</v>
      </c>
      <c r="L1761" s="45"/>
      <c r="M1761" s="24">
        <v>45946.0</v>
      </c>
    </row>
    <row r="1762" ht="15.75" customHeight="1">
      <c r="A1762" s="162">
        <v>45944.0</v>
      </c>
      <c r="B1762" s="50"/>
      <c r="C1762" s="31" t="s">
        <v>1854</v>
      </c>
      <c r="D1762" s="32" t="s">
        <v>99</v>
      </c>
      <c r="E1762" s="31" t="s">
        <v>1953</v>
      </c>
      <c r="F1762" s="161">
        <v>45955.0</v>
      </c>
      <c r="G1762" s="53">
        <v>2.8945296E7</v>
      </c>
      <c r="H1762" s="14">
        <f t="shared" si="9"/>
        <v>6078512.16</v>
      </c>
      <c r="I1762" s="22">
        <v>868358.88</v>
      </c>
      <c r="J1762" s="22">
        <v>1736717.76</v>
      </c>
      <c r="K1762" s="15">
        <f t="shared" si="4"/>
        <v>37628884.8</v>
      </c>
      <c r="L1762" s="45"/>
      <c r="M1762" s="24">
        <v>45953.0</v>
      </c>
    </row>
    <row r="1763" ht="15.75" customHeight="1">
      <c r="A1763" s="162">
        <v>45944.0</v>
      </c>
      <c r="B1763" s="50"/>
      <c r="C1763" s="31" t="s">
        <v>1858</v>
      </c>
      <c r="D1763" s="32" t="s">
        <v>15</v>
      </c>
      <c r="E1763" s="31" t="s">
        <v>1954</v>
      </c>
      <c r="F1763" s="161">
        <v>45955.0</v>
      </c>
      <c r="G1763" s="53">
        <v>2.41089072E7</v>
      </c>
      <c r="H1763" s="14">
        <f t="shared" si="9"/>
        <v>5062870.512</v>
      </c>
      <c r="I1763" s="22">
        <v>723267.22</v>
      </c>
      <c r="J1763" s="22">
        <v>96435.63</v>
      </c>
      <c r="K1763" s="15">
        <f t="shared" si="4"/>
        <v>29991480.56</v>
      </c>
      <c r="L1763" s="45"/>
      <c r="M1763" s="24">
        <v>45947.0</v>
      </c>
    </row>
    <row r="1764" ht="15.75" customHeight="1">
      <c r="A1764" s="162">
        <v>45944.0</v>
      </c>
      <c r="B1764" s="50"/>
      <c r="C1764" s="31" t="s">
        <v>1858</v>
      </c>
      <c r="D1764" s="32" t="s">
        <v>15</v>
      </c>
      <c r="E1764" s="31" t="s">
        <v>1955</v>
      </c>
      <c r="F1764" s="161">
        <v>45955.0</v>
      </c>
      <c r="G1764" s="53">
        <v>4155277.52</v>
      </c>
      <c r="H1764" s="14">
        <f t="shared" si="9"/>
        <v>872608.2792</v>
      </c>
      <c r="I1764" s="22">
        <v>124658.33</v>
      </c>
      <c r="J1764" s="22">
        <v>16621.11</v>
      </c>
      <c r="K1764" s="15">
        <f t="shared" si="4"/>
        <v>5169165.239</v>
      </c>
      <c r="L1764" s="45"/>
      <c r="M1764" s="24">
        <v>45947.0</v>
      </c>
    </row>
    <row r="1765" ht="15.75" customHeight="1">
      <c r="A1765" s="162">
        <v>45944.0</v>
      </c>
      <c r="B1765" s="50"/>
      <c r="C1765" s="31" t="s">
        <v>1858</v>
      </c>
      <c r="D1765" s="32" t="s">
        <v>99</v>
      </c>
      <c r="E1765" s="31" t="s">
        <v>1956</v>
      </c>
      <c r="F1765" s="161">
        <v>45955.0</v>
      </c>
      <c r="G1765" s="53">
        <v>9510615.0</v>
      </c>
      <c r="H1765" s="14">
        <f t="shared" si="9"/>
        <v>1997229.15</v>
      </c>
      <c r="I1765" s="22">
        <v>285318.45</v>
      </c>
      <c r="J1765" s="22">
        <v>38042.46</v>
      </c>
      <c r="K1765" s="15">
        <f t="shared" si="4"/>
        <v>11831205.06</v>
      </c>
      <c r="L1765" s="45"/>
      <c r="M1765" s="24">
        <v>45951.0</v>
      </c>
    </row>
    <row r="1766" ht="15.75" customHeight="1">
      <c r="A1766" s="162">
        <v>45944.0</v>
      </c>
      <c r="B1766" s="50"/>
      <c r="C1766" s="31" t="s">
        <v>1861</v>
      </c>
      <c r="D1766" s="32" t="s">
        <v>15</v>
      </c>
      <c r="E1766" s="31" t="s">
        <v>1957</v>
      </c>
      <c r="F1766" s="161">
        <v>45955.0</v>
      </c>
      <c r="G1766" s="53">
        <v>1.86995385E7</v>
      </c>
      <c r="H1766" s="14">
        <f t="shared" si="9"/>
        <v>3926903.085</v>
      </c>
      <c r="I1766" s="22">
        <v>560986.16</v>
      </c>
      <c r="J1766" s="22">
        <v>373990.77</v>
      </c>
      <c r="K1766" s="15">
        <f t="shared" si="4"/>
        <v>23561418.52</v>
      </c>
      <c r="L1766" s="45"/>
      <c r="M1766" s="24">
        <v>45945.0</v>
      </c>
    </row>
    <row r="1767" ht="15.75" customHeight="1">
      <c r="A1767" s="162">
        <v>45944.0</v>
      </c>
      <c r="B1767" s="50"/>
      <c r="C1767" s="31" t="s">
        <v>1861</v>
      </c>
      <c r="D1767" s="32" t="s">
        <v>15</v>
      </c>
      <c r="E1767" s="31" t="s">
        <v>1958</v>
      </c>
      <c r="F1767" s="161">
        <v>45955.0</v>
      </c>
      <c r="G1767" s="53">
        <v>1.7821752E7</v>
      </c>
      <c r="H1767" s="14">
        <f t="shared" si="9"/>
        <v>3742567.92</v>
      </c>
      <c r="I1767" s="22">
        <v>534652.56</v>
      </c>
      <c r="J1767" s="22">
        <v>356435.04</v>
      </c>
      <c r="K1767" s="15">
        <f t="shared" si="4"/>
        <v>22455407.52</v>
      </c>
      <c r="L1767" s="45"/>
      <c r="M1767" s="24">
        <v>45945.0</v>
      </c>
    </row>
    <row r="1768" ht="15.75" customHeight="1">
      <c r="A1768" s="162">
        <v>45944.0</v>
      </c>
      <c r="B1768" s="50"/>
      <c r="C1768" s="31" t="s">
        <v>1861</v>
      </c>
      <c r="D1768" s="32" t="s">
        <v>99</v>
      </c>
      <c r="E1768" s="31" t="s">
        <v>1959</v>
      </c>
      <c r="F1768" s="161">
        <v>45955.0</v>
      </c>
      <c r="G1768" s="53">
        <v>1.6622112E7</v>
      </c>
      <c r="H1768" s="14">
        <f t="shared" si="9"/>
        <v>3490643.52</v>
      </c>
      <c r="I1768" s="22">
        <v>498663.36</v>
      </c>
      <c r="J1768" s="22">
        <v>332442.24</v>
      </c>
      <c r="K1768" s="15">
        <f t="shared" si="4"/>
        <v>20943861.12</v>
      </c>
      <c r="L1768" s="45"/>
      <c r="M1768" s="24">
        <v>45952.0</v>
      </c>
    </row>
    <row r="1769" ht="15.75" customHeight="1">
      <c r="A1769" s="162">
        <v>45944.0</v>
      </c>
      <c r="B1769" s="50"/>
      <c r="C1769" s="31" t="s">
        <v>211</v>
      </c>
      <c r="D1769" s="32" t="s">
        <v>99</v>
      </c>
      <c r="E1769" s="31" t="s">
        <v>1960</v>
      </c>
      <c r="F1769" s="161">
        <v>45955.0</v>
      </c>
      <c r="G1769" s="53">
        <f>2411570.23/1.21</f>
        <v>1993033.248</v>
      </c>
      <c r="H1769" s="14">
        <f t="shared" si="9"/>
        <v>418536.9821</v>
      </c>
      <c r="I1769" s="22"/>
      <c r="J1769" s="14"/>
      <c r="K1769" s="15">
        <f t="shared" si="4"/>
        <v>2411570.23</v>
      </c>
      <c r="L1769" s="45"/>
      <c r="M1769" s="6"/>
    </row>
    <row r="1770" ht="15.75" customHeight="1">
      <c r="A1770" s="162">
        <v>45944.0</v>
      </c>
      <c r="B1770" s="50"/>
      <c r="C1770" s="31" t="s">
        <v>211</v>
      </c>
      <c r="D1770" s="32" t="s">
        <v>99</v>
      </c>
      <c r="E1770" s="31" t="s">
        <v>1961</v>
      </c>
      <c r="F1770" s="161">
        <v>45955.0</v>
      </c>
      <c r="G1770" s="53">
        <f>3621890/1.21</f>
        <v>2993297.521</v>
      </c>
      <c r="H1770" s="14">
        <f t="shared" si="9"/>
        <v>628592.4793</v>
      </c>
      <c r="I1770" s="22"/>
      <c r="J1770" s="14"/>
      <c r="K1770" s="15">
        <f t="shared" si="4"/>
        <v>3621890</v>
      </c>
      <c r="L1770" s="45"/>
      <c r="M1770" s="6"/>
    </row>
    <row r="1771" ht="15.75" customHeight="1">
      <c r="A1771" s="162">
        <v>45945.0</v>
      </c>
      <c r="B1771" s="50"/>
      <c r="C1771" s="31" t="s">
        <v>567</v>
      </c>
      <c r="D1771" s="32" t="s">
        <v>99</v>
      </c>
      <c r="E1771" s="31" t="s">
        <v>1962</v>
      </c>
      <c r="F1771" s="161">
        <v>45955.0</v>
      </c>
      <c r="G1771" s="53">
        <v>3.600105945E7</v>
      </c>
      <c r="H1771" s="14">
        <f t="shared" si="9"/>
        <v>7560222.485</v>
      </c>
      <c r="I1771" s="22">
        <v>1080031.78</v>
      </c>
      <c r="J1771" s="14"/>
      <c r="K1771" s="15">
        <f t="shared" si="4"/>
        <v>44641313.71</v>
      </c>
      <c r="L1771" s="45"/>
      <c r="M1771" s="163">
        <v>45947.0</v>
      </c>
    </row>
    <row r="1772" ht="15.75" customHeight="1">
      <c r="A1772" s="162">
        <v>45945.0</v>
      </c>
      <c r="B1772" s="50"/>
      <c r="C1772" s="31" t="s">
        <v>567</v>
      </c>
      <c r="D1772" s="32" t="s">
        <v>99</v>
      </c>
      <c r="E1772" s="31" t="s">
        <v>1963</v>
      </c>
      <c r="F1772" s="161">
        <v>45955.0</v>
      </c>
      <c r="G1772" s="53">
        <v>2.651958467E7</v>
      </c>
      <c r="H1772" s="14">
        <f t="shared" si="9"/>
        <v>5569112.781</v>
      </c>
      <c r="I1772" s="22">
        <v>795587.54</v>
      </c>
      <c r="J1772" s="14"/>
      <c r="K1772" s="15">
        <f t="shared" si="4"/>
        <v>32884284.99</v>
      </c>
      <c r="L1772" s="45"/>
      <c r="M1772" s="163">
        <v>45947.0</v>
      </c>
    </row>
    <row r="1773" ht="15.75" customHeight="1">
      <c r="A1773" s="162">
        <v>45945.0</v>
      </c>
      <c r="B1773" s="50"/>
      <c r="C1773" s="31" t="s">
        <v>567</v>
      </c>
      <c r="D1773" s="32" t="s">
        <v>99</v>
      </c>
      <c r="E1773" s="31" t="s">
        <v>1964</v>
      </c>
      <c r="F1773" s="161">
        <v>45955.0</v>
      </c>
      <c r="G1773" s="53">
        <v>1.250092651E7</v>
      </c>
      <c r="H1773" s="14">
        <f t="shared" si="9"/>
        <v>2625194.567</v>
      </c>
      <c r="I1773" s="22"/>
      <c r="J1773" s="14"/>
      <c r="K1773" s="15">
        <f t="shared" si="4"/>
        <v>15126121.08</v>
      </c>
      <c r="L1773" s="45"/>
      <c r="M1773" s="163">
        <v>45947.0</v>
      </c>
    </row>
    <row r="1774" ht="15.75" customHeight="1">
      <c r="A1774" s="162">
        <v>45945.0</v>
      </c>
      <c r="B1774" s="50"/>
      <c r="C1774" s="31" t="s">
        <v>567</v>
      </c>
      <c r="D1774" s="32" t="s">
        <v>99</v>
      </c>
      <c r="E1774" s="31" t="s">
        <v>1965</v>
      </c>
      <c r="F1774" s="161">
        <v>45955.0</v>
      </c>
      <c r="G1774" s="53">
        <v>7500864.25</v>
      </c>
      <c r="H1774" s="14">
        <f t="shared" si="9"/>
        <v>1575181.493</v>
      </c>
      <c r="I1774" s="22"/>
      <c r="J1774" s="14"/>
      <c r="K1774" s="15">
        <f t="shared" si="4"/>
        <v>9076045.743</v>
      </c>
      <c r="L1774" s="45"/>
      <c r="M1774" s="163">
        <v>45947.0</v>
      </c>
    </row>
    <row r="1775" ht="15.75" customHeight="1">
      <c r="A1775" s="162">
        <v>45945.0</v>
      </c>
      <c r="B1775" s="50"/>
      <c r="C1775" s="31" t="s">
        <v>567</v>
      </c>
      <c r="D1775" s="32" t="s">
        <v>99</v>
      </c>
      <c r="E1775" s="31" t="s">
        <v>1966</v>
      </c>
      <c r="F1775" s="161">
        <v>45955.0</v>
      </c>
      <c r="G1775" s="53">
        <v>1.748105264E7</v>
      </c>
      <c r="H1775" s="14">
        <f t="shared" si="9"/>
        <v>3671021.054</v>
      </c>
      <c r="I1775" s="22">
        <v>524431.58</v>
      </c>
      <c r="J1775" s="14"/>
      <c r="K1775" s="15">
        <f t="shared" si="4"/>
        <v>21676505.27</v>
      </c>
      <c r="L1775" s="45"/>
      <c r="M1775" s="163">
        <v>45947.0</v>
      </c>
    </row>
    <row r="1776" ht="15.75" customHeight="1">
      <c r="A1776" s="162">
        <v>45945.0</v>
      </c>
      <c r="B1776" s="50"/>
      <c r="C1776" s="31" t="s">
        <v>567</v>
      </c>
      <c r="D1776" s="32" t="s">
        <v>15</v>
      </c>
      <c r="E1776" s="31" t="s">
        <v>1967</v>
      </c>
      <c r="F1776" s="161">
        <v>45955.0</v>
      </c>
      <c r="G1776" s="53">
        <v>2.164921636E7</v>
      </c>
      <c r="H1776" s="14">
        <f t="shared" si="9"/>
        <v>4546335.436</v>
      </c>
      <c r="I1776" s="22">
        <v>649476.49</v>
      </c>
      <c r="J1776" s="14"/>
      <c r="K1776" s="15">
        <f t="shared" si="4"/>
        <v>26845028.29</v>
      </c>
      <c r="L1776" s="45"/>
      <c r="M1776" s="24">
        <v>45946.0</v>
      </c>
    </row>
    <row r="1777" ht="15.75" customHeight="1">
      <c r="A1777" s="162">
        <v>45945.0</v>
      </c>
      <c r="B1777" s="157"/>
      <c r="C1777" s="31" t="s">
        <v>567</v>
      </c>
      <c r="D1777" s="32" t="s">
        <v>15</v>
      </c>
      <c r="E1777" s="32" t="s">
        <v>1968</v>
      </c>
      <c r="F1777" s="161">
        <v>45955.0</v>
      </c>
      <c r="G1777" s="53">
        <v>3.600124513E7</v>
      </c>
      <c r="H1777" s="14">
        <f t="shared" si="9"/>
        <v>7560261.477</v>
      </c>
      <c r="I1777" s="22">
        <v>1080037.35</v>
      </c>
      <c r="J1777" s="14"/>
      <c r="K1777" s="15">
        <f t="shared" si="4"/>
        <v>44641543.96</v>
      </c>
      <c r="L1777" s="45"/>
      <c r="M1777" s="24">
        <v>45946.0</v>
      </c>
    </row>
    <row r="1778" ht="15.75" customHeight="1">
      <c r="A1778" s="162">
        <v>45945.0</v>
      </c>
      <c r="B1778" s="50"/>
      <c r="C1778" s="31" t="s">
        <v>567</v>
      </c>
      <c r="D1778" s="32" t="s">
        <v>15</v>
      </c>
      <c r="E1778" s="32" t="s">
        <v>1969</v>
      </c>
      <c r="F1778" s="161">
        <v>45955.0</v>
      </c>
      <c r="G1778" s="53">
        <v>1.250082746E7</v>
      </c>
      <c r="H1778" s="14">
        <f t="shared" si="9"/>
        <v>2625173.767</v>
      </c>
      <c r="I1778" s="22"/>
      <c r="J1778" s="14"/>
      <c r="K1778" s="15">
        <f t="shared" si="4"/>
        <v>15126001.23</v>
      </c>
      <c r="L1778" s="45"/>
      <c r="M1778" s="24">
        <v>45946.0</v>
      </c>
    </row>
    <row r="1779" ht="15.75" customHeight="1">
      <c r="A1779" s="162">
        <v>45945.0</v>
      </c>
      <c r="B1779" s="50"/>
      <c r="C1779" s="31" t="s">
        <v>567</v>
      </c>
      <c r="D1779" s="32" t="s">
        <v>15</v>
      </c>
      <c r="E1779" s="32" t="s">
        <v>1970</v>
      </c>
      <c r="F1779" s="161">
        <v>45955.0</v>
      </c>
      <c r="G1779" s="53">
        <v>7500867.42</v>
      </c>
      <c r="H1779" s="14">
        <f t="shared" si="9"/>
        <v>1575182.158</v>
      </c>
      <c r="I1779" s="22"/>
      <c r="J1779" s="14"/>
      <c r="K1779" s="15">
        <f t="shared" si="4"/>
        <v>9076049.578</v>
      </c>
      <c r="L1779" s="45"/>
      <c r="M1779" s="24">
        <v>45946.0</v>
      </c>
    </row>
    <row r="1780" ht="15.75" customHeight="1">
      <c r="A1780" s="162">
        <v>45945.0</v>
      </c>
      <c r="B1780" s="50"/>
      <c r="C1780" s="31" t="s">
        <v>567</v>
      </c>
      <c r="D1780" s="32" t="s">
        <v>15</v>
      </c>
      <c r="E1780" s="32" t="s">
        <v>1971</v>
      </c>
      <c r="F1780" s="161">
        <v>45955.0</v>
      </c>
      <c r="G1780" s="53">
        <v>2.235132659E7</v>
      </c>
      <c r="H1780" s="14">
        <f t="shared" si="9"/>
        <v>4693778.584</v>
      </c>
      <c r="I1780" s="22">
        <v>670539.8</v>
      </c>
      <c r="J1780" s="14"/>
      <c r="K1780" s="15">
        <f t="shared" si="4"/>
        <v>27715644.97</v>
      </c>
      <c r="L1780" s="45"/>
      <c r="M1780" s="24">
        <v>45946.0</v>
      </c>
    </row>
    <row r="1781" ht="15.75" customHeight="1">
      <c r="A1781" s="162">
        <v>45946.0</v>
      </c>
      <c r="B1781" s="50"/>
      <c r="C1781" s="32" t="s">
        <v>1972</v>
      </c>
      <c r="D1781" s="32" t="s">
        <v>15</v>
      </c>
      <c r="E1781" s="32" t="s">
        <v>1973</v>
      </c>
      <c r="F1781" s="161">
        <v>45955.0</v>
      </c>
      <c r="G1781" s="53">
        <v>9668736.56</v>
      </c>
      <c r="H1781" s="14">
        <f t="shared" si="9"/>
        <v>2030434.678</v>
      </c>
      <c r="I1781" s="22">
        <v>290062.1</v>
      </c>
      <c r="J1781" s="14"/>
      <c r="K1781" s="15">
        <f t="shared" si="4"/>
        <v>11989233.34</v>
      </c>
      <c r="L1781" s="45"/>
      <c r="M1781" s="24">
        <v>45951.0</v>
      </c>
    </row>
    <row r="1782" ht="15.75" customHeight="1">
      <c r="A1782" s="162">
        <v>45946.0</v>
      </c>
      <c r="B1782" s="50"/>
      <c r="C1782" s="32" t="s">
        <v>1972</v>
      </c>
      <c r="D1782" s="32" t="s">
        <v>15</v>
      </c>
      <c r="E1782" s="32" t="s">
        <v>1974</v>
      </c>
      <c r="F1782" s="161">
        <v>45955.0</v>
      </c>
      <c r="G1782" s="53">
        <v>1.177484347E7</v>
      </c>
      <c r="H1782" s="14">
        <f t="shared" si="9"/>
        <v>2472717.129</v>
      </c>
      <c r="I1782" s="22">
        <v>353245.3</v>
      </c>
      <c r="J1782" s="14"/>
      <c r="K1782" s="15">
        <f t="shared" si="4"/>
        <v>14600805.9</v>
      </c>
      <c r="L1782" s="45"/>
      <c r="M1782" s="24">
        <v>45951.0</v>
      </c>
    </row>
    <row r="1783" ht="15.75" customHeight="1">
      <c r="A1783" s="162">
        <v>45946.0</v>
      </c>
      <c r="B1783" s="50"/>
      <c r="C1783" s="32" t="s">
        <v>1972</v>
      </c>
      <c r="D1783" s="32" t="s">
        <v>15</v>
      </c>
      <c r="E1783" s="32" t="s">
        <v>1975</v>
      </c>
      <c r="F1783" s="161">
        <v>45955.0</v>
      </c>
      <c r="G1783" s="53">
        <v>2.420945036E7</v>
      </c>
      <c r="H1783" s="14">
        <f t="shared" si="9"/>
        <v>5083984.576</v>
      </c>
      <c r="I1783" s="22">
        <v>726283.51</v>
      </c>
      <c r="J1783" s="14"/>
      <c r="K1783" s="15">
        <f t="shared" si="4"/>
        <v>30019718.45</v>
      </c>
      <c r="L1783" s="45"/>
      <c r="M1783" s="24">
        <v>45951.0</v>
      </c>
    </row>
    <row r="1784" ht="15.75" customHeight="1">
      <c r="A1784" s="164">
        <v>45947.0</v>
      </c>
      <c r="B1784" s="56"/>
      <c r="C1784" s="57" t="s">
        <v>969</v>
      </c>
      <c r="D1784" s="58" t="s">
        <v>1878</v>
      </c>
      <c r="E1784" s="58" t="s">
        <v>1976</v>
      </c>
      <c r="F1784" s="165">
        <v>45955.0</v>
      </c>
      <c r="G1784" s="65">
        <v>1.08779676E7</v>
      </c>
      <c r="H1784" s="9">
        <f t="shared" si="9"/>
        <v>2284373.196</v>
      </c>
      <c r="I1784" s="56"/>
      <c r="J1784" s="60"/>
      <c r="K1784" s="10">
        <f t="shared" si="4"/>
        <v>13162340.8</v>
      </c>
      <c r="L1784" s="61"/>
      <c r="M1784" s="62"/>
    </row>
    <row r="1785" ht="15.75" customHeight="1">
      <c r="A1785" s="115">
        <v>45948.0</v>
      </c>
      <c r="B1785" s="50"/>
      <c r="C1785" s="31" t="s">
        <v>1285</v>
      </c>
      <c r="D1785" s="32" t="s">
        <v>15</v>
      </c>
      <c r="E1785" s="31" t="s">
        <v>1977</v>
      </c>
      <c r="F1785" s="161">
        <v>45955.0</v>
      </c>
      <c r="G1785" s="53">
        <v>4002771.56</v>
      </c>
      <c r="H1785" s="14">
        <f t="shared" si="9"/>
        <v>840582.0276</v>
      </c>
      <c r="I1785" s="50"/>
      <c r="J1785" s="14"/>
      <c r="K1785" s="15">
        <f t="shared" si="4"/>
        <v>4843353.588</v>
      </c>
      <c r="L1785" s="45"/>
      <c r="M1785" s="24">
        <v>45950.0</v>
      </c>
    </row>
    <row r="1786" ht="15.75" customHeight="1">
      <c r="A1786" s="115">
        <v>45948.0</v>
      </c>
      <c r="B1786" s="50"/>
      <c r="C1786" s="31" t="s">
        <v>140</v>
      </c>
      <c r="D1786" s="32" t="s">
        <v>15</v>
      </c>
      <c r="E1786" s="31" t="s">
        <v>1978</v>
      </c>
      <c r="F1786" s="161">
        <v>45955.0</v>
      </c>
      <c r="G1786" s="53">
        <v>5009362.06</v>
      </c>
      <c r="H1786" s="14">
        <f t="shared" si="9"/>
        <v>1051966.033</v>
      </c>
      <c r="I1786" s="50"/>
      <c r="J1786" s="14"/>
      <c r="K1786" s="15">
        <f t="shared" si="4"/>
        <v>6061328.093</v>
      </c>
      <c r="L1786" s="45"/>
      <c r="M1786" s="24">
        <v>45961.0</v>
      </c>
    </row>
    <row r="1787" ht="15.75" customHeight="1">
      <c r="A1787" s="115">
        <v>45948.0</v>
      </c>
      <c r="B1787" s="50"/>
      <c r="C1787" s="31" t="s">
        <v>443</v>
      </c>
      <c r="D1787" s="32" t="s">
        <v>99</v>
      </c>
      <c r="E1787" s="31" t="s">
        <v>1979</v>
      </c>
      <c r="F1787" s="161">
        <v>45955.0</v>
      </c>
      <c r="G1787" s="53">
        <v>6010361.26</v>
      </c>
      <c r="H1787" s="14">
        <f t="shared" si="9"/>
        <v>1262175.865</v>
      </c>
      <c r="I1787" s="50"/>
      <c r="J1787" s="14"/>
      <c r="K1787" s="15">
        <f t="shared" si="4"/>
        <v>7272537.125</v>
      </c>
      <c r="L1787" s="45"/>
      <c r="M1787" s="24">
        <v>45961.0</v>
      </c>
    </row>
    <row r="1788" ht="15.75" customHeight="1">
      <c r="A1788" s="115">
        <v>45948.0</v>
      </c>
      <c r="B1788" s="50"/>
      <c r="C1788" s="31" t="s">
        <v>1980</v>
      </c>
      <c r="D1788" s="32" t="s">
        <v>99</v>
      </c>
      <c r="E1788" s="31" t="s">
        <v>1981</v>
      </c>
      <c r="F1788" s="161">
        <v>45955.0</v>
      </c>
      <c r="G1788" s="53">
        <v>3.840346754E7</v>
      </c>
      <c r="H1788" s="14">
        <f t="shared" si="9"/>
        <v>8064728.183</v>
      </c>
      <c r="I1788" s="22">
        <v>1152104.03</v>
      </c>
      <c r="J1788" s="22">
        <v>1920173.38</v>
      </c>
      <c r="K1788" s="15">
        <f t="shared" si="4"/>
        <v>49540473.13</v>
      </c>
      <c r="L1788" s="45"/>
      <c r="M1788" s="6"/>
    </row>
    <row r="1789" ht="15.75" customHeight="1">
      <c r="A1789" s="115">
        <v>45950.0</v>
      </c>
      <c r="B1789" s="50"/>
      <c r="C1789" s="31" t="s">
        <v>1980</v>
      </c>
      <c r="D1789" s="32" t="s">
        <v>15</v>
      </c>
      <c r="E1789" s="32" t="s">
        <v>1982</v>
      </c>
      <c r="F1789" s="161">
        <v>45955.0</v>
      </c>
      <c r="G1789" s="53">
        <v>3.46775832E7</v>
      </c>
      <c r="H1789" s="14">
        <f t="shared" si="9"/>
        <v>7282292.472</v>
      </c>
      <c r="I1789" s="22">
        <v>1040327.5</v>
      </c>
      <c r="J1789" s="22">
        <v>1733879.16</v>
      </c>
      <c r="K1789" s="15">
        <f t="shared" si="4"/>
        <v>44734082.33</v>
      </c>
      <c r="L1789" s="45"/>
      <c r="M1789" s="24">
        <v>45948.0</v>
      </c>
    </row>
    <row r="1790" ht="15.75" customHeight="1">
      <c r="A1790" s="115">
        <v>45950.0</v>
      </c>
      <c r="B1790" s="50"/>
      <c r="C1790" s="31" t="s">
        <v>1980</v>
      </c>
      <c r="D1790" s="32" t="s">
        <v>99</v>
      </c>
      <c r="E1790" s="31" t="s">
        <v>1983</v>
      </c>
      <c r="F1790" s="161">
        <v>45955.0</v>
      </c>
      <c r="G1790" s="53">
        <v>1.40989277E7</v>
      </c>
      <c r="H1790" s="14">
        <f t="shared" si="9"/>
        <v>2960774.817</v>
      </c>
      <c r="I1790" s="22">
        <v>422967.83</v>
      </c>
      <c r="J1790" s="22">
        <v>704946.39</v>
      </c>
      <c r="K1790" s="15">
        <f t="shared" si="4"/>
        <v>18187616.74</v>
      </c>
      <c r="L1790" s="45"/>
      <c r="M1790" s="6"/>
    </row>
    <row r="1791" ht="15.75" customHeight="1">
      <c r="A1791" s="115">
        <v>45950.0</v>
      </c>
      <c r="B1791" s="50"/>
      <c r="C1791" s="31" t="s">
        <v>1980</v>
      </c>
      <c r="D1791" s="32" t="s">
        <v>99</v>
      </c>
      <c r="E1791" s="31" t="s">
        <v>1984</v>
      </c>
      <c r="F1791" s="161">
        <v>45955.0</v>
      </c>
      <c r="G1791" s="53">
        <v>2.430453984E7</v>
      </c>
      <c r="H1791" s="14">
        <f t="shared" si="9"/>
        <v>5103953.366</v>
      </c>
      <c r="I1791" s="22">
        <v>729136.2</v>
      </c>
      <c r="J1791" s="22">
        <v>1215226.99</v>
      </c>
      <c r="K1791" s="15">
        <f t="shared" si="4"/>
        <v>31352856.4</v>
      </c>
      <c r="L1791" s="45"/>
      <c r="M1791" s="6"/>
    </row>
    <row r="1792" ht="15.75" customHeight="1">
      <c r="A1792" s="115">
        <v>45950.0</v>
      </c>
      <c r="B1792" s="50"/>
      <c r="C1792" s="31" t="s">
        <v>1980</v>
      </c>
      <c r="D1792" s="32" t="s">
        <v>99</v>
      </c>
      <c r="E1792" s="31" t="s">
        <v>1985</v>
      </c>
      <c r="F1792" s="161">
        <v>45955.0</v>
      </c>
      <c r="G1792" s="53">
        <v>-3.840346754E7</v>
      </c>
      <c r="H1792" s="14">
        <f t="shared" si="9"/>
        <v>-8064728.183</v>
      </c>
      <c r="I1792" s="22">
        <v>-1152104.03</v>
      </c>
      <c r="J1792" s="22">
        <v>-1920173.38</v>
      </c>
      <c r="K1792" s="15">
        <f t="shared" si="4"/>
        <v>-49540473.13</v>
      </c>
      <c r="L1792" s="45"/>
      <c r="M1792" s="6"/>
    </row>
    <row r="1793" ht="15.75" customHeight="1">
      <c r="A1793" s="115">
        <v>45951.0</v>
      </c>
      <c r="B1793" s="50"/>
      <c r="C1793" s="31" t="s">
        <v>247</v>
      </c>
      <c r="D1793" s="32" t="s">
        <v>15</v>
      </c>
      <c r="E1793" s="31" t="s">
        <v>1986</v>
      </c>
      <c r="F1793" s="161">
        <v>45955.0</v>
      </c>
      <c r="G1793" s="53">
        <v>5738362.46</v>
      </c>
      <c r="H1793" s="14">
        <f t="shared" si="9"/>
        <v>1205056.117</v>
      </c>
      <c r="I1793" s="22"/>
      <c r="J1793" s="14"/>
      <c r="K1793" s="15">
        <f t="shared" si="4"/>
        <v>6943418.577</v>
      </c>
      <c r="L1793" s="45"/>
      <c r="M1793" s="6"/>
    </row>
    <row r="1794" ht="15.75" customHeight="1">
      <c r="A1794" s="115">
        <v>45951.0</v>
      </c>
      <c r="B1794" s="50"/>
      <c r="C1794" s="31" t="s">
        <v>247</v>
      </c>
      <c r="D1794" s="32" t="s">
        <v>15</v>
      </c>
      <c r="E1794" s="31" t="s">
        <v>1987</v>
      </c>
      <c r="F1794" s="161">
        <v>45955.0</v>
      </c>
      <c r="G1794" s="53">
        <v>6266950.96</v>
      </c>
      <c r="H1794" s="14">
        <f t="shared" si="9"/>
        <v>1316059.702</v>
      </c>
      <c r="I1794" s="22"/>
      <c r="J1794" s="14"/>
      <c r="K1794" s="15">
        <f t="shared" si="4"/>
        <v>7583010.662</v>
      </c>
      <c r="L1794" s="45"/>
      <c r="M1794" s="6"/>
    </row>
    <row r="1795" ht="15.75" customHeight="1">
      <c r="A1795" s="115">
        <v>45951.0</v>
      </c>
      <c r="B1795" s="50"/>
      <c r="C1795" s="31" t="s">
        <v>247</v>
      </c>
      <c r="D1795" s="32" t="s">
        <v>99</v>
      </c>
      <c r="E1795" s="31" t="s">
        <v>1988</v>
      </c>
      <c r="F1795" s="161">
        <v>45955.0</v>
      </c>
      <c r="G1795" s="53">
        <v>6983460.29</v>
      </c>
      <c r="H1795" s="14">
        <f t="shared" si="9"/>
        <v>1466526.661</v>
      </c>
      <c r="I1795" s="22"/>
      <c r="J1795" s="14"/>
      <c r="K1795" s="15">
        <f t="shared" si="4"/>
        <v>8449986.951</v>
      </c>
      <c r="L1795" s="45"/>
      <c r="M1795" s="24">
        <v>45981.0</v>
      </c>
    </row>
    <row r="1796" ht="15.75" customHeight="1">
      <c r="A1796" s="115">
        <v>45951.0</v>
      </c>
      <c r="B1796" s="50"/>
      <c r="C1796" s="31" t="s">
        <v>247</v>
      </c>
      <c r="D1796" s="32" t="s">
        <v>99</v>
      </c>
      <c r="E1796" s="31" t="s">
        <v>1989</v>
      </c>
      <c r="F1796" s="161">
        <v>45955.0</v>
      </c>
      <c r="G1796" s="53">
        <v>8029471.52</v>
      </c>
      <c r="H1796" s="14">
        <f t="shared" si="9"/>
        <v>1686189.019</v>
      </c>
      <c r="I1796" s="22"/>
      <c r="J1796" s="14"/>
      <c r="K1796" s="15">
        <f t="shared" si="4"/>
        <v>9715660.539</v>
      </c>
      <c r="L1796" s="45"/>
      <c r="M1796" s="24">
        <v>45981.0</v>
      </c>
    </row>
    <row r="1797" ht="15.75" customHeight="1">
      <c r="A1797" s="115">
        <v>45951.0</v>
      </c>
      <c r="B1797" s="50"/>
      <c r="C1797" s="32" t="s">
        <v>1990</v>
      </c>
      <c r="D1797" s="32" t="s">
        <v>15</v>
      </c>
      <c r="E1797" s="31" t="s">
        <v>1991</v>
      </c>
      <c r="F1797" s="161">
        <v>45955.0</v>
      </c>
      <c r="G1797" s="53">
        <v>4969178.46</v>
      </c>
      <c r="H1797" s="14">
        <f t="shared" si="9"/>
        <v>1043527.477</v>
      </c>
      <c r="I1797" s="50"/>
      <c r="J1797" s="14"/>
      <c r="K1797" s="15">
        <f t="shared" si="4"/>
        <v>6012705.937</v>
      </c>
      <c r="L1797" s="45"/>
      <c r="M1797" s="24">
        <v>45959.0</v>
      </c>
    </row>
    <row r="1798" ht="15.75" customHeight="1">
      <c r="A1798" s="166">
        <v>45952.0</v>
      </c>
      <c r="B1798" s="167"/>
      <c r="C1798" s="168" t="s">
        <v>635</v>
      </c>
      <c r="D1798" s="169" t="s">
        <v>99</v>
      </c>
      <c r="E1798" s="169" t="s">
        <v>1992</v>
      </c>
      <c r="F1798" s="170">
        <v>45955.0</v>
      </c>
      <c r="G1798" s="171">
        <v>8883736.15</v>
      </c>
      <c r="H1798" s="172">
        <f t="shared" si="9"/>
        <v>1865584.592</v>
      </c>
      <c r="I1798" s="173">
        <v>266512.08</v>
      </c>
      <c r="J1798" s="172"/>
      <c r="K1798" s="174">
        <f t="shared" si="4"/>
        <v>11015832.82</v>
      </c>
      <c r="L1798" s="61"/>
      <c r="M1798" s="62"/>
    </row>
    <row r="1799" ht="15.75" customHeight="1">
      <c r="A1799" s="166">
        <v>45952.0</v>
      </c>
      <c r="B1799" s="167"/>
      <c r="C1799" s="168" t="s">
        <v>635</v>
      </c>
      <c r="D1799" s="169" t="s">
        <v>99</v>
      </c>
      <c r="E1799" s="168" t="s">
        <v>1993</v>
      </c>
      <c r="F1799" s="170">
        <v>45955.0</v>
      </c>
      <c r="G1799" s="171">
        <v>9923736.23</v>
      </c>
      <c r="H1799" s="172">
        <f t="shared" si="9"/>
        <v>2083984.608</v>
      </c>
      <c r="I1799" s="173">
        <v>297712.09</v>
      </c>
      <c r="J1799" s="172"/>
      <c r="K1799" s="174">
        <f t="shared" si="4"/>
        <v>12305432.93</v>
      </c>
      <c r="L1799" s="61"/>
      <c r="M1799" s="62"/>
    </row>
    <row r="1800" ht="15.75" customHeight="1">
      <c r="A1800" s="166">
        <v>45952.0</v>
      </c>
      <c r="B1800" s="167"/>
      <c r="C1800" s="168" t="s">
        <v>635</v>
      </c>
      <c r="D1800" s="169" t="s">
        <v>99</v>
      </c>
      <c r="E1800" s="168" t="s">
        <v>1994</v>
      </c>
      <c r="F1800" s="170">
        <v>45955.0</v>
      </c>
      <c r="G1800" s="171">
        <v>6665453.31</v>
      </c>
      <c r="H1800" s="172">
        <f t="shared" si="9"/>
        <v>1399745.195</v>
      </c>
      <c r="I1800" s="173">
        <v>199963.6</v>
      </c>
      <c r="J1800" s="172"/>
      <c r="K1800" s="174">
        <f t="shared" si="4"/>
        <v>8265162.105</v>
      </c>
      <c r="L1800" s="61"/>
      <c r="M1800" s="62"/>
    </row>
    <row r="1801" ht="15.75" customHeight="1">
      <c r="A1801" s="166">
        <v>45952.0</v>
      </c>
      <c r="B1801" s="167"/>
      <c r="C1801" s="168" t="s">
        <v>635</v>
      </c>
      <c r="D1801" s="169" t="s">
        <v>99</v>
      </c>
      <c r="E1801" s="168" t="s">
        <v>1995</v>
      </c>
      <c r="F1801" s="170">
        <v>45955.0</v>
      </c>
      <c r="G1801" s="171">
        <v>4463522.29</v>
      </c>
      <c r="H1801" s="172">
        <f t="shared" si="9"/>
        <v>937339.6809</v>
      </c>
      <c r="I1801" s="173">
        <v>133905.67</v>
      </c>
      <c r="J1801" s="172"/>
      <c r="K1801" s="174">
        <f t="shared" si="4"/>
        <v>5534767.641</v>
      </c>
      <c r="L1801" s="61"/>
      <c r="M1801" s="62"/>
    </row>
    <row r="1802" ht="15.75" customHeight="1">
      <c r="A1802" s="166">
        <v>45952.0</v>
      </c>
      <c r="B1802" s="167"/>
      <c r="C1802" s="168" t="s">
        <v>635</v>
      </c>
      <c r="D1802" s="169" t="s">
        <v>99</v>
      </c>
      <c r="E1802" s="168" t="s">
        <v>1996</v>
      </c>
      <c r="F1802" s="170">
        <v>45955.0</v>
      </c>
      <c r="G1802" s="171">
        <v>2337267.59</v>
      </c>
      <c r="H1802" s="172">
        <f t="shared" si="9"/>
        <v>490826.1939</v>
      </c>
      <c r="I1802" s="173">
        <v>70118.03</v>
      </c>
      <c r="J1802" s="172"/>
      <c r="K1802" s="174">
        <f t="shared" si="4"/>
        <v>2898211.814</v>
      </c>
      <c r="L1802" s="61"/>
      <c r="M1802" s="62"/>
    </row>
    <row r="1803" ht="15.75" customHeight="1">
      <c r="A1803" s="166">
        <v>45952.0</v>
      </c>
      <c r="B1803" s="167"/>
      <c r="C1803" s="168" t="s">
        <v>635</v>
      </c>
      <c r="D1803" s="169" t="s">
        <v>99</v>
      </c>
      <c r="E1803" s="168" t="s">
        <v>1997</v>
      </c>
      <c r="F1803" s="170">
        <v>45955.0</v>
      </c>
      <c r="G1803" s="171">
        <v>4383746.23</v>
      </c>
      <c r="H1803" s="172">
        <f t="shared" si="9"/>
        <v>920586.7083</v>
      </c>
      <c r="I1803" s="173">
        <v>131512.39</v>
      </c>
      <c r="J1803" s="172"/>
      <c r="K1803" s="174">
        <f t="shared" si="4"/>
        <v>5435845.328</v>
      </c>
      <c r="L1803" s="61"/>
      <c r="M1803" s="62"/>
    </row>
    <row r="1804" ht="15.75" customHeight="1">
      <c r="A1804" s="166">
        <v>45952.0</v>
      </c>
      <c r="B1804" s="167"/>
      <c r="C1804" s="168" t="s">
        <v>635</v>
      </c>
      <c r="D1804" s="169" t="s">
        <v>15</v>
      </c>
      <c r="E1804" s="168" t="s">
        <v>1998</v>
      </c>
      <c r="F1804" s="170">
        <v>45955.0</v>
      </c>
      <c r="G1804" s="171">
        <v>6631535.26</v>
      </c>
      <c r="H1804" s="172">
        <f t="shared" si="9"/>
        <v>1392622.405</v>
      </c>
      <c r="I1804" s="173">
        <v>198946.06</v>
      </c>
      <c r="J1804" s="172"/>
      <c r="K1804" s="174">
        <f t="shared" si="4"/>
        <v>8223103.725</v>
      </c>
      <c r="L1804" s="175"/>
      <c r="M1804" s="176"/>
    </row>
    <row r="1805" ht="15.75" customHeight="1">
      <c r="A1805" s="166">
        <v>45952.0</v>
      </c>
      <c r="B1805" s="167"/>
      <c r="C1805" s="168" t="s">
        <v>635</v>
      </c>
      <c r="D1805" s="169" t="s">
        <v>15</v>
      </c>
      <c r="E1805" s="168" t="s">
        <v>1999</v>
      </c>
      <c r="F1805" s="170">
        <v>45955.0</v>
      </c>
      <c r="G1805" s="171">
        <v>8826265.34</v>
      </c>
      <c r="H1805" s="172">
        <f t="shared" si="9"/>
        <v>1853515.721</v>
      </c>
      <c r="I1805" s="173">
        <v>264787.96</v>
      </c>
      <c r="J1805" s="172"/>
      <c r="K1805" s="174">
        <f t="shared" si="4"/>
        <v>10944569.02</v>
      </c>
      <c r="L1805" s="175"/>
      <c r="M1805" s="176"/>
    </row>
    <row r="1806" ht="15.75" customHeight="1">
      <c r="A1806" s="166">
        <v>45952.0</v>
      </c>
      <c r="B1806" s="167"/>
      <c r="C1806" s="168" t="s">
        <v>635</v>
      </c>
      <c r="D1806" s="169" t="s">
        <v>15</v>
      </c>
      <c r="E1806" s="168" t="s">
        <v>2000</v>
      </c>
      <c r="F1806" s="170">
        <v>45955.0</v>
      </c>
      <c r="G1806" s="171">
        <v>5343352.86</v>
      </c>
      <c r="H1806" s="172">
        <f t="shared" si="9"/>
        <v>1122104.101</v>
      </c>
      <c r="I1806" s="173">
        <v>160300.59</v>
      </c>
      <c r="J1806" s="172"/>
      <c r="K1806" s="174">
        <f t="shared" si="4"/>
        <v>6625757.551</v>
      </c>
      <c r="L1806" s="175"/>
      <c r="M1806" s="176"/>
    </row>
    <row r="1807" ht="15.75" customHeight="1">
      <c r="A1807" s="166">
        <v>45952.0</v>
      </c>
      <c r="B1807" s="167"/>
      <c r="C1807" s="168" t="s">
        <v>635</v>
      </c>
      <c r="D1807" s="169" t="s">
        <v>15</v>
      </c>
      <c r="E1807" s="168" t="s">
        <v>2001</v>
      </c>
      <c r="F1807" s="170">
        <v>45955.0</v>
      </c>
      <c r="G1807" s="171">
        <v>6625253.23</v>
      </c>
      <c r="H1807" s="172">
        <f t="shared" si="9"/>
        <v>1391303.178</v>
      </c>
      <c r="I1807" s="173">
        <v>198757.6</v>
      </c>
      <c r="J1807" s="172"/>
      <c r="K1807" s="174">
        <f t="shared" si="4"/>
        <v>8215314.008</v>
      </c>
      <c r="L1807" s="175"/>
      <c r="M1807" s="176"/>
    </row>
    <row r="1808" ht="15.75" customHeight="1">
      <c r="A1808" s="166">
        <v>45952.0</v>
      </c>
      <c r="B1808" s="167"/>
      <c r="C1808" s="168" t="s">
        <v>635</v>
      </c>
      <c r="D1808" s="169" t="s">
        <v>15</v>
      </c>
      <c r="E1808" s="168" t="s">
        <v>2002</v>
      </c>
      <c r="F1808" s="170">
        <v>45955.0</v>
      </c>
      <c r="G1808" s="171">
        <v>7726253.21</v>
      </c>
      <c r="H1808" s="172">
        <f t="shared" si="9"/>
        <v>1622513.174</v>
      </c>
      <c r="I1808" s="173">
        <v>231787.6</v>
      </c>
      <c r="J1808" s="172"/>
      <c r="K1808" s="174">
        <f t="shared" si="4"/>
        <v>9580553.984</v>
      </c>
      <c r="L1808" s="175"/>
      <c r="M1808" s="176"/>
    </row>
    <row r="1809" ht="15.75" customHeight="1">
      <c r="A1809" s="166">
        <v>45952.0</v>
      </c>
      <c r="B1809" s="167"/>
      <c r="C1809" s="168" t="s">
        <v>635</v>
      </c>
      <c r="D1809" s="169" t="s">
        <v>15</v>
      </c>
      <c r="E1809" s="169" t="s">
        <v>2003</v>
      </c>
      <c r="F1809" s="170">
        <v>45955.0</v>
      </c>
      <c r="G1809" s="171">
        <v>8826265.29</v>
      </c>
      <c r="H1809" s="172">
        <f t="shared" si="9"/>
        <v>1853515.711</v>
      </c>
      <c r="I1809" s="173">
        <v>264787.96</v>
      </c>
      <c r="J1809" s="172"/>
      <c r="K1809" s="174">
        <f t="shared" si="4"/>
        <v>10944568.96</v>
      </c>
      <c r="L1809" s="175"/>
      <c r="M1809" s="176"/>
    </row>
    <row r="1810" ht="15.75" customHeight="1">
      <c r="A1810" s="115">
        <v>45952.0</v>
      </c>
      <c r="B1810" s="50"/>
      <c r="C1810" s="31" t="s">
        <v>2004</v>
      </c>
      <c r="D1810" s="32" t="s">
        <v>15</v>
      </c>
      <c r="E1810" s="31" t="s">
        <v>2005</v>
      </c>
      <c r="F1810" s="161">
        <v>45955.0</v>
      </c>
      <c r="G1810" s="53">
        <v>1.332358103E7</v>
      </c>
      <c r="H1810" s="14">
        <f t="shared" si="9"/>
        <v>2797952.016</v>
      </c>
      <c r="I1810" s="22">
        <v>399707.43</v>
      </c>
      <c r="J1810" s="14"/>
      <c r="K1810" s="15">
        <f t="shared" si="4"/>
        <v>16521240.48</v>
      </c>
      <c r="L1810" s="45"/>
      <c r="M1810" s="24">
        <v>45954.0</v>
      </c>
    </row>
    <row r="1811" ht="15.75" customHeight="1">
      <c r="A1811" s="115">
        <v>45952.0</v>
      </c>
      <c r="B1811" s="50"/>
      <c r="C1811" s="31" t="s">
        <v>2004</v>
      </c>
      <c r="D1811" s="32" t="s">
        <v>15</v>
      </c>
      <c r="E1811" s="32" t="s">
        <v>2006</v>
      </c>
      <c r="F1811" s="161">
        <v>45955.0</v>
      </c>
      <c r="G1811" s="53">
        <v>6835732.26</v>
      </c>
      <c r="H1811" s="14">
        <f t="shared" si="9"/>
        <v>1435503.775</v>
      </c>
      <c r="I1811" s="22">
        <v>205071.97</v>
      </c>
      <c r="J1811" s="14"/>
      <c r="K1811" s="15">
        <f t="shared" si="4"/>
        <v>8476308.005</v>
      </c>
      <c r="L1811" s="45"/>
      <c r="M1811" s="24">
        <v>45954.0</v>
      </c>
    </row>
    <row r="1812" ht="15.75" customHeight="1">
      <c r="A1812" s="115">
        <v>45952.0</v>
      </c>
      <c r="B1812" s="50"/>
      <c r="C1812" s="31" t="s">
        <v>2004</v>
      </c>
      <c r="D1812" s="32" t="s">
        <v>15</v>
      </c>
      <c r="E1812" s="31" t="s">
        <v>2007</v>
      </c>
      <c r="F1812" s="161">
        <v>45955.0</v>
      </c>
      <c r="G1812" s="53">
        <v>1.200572436E7</v>
      </c>
      <c r="H1812" s="14">
        <f t="shared" si="9"/>
        <v>2521202.116</v>
      </c>
      <c r="I1812" s="22">
        <v>360171.73</v>
      </c>
      <c r="J1812" s="14"/>
      <c r="K1812" s="15">
        <f t="shared" si="4"/>
        <v>14887098.21</v>
      </c>
      <c r="L1812" s="45"/>
      <c r="M1812" s="24">
        <v>45954.0</v>
      </c>
    </row>
    <row r="1813" ht="15.75" customHeight="1">
      <c r="A1813" s="115">
        <v>45952.0</v>
      </c>
      <c r="B1813" s="50"/>
      <c r="C1813" s="31" t="s">
        <v>1189</v>
      </c>
      <c r="D1813" s="32" t="s">
        <v>15</v>
      </c>
      <c r="E1813" s="31" t="s">
        <v>2008</v>
      </c>
      <c r="F1813" s="161">
        <v>45955.0</v>
      </c>
      <c r="G1813" s="53">
        <v>1.501936252E7</v>
      </c>
      <c r="H1813" s="14">
        <f t="shared" si="9"/>
        <v>3154066.129</v>
      </c>
      <c r="I1813" s="22">
        <v>450580.88</v>
      </c>
      <c r="J1813" s="14"/>
      <c r="K1813" s="15">
        <f t="shared" si="4"/>
        <v>18624009.53</v>
      </c>
      <c r="L1813" s="45"/>
      <c r="M1813" s="24">
        <v>45978.0</v>
      </c>
    </row>
    <row r="1814" ht="15.75" customHeight="1">
      <c r="A1814" s="166">
        <v>45952.0</v>
      </c>
      <c r="B1814" s="167"/>
      <c r="C1814" s="168" t="s">
        <v>635</v>
      </c>
      <c r="D1814" s="169" t="s">
        <v>15</v>
      </c>
      <c r="E1814" s="168" t="s">
        <v>2009</v>
      </c>
      <c r="F1814" s="170">
        <v>45955.0</v>
      </c>
      <c r="G1814" s="171">
        <v>7267532.43</v>
      </c>
      <c r="H1814" s="172">
        <f t="shared" si="9"/>
        <v>1526181.81</v>
      </c>
      <c r="I1814" s="173">
        <v>218025.97</v>
      </c>
      <c r="J1814" s="172"/>
      <c r="K1814" s="174">
        <f t="shared" si="4"/>
        <v>9011740.21</v>
      </c>
      <c r="L1814" s="175"/>
      <c r="M1814" s="176"/>
    </row>
    <row r="1815" ht="15.75" customHeight="1">
      <c r="A1815" s="115">
        <v>45953.0</v>
      </c>
      <c r="B1815" s="50"/>
      <c r="C1815" s="31" t="s">
        <v>159</v>
      </c>
      <c r="D1815" s="32" t="s">
        <v>99</v>
      </c>
      <c r="E1815" s="31" t="s">
        <v>2010</v>
      </c>
      <c r="F1815" s="161">
        <v>45955.0</v>
      </c>
      <c r="G1815" s="53">
        <v>2998582.84</v>
      </c>
      <c r="H1815" s="14">
        <f t="shared" si="9"/>
        <v>629702.3964</v>
      </c>
      <c r="I1815" s="22">
        <v>35982.99</v>
      </c>
      <c r="J1815" s="14"/>
      <c r="K1815" s="15">
        <f t="shared" si="4"/>
        <v>3664268.226</v>
      </c>
      <c r="L1815" s="45"/>
      <c r="M1815" s="24">
        <v>45971.0</v>
      </c>
    </row>
    <row r="1816" ht="15.75" customHeight="1">
      <c r="A1816" s="115">
        <v>45953.0</v>
      </c>
      <c r="B1816" s="50"/>
      <c r="C1816" s="31" t="s">
        <v>159</v>
      </c>
      <c r="D1816" s="32" t="s">
        <v>15</v>
      </c>
      <c r="E1816" s="31" t="s">
        <v>2011</v>
      </c>
      <c r="F1816" s="161">
        <v>45955.0</v>
      </c>
      <c r="G1816" s="53">
        <v>3001204.56</v>
      </c>
      <c r="H1816" s="14">
        <f t="shared" si="9"/>
        <v>630252.9576</v>
      </c>
      <c r="I1816" s="22">
        <v>90036.14</v>
      </c>
      <c r="J1816" s="22">
        <v>36014.45</v>
      </c>
      <c r="K1816" s="15">
        <f t="shared" si="4"/>
        <v>3757508.108</v>
      </c>
      <c r="L1816" s="45"/>
      <c r="M1816" s="6"/>
    </row>
    <row r="1817" ht="15.75" customHeight="1">
      <c r="A1817" s="115">
        <v>45953.0</v>
      </c>
      <c r="B1817" s="50"/>
      <c r="C1817" s="31" t="s">
        <v>2012</v>
      </c>
      <c r="D1817" s="32" t="s">
        <v>99</v>
      </c>
      <c r="E1817" s="32" t="s">
        <v>2013</v>
      </c>
      <c r="F1817" s="161">
        <v>45955.0</v>
      </c>
      <c r="G1817" s="53">
        <v>2.796249213E7</v>
      </c>
      <c r="H1817" s="14">
        <f t="shared" si="9"/>
        <v>5872123.347</v>
      </c>
      <c r="I1817" s="22">
        <v>838874.76</v>
      </c>
      <c r="J1817" s="22">
        <v>1398124.61</v>
      </c>
      <c r="K1817" s="15">
        <f t="shared" si="4"/>
        <v>36071614.85</v>
      </c>
      <c r="L1817" s="45"/>
      <c r="M1817" s="6"/>
    </row>
    <row r="1818" ht="15.75" customHeight="1">
      <c r="A1818" s="115">
        <v>45953.0</v>
      </c>
      <c r="B1818" s="50"/>
      <c r="C1818" s="31" t="s">
        <v>2012</v>
      </c>
      <c r="D1818" s="32" t="s">
        <v>99</v>
      </c>
      <c r="E1818" s="32" t="s">
        <v>2014</v>
      </c>
      <c r="F1818" s="161">
        <v>45955.0</v>
      </c>
      <c r="G1818" s="53">
        <v>2.469576628E7</v>
      </c>
      <c r="H1818" s="14">
        <f t="shared" si="9"/>
        <v>5186110.919</v>
      </c>
      <c r="I1818" s="22">
        <v>740872.99</v>
      </c>
      <c r="J1818" s="22">
        <v>1234788.31</v>
      </c>
      <c r="K1818" s="15">
        <f t="shared" si="4"/>
        <v>31857538.5</v>
      </c>
      <c r="L1818" s="45"/>
      <c r="M1818" s="6"/>
    </row>
    <row r="1819" ht="15.75" customHeight="1">
      <c r="A1819" s="115">
        <v>45953.0</v>
      </c>
      <c r="B1819" s="50"/>
      <c r="C1819" s="31" t="s">
        <v>2012</v>
      </c>
      <c r="D1819" s="32" t="s">
        <v>99</v>
      </c>
      <c r="E1819" s="32" t="s">
        <v>2015</v>
      </c>
      <c r="F1819" s="161">
        <v>45955.0</v>
      </c>
      <c r="G1819" s="53">
        <v>2.719854133E7</v>
      </c>
      <c r="H1819" s="14">
        <f t="shared" si="9"/>
        <v>5711693.679</v>
      </c>
      <c r="I1819" s="22">
        <v>815956.24</v>
      </c>
      <c r="J1819" s="22">
        <v>1359927.07</v>
      </c>
      <c r="K1819" s="15">
        <f t="shared" si="4"/>
        <v>35086118.32</v>
      </c>
      <c r="L1819" s="45"/>
      <c r="M1819" s="6"/>
    </row>
    <row r="1820" ht="15.75" customHeight="1">
      <c r="A1820" s="115">
        <v>45953.0</v>
      </c>
      <c r="B1820" s="50"/>
      <c r="C1820" s="31" t="s">
        <v>2012</v>
      </c>
      <c r="D1820" s="32" t="s">
        <v>99</v>
      </c>
      <c r="E1820" s="32" t="s">
        <v>2016</v>
      </c>
      <c r="F1820" s="161">
        <v>45955.0</v>
      </c>
      <c r="G1820" s="53">
        <v>1.603678667E7</v>
      </c>
      <c r="H1820" s="14">
        <f t="shared" si="9"/>
        <v>3367725.201</v>
      </c>
      <c r="I1820" s="22">
        <v>481103.6</v>
      </c>
      <c r="J1820" s="22">
        <v>801839.33</v>
      </c>
      <c r="K1820" s="15">
        <f t="shared" si="4"/>
        <v>20687454.8</v>
      </c>
      <c r="L1820" s="45"/>
      <c r="M1820" s="6"/>
    </row>
    <row r="1821" ht="15.75" customHeight="1">
      <c r="A1821" s="115">
        <v>45953.0</v>
      </c>
      <c r="B1821" s="50"/>
      <c r="C1821" s="31" t="s">
        <v>2017</v>
      </c>
      <c r="D1821" s="32" t="s">
        <v>15</v>
      </c>
      <c r="E1821" s="31" t="s">
        <v>2018</v>
      </c>
      <c r="F1821" s="161">
        <v>45955.0</v>
      </c>
      <c r="G1821" s="53">
        <v>6852223.08</v>
      </c>
      <c r="H1821" s="14">
        <f t="shared" si="9"/>
        <v>1438966.847</v>
      </c>
      <c r="I1821" s="22"/>
      <c r="J1821" s="22">
        <v>20556.67</v>
      </c>
      <c r="K1821" s="15">
        <f t="shared" si="4"/>
        <v>8311746.597</v>
      </c>
      <c r="L1821" s="45"/>
      <c r="M1821" s="24">
        <v>45961.0</v>
      </c>
    </row>
    <row r="1822" ht="15.75" customHeight="1">
      <c r="A1822" s="115">
        <v>45953.0</v>
      </c>
      <c r="B1822" s="50"/>
      <c r="C1822" s="31" t="s">
        <v>2017</v>
      </c>
      <c r="D1822" s="32" t="s">
        <v>15</v>
      </c>
      <c r="E1822" s="32" t="s">
        <v>2019</v>
      </c>
      <c r="F1822" s="161">
        <v>45955.0</v>
      </c>
      <c r="G1822" s="53">
        <v>4736263.08</v>
      </c>
      <c r="H1822" s="14">
        <f t="shared" si="9"/>
        <v>994615.2468</v>
      </c>
      <c r="I1822" s="22">
        <v>142087.89</v>
      </c>
      <c r="J1822" s="22">
        <v>14208.79</v>
      </c>
      <c r="K1822" s="15">
        <f t="shared" si="4"/>
        <v>5887175.007</v>
      </c>
      <c r="L1822" s="45"/>
      <c r="M1822" s="24">
        <v>45961.0</v>
      </c>
    </row>
    <row r="1823" ht="15.75" customHeight="1">
      <c r="A1823" s="115">
        <v>45953.0</v>
      </c>
      <c r="B1823" s="50"/>
      <c r="C1823" s="31" t="s">
        <v>2017</v>
      </c>
      <c r="D1823" s="32" t="s">
        <v>15</v>
      </c>
      <c r="E1823" s="32" t="s">
        <v>2020</v>
      </c>
      <c r="F1823" s="161">
        <v>45955.0</v>
      </c>
      <c r="G1823" s="53">
        <v>3874646.02</v>
      </c>
      <c r="H1823" s="14">
        <f t="shared" si="9"/>
        <v>813675.6642</v>
      </c>
      <c r="I1823" s="22"/>
      <c r="J1823" s="14"/>
      <c r="K1823" s="15">
        <f t="shared" si="4"/>
        <v>4688321.684</v>
      </c>
      <c r="L1823" s="45"/>
      <c r="M1823" s="24">
        <v>45961.0</v>
      </c>
    </row>
    <row r="1824" ht="15.75" customHeight="1">
      <c r="A1824" s="115">
        <v>45953.0</v>
      </c>
      <c r="B1824" s="50"/>
      <c r="C1824" s="31" t="s">
        <v>2017</v>
      </c>
      <c r="D1824" s="32" t="s">
        <v>99</v>
      </c>
      <c r="E1824" s="32" t="s">
        <v>2021</v>
      </c>
      <c r="F1824" s="161">
        <v>45955.0</v>
      </c>
      <c r="G1824" s="53">
        <v>2777332.08</v>
      </c>
      <c r="H1824" s="14">
        <f t="shared" si="9"/>
        <v>583239.7368</v>
      </c>
      <c r="I1824" s="50"/>
      <c r="J1824" s="22">
        <v>8332.0</v>
      </c>
      <c r="K1824" s="15">
        <f t="shared" si="4"/>
        <v>3368903.817</v>
      </c>
      <c r="L1824" s="45"/>
      <c r="M1824" s="24">
        <v>45960.0</v>
      </c>
    </row>
    <row r="1825" ht="15.75" customHeight="1">
      <c r="A1825" s="115">
        <v>45953.0</v>
      </c>
      <c r="B1825" s="50"/>
      <c r="C1825" s="31" t="s">
        <v>2017</v>
      </c>
      <c r="D1825" s="32" t="s">
        <v>99</v>
      </c>
      <c r="E1825" s="32" t="s">
        <v>2022</v>
      </c>
      <c r="F1825" s="161">
        <v>45955.0</v>
      </c>
      <c r="G1825" s="53">
        <v>4635635.23</v>
      </c>
      <c r="H1825" s="14">
        <f t="shared" si="9"/>
        <v>973483.3983</v>
      </c>
      <c r="I1825" s="22">
        <v>139069.06</v>
      </c>
      <c r="J1825" s="22">
        <v>13906.91</v>
      </c>
      <c r="K1825" s="15">
        <f t="shared" si="4"/>
        <v>5762094.598</v>
      </c>
      <c r="L1825" s="45"/>
      <c r="M1825" s="24">
        <v>45960.0</v>
      </c>
    </row>
    <row r="1826" ht="15.75" customHeight="1">
      <c r="A1826" s="115">
        <v>45953.0</v>
      </c>
      <c r="B1826" s="50"/>
      <c r="C1826" s="31" t="s">
        <v>2017</v>
      </c>
      <c r="D1826" s="32" t="s">
        <v>99</v>
      </c>
      <c r="E1826" s="32" t="s">
        <v>2023</v>
      </c>
      <c r="F1826" s="161">
        <v>45955.0</v>
      </c>
      <c r="G1826" s="53">
        <v>3976124.13</v>
      </c>
      <c r="H1826" s="14">
        <f t="shared" si="9"/>
        <v>834986.0673</v>
      </c>
      <c r="I1826" s="22"/>
      <c r="J1826" s="14"/>
      <c r="K1826" s="15">
        <f t="shared" si="4"/>
        <v>4811110.197</v>
      </c>
      <c r="L1826" s="45"/>
      <c r="M1826" s="24">
        <v>45960.0</v>
      </c>
    </row>
    <row r="1827" ht="15.75" customHeight="1">
      <c r="A1827" s="115">
        <v>45954.0</v>
      </c>
      <c r="B1827" s="50"/>
      <c r="C1827" s="31" t="s">
        <v>1635</v>
      </c>
      <c r="D1827" s="32" t="s">
        <v>99</v>
      </c>
      <c r="E1827" s="31" t="s">
        <v>2024</v>
      </c>
      <c r="F1827" s="161">
        <v>45955.0</v>
      </c>
      <c r="G1827" s="53">
        <v>7454355.08</v>
      </c>
      <c r="H1827" s="14">
        <f t="shared" si="9"/>
        <v>1565414.567</v>
      </c>
      <c r="I1827" s="50"/>
      <c r="J1827" s="14"/>
      <c r="K1827" s="15">
        <f t="shared" si="4"/>
        <v>9019769.647</v>
      </c>
      <c r="L1827" s="45"/>
      <c r="M1827" s="24">
        <v>45958.0</v>
      </c>
    </row>
    <row r="1828" ht="15.75" customHeight="1">
      <c r="A1828" s="115">
        <v>45954.0</v>
      </c>
      <c r="B1828" s="50"/>
      <c r="C1828" s="31" t="s">
        <v>1635</v>
      </c>
      <c r="D1828" s="32" t="s">
        <v>99</v>
      </c>
      <c r="E1828" s="31" t="s">
        <v>2025</v>
      </c>
      <c r="F1828" s="161">
        <v>45955.0</v>
      </c>
      <c r="G1828" s="53">
        <v>1.044783708E7</v>
      </c>
      <c r="H1828" s="14">
        <f t="shared" si="9"/>
        <v>2194045.787</v>
      </c>
      <c r="I1828" s="50"/>
      <c r="J1828" s="14"/>
      <c r="K1828" s="15">
        <f t="shared" si="4"/>
        <v>12641882.87</v>
      </c>
      <c r="L1828" s="45"/>
      <c r="M1828" s="24">
        <v>45959.0</v>
      </c>
    </row>
    <row r="1829" ht="15.75" customHeight="1">
      <c r="A1829" s="115">
        <v>45954.0</v>
      </c>
      <c r="B1829" s="50"/>
      <c r="C1829" s="31" t="s">
        <v>1635</v>
      </c>
      <c r="D1829" s="32" t="s">
        <v>99</v>
      </c>
      <c r="E1829" s="31" t="s">
        <v>2026</v>
      </c>
      <c r="F1829" s="161">
        <v>45955.0</v>
      </c>
      <c r="G1829" s="53">
        <v>1.53353522E7</v>
      </c>
      <c r="H1829" s="14">
        <f t="shared" si="9"/>
        <v>3220423.962</v>
      </c>
      <c r="I1829" s="22">
        <v>460060.57</v>
      </c>
      <c r="J1829" s="14"/>
      <c r="K1829" s="15">
        <f t="shared" si="4"/>
        <v>19015836.73</v>
      </c>
      <c r="L1829" s="45"/>
      <c r="M1829" s="24">
        <v>45958.0</v>
      </c>
    </row>
    <row r="1830" ht="15.75" customHeight="1">
      <c r="A1830" s="115">
        <v>45954.0</v>
      </c>
      <c r="B1830" s="50"/>
      <c r="C1830" s="31" t="s">
        <v>1635</v>
      </c>
      <c r="D1830" s="32" t="s">
        <v>99</v>
      </c>
      <c r="E1830" s="31" t="s">
        <v>2027</v>
      </c>
      <c r="F1830" s="161">
        <v>45955.0</v>
      </c>
      <c r="G1830" s="53">
        <v>9938373.08</v>
      </c>
      <c r="H1830" s="14">
        <f t="shared" si="9"/>
        <v>2087058.347</v>
      </c>
      <c r="I1830" s="50"/>
      <c r="J1830" s="14"/>
      <c r="K1830" s="15">
        <f t="shared" si="4"/>
        <v>12025431.43</v>
      </c>
      <c r="L1830" s="45"/>
      <c r="M1830" s="24">
        <v>45959.0</v>
      </c>
    </row>
    <row r="1831" ht="15.75" customHeight="1">
      <c r="A1831" s="115">
        <v>45954.0</v>
      </c>
      <c r="B1831" s="50"/>
      <c r="C1831" s="31" t="s">
        <v>1635</v>
      </c>
      <c r="D1831" s="32" t="s">
        <v>99</v>
      </c>
      <c r="E1831" s="31" t="s">
        <v>2028</v>
      </c>
      <c r="F1831" s="161">
        <v>45955.0</v>
      </c>
      <c r="G1831" s="53">
        <v>7736363.08</v>
      </c>
      <c r="H1831" s="14">
        <f t="shared" si="9"/>
        <v>1624636.247</v>
      </c>
      <c r="I1831" s="22"/>
      <c r="J1831" s="14"/>
      <c r="K1831" s="15">
        <f t="shared" si="4"/>
        <v>9360999.327</v>
      </c>
      <c r="L1831" s="45"/>
      <c r="M1831" s="24">
        <v>45960.0</v>
      </c>
    </row>
    <row r="1832" ht="15.75" customHeight="1">
      <c r="A1832" s="115">
        <v>45954.0</v>
      </c>
      <c r="B1832" s="50"/>
      <c r="C1832" s="31" t="s">
        <v>1635</v>
      </c>
      <c r="D1832" s="32" t="s">
        <v>99</v>
      </c>
      <c r="E1832" s="31" t="s">
        <v>2029</v>
      </c>
      <c r="F1832" s="161">
        <v>45955.0</v>
      </c>
      <c r="G1832" s="53">
        <v>8284747.12</v>
      </c>
      <c r="H1832" s="14">
        <f t="shared" si="9"/>
        <v>1739796.895</v>
      </c>
      <c r="I1832" s="22">
        <v>248542.41</v>
      </c>
      <c r="J1832" s="14"/>
      <c r="K1832" s="15">
        <f t="shared" si="4"/>
        <v>10273086.43</v>
      </c>
      <c r="L1832" s="45"/>
      <c r="M1832" s="24">
        <v>45960.0</v>
      </c>
    </row>
    <row r="1833" ht="15.75" customHeight="1">
      <c r="A1833" s="115">
        <v>45954.0</v>
      </c>
      <c r="B1833" s="50"/>
      <c r="C1833" s="31" t="s">
        <v>1635</v>
      </c>
      <c r="D1833" s="32" t="s">
        <v>99</v>
      </c>
      <c r="E1833" s="31" t="s">
        <v>2030</v>
      </c>
      <c r="F1833" s="161">
        <v>45955.0</v>
      </c>
      <c r="G1833" s="53">
        <v>6473736.07</v>
      </c>
      <c r="H1833" s="14">
        <f t="shared" si="9"/>
        <v>1359484.575</v>
      </c>
      <c r="I1833" s="22">
        <v>194212.08</v>
      </c>
      <c r="J1833" s="14"/>
      <c r="K1833" s="15">
        <f t="shared" si="4"/>
        <v>8027432.725</v>
      </c>
      <c r="L1833" s="45"/>
      <c r="M1833" s="24">
        <v>45961.0</v>
      </c>
    </row>
    <row r="1834" ht="15.75" customHeight="1">
      <c r="A1834" s="115">
        <v>45954.0</v>
      </c>
      <c r="B1834" s="50"/>
      <c r="C1834" s="31" t="s">
        <v>1635</v>
      </c>
      <c r="D1834" s="32" t="s">
        <v>99</v>
      </c>
      <c r="E1834" s="31" t="s">
        <v>2031</v>
      </c>
      <c r="F1834" s="161">
        <v>45955.0</v>
      </c>
      <c r="G1834" s="53">
        <v>9937373.23</v>
      </c>
      <c r="H1834" s="14">
        <f t="shared" si="9"/>
        <v>2086848.378</v>
      </c>
      <c r="I1834" s="22">
        <v>298121.2</v>
      </c>
      <c r="J1834" s="14"/>
      <c r="K1834" s="15">
        <f t="shared" si="4"/>
        <v>12322342.81</v>
      </c>
      <c r="L1834" s="45"/>
      <c r="M1834" s="24">
        <v>45961.0</v>
      </c>
    </row>
    <row r="1835" ht="15.75" customHeight="1">
      <c r="A1835" s="115">
        <v>45954.0</v>
      </c>
      <c r="B1835" s="50"/>
      <c r="C1835" s="31" t="s">
        <v>1635</v>
      </c>
      <c r="D1835" s="32" t="s">
        <v>15</v>
      </c>
      <c r="E1835" s="31" t="s">
        <v>2032</v>
      </c>
      <c r="F1835" s="161">
        <v>45955.0</v>
      </c>
      <c r="G1835" s="53">
        <v>8836736.27</v>
      </c>
      <c r="H1835" s="14">
        <f t="shared" si="9"/>
        <v>1855714.617</v>
      </c>
      <c r="I1835" s="22"/>
      <c r="J1835" s="14"/>
      <c r="K1835" s="15">
        <f t="shared" si="4"/>
        <v>10692450.89</v>
      </c>
      <c r="L1835" s="45"/>
      <c r="M1835" s="24">
        <v>45958.0</v>
      </c>
    </row>
    <row r="1836" ht="15.75" customHeight="1">
      <c r="A1836" s="115">
        <v>45954.0</v>
      </c>
      <c r="B1836" s="50"/>
      <c r="C1836" s="31" t="s">
        <v>1635</v>
      </c>
      <c r="D1836" s="32" t="s">
        <v>15</v>
      </c>
      <c r="E1836" s="31" t="s">
        <v>2033</v>
      </c>
      <c r="F1836" s="161">
        <v>45955.0</v>
      </c>
      <c r="G1836" s="53">
        <v>9987636.71</v>
      </c>
      <c r="H1836" s="14">
        <f t="shared" si="9"/>
        <v>2097403.709</v>
      </c>
      <c r="I1836" s="22"/>
      <c r="J1836" s="14"/>
      <c r="K1836" s="15">
        <f t="shared" si="4"/>
        <v>12085040.42</v>
      </c>
      <c r="L1836" s="45"/>
      <c r="M1836" s="24">
        <v>45958.0</v>
      </c>
    </row>
    <row r="1837" ht="15.75" customHeight="1">
      <c r="A1837" s="115">
        <v>45954.0</v>
      </c>
      <c r="B1837" s="50"/>
      <c r="C1837" s="31" t="s">
        <v>1635</v>
      </c>
      <c r="D1837" s="32" t="s">
        <v>15</v>
      </c>
      <c r="E1837" s="32" t="s">
        <v>2034</v>
      </c>
      <c r="F1837" s="161">
        <v>45955.0</v>
      </c>
      <c r="G1837" s="53">
        <v>1.444433307E7</v>
      </c>
      <c r="H1837" s="14">
        <f t="shared" si="9"/>
        <v>3033309.945</v>
      </c>
      <c r="I1837" s="22">
        <v>433329.99</v>
      </c>
      <c r="J1837" s="14"/>
      <c r="K1837" s="15">
        <f t="shared" si="4"/>
        <v>17910973</v>
      </c>
      <c r="L1837" s="45"/>
      <c r="M1837" s="24">
        <v>45959.0</v>
      </c>
    </row>
    <row r="1838" ht="15.75" customHeight="1">
      <c r="A1838" s="115">
        <v>45954.0</v>
      </c>
      <c r="B1838" s="50"/>
      <c r="C1838" s="31" t="s">
        <v>1635</v>
      </c>
      <c r="D1838" s="32" t="s">
        <v>15</v>
      </c>
      <c r="E1838" s="31" t="s">
        <v>2035</v>
      </c>
      <c r="F1838" s="161">
        <v>45955.0</v>
      </c>
      <c r="G1838" s="53">
        <v>1.183737385E7</v>
      </c>
      <c r="H1838" s="14">
        <f t="shared" si="9"/>
        <v>2485848.509</v>
      </c>
      <c r="I1838" s="22">
        <v>355121.22</v>
      </c>
      <c r="J1838" s="14"/>
      <c r="K1838" s="15">
        <f t="shared" si="4"/>
        <v>14678343.58</v>
      </c>
      <c r="L1838" s="45"/>
      <c r="M1838" s="24">
        <v>45959.0</v>
      </c>
    </row>
    <row r="1839" ht="15.75" customHeight="1">
      <c r="A1839" s="115">
        <v>45954.0</v>
      </c>
      <c r="B1839" s="50"/>
      <c r="C1839" s="31" t="s">
        <v>1635</v>
      </c>
      <c r="D1839" s="32" t="s">
        <v>15</v>
      </c>
      <c r="E1839" s="31" t="s">
        <v>2036</v>
      </c>
      <c r="F1839" s="161">
        <v>45955.0</v>
      </c>
      <c r="G1839" s="53">
        <v>7746464.58</v>
      </c>
      <c r="H1839" s="14">
        <f t="shared" si="9"/>
        <v>1626757.562</v>
      </c>
      <c r="I1839" s="22"/>
      <c r="J1839" s="14"/>
      <c r="K1839" s="15">
        <f t="shared" si="4"/>
        <v>9373222.142</v>
      </c>
      <c r="L1839" s="45"/>
      <c r="M1839" s="24">
        <v>45960.0</v>
      </c>
    </row>
    <row r="1840" ht="15.75" customHeight="1">
      <c r="A1840" s="115">
        <v>45954.0</v>
      </c>
      <c r="B1840" s="50"/>
      <c r="C1840" s="31" t="s">
        <v>1635</v>
      </c>
      <c r="D1840" s="32" t="s">
        <v>15</v>
      </c>
      <c r="E1840" s="31" t="s">
        <v>2037</v>
      </c>
      <c r="F1840" s="161">
        <v>45955.0</v>
      </c>
      <c r="G1840" s="53">
        <v>8827263.09</v>
      </c>
      <c r="H1840" s="14">
        <f t="shared" si="9"/>
        <v>1853725.249</v>
      </c>
      <c r="I1840" s="22"/>
      <c r="J1840" s="14"/>
      <c r="K1840" s="15">
        <f t="shared" si="4"/>
        <v>10680988.34</v>
      </c>
      <c r="L1840" s="45"/>
      <c r="M1840" s="24">
        <v>45960.0</v>
      </c>
    </row>
    <row r="1841" ht="15.75" customHeight="1">
      <c r="A1841" s="115">
        <v>45954.0</v>
      </c>
      <c r="B1841" s="50"/>
      <c r="C1841" s="31" t="s">
        <v>1635</v>
      </c>
      <c r="D1841" s="32" t="s">
        <v>15</v>
      </c>
      <c r="E1841" s="32" t="s">
        <v>2038</v>
      </c>
      <c r="F1841" s="161">
        <v>45955.0</v>
      </c>
      <c r="G1841" s="53">
        <v>8337463.42</v>
      </c>
      <c r="H1841" s="14">
        <f t="shared" si="9"/>
        <v>1750867.318</v>
      </c>
      <c r="I1841" s="22">
        <v>250123.9</v>
      </c>
      <c r="J1841" s="14"/>
      <c r="K1841" s="15">
        <f t="shared" si="4"/>
        <v>10338454.64</v>
      </c>
      <c r="L1841" s="45"/>
      <c r="M1841" s="24">
        <v>45960.0</v>
      </c>
    </row>
    <row r="1842" ht="15.75" customHeight="1">
      <c r="A1842" s="115">
        <v>45954.0</v>
      </c>
      <c r="B1842" s="50"/>
      <c r="C1842" s="31" t="s">
        <v>1635</v>
      </c>
      <c r="D1842" s="32" t="s">
        <v>15</v>
      </c>
      <c r="E1842" s="32" t="s">
        <v>2039</v>
      </c>
      <c r="F1842" s="161">
        <v>45955.0</v>
      </c>
      <c r="G1842" s="53">
        <v>6464633.09</v>
      </c>
      <c r="H1842" s="14">
        <f t="shared" si="9"/>
        <v>1357572.949</v>
      </c>
      <c r="I1842" s="22">
        <v>193938.99</v>
      </c>
      <c r="J1842" s="14"/>
      <c r="K1842" s="15">
        <f t="shared" si="4"/>
        <v>8016145.029</v>
      </c>
      <c r="L1842" s="45"/>
      <c r="M1842" s="24">
        <v>45960.0</v>
      </c>
    </row>
    <row r="1843" ht="15.75" customHeight="1">
      <c r="A1843" s="177">
        <v>45954.0</v>
      </c>
      <c r="B1843" s="56"/>
      <c r="C1843" s="57" t="s">
        <v>2040</v>
      </c>
      <c r="D1843" s="57" t="s">
        <v>1901</v>
      </c>
      <c r="E1843" s="58" t="s">
        <v>2041</v>
      </c>
      <c r="F1843" s="165">
        <v>45955.0</v>
      </c>
      <c r="G1843" s="65">
        <v>3.000080743E7</v>
      </c>
      <c r="H1843" s="9">
        <f t="shared" si="9"/>
        <v>6300169.56</v>
      </c>
      <c r="I1843" s="44"/>
      <c r="J1843" s="60"/>
      <c r="K1843" s="10">
        <f t="shared" si="4"/>
        <v>36300976.99</v>
      </c>
      <c r="L1843" s="61"/>
      <c r="M1843" s="62"/>
    </row>
    <row r="1844" ht="15.75" customHeight="1">
      <c r="A1844" s="177">
        <v>45954.0</v>
      </c>
      <c r="B1844" s="56"/>
      <c r="C1844" s="57" t="s">
        <v>1402</v>
      </c>
      <c r="D1844" s="57" t="s">
        <v>1901</v>
      </c>
      <c r="E1844" s="58" t="s">
        <v>2042</v>
      </c>
      <c r="F1844" s="165">
        <v>45955.0</v>
      </c>
      <c r="G1844" s="65">
        <v>3.000077145E7</v>
      </c>
      <c r="H1844" s="9">
        <f t="shared" si="9"/>
        <v>6300162.005</v>
      </c>
      <c r="I1844" s="56"/>
      <c r="J1844" s="60"/>
      <c r="K1844" s="10">
        <f t="shared" si="4"/>
        <v>36300933.45</v>
      </c>
      <c r="L1844" s="61"/>
      <c r="M1844" s="62"/>
    </row>
    <row r="1845" ht="15.75" customHeight="1">
      <c r="A1845" s="177">
        <v>45954.0</v>
      </c>
      <c r="B1845" s="56"/>
      <c r="C1845" s="57" t="s">
        <v>1903</v>
      </c>
      <c r="D1845" s="57" t="s">
        <v>1901</v>
      </c>
      <c r="E1845" s="58" t="s">
        <v>2043</v>
      </c>
      <c r="F1845" s="165">
        <v>45955.0</v>
      </c>
      <c r="G1845" s="65">
        <v>1.500095886E7</v>
      </c>
      <c r="H1845" s="9">
        <f t="shared" si="9"/>
        <v>3150201.361</v>
      </c>
      <c r="I1845" s="56"/>
      <c r="J1845" s="60"/>
      <c r="K1845" s="10">
        <f t="shared" si="4"/>
        <v>18151160.22</v>
      </c>
      <c r="L1845" s="61"/>
      <c r="M1845" s="62"/>
    </row>
    <row r="1846" ht="15.75" customHeight="1">
      <c r="A1846" s="177">
        <v>45954.0</v>
      </c>
      <c r="B1846" s="56"/>
      <c r="C1846" s="57" t="s">
        <v>1248</v>
      </c>
      <c r="D1846" s="57" t="s">
        <v>1901</v>
      </c>
      <c r="E1846" s="58" t="s">
        <v>2044</v>
      </c>
      <c r="F1846" s="165">
        <v>45955.0</v>
      </c>
      <c r="G1846" s="65">
        <v>1.500071097E7</v>
      </c>
      <c r="H1846" s="9">
        <f t="shared" si="9"/>
        <v>3150149.304</v>
      </c>
      <c r="I1846" s="56"/>
      <c r="J1846" s="60"/>
      <c r="K1846" s="10">
        <f t="shared" si="4"/>
        <v>18150860.27</v>
      </c>
      <c r="L1846" s="61"/>
      <c r="M1846" s="62"/>
    </row>
    <row r="1847" ht="15.75" customHeight="1">
      <c r="A1847" s="177">
        <v>45954.0</v>
      </c>
      <c r="B1847" s="56"/>
      <c r="C1847" s="57" t="s">
        <v>1533</v>
      </c>
      <c r="D1847" s="57" t="s">
        <v>1901</v>
      </c>
      <c r="E1847" s="58" t="s">
        <v>2045</v>
      </c>
      <c r="F1847" s="165">
        <v>45955.0</v>
      </c>
      <c r="G1847" s="65">
        <v>1.400179797E7</v>
      </c>
      <c r="H1847" s="9">
        <f t="shared" si="9"/>
        <v>2940377.574</v>
      </c>
      <c r="I1847" s="56"/>
      <c r="J1847" s="60"/>
      <c r="K1847" s="10">
        <f t="shared" si="4"/>
        <v>16942175.54</v>
      </c>
      <c r="L1847" s="61"/>
      <c r="M1847" s="62"/>
    </row>
    <row r="1848" ht="15.75" customHeight="1">
      <c r="A1848" s="115">
        <v>45957.0</v>
      </c>
      <c r="B1848" s="50"/>
      <c r="C1848" s="31" t="s">
        <v>1285</v>
      </c>
      <c r="D1848" s="32" t="s">
        <v>15</v>
      </c>
      <c r="E1848" s="31" t="s">
        <v>2046</v>
      </c>
      <c r="F1848" s="161">
        <v>45955.0</v>
      </c>
      <c r="G1848" s="53">
        <v>3010942.51</v>
      </c>
      <c r="H1848" s="14">
        <f t="shared" si="9"/>
        <v>632297.9271</v>
      </c>
      <c r="I1848" s="50"/>
      <c r="J1848" s="14"/>
      <c r="K1848" s="15">
        <f t="shared" si="4"/>
        <v>3643240.437</v>
      </c>
      <c r="L1848" s="45"/>
      <c r="M1848" s="24">
        <v>45958.0</v>
      </c>
    </row>
    <row r="1849" ht="15.75" customHeight="1">
      <c r="A1849" s="115">
        <v>45957.0</v>
      </c>
      <c r="B1849" s="50"/>
      <c r="C1849" s="31" t="s">
        <v>231</v>
      </c>
      <c r="D1849" s="32" t="s">
        <v>15</v>
      </c>
      <c r="E1849" s="31" t="s">
        <v>2047</v>
      </c>
      <c r="F1849" s="161">
        <v>45955.0</v>
      </c>
      <c r="G1849" s="53">
        <v>4107985.06</v>
      </c>
      <c r="H1849" s="14">
        <f t="shared" si="9"/>
        <v>862676.8626</v>
      </c>
      <c r="I1849" s="22">
        <v>123239.55</v>
      </c>
      <c r="J1849" s="22">
        <v>12323.96</v>
      </c>
      <c r="K1849" s="15">
        <f t="shared" si="4"/>
        <v>5106225.433</v>
      </c>
      <c r="L1849" s="45"/>
      <c r="M1849" s="6"/>
    </row>
    <row r="1850" ht="15.75" customHeight="1">
      <c r="A1850" s="115">
        <v>45958.0</v>
      </c>
      <c r="B1850" s="50"/>
      <c r="C1850" s="31" t="s">
        <v>2004</v>
      </c>
      <c r="D1850" s="32" t="s">
        <v>15</v>
      </c>
      <c r="E1850" s="32" t="s">
        <v>2048</v>
      </c>
      <c r="F1850" s="161">
        <v>45955.0</v>
      </c>
      <c r="G1850" s="53">
        <v>2.071058043E7</v>
      </c>
      <c r="H1850" s="14">
        <f t="shared" si="9"/>
        <v>4349221.89</v>
      </c>
      <c r="I1850" s="22">
        <v>621317.41</v>
      </c>
      <c r="J1850" s="14"/>
      <c r="K1850" s="15">
        <f t="shared" si="4"/>
        <v>25681119.73</v>
      </c>
      <c r="L1850" s="45"/>
      <c r="M1850" s="6"/>
    </row>
    <row r="1851" ht="15.75" customHeight="1">
      <c r="A1851" s="115">
        <v>45958.0</v>
      </c>
      <c r="B1851" s="50"/>
      <c r="C1851" s="31" t="s">
        <v>2004</v>
      </c>
      <c r="D1851" s="32" t="s">
        <v>15</v>
      </c>
      <c r="E1851" s="31" t="s">
        <v>2049</v>
      </c>
      <c r="F1851" s="161">
        <v>45955.0</v>
      </c>
      <c r="G1851" s="53">
        <v>1.538248015E7</v>
      </c>
      <c r="H1851" s="14">
        <f t="shared" si="9"/>
        <v>3230320.832</v>
      </c>
      <c r="I1851" s="22">
        <v>461474.4</v>
      </c>
      <c r="J1851" s="14"/>
      <c r="K1851" s="15">
        <f t="shared" si="4"/>
        <v>19074275.38</v>
      </c>
      <c r="L1851" s="45"/>
      <c r="M1851" s="6"/>
    </row>
    <row r="1852" ht="15.75" customHeight="1">
      <c r="A1852" s="115">
        <v>45958.0</v>
      </c>
      <c r="B1852" s="50"/>
      <c r="C1852" s="31" t="s">
        <v>2004</v>
      </c>
      <c r="D1852" s="32" t="s">
        <v>15</v>
      </c>
      <c r="E1852" s="31" t="s">
        <v>2050</v>
      </c>
      <c r="F1852" s="161">
        <v>45955.0</v>
      </c>
      <c r="G1852" s="53">
        <v>1.355135015E7</v>
      </c>
      <c r="H1852" s="14">
        <f t="shared" si="9"/>
        <v>2845783.532</v>
      </c>
      <c r="I1852" s="22">
        <v>406540.5</v>
      </c>
      <c r="J1852" s="14"/>
      <c r="K1852" s="15">
        <f t="shared" si="4"/>
        <v>16803674.18</v>
      </c>
      <c r="L1852" s="45"/>
      <c r="M1852" s="6"/>
    </row>
    <row r="1853" ht="15.75" customHeight="1">
      <c r="A1853" s="177">
        <v>45958.0</v>
      </c>
      <c r="B1853" s="56"/>
      <c r="C1853" s="141" t="s">
        <v>969</v>
      </c>
      <c r="D1853" s="57" t="s">
        <v>2051</v>
      </c>
      <c r="E1853" s="58" t="s">
        <v>2052</v>
      </c>
      <c r="F1853" s="165">
        <v>45955.0</v>
      </c>
      <c r="G1853" s="65">
        <v>7572862.4</v>
      </c>
      <c r="H1853" s="9">
        <f t="shared" si="9"/>
        <v>1590301.104</v>
      </c>
      <c r="I1853" s="44"/>
      <c r="J1853" s="60"/>
      <c r="K1853" s="10">
        <f t="shared" si="4"/>
        <v>9163163.504</v>
      </c>
      <c r="L1853" s="61"/>
      <c r="M1853" s="62"/>
    </row>
    <row r="1854" ht="15.75" customHeight="1">
      <c r="A1854" s="177">
        <v>45958.0</v>
      </c>
      <c r="B1854" s="56"/>
      <c r="C1854" s="141" t="s">
        <v>969</v>
      </c>
      <c r="D1854" s="57" t="s">
        <v>2051</v>
      </c>
      <c r="E1854" s="58" t="s">
        <v>2053</v>
      </c>
      <c r="F1854" s="165">
        <v>45955.0</v>
      </c>
      <c r="G1854" s="65">
        <v>9225415.0</v>
      </c>
      <c r="H1854" s="9">
        <f t="shared" si="9"/>
        <v>1937337.15</v>
      </c>
      <c r="I1854" s="44"/>
      <c r="J1854" s="60"/>
      <c r="K1854" s="10">
        <f t="shared" si="4"/>
        <v>11162752.15</v>
      </c>
      <c r="L1854" s="61"/>
      <c r="M1854" s="62"/>
    </row>
    <row r="1855" ht="15.75" customHeight="1">
      <c r="A1855" s="115">
        <v>45959.0</v>
      </c>
      <c r="B1855" s="50"/>
      <c r="C1855" s="31" t="s">
        <v>2054</v>
      </c>
      <c r="D1855" s="32" t="s">
        <v>1867</v>
      </c>
      <c r="E1855" s="31" t="s">
        <v>2055</v>
      </c>
      <c r="F1855" s="161">
        <v>45955.0</v>
      </c>
      <c r="G1855" s="53">
        <v>2.201289E7</v>
      </c>
      <c r="H1855" s="14">
        <f t="shared" si="9"/>
        <v>4622706.9</v>
      </c>
      <c r="I1855" s="22"/>
      <c r="J1855" s="22">
        <v>220128.9</v>
      </c>
      <c r="K1855" s="15">
        <f t="shared" si="4"/>
        <v>26855725.8</v>
      </c>
      <c r="L1855" s="45"/>
      <c r="M1855" s="6"/>
    </row>
    <row r="1856" ht="15.75" customHeight="1">
      <c r="A1856" s="177">
        <v>45959.0</v>
      </c>
      <c r="B1856" s="56"/>
      <c r="C1856" s="57" t="s">
        <v>2054</v>
      </c>
      <c r="D1856" s="58" t="s">
        <v>1872</v>
      </c>
      <c r="E1856" s="57">
        <v>2.00000057E8</v>
      </c>
      <c r="F1856" s="165">
        <v>45955.0</v>
      </c>
      <c r="G1856" s="65">
        <v>3.5047586E7</v>
      </c>
      <c r="H1856" s="9">
        <f t="shared" si="9"/>
        <v>7359993.06</v>
      </c>
      <c r="I1856" s="44">
        <v>1051427.58</v>
      </c>
      <c r="J1856" s="44">
        <v>350475.86</v>
      </c>
      <c r="K1856" s="10">
        <f t="shared" si="4"/>
        <v>43809482.5</v>
      </c>
      <c r="L1856" s="61"/>
      <c r="M1856" s="62"/>
    </row>
    <row r="1857" ht="15.75" customHeight="1">
      <c r="A1857" s="115">
        <v>45960.0</v>
      </c>
      <c r="B1857" s="50"/>
      <c r="C1857" s="31" t="s">
        <v>2004</v>
      </c>
      <c r="D1857" s="32" t="s">
        <v>15</v>
      </c>
      <c r="E1857" s="31" t="s">
        <v>2056</v>
      </c>
      <c r="F1857" s="161">
        <v>45955.0</v>
      </c>
      <c r="G1857" s="53">
        <v>-2.071058043E7</v>
      </c>
      <c r="H1857" s="14">
        <f t="shared" si="9"/>
        <v>-4349221.89</v>
      </c>
      <c r="I1857" s="22">
        <v>-621317.41</v>
      </c>
      <c r="J1857" s="14"/>
      <c r="K1857" s="15">
        <f t="shared" si="4"/>
        <v>-25681119.73</v>
      </c>
      <c r="L1857" s="45"/>
      <c r="M1857" s="6"/>
    </row>
    <row r="1858" ht="15.75" customHeight="1">
      <c r="A1858" s="115">
        <v>45960.0</v>
      </c>
      <c r="B1858" s="50"/>
      <c r="C1858" s="31" t="s">
        <v>2004</v>
      </c>
      <c r="D1858" s="32" t="s">
        <v>15</v>
      </c>
      <c r="E1858" s="31" t="s">
        <v>2057</v>
      </c>
      <c r="F1858" s="161">
        <v>45955.0</v>
      </c>
      <c r="G1858" s="53">
        <v>-1.355135015E7</v>
      </c>
      <c r="H1858" s="14">
        <f t="shared" si="9"/>
        <v>-2845783.532</v>
      </c>
      <c r="I1858" s="22">
        <v>-406540.5</v>
      </c>
      <c r="J1858" s="14"/>
      <c r="K1858" s="15">
        <f t="shared" si="4"/>
        <v>-16803674.18</v>
      </c>
      <c r="L1858" s="45"/>
      <c r="M1858" s="6"/>
    </row>
    <row r="1859" ht="15.75" customHeight="1">
      <c r="A1859" s="115">
        <v>45960.0</v>
      </c>
      <c r="B1859" s="50"/>
      <c r="C1859" s="31" t="s">
        <v>2004</v>
      </c>
      <c r="D1859" s="32" t="s">
        <v>15</v>
      </c>
      <c r="E1859" s="31" t="s">
        <v>2058</v>
      </c>
      <c r="F1859" s="161">
        <v>45955.0</v>
      </c>
      <c r="G1859" s="53">
        <v>-1.538248015E7</v>
      </c>
      <c r="H1859" s="14">
        <f t="shared" si="9"/>
        <v>-3230320.832</v>
      </c>
      <c r="I1859" s="22">
        <v>-461474.4</v>
      </c>
      <c r="J1859" s="14"/>
      <c r="K1859" s="15">
        <f t="shared" si="4"/>
        <v>-19074275.38</v>
      </c>
      <c r="L1859" s="45"/>
      <c r="M1859" s="6"/>
    </row>
    <row r="1860" ht="15.75" customHeight="1">
      <c r="A1860" s="177">
        <v>45960.0</v>
      </c>
      <c r="B1860" s="56"/>
      <c r="C1860" s="58" t="s">
        <v>2059</v>
      </c>
      <c r="D1860" s="58" t="s">
        <v>15</v>
      </c>
      <c r="E1860" s="58" t="s">
        <v>2060</v>
      </c>
      <c r="F1860" s="165">
        <v>45955.0</v>
      </c>
      <c r="G1860" s="65">
        <v>1.08402467E7</v>
      </c>
      <c r="H1860" s="9">
        <f t="shared" si="9"/>
        <v>2276451.807</v>
      </c>
      <c r="I1860" s="44">
        <v>325207.4</v>
      </c>
      <c r="J1860" s="44">
        <v>54201.23</v>
      </c>
      <c r="K1860" s="10">
        <f t="shared" si="4"/>
        <v>13496107.14</v>
      </c>
      <c r="L1860" s="61"/>
      <c r="M1860" s="62"/>
    </row>
    <row r="1861" ht="15.75" customHeight="1">
      <c r="A1861" s="115">
        <v>45960.0</v>
      </c>
      <c r="B1861" s="50"/>
      <c r="C1861" s="32" t="s">
        <v>111</v>
      </c>
      <c r="D1861" s="32" t="s">
        <v>15</v>
      </c>
      <c r="E1861" s="32" t="s">
        <v>2061</v>
      </c>
      <c r="F1861" s="161">
        <v>45955.0</v>
      </c>
      <c r="G1861" s="53">
        <v>1.198963206E7</v>
      </c>
      <c r="H1861" s="14">
        <f t="shared" si="9"/>
        <v>2517822.733</v>
      </c>
      <c r="I1861" s="22"/>
      <c r="J1861" s="14"/>
      <c r="K1861" s="15">
        <f t="shared" si="4"/>
        <v>14507454.79</v>
      </c>
      <c r="L1861" s="45"/>
      <c r="M1861" s="24">
        <v>45973.0</v>
      </c>
    </row>
    <row r="1862" ht="15.75" customHeight="1">
      <c r="A1862" s="115">
        <v>45960.0</v>
      </c>
      <c r="B1862" s="50"/>
      <c r="C1862" s="32" t="s">
        <v>2062</v>
      </c>
      <c r="D1862" s="32" t="s">
        <v>15</v>
      </c>
      <c r="E1862" s="32" t="s">
        <v>2063</v>
      </c>
      <c r="F1862" s="161">
        <v>45955.0</v>
      </c>
      <c r="G1862" s="53">
        <v>5135352.0</v>
      </c>
      <c r="H1862" s="14">
        <f t="shared" si="9"/>
        <v>1078423.92</v>
      </c>
      <c r="I1862" s="22"/>
      <c r="J1862" s="14"/>
      <c r="K1862" s="15">
        <f t="shared" si="4"/>
        <v>6213775.92</v>
      </c>
      <c r="L1862" s="45"/>
      <c r="M1862" s="6"/>
    </row>
    <row r="1863" ht="15.75" customHeight="1">
      <c r="A1863" s="115">
        <v>45960.0</v>
      </c>
      <c r="B1863" s="50"/>
      <c r="C1863" s="32" t="s">
        <v>2062</v>
      </c>
      <c r="D1863" s="32" t="s">
        <v>15</v>
      </c>
      <c r="E1863" s="32" t="s">
        <v>2064</v>
      </c>
      <c r="F1863" s="161">
        <v>45955.0</v>
      </c>
      <c r="G1863" s="53">
        <v>1.282727615E7</v>
      </c>
      <c r="H1863" s="14">
        <f t="shared" si="9"/>
        <v>2693727.992</v>
      </c>
      <c r="I1863" s="22">
        <v>384818.28</v>
      </c>
      <c r="J1863" s="22">
        <v>102618.21</v>
      </c>
      <c r="K1863" s="15">
        <f t="shared" si="4"/>
        <v>16008440.63</v>
      </c>
      <c r="L1863" s="45"/>
      <c r="M1863" s="6"/>
    </row>
    <row r="1864" ht="15.75" customHeight="1">
      <c r="A1864" s="115">
        <v>45960.0</v>
      </c>
      <c r="B1864" s="50"/>
      <c r="C1864" s="32" t="s">
        <v>2062</v>
      </c>
      <c r="D1864" s="32" t="s">
        <v>15</v>
      </c>
      <c r="E1864" s="32" t="s">
        <v>2065</v>
      </c>
      <c r="F1864" s="161">
        <v>45955.0</v>
      </c>
      <c r="G1864" s="53">
        <v>1.033828209E7</v>
      </c>
      <c r="H1864" s="14">
        <f t="shared" si="9"/>
        <v>2171039.239</v>
      </c>
      <c r="I1864" s="22"/>
      <c r="J1864" s="22">
        <v>82706.26</v>
      </c>
      <c r="K1864" s="15">
        <f t="shared" si="4"/>
        <v>12592027.59</v>
      </c>
      <c r="L1864" s="45"/>
      <c r="M1864" s="6"/>
    </row>
    <row r="1865" ht="15.75" customHeight="1">
      <c r="A1865" s="115">
        <v>45960.0</v>
      </c>
      <c r="B1865" s="50"/>
      <c r="C1865" s="32" t="s">
        <v>111</v>
      </c>
      <c r="D1865" s="32" t="s">
        <v>15</v>
      </c>
      <c r="E1865" s="32" t="s">
        <v>2066</v>
      </c>
      <c r="F1865" s="161">
        <v>45955.0</v>
      </c>
      <c r="G1865" s="53">
        <v>1.574569152E7</v>
      </c>
      <c r="H1865" s="14">
        <f t="shared" si="9"/>
        <v>3306595.219</v>
      </c>
      <c r="I1865" s="22"/>
      <c r="J1865" s="14"/>
      <c r="K1865" s="15">
        <f t="shared" si="4"/>
        <v>19052286.74</v>
      </c>
      <c r="L1865" s="45"/>
      <c r="M1865" s="24">
        <v>45973.0</v>
      </c>
    </row>
    <row r="1866" ht="15.75" customHeight="1">
      <c r="A1866" s="177">
        <v>45960.0</v>
      </c>
      <c r="B1866" s="56"/>
      <c r="C1866" s="58" t="s">
        <v>2059</v>
      </c>
      <c r="D1866" s="58" t="s">
        <v>15</v>
      </c>
      <c r="E1866" s="58" t="s">
        <v>2067</v>
      </c>
      <c r="F1866" s="165">
        <v>45955.0</v>
      </c>
      <c r="G1866" s="65">
        <v>1.208522149E7</v>
      </c>
      <c r="H1866" s="9">
        <f t="shared" si="9"/>
        <v>2537896.513</v>
      </c>
      <c r="I1866" s="44">
        <v>362556.64</v>
      </c>
      <c r="J1866" s="44">
        <v>60426.11</v>
      </c>
      <c r="K1866" s="10">
        <f t="shared" si="4"/>
        <v>15046100.75</v>
      </c>
      <c r="L1866" s="61"/>
      <c r="M1866" s="62"/>
    </row>
    <row r="1867" ht="15.75" customHeight="1">
      <c r="A1867" s="115">
        <v>45960.0</v>
      </c>
      <c r="B1867" s="50"/>
      <c r="C1867" s="32" t="s">
        <v>2068</v>
      </c>
      <c r="D1867" s="32" t="s">
        <v>15</v>
      </c>
      <c r="E1867" s="32" t="s">
        <v>2069</v>
      </c>
      <c r="F1867" s="161">
        <v>45955.0</v>
      </c>
      <c r="G1867" s="53">
        <v>1.735537109E7</v>
      </c>
      <c r="H1867" s="14">
        <f t="shared" si="9"/>
        <v>3644627.929</v>
      </c>
      <c r="I1867" s="22">
        <v>520661.13</v>
      </c>
      <c r="J1867" s="14"/>
      <c r="K1867" s="15">
        <f t="shared" si="4"/>
        <v>21520660.15</v>
      </c>
      <c r="L1867" s="45"/>
      <c r="M1867" s="24">
        <v>45968.0</v>
      </c>
    </row>
    <row r="1868" ht="15.75" customHeight="1">
      <c r="A1868" s="115">
        <v>45960.0</v>
      </c>
      <c r="B1868" s="50"/>
      <c r="C1868" s="32" t="s">
        <v>2070</v>
      </c>
      <c r="D1868" s="32" t="s">
        <v>15</v>
      </c>
      <c r="E1868" s="32" t="s">
        <v>2071</v>
      </c>
      <c r="F1868" s="161">
        <v>45955.0</v>
      </c>
      <c r="G1868" s="53">
        <v>5002470.85</v>
      </c>
      <c r="H1868" s="14">
        <f t="shared" si="9"/>
        <v>1050518.879</v>
      </c>
      <c r="I1868" s="22"/>
      <c r="J1868" s="14"/>
      <c r="K1868" s="15">
        <f t="shared" si="4"/>
        <v>6052989.729</v>
      </c>
      <c r="L1868" s="45"/>
      <c r="M1868" s="6"/>
    </row>
    <row r="1869" ht="15.75" customHeight="1">
      <c r="A1869" s="177">
        <v>45960.0</v>
      </c>
      <c r="B1869" s="56"/>
      <c r="C1869" s="58" t="s">
        <v>2059</v>
      </c>
      <c r="D1869" s="58" t="s">
        <v>15</v>
      </c>
      <c r="E1869" s="58" t="s">
        <v>2072</v>
      </c>
      <c r="F1869" s="165">
        <v>45955.0</v>
      </c>
      <c r="G1869" s="65">
        <v>1.236737068E7</v>
      </c>
      <c r="H1869" s="9">
        <f t="shared" si="9"/>
        <v>2597147.843</v>
      </c>
      <c r="I1869" s="44">
        <v>371021.12</v>
      </c>
      <c r="J1869" s="44">
        <v>61836.85</v>
      </c>
      <c r="K1869" s="10">
        <f t="shared" si="4"/>
        <v>15397376.49</v>
      </c>
      <c r="L1869" s="61"/>
      <c r="M1869" s="62"/>
    </row>
    <row r="1870" ht="15.75" customHeight="1">
      <c r="A1870" s="177">
        <v>45960.0</v>
      </c>
      <c r="B1870" s="56"/>
      <c r="C1870" s="58" t="s">
        <v>2059</v>
      </c>
      <c r="D1870" s="58" t="s">
        <v>15</v>
      </c>
      <c r="E1870" s="58" t="s">
        <v>2073</v>
      </c>
      <c r="F1870" s="165">
        <v>45955.0</v>
      </c>
      <c r="G1870" s="65">
        <v>1.236737068E7</v>
      </c>
      <c r="H1870" s="9">
        <f t="shared" si="9"/>
        <v>2597147.843</v>
      </c>
      <c r="I1870" s="44">
        <v>371021.12</v>
      </c>
      <c r="J1870" s="44">
        <v>61836.85</v>
      </c>
      <c r="K1870" s="10">
        <f t="shared" si="4"/>
        <v>15397376.49</v>
      </c>
      <c r="L1870" s="61"/>
      <c r="M1870" s="62"/>
    </row>
    <row r="1871" ht="15.75" customHeight="1">
      <c r="A1871" s="115">
        <v>45960.0</v>
      </c>
      <c r="B1871" s="50"/>
      <c r="C1871" s="32" t="s">
        <v>2062</v>
      </c>
      <c r="D1871" s="32" t="s">
        <v>15</v>
      </c>
      <c r="E1871" s="32" t="s">
        <v>2074</v>
      </c>
      <c r="F1871" s="161">
        <v>45955.0</v>
      </c>
      <c r="G1871" s="53">
        <v>1.525254209E7</v>
      </c>
      <c r="H1871" s="14">
        <f t="shared" si="9"/>
        <v>3203033.839</v>
      </c>
      <c r="I1871" s="22">
        <v>457576.26</v>
      </c>
      <c r="J1871" s="22">
        <v>122020.34</v>
      </c>
      <c r="K1871" s="15">
        <f t="shared" si="4"/>
        <v>19035172.53</v>
      </c>
      <c r="L1871" s="45"/>
      <c r="M1871" s="6"/>
    </row>
    <row r="1872" ht="15.75" customHeight="1">
      <c r="A1872" s="115">
        <v>45960.0</v>
      </c>
      <c r="B1872" s="50"/>
      <c r="C1872" s="32" t="s">
        <v>1183</v>
      </c>
      <c r="D1872" s="32" t="s">
        <v>15</v>
      </c>
      <c r="E1872" s="32" t="s">
        <v>2075</v>
      </c>
      <c r="F1872" s="161">
        <v>45955.0</v>
      </c>
      <c r="G1872" s="53">
        <v>1.538248015E7</v>
      </c>
      <c r="H1872" s="14">
        <f t="shared" si="9"/>
        <v>3230320.832</v>
      </c>
      <c r="I1872" s="22">
        <v>461474.4</v>
      </c>
      <c r="J1872" s="14"/>
      <c r="K1872" s="15">
        <f t="shared" si="4"/>
        <v>19074275.38</v>
      </c>
      <c r="L1872" s="45"/>
      <c r="M1872" s="24">
        <v>45961.0</v>
      </c>
    </row>
    <row r="1873" ht="15.75" customHeight="1">
      <c r="A1873" s="115">
        <v>45960.0</v>
      </c>
      <c r="B1873" s="50"/>
      <c r="C1873" s="32" t="s">
        <v>1183</v>
      </c>
      <c r="D1873" s="32" t="s">
        <v>15</v>
      </c>
      <c r="E1873" s="32" t="s">
        <v>2076</v>
      </c>
      <c r="F1873" s="161">
        <v>45955.0</v>
      </c>
      <c r="G1873" s="53">
        <v>2.071058043E7</v>
      </c>
      <c r="H1873" s="14">
        <f t="shared" si="9"/>
        <v>4349221.89</v>
      </c>
      <c r="I1873" s="22">
        <v>621317.41</v>
      </c>
      <c r="J1873" s="14"/>
      <c r="K1873" s="15">
        <f t="shared" si="4"/>
        <v>25681119.73</v>
      </c>
      <c r="L1873" s="45"/>
      <c r="M1873" s="24">
        <v>45961.0</v>
      </c>
    </row>
    <row r="1874" ht="15.75" customHeight="1">
      <c r="A1874" s="115">
        <v>45960.0</v>
      </c>
      <c r="B1874" s="50"/>
      <c r="C1874" s="32" t="s">
        <v>2062</v>
      </c>
      <c r="D1874" s="32" t="s">
        <v>15</v>
      </c>
      <c r="E1874" s="32" t="s">
        <v>2077</v>
      </c>
      <c r="F1874" s="161">
        <v>45955.0</v>
      </c>
      <c r="G1874" s="53">
        <v>1.417272509E7</v>
      </c>
      <c r="H1874" s="14">
        <f t="shared" si="9"/>
        <v>2976272.269</v>
      </c>
      <c r="I1874" s="22">
        <v>425181.75</v>
      </c>
      <c r="J1874" s="22">
        <v>113381.8</v>
      </c>
      <c r="K1874" s="15">
        <f t="shared" si="4"/>
        <v>17687560.91</v>
      </c>
      <c r="L1874" s="45"/>
      <c r="M1874" s="6"/>
    </row>
    <row r="1875" ht="15.75" customHeight="1">
      <c r="A1875" s="177">
        <v>45960.0</v>
      </c>
      <c r="B1875" s="56"/>
      <c r="C1875" s="58" t="s">
        <v>2059</v>
      </c>
      <c r="D1875" s="58" t="s">
        <v>15</v>
      </c>
      <c r="E1875" s="58" t="s">
        <v>2078</v>
      </c>
      <c r="F1875" s="165">
        <v>45955.0</v>
      </c>
      <c r="G1875" s="65">
        <v>1.270731391E7</v>
      </c>
      <c r="H1875" s="9">
        <f t="shared" si="9"/>
        <v>2668535.921</v>
      </c>
      <c r="I1875" s="44">
        <v>381219.42</v>
      </c>
      <c r="J1875" s="44">
        <v>63536.57</v>
      </c>
      <c r="K1875" s="10">
        <f t="shared" si="4"/>
        <v>15820605.82</v>
      </c>
      <c r="L1875" s="61"/>
      <c r="M1875" s="62"/>
    </row>
    <row r="1876" ht="15.75" customHeight="1">
      <c r="A1876" s="115">
        <v>45960.0</v>
      </c>
      <c r="B1876" s="50"/>
      <c r="C1876" s="32" t="s">
        <v>111</v>
      </c>
      <c r="D1876" s="32" t="s">
        <v>15</v>
      </c>
      <c r="E1876" s="32" t="s">
        <v>2079</v>
      </c>
      <c r="F1876" s="161">
        <v>45955.0</v>
      </c>
      <c r="G1876" s="53">
        <v>1.423847059E7</v>
      </c>
      <c r="H1876" s="14">
        <f t="shared" si="9"/>
        <v>2990078.824</v>
      </c>
      <c r="I1876" s="22"/>
      <c r="J1876" s="14"/>
      <c r="K1876" s="15">
        <f t="shared" si="4"/>
        <v>17228549.41</v>
      </c>
      <c r="L1876" s="45"/>
      <c r="M1876" s="24">
        <v>45973.0</v>
      </c>
    </row>
    <row r="1877" ht="15.75" customHeight="1">
      <c r="A1877" s="115">
        <v>45960.0</v>
      </c>
      <c r="B1877" s="50"/>
      <c r="C1877" s="32" t="s">
        <v>2062</v>
      </c>
      <c r="D1877" s="32" t="s">
        <v>15</v>
      </c>
      <c r="E1877" s="32" t="s">
        <v>2080</v>
      </c>
      <c r="F1877" s="161">
        <v>45955.0</v>
      </c>
      <c r="G1877" s="53">
        <v>8435322.09</v>
      </c>
      <c r="H1877" s="14">
        <f t="shared" si="9"/>
        <v>1771417.639</v>
      </c>
      <c r="I1877" s="22"/>
      <c r="J1877" s="14"/>
      <c r="K1877" s="15">
        <f t="shared" si="4"/>
        <v>10206739.73</v>
      </c>
      <c r="L1877" s="45"/>
      <c r="M1877" s="6"/>
    </row>
    <row r="1878" ht="15.75" customHeight="1">
      <c r="A1878" s="115">
        <v>45960.0</v>
      </c>
      <c r="B1878" s="50"/>
      <c r="C1878" s="32" t="s">
        <v>1183</v>
      </c>
      <c r="D1878" s="32" t="s">
        <v>15</v>
      </c>
      <c r="E1878" s="32" t="s">
        <v>2081</v>
      </c>
      <c r="F1878" s="161">
        <v>45955.0</v>
      </c>
      <c r="G1878" s="53">
        <v>1.355135015E7</v>
      </c>
      <c r="H1878" s="14">
        <f t="shared" si="9"/>
        <v>2845783.532</v>
      </c>
      <c r="I1878" s="22">
        <v>406540.5</v>
      </c>
      <c r="J1878" s="14"/>
      <c r="K1878" s="15">
        <f t="shared" si="4"/>
        <v>16803674.18</v>
      </c>
      <c r="L1878" s="45"/>
      <c r="M1878" s="24">
        <v>45961.0</v>
      </c>
    </row>
    <row r="1879" ht="15.75" customHeight="1">
      <c r="A1879" s="166">
        <v>45960.0</v>
      </c>
      <c r="B1879" s="167"/>
      <c r="C1879" s="169" t="s">
        <v>635</v>
      </c>
      <c r="D1879" s="169" t="s">
        <v>15</v>
      </c>
      <c r="E1879" s="169" t="s">
        <v>2082</v>
      </c>
      <c r="F1879" s="170">
        <v>45955.0</v>
      </c>
      <c r="G1879" s="171">
        <v>8827262.64</v>
      </c>
      <c r="H1879" s="172">
        <f t="shared" si="9"/>
        <v>1853725.154</v>
      </c>
      <c r="I1879" s="173">
        <v>264817.88</v>
      </c>
      <c r="J1879" s="172"/>
      <c r="K1879" s="174">
        <f t="shared" si="4"/>
        <v>10945805.67</v>
      </c>
      <c r="L1879" s="175"/>
      <c r="M1879" s="176"/>
    </row>
    <row r="1880" ht="15.75" customHeight="1">
      <c r="A1880" s="166">
        <v>45960.0</v>
      </c>
      <c r="B1880" s="167"/>
      <c r="C1880" s="169" t="s">
        <v>635</v>
      </c>
      <c r="D1880" s="169" t="s">
        <v>15</v>
      </c>
      <c r="E1880" s="169" t="s">
        <v>2083</v>
      </c>
      <c r="F1880" s="170">
        <v>45955.0</v>
      </c>
      <c r="G1880" s="171">
        <v>9927262.39</v>
      </c>
      <c r="H1880" s="172">
        <f t="shared" si="9"/>
        <v>2084725.102</v>
      </c>
      <c r="I1880" s="173">
        <v>297817.87</v>
      </c>
      <c r="J1880" s="172"/>
      <c r="K1880" s="174">
        <f t="shared" si="4"/>
        <v>12309805.36</v>
      </c>
      <c r="L1880" s="175"/>
      <c r="M1880" s="176"/>
    </row>
    <row r="1881" ht="15.75" customHeight="1">
      <c r="A1881" s="166">
        <v>45960.0</v>
      </c>
      <c r="B1881" s="167"/>
      <c r="C1881" s="169" t="s">
        <v>635</v>
      </c>
      <c r="D1881" s="169" t="s">
        <v>15</v>
      </c>
      <c r="E1881" s="169" t="s">
        <v>2084</v>
      </c>
      <c r="F1881" s="170">
        <v>45955.0</v>
      </c>
      <c r="G1881" s="171">
        <v>1.122378359E7</v>
      </c>
      <c r="H1881" s="172">
        <f t="shared" si="9"/>
        <v>2356994.554</v>
      </c>
      <c r="I1881" s="173">
        <v>336713.51</v>
      </c>
      <c r="J1881" s="172"/>
      <c r="K1881" s="174">
        <f t="shared" si="4"/>
        <v>13917491.65</v>
      </c>
      <c r="L1881" s="175"/>
      <c r="M1881" s="176"/>
    </row>
    <row r="1882" ht="15.75" customHeight="1">
      <c r="A1882" s="166">
        <v>45960.0</v>
      </c>
      <c r="B1882" s="167"/>
      <c r="C1882" s="169" t="s">
        <v>635</v>
      </c>
      <c r="D1882" s="169" t="s">
        <v>15</v>
      </c>
      <c r="E1882" s="169" t="s">
        <v>2085</v>
      </c>
      <c r="F1882" s="170">
        <v>45955.0</v>
      </c>
      <c r="G1882" s="171">
        <v>1.323282829E7</v>
      </c>
      <c r="H1882" s="172">
        <f t="shared" si="9"/>
        <v>2778893.941</v>
      </c>
      <c r="I1882" s="173">
        <v>396984.85</v>
      </c>
      <c r="J1882" s="172"/>
      <c r="K1882" s="174">
        <f t="shared" si="4"/>
        <v>16408707.08</v>
      </c>
      <c r="L1882" s="175"/>
      <c r="M1882" s="176"/>
    </row>
    <row r="1883" ht="15.75" customHeight="1">
      <c r="A1883" s="166">
        <v>45960.0</v>
      </c>
      <c r="B1883" s="167"/>
      <c r="C1883" s="169" t="s">
        <v>635</v>
      </c>
      <c r="D1883" s="169" t="s">
        <v>15</v>
      </c>
      <c r="E1883" s="169" t="s">
        <v>2086</v>
      </c>
      <c r="F1883" s="170">
        <v>45955.0</v>
      </c>
      <c r="G1883" s="171">
        <v>1.200282839E7</v>
      </c>
      <c r="H1883" s="172">
        <f t="shared" si="9"/>
        <v>2520593.962</v>
      </c>
      <c r="I1883" s="173">
        <v>360084.85</v>
      </c>
      <c r="J1883" s="172"/>
      <c r="K1883" s="174">
        <f t="shared" si="4"/>
        <v>14883507.2</v>
      </c>
      <c r="L1883" s="175"/>
      <c r="M1883" s="176"/>
    </row>
    <row r="1884" ht="15.75" customHeight="1">
      <c r="A1884" s="115">
        <v>45960.0</v>
      </c>
      <c r="B1884" s="50"/>
      <c r="C1884" s="32" t="s">
        <v>2087</v>
      </c>
      <c r="D1884" s="32" t="s">
        <v>15</v>
      </c>
      <c r="E1884" s="32" t="s">
        <v>2088</v>
      </c>
      <c r="F1884" s="161">
        <v>45955.0</v>
      </c>
      <c r="G1884" s="53">
        <v>2479338.59</v>
      </c>
      <c r="H1884" s="14">
        <f t="shared" si="9"/>
        <v>520661.1039</v>
      </c>
      <c r="I1884" s="22">
        <v>74380.16</v>
      </c>
      <c r="J1884" s="14"/>
      <c r="K1884" s="15">
        <f t="shared" si="4"/>
        <v>3074379.854</v>
      </c>
      <c r="L1884" s="45"/>
      <c r="M1884" s="24">
        <v>45964.0</v>
      </c>
    </row>
    <row r="1885" ht="15.75" customHeight="1">
      <c r="A1885" s="115">
        <v>45961.0</v>
      </c>
      <c r="B1885" s="50"/>
      <c r="C1885" s="31" t="s">
        <v>247</v>
      </c>
      <c r="D1885" s="32" t="s">
        <v>15</v>
      </c>
      <c r="E1885" s="31" t="s">
        <v>2089</v>
      </c>
      <c r="F1885" s="161">
        <v>45955.0</v>
      </c>
      <c r="G1885" s="53">
        <v>8010842.36</v>
      </c>
      <c r="H1885" s="14">
        <f t="shared" si="9"/>
        <v>1682276.896</v>
      </c>
      <c r="I1885" s="22"/>
      <c r="J1885" s="14"/>
      <c r="K1885" s="15">
        <f t="shared" si="4"/>
        <v>9693119.256</v>
      </c>
      <c r="L1885" s="45"/>
      <c r="M1885" s="6"/>
    </row>
    <row r="1886" ht="15.75" customHeight="1">
      <c r="A1886" s="115">
        <v>45961.0</v>
      </c>
      <c r="B1886" s="50"/>
      <c r="C1886" s="31" t="s">
        <v>1842</v>
      </c>
      <c r="D1886" s="32" t="s">
        <v>15</v>
      </c>
      <c r="E1886" s="31" t="s">
        <v>2090</v>
      </c>
      <c r="F1886" s="161">
        <v>45955.0</v>
      </c>
      <c r="G1886" s="53">
        <v>2.512184263E7</v>
      </c>
      <c r="H1886" s="14">
        <f t="shared" si="9"/>
        <v>5275586.952</v>
      </c>
      <c r="I1886" s="50"/>
      <c r="J1886" s="22"/>
      <c r="K1886" s="15">
        <f t="shared" si="4"/>
        <v>30397429.58</v>
      </c>
      <c r="L1886" s="45"/>
      <c r="M1886" s="24">
        <v>45968.0</v>
      </c>
    </row>
    <row r="1887" ht="15.75" customHeight="1">
      <c r="A1887" s="115">
        <v>45961.0</v>
      </c>
      <c r="B1887" s="50"/>
      <c r="C1887" s="107" t="s">
        <v>2091</v>
      </c>
      <c r="D1887" s="32" t="s">
        <v>99</v>
      </c>
      <c r="E1887" s="31" t="s">
        <v>2092</v>
      </c>
      <c r="F1887" s="161">
        <v>45955.0</v>
      </c>
      <c r="G1887" s="53">
        <v>8153290.23</v>
      </c>
      <c r="H1887" s="14">
        <f t="shared" si="9"/>
        <v>1712190.948</v>
      </c>
      <c r="I1887" s="22">
        <v>244598.71</v>
      </c>
      <c r="J1887" s="22">
        <v>122299.35</v>
      </c>
      <c r="K1887" s="15">
        <f t="shared" si="4"/>
        <v>10232379.24</v>
      </c>
      <c r="L1887" s="45"/>
      <c r="M1887" s="6"/>
    </row>
    <row r="1888" ht="15.75" customHeight="1">
      <c r="A1888" s="115">
        <v>45961.0</v>
      </c>
      <c r="B1888" s="50"/>
      <c r="C1888" s="107" t="s">
        <v>2091</v>
      </c>
      <c r="D1888" s="32" t="s">
        <v>99</v>
      </c>
      <c r="E1888" s="31" t="s">
        <v>2093</v>
      </c>
      <c r="F1888" s="161">
        <v>45955.0</v>
      </c>
      <c r="G1888" s="53">
        <v>9347930.29</v>
      </c>
      <c r="H1888" s="14">
        <f t="shared" si="9"/>
        <v>1963065.361</v>
      </c>
      <c r="I1888" s="22">
        <v>280437.91</v>
      </c>
      <c r="J1888" s="22">
        <v>140218.95</v>
      </c>
      <c r="K1888" s="15">
        <f t="shared" si="4"/>
        <v>11731652.51</v>
      </c>
      <c r="L1888" s="45"/>
      <c r="M1888" s="6"/>
    </row>
    <row r="1889" ht="15.75" customHeight="1">
      <c r="A1889" s="115">
        <v>45961.0</v>
      </c>
      <c r="B1889" s="50"/>
      <c r="C1889" s="107" t="s">
        <v>2091</v>
      </c>
      <c r="D1889" s="32" t="s">
        <v>15</v>
      </c>
      <c r="E1889" s="32" t="s">
        <v>2094</v>
      </c>
      <c r="F1889" s="161">
        <v>45955.0</v>
      </c>
      <c r="G1889" s="53">
        <v>8320980.86</v>
      </c>
      <c r="H1889" s="14">
        <f t="shared" si="9"/>
        <v>1747405.981</v>
      </c>
      <c r="I1889" s="22">
        <v>249629.43</v>
      </c>
      <c r="J1889" s="22">
        <v>124814.71</v>
      </c>
      <c r="K1889" s="15">
        <f t="shared" si="4"/>
        <v>10442830.98</v>
      </c>
      <c r="L1889" s="45"/>
      <c r="M1889" s="6"/>
    </row>
    <row r="1890" ht="15.75" customHeight="1">
      <c r="A1890" s="115">
        <v>45961.0</v>
      </c>
      <c r="B1890" s="50"/>
      <c r="C1890" s="107" t="s">
        <v>2091</v>
      </c>
      <c r="D1890" s="32" t="s">
        <v>15</v>
      </c>
      <c r="E1890" s="31" t="s">
        <v>2095</v>
      </c>
      <c r="F1890" s="161">
        <v>45955.0</v>
      </c>
      <c r="G1890" s="53">
        <v>9180130.39</v>
      </c>
      <c r="H1890" s="14">
        <f t="shared" si="9"/>
        <v>1927827.382</v>
      </c>
      <c r="I1890" s="22">
        <v>275403.91</v>
      </c>
      <c r="J1890" s="22">
        <v>137701.96</v>
      </c>
      <c r="K1890" s="15">
        <f t="shared" si="4"/>
        <v>11521063.64</v>
      </c>
      <c r="L1890" s="45"/>
      <c r="M1890" s="6"/>
    </row>
    <row r="1891" ht="15.75" customHeight="1">
      <c r="A1891" s="115">
        <v>45961.0</v>
      </c>
      <c r="B1891" s="50"/>
      <c r="C1891" s="32" t="s">
        <v>1721</v>
      </c>
      <c r="D1891" s="32" t="s">
        <v>99</v>
      </c>
      <c r="E1891" s="31" t="s">
        <v>2096</v>
      </c>
      <c r="F1891" s="161">
        <v>45955.0</v>
      </c>
      <c r="G1891" s="53">
        <v>8236890.13</v>
      </c>
      <c r="H1891" s="14">
        <f t="shared" si="9"/>
        <v>1729746.927</v>
      </c>
      <c r="I1891" s="22">
        <v>247106.7</v>
      </c>
      <c r="J1891" s="22">
        <v>123553.35</v>
      </c>
      <c r="K1891" s="15">
        <f t="shared" si="4"/>
        <v>10337297.11</v>
      </c>
      <c r="L1891" s="45"/>
      <c r="M1891" s="24">
        <v>45968.0</v>
      </c>
    </row>
    <row r="1892" ht="15.75" customHeight="1">
      <c r="A1892" s="115">
        <v>45961.0</v>
      </c>
      <c r="B1892" s="50"/>
      <c r="C1892" s="32" t="s">
        <v>1721</v>
      </c>
      <c r="D1892" s="32" t="s">
        <v>99</v>
      </c>
      <c r="E1892" s="31" t="s">
        <v>2097</v>
      </c>
      <c r="F1892" s="161">
        <v>45955.0</v>
      </c>
      <c r="G1892" s="53">
        <v>9264520.42</v>
      </c>
      <c r="H1892" s="14">
        <f t="shared" si="9"/>
        <v>1945549.288</v>
      </c>
      <c r="I1892" s="22">
        <v>277935.61</v>
      </c>
      <c r="J1892" s="22">
        <v>138967.81</v>
      </c>
      <c r="K1892" s="15">
        <f t="shared" si="4"/>
        <v>11626973.13</v>
      </c>
      <c r="L1892" s="45"/>
      <c r="M1892" s="24">
        <v>45968.0</v>
      </c>
    </row>
    <row r="1893" ht="15.75" customHeight="1">
      <c r="A1893" s="115">
        <v>45961.0</v>
      </c>
      <c r="B1893" s="50"/>
      <c r="C1893" s="32" t="s">
        <v>1721</v>
      </c>
      <c r="D1893" s="32" t="s">
        <v>15</v>
      </c>
      <c r="E1893" s="31" t="s">
        <v>2098</v>
      </c>
      <c r="F1893" s="161">
        <v>45955.0</v>
      </c>
      <c r="G1893" s="53">
        <v>8759802.36</v>
      </c>
      <c r="H1893" s="14">
        <f t="shared" si="9"/>
        <v>1839558.496</v>
      </c>
      <c r="I1893" s="22">
        <v>262794.07</v>
      </c>
      <c r="J1893" s="22">
        <v>131397.04</v>
      </c>
      <c r="K1893" s="15">
        <f t="shared" si="4"/>
        <v>10993551.97</v>
      </c>
      <c r="L1893" s="45"/>
      <c r="M1893" s="24">
        <v>45967.0</v>
      </c>
    </row>
    <row r="1894" ht="15.75" customHeight="1">
      <c r="A1894" s="115">
        <v>45961.0</v>
      </c>
      <c r="B1894" s="50"/>
      <c r="C1894" s="32" t="s">
        <v>1721</v>
      </c>
      <c r="D1894" s="32" t="s">
        <v>15</v>
      </c>
      <c r="E1894" s="32" t="s">
        <v>2099</v>
      </c>
      <c r="F1894" s="161">
        <v>45955.0</v>
      </c>
      <c r="G1894" s="53">
        <v>8745105.43</v>
      </c>
      <c r="H1894" s="14">
        <f t="shared" si="9"/>
        <v>1836472.14</v>
      </c>
      <c r="I1894" s="22">
        <v>262353.16</v>
      </c>
      <c r="J1894" s="22">
        <v>131176.58</v>
      </c>
      <c r="K1894" s="15">
        <f t="shared" si="4"/>
        <v>10975107.31</v>
      </c>
      <c r="L1894" s="45"/>
      <c r="M1894" s="24">
        <v>45967.0</v>
      </c>
    </row>
    <row r="1895" ht="15.75" customHeight="1">
      <c r="A1895" s="115">
        <v>45961.0</v>
      </c>
      <c r="B1895" s="50"/>
      <c r="C1895" s="31" t="s">
        <v>1725</v>
      </c>
      <c r="D1895" s="32" t="s">
        <v>99</v>
      </c>
      <c r="E1895" s="31" t="s">
        <v>2100</v>
      </c>
      <c r="F1895" s="161">
        <v>45955.0</v>
      </c>
      <c r="G1895" s="53">
        <v>7917520.08</v>
      </c>
      <c r="H1895" s="14">
        <f t="shared" si="9"/>
        <v>1662679.217</v>
      </c>
      <c r="I1895" s="22">
        <v>237525.6</v>
      </c>
      <c r="J1895" s="22">
        <v>395876.0</v>
      </c>
      <c r="K1895" s="15">
        <f t="shared" si="4"/>
        <v>10213600.9</v>
      </c>
      <c r="L1895" s="45"/>
      <c r="M1895" s="24">
        <v>45966.0</v>
      </c>
    </row>
    <row r="1896" ht="15.75" customHeight="1">
      <c r="A1896" s="115">
        <v>45961.0</v>
      </c>
      <c r="B1896" s="50"/>
      <c r="C1896" s="31" t="s">
        <v>1725</v>
      </c>
      <c r="D1896" s="32" t="s">
        <v>99</v>
      </c>
      <c r="E1896" s="31" t="s">
        <v>2101</v>
      </c>
      <c r="F1896" s="161">
        <v>45955.0</v>
      </c>
      <c r="G1896" s="53">
        <v>7083520.13</v>
      </c>
      <c r="H1896" s="14">
        <f t="shared" si="9"/>
        <v>1487539.227</v>
      </c>
      <c r="I1896" s="22">
        <v>212505.6</v>
      </c>
      <c r="J1896" s="22">
        <v>354176.01</v>
      </c>
      <c r="K1896" s="15">
        <f t="shared" si="4"/>
        <v>9137740.967</v>
      </c>
      <c r="L1896" s="45"/>
      <c r="M1896" s="24">
        <v>45966.0</v>
      </c>
    </row>
    <row r="1897" ht="15.75" customHeight="1">
      <c r="A1897" s="177">
        <v>45961.0</v>
      </c>
      <c r="B1897" s="56"/>
      <c r="C1897" s="57" t="s">
        <v>1725</v>
      </c>
      <c r="D1897" s="58" t="s">
        <v>15</v>
      </c>
      <c r="E1897" s="57" t="s">
        <v>2102</v>
      </c>
      <c r="F1897" s="165">
        <v>45955.0</v>
      </c>
      <c r="G1897" s="65">
        <v>8915750.59</v>
      </c>
      <c r="H1897" s="9">
        <f t="shared" si="9"/>
        <v>1872307.624</v>
      </c>
      <c r="I1897" s="44">
        <v>267472.52</v>
      </c>
      <c r="J1897" s="44">
        <v>445787.53</v>
      </c>
      <c r="K1897" s="10">
        <f t="shared" si="4"/>
        <v>11501318.26</v>
      </c>
      <c r="L1897" s="61"/>
      <c r="M1897" s="62"/>
    </row>
    <row r="1898" ht="15.75" customHeight="1">
      <c r="A1898" s="177">
        <v>45961.0</v>
      </c>
      <c r="B1898" s="56"/>
      <c r="C1898" s="57" t="s">
        <v>1725</v>
      </c>
      <c r="D1898" s="58" t="s">
        <v>15</v>
      </c>
      <c r="E1898" s="57" t="s">
        <v>2103</v>
      </c>
      <c r="F1898" s="165">
        <v>45955.0</v>
      </c>
      <c r="G1898" s="65">
        <v>6085360.37</v>
      </c>
      <c r="H1898" s="9">
        <f t="shared" si="9"/>
        <v>1277925.678</v>
      </c>
      <c r="I1898" s="44">
        <v>182560.81</v>
      </c>
      <c r="J1898" s="44">
        <v>304268.02</v>
      </c>
      <c r="K1898" s="10">
        <f t="shared" si="4"/>
        <v>7850114.878</v>
      </c>
      <c r="L1898" s="61"/>
      <c r="M1898" s="62"/>
    </row>
    <row r="1899" ht="15.75" customHeight="1">
      <c r="A1899" s="115">
        <v>45961.0</v>
      </c>
      <c r="B1899" s="50"/>
      <c r="C1899" s="31" t="s">
        <v>611</v>
      </c>
      <c r="D1899" s="32" t="s">
        <v>15</v>
      </c>
      <c r="E1899" s="31" t="s">
        <v>2104</v>
      </c>
      <c r="F1899" s="161">
        <v>45955.0</v>
      </c>
      <c r="G1899" s="53">
        <v>1.001264059E7</v>
      </c>
      <c r="H1899" s="14">
        <f t="shared" si="9"/>
        <v>2102654.524</v>
      </c>
      <c r="I1899" s="22">
        <v>300379.22</v>
      </c>
      <c r="J1899" s="14"/>
      <c r="K1899" s="15">
        <f t="shared" si="4"/>
        <v>12415674.33</v>
      </c>
      <c r="L1899" s="45"/>
      <c r="M1899" s="24">
        <v>45968.0</v>
      </c>
    </row>
    <row r="1900" ht="15.75" customHeight="1">
      <c r="A1900" s="115">
        <v>45961.0</v>
      </c>
      <c r="B1900" s="50"/>
      <c r="C1900" s="31" t="s">
        <v>1136</v>
      </c>
      <c r="D1900" s="32" t="s">
        <v>15</v>
      </c>
      <c r="E1900" s="31" t="s">
        <v>2105</v>
      </c>
      <c r="F1900" s="161">
        <v>45955.0</v>
      </c>
      <c r="G1900" s="53">
        <v>5.300896545E7</v>
      </c>
      <c r="H1900" s="14">
        <f t="shared" si="9"/>
        <v>11131882.74</v>
      </c>
      <c r="I1900" s="22">
        <v>1590268.96</v>
      </c>
      <c r="J1900" s="14"/>
      <c r="K1900" s="15">
        <f t="shared" si="4"/>
        <v>65731117.15</v>
      </c>
      <c r="L1900" s="45"/>
      <c r="M1900" s="6"/>
    </row>
    <row r="1901" ht="15.75" customHeight="1">
      <c r="A1901" s="115">
        <v>45961.0</v>
      </c>
      <c r="B1901" s="50"/>
      <c r="C1901" s="31" t="s">
        <v>1136</v>
      </c>
      <c r="D1901" s="32" t="s">
        <v>15</v>
      </c>
      <c r="E1901" s="31" t="s">
        <v>2106</v>
      </c>
      <c r="F1901" s="161">
        <v>45955.0</v>
      </c>
      <c r="G1901" s="53">
        <v>5.329593128E7</v>
      </c>
      <c r="H1901" s="14">
        <f t="shared" si="9"/>
        <v>11192145.57</v>
      </c>
      <c r="I1901" s="22">
        <v>1598877.94</v>
      </c>
      <c r="J1901" s="14"/>
      <c r="K1901" s="15">
        <f t="shared" si="4"/>
        <v>66086954.79</v>
      </c>
      <c r="L1901" s="45"/>
      <c r="M1901" s="6"/>
    </row>
    <row r="1902" ht="15.75" customHeight="1">
      <c r="A1902" s="115">
        <v>45961.0</v>
      </c>
      <c r="B1902" s="50"/>
      <c r="C1902" s="31" t="s">
        <v>1136</v>
      </c>
      <c r="D1902" s="32" t="s">
        <v>15</v>
      </c>
      <c r="E1902" s="31" t="s">
        <v>2107</v>
      </c>
      <c r="F1902" s="161">
        <v>45955.0</v>
      </c>
      <c r="G1902" s="53">
        <v>5.312056327E7</v>
      </c>
      <c r="H1902" s="14">
        <f t="shared" si="9"/>
        <v>11155318.29</v>
      </c>
      <c r="I1902" s="22">
        <v>1593616.9</v>
      </c>
      <c r="J1902" s="14"/>
      <c r="K1902" s="15">
        <f t="shared" si="4"/>
        <v>65869498.46</v>
      </c>
      <c r="L1902" s="45"/>
      <c r="M1902" s="6"/>
    </row>
    <row r="1903" ht="15.75" customHeight="1">
      <c r="A1903" s="177">
        <v>45961.0</v>
      </c>
      <c r="B1903" s="56"/>
      <c r="C1903" s="57" t="s">
        <v>2108</v>
      </c>
      <c r="D1903" s="57" t="s">
        <v>77</v>
      </c>
      <c r="E1903" s="58" t="s">
        <v>2109</v>
      </c>
      <c r="F1903" s="165">
        <v>45955.0</v>
      </c>
      <c r="G1903" s="65">
        <v>1.0532153E7</v>
      </c>
      <c r="H1903" s="9">
        <f t="shared" si="9"/>
        <v>2211752.13</v>
      </c>
      <c r="I1903" s="44"/>
      <c r="J1903" s="60"/>
      <c r="K1903" s="10">
        <f t="shared" si="4"/>
        <v>12743905.13</v>
      </c>
      <c r="L1903" s="61"/>
      <c r="M1903" s="62"/>
    </row>
    <row r="1904" ht="15.75" customHeight="1">
      <c r="A1904" s="166">
        <v>45961.0</v>
      </c>
      <c r="B1904" s="167"/>
      <c r="C1904" s="168" t="s">
        <v>635</v>
      </c>
      <c r="D1904" s="169" t="s">
        <v>15</v>
      </c>
      <c r="E1904" s="168" t="s">
        <v>2110</v>
      </c>
      <c r="F1904" s="170">
        <v>45955.0</v>
      </c>
      <c r="G1904" s="171">
        <v>1.022363639E7</v>
      </c>
      <c r="H1904" s="172">
        <f t="shared" si="9"/>
        <v>2146963.642</v>
      </c>
      <c r="I1904" s="173">
        <v>306709.09</v>
      </c>
      <c r="J1904" s="172"/>
      <c r="K1904" s="174">
        <f t="shared" si="4"/>
        <v>12677309.12</v>
      </c>
      <c r="L1904" s="175"/>
      <c r="M1904" s="176"/>
    </row>
    <row r="1905" ht="15.75" customHeight="1">
      <c r="A1905" s="166">
        <v>45961.0</v>
      </c>
      <c r="B1905" s="167"/>
      <c r="C1905" s="168" t="s">
        <v>635</v>
      </c>
      <c r="D1905" s="169" t="s">
        <v>15</v>
      </c>
      <c r="E1905" s="168" t="s">
        <v>2111</v>
      </c>
      <c r="F1905" s="170">
        <v>45955.0</v>
      </c>
      <c r="G1905" s="171">
        <v>9928272.16</v>
      </c>
      <c r="H1905" s="172">
        <f t="shared" si="9"/>
        <v>2084937.154</v>
      </c>
      <c r="I1905" s="173">
        <v>297848.16</v>
      </c>
      <c r="J1905" s="172"/>
      <c r="K1905" s="174">
        <f t="shared" si="4"/>
        <v>12311057.47</v>
      </c>
      <c r="L1905" s="175"/>
      <c r="M1905" s="176"/>
    </row>
    <row r="1906" ht="15.75" customHeight="1">
      <c r="A1906" s="166">
        <v>45961.0</v>
      </c>
      <c r="B1906" s="167"/>
      <c r="C1906" s="168" t="s">
        <v>635</v>
      </c>
      <c r="D1906" s="169" t="s">
        <v>15</v>
      </c>
      <c r="E1906" s="168" t="s">
        <v>2112</v>
      </c>
      <c r="F1906" s="170">
        <v>45955.0</v>
      </c>
      <c r="G1906" s="171">
        <v>1.438278239E7</v>
      </c>
      <c r="H1906" s="172">
        <f t="shared" si="9"/>
        <v>3020384.302</v>
      </c>
      <c r="I1906" s="173">
        <v>431483.47</v>
      </c>
      <c r="J1906" s="172"/>
      <c r="K1906" s="174">
        <f t="shared" si="4"/>
        <v>17834650.16</v>
      </c>
      <c r="L1906" s="175"/>
      <c r="M1906" s="176"/>
    </row>
    <row r="1907" ht="15.75" customHeight="1">
      <c r="A1907" s="166">
        <v>45961.0</v>
      </c>
      <c r="B1907" s="167"/>
      <c r="C1907" s="168" t="s">
        <v>635</v>
      </c>
      <c r="D1907" s="169" t="s">
        <v>15</v>
      </c>
      <c r="E1907" s="168" t="s">
        <v>2113</v>
      </c>
      <c r="F1907" s="170">
        <v>45955.0</v>
      </c>
      <c r="G1907" s="171">
        <v>1.598272643E7</v>
      </c>
      <c r="H1907" s="172">
        <f t="shared" si="9"/>
        <v>3356372.55</v>
      </c>
      <c r="I1907" s="173">
        <v>479481.79</v>
      </c>
      <c r="J1907" s="172"/>
      <c r="K1907" s="174">
        <f t="shared" si="4"/>
        <v>19818580.77</v>
      </c>
      <c r="L1907" s="175"/>
      <c r="M1907" s="176"/>
    </row>
    <row r="1908" ht="15.75" customHeight="1">
      <c r="A1908" s="115">
        <v>45961.0</v>
      </c>
      <c r="B1908" s="50"/>
      <c r="C1908" s="31" t="s">
        <v>221</v>
      </c>
      <c r="D1908" s="32" t="s">
        <v>15</v>
      </c>
      <c r="E1908" s="31" t="s">
        <v>2114</v>
      </c>
      <c r="F1908" s="161">
        <v>45955.0</v>
      </c>
      <c r="G1908" s="53">
        <v>8632525.13</v>
      </c>
      <c r="H1908" s="14">
        <f t="shared" si="9"/>
        <v>1812830.277</v>
      </c>
      <c r="I1908" s="22"/>
      <c r="J1908" s="22">
        <v>431626.26</v>
      </c>
      <c r="K1908" s="15">
        <f t="shared" si="4"/>
        <v>10876981.67</v>
      </c>
      <c r="L1908" s="45"/>
      <c r="M1908" s="19" t="s">
        <v>1704</v>
      </c>
    </row>
    <row r="1909" ht="15.75" customHeight="1">
      <c r="A1909" s="115">
        <v>45961.0</v>
      </c>
      <c r="B1909" s="50"/>
      <c r="C1909" s="31" t="s">
        <v>221</v>
      </c>
      <c r="D1909" s="32" t="s">
        <v>15</v>
      </c>
      <c r="E1909" s="31" t="s">
        <v>2115</v>
      </c>
      <c r="F1909" s="161">
        <v>45955.0</v>
      </c>
      <c r="G1909" s="53">
        <v>8262523.07</v>
      </c>
      <c r="H1909" s="14">
        <f t="shared" si="9"/>
        <v>1735129.845</v>
      </c>
      <c r="I1909" s="50"/>
      <c r="J1909" s="22">
        <v>413126.15</v>
      </c>
      <c r="K1909" s="15">
        <f t="shared" si="4"/>
        <v>10410779.06</v>
      </c>
      <c r="L1909" s="45"/>
      <c r="M1909" s="19" t="s">
        <v>1704</v>
      </c>
    </row>
    <row r="1910" ht="15.75" customHeight="1">
      <c r="A1910" s="115">
        <v>45961.0</v>
      </c>
      <c r="B1910" s="50"/>
      <c r="C1910" s="31" t="s">
        <v>221</v>
      </c>
      <c r="D1910" s="32" t="s">
        <v>99</v>
      </c>
      <c r="E1910" s="31" t="s">
        <v>2116</v>
      </c>
      <c r="F1910" s="161">
        <v>45955.0</v>
      </c>
      <c r="G1910" s="53">
        <v>8192827.62</v>
      </c>
      <c r="H1910" s="14">
        <f t="shared" si="9"/>
        <v>1720493.8</v>
      </c>
      <c r="I1910" s="22">
        <v>245784.83</v>
      </c>
      <c r="J1910" s="22">
        <v>409641.38</v>
      </c>
      <c r="K1910" s="15">
        <f t="shared" si="4"/>
        <v>10568747.63</v>
      </c>
      <c r="L1910" s="45"/>
      <c r="M1910" s="19" t="s">
        <v>1704</v>
      </c>
    </row>
    <row r="1911" ht="15.75" customHeight="1">
      <c r="A1911" s="115">
        <v>45961.0</v>
      </c>
      <c r="B1911" s="50"/>
      <c r="C1911" s="31" t="s">
        <v>221</v>
      </c>
      <c r="D1911" s="32" t="s">
        <v>99</v>
      </c>
      <c r="E1911" s="31" t="s">
        <v>2117</v>
      </c>
      <c r="F1911" s="161">
        <v>45955.0</v>
      </c>
      <c r="G1911" s="53">
        <v>7992827.08</v>
      </c>
      <c r="H1911" s="14">
        <f t="shared" si="9"/>
        <v>1678493.687</v>
      </c>
      <c r="I1911" s="22"/>
      <c r="J1911" s="22">
        <v>399641.35</v>
      </c>
      <c r="K1911" s="15">
        <f t="shared" si="4"/>
        <v>10070962.12</v>
      </c>
      <c r="L1911" s="45"/>
      <c r="M1911" s="19" t="s">
        <v>1704</v>
      </c>
    </row>
    <row r="1912" ht="15.75" customHeight="1">
      <c r="A1912" s="115">
        <v>45961.0</v>
      </c>
      <c r="B1912" s="50"/>
      <c r="C1912" s="31" t="s">
        <v>22</v>
      </c>
      <c r="D1912" s="32" t="s">
        <v>99</v>
      </c>
      <c r="E1912" s="32" t="s">
        <v>2118</v>
      </c>
      <c r="F1912" s="161">
        <v>45955.0</v>
      </c>
      <c r="G1912" s="53">
        <v>7828273.08</v>
      </c>
      <c r="H1912" s="14">
        <f t="shared" si="9"/>
        <v>1643937.347</v>
      </c>
      <c r="I1912" s="22">
        <v>234848.19</v>
      </c>
      <c r="J1912" s="22">
        <v>39141.37</v>
      </c>
      <c r="K1912" s="15">
        <f t="shared" si="4"/>
        <v>9746199.987</v>
      </c>
      <c r="L1912" s="45"/>
      <c r="M1912" s="19" t="s">
        <v>1704</v>
      </c>
    </row>
    <row r="1913" ht="15.75" customHeight="1">
      <c r="A1913" s="115">
        <v>45961.0</v>
      </c>
      <c r="B1913" s="50"/>
      <c r="C1913" s="31" t="s">
        <v>22</v>
      </c>
      <c r="D1913" s="32" t="s">
        <v>99</v>
      </c>
      <c r="E1913" s="31" t="s">
        <v>2119</v>
      </c>
      <c r="F1913" s="161">
        <v>45955.0</v>
      </c>
      <c r="G1913" s="53">
        <v>8133633.38</v>
      </c>
      <c r="H1913" s="14">
        <f t="shared" si="9"/>
        <v>1708063.01</v>
      </c>
      <c r="I1913" s="22"/>
      <c r="J1913" s="22">
        <v>40668.17</v>
      </c>
      <c r="K1913" s="15">
        <f t="shared" si="4"/>
        <v>9882364.56</v>
      </c>
      <c r="L1913" s="45"/>
      <c r="M1913" s="19" t="s">
        <v>1704</v>
      </c>
    </row>
    <row r="1914" ht="15.75" customHeight="1">
      <c r="A1914" s="115">
        <v>45961.0</v>
      </c>
      <c r="B1914" s="50"/>
      <c r="C1914" s="31" t="s">
        <v>22</v>
      </c>
      <c r="D1914" s="32" t="s">
        <v>15</v>
      </c>
      <c r="E1914" s="31" t="s">
        <v>2120</v>
      </c>
      <c r="F1914" s="161">
        <v>45955.0</v>
      </c>
      <c r="G1914" s="53">
        <v>8272623.52</v>
      </c>
      <c r="H1914" s="14">
        <f t="shared" si="9"/>
        <v>1737250.939</v>
      </c>
      <c r="I1914" s="22">
        <v>248178.71</v>
      </c>
      <c r="J1914" s="22">
        <v>41363.12</v>
      </c>
      <c r="K1914" s="15">
        <f t="shared" si="4"/>
        <v>10299416.29</v>
      </c>
      <c r="L1914" s="45"/>
      <c r="M1914" s="19" t="s">
        <v>1704</v>
      </c>
    </row>
    <row r="1915" ht="15.75" customHeight="1">
      <c r="A1915" s="115">
        <v>45961.0</v>
      </c>
      <c r="B1915" s="50"/>
      <c r="C1915" s="31" t="s">
        <v>22</v>
      </c>
      <c r="D1915" s="32" t="s">
        <v>15</v>
      </c>
      <c r="E1915" s="31" t="s">
        <v>2121</v>
      </c>
      <c r="F1915" s="161">
        <v>45955.0</v>
      </c>
      <c r="G1915" s="53">
        <v>8070086.31</v>
      </c>
      <c r="H1915" s="14">
        <f t="shared" si="9"/>
        <v>1694718.125</v>
      </c>
      <c r="I1915" s="22"/>
      <c r="J1915" s="22">
        <v>40350.43</v>
      </c>
      <c r="K1915" s="15">
        <f t="shared" si="4"/>
        <v>9805154.865</v>
      </c>
      <c r="L1915" s="45"/>
      <c r="M1915" s="19" t="s">
        <v>1704</v>
      </c>
    </row>
    <row r="1916" ht="15.75" customHeight="1">
      <c r="A1916" s="115">
        <v>45961.0</v>
      </c>
      <c r="B1916" s="50"/>
      <c r="C1916" s="31" t="s">
        <v>216</v>
      </c>
      <c r="D1916" s="32" t="s">
        <v>99</v>
      </c>
      <c r="E1916" s="31" t="s">
        <v>2122</v>
      </c>
      <c r="F1916" s="161">
        <v>45955.0</v>
      </c>
      <c r="G1916" s="53">
        <v>9917237.21</v>
      </c>
      <c r="H1916" s="14">
        <f t="shared" si="9"/>
        <v>2082619.814</v>
      </c>
      <c r="I1916" s="22"/>
      <c r="J1916" s="22">
        <v>173551.65</v>
      </c>
      <c r="K1916" s="15">
        <f t="shared" si="4"/>
        <v>12173408.67</v>
      </c>
      <c r="L1916" s="45"/>
      <c r="M1916" s="19" t="s">
        <v>1704</v>
      </c>
    </row>
    <row r="1917" ht="15.75" customHeight="1">
      <c r="A1917" s="115">
        <v>45961.0</v>
      </c>
      <c r="B1917" s="50"/>
      <c r="C1917" s="31" t="s">
        <v>216</v>
      </c>
      <c r="D1917" s="32" t="s">
        <v>99</v>
      </c>
      <c r="E1917" s="31" t="s">
        <v>2123</v>
      </c>
      <c r="F1917" s="161">
        <v>45955.0</v>
      </c>
      <c r="G1917" s="53">
        <v>8336522.14</v>
      </c>
      <c r="H1917" s="14">
        <f t="shared" si="9"/>
        <v>1750669.649</v>
      </c>
      <c r="I1917" s="22">
        <v>250095.66</v>
      </c>
      <c r="J1917" s="22">
        <v>145889.14</v>
      </c>
      <c r="K1917" s="15">
        <f t="shared" si="4"/>
        <v>10483176.59</v>
      </c>
      <c r="L1917" s="45"/>
      <c r="M1917" s="19" t="s">
        <v>1704</v>
      </c>
    </row>
    <row r="1918" ht="15.75" customHeight="1">
      <c r="A1918" s="115">
        <v>45961.0</v>
      </c>
      <c r="B1918" s="50"/>
      <c r="C1918" s="31" t="s">
        <v>216</v>
      </c>
      <c r="D1918" s="32" t="s">
        <v>15</v>
      </c>
      <c r="E1918" s="31" t="s">
        <v>2124</v>
      </c>
      <c r="F1918" s="161">
        <v>45955.0</v>
      </c>
      <c r="G1918" s="53">
        <v>8836252.06</v>
      </c>
      <c r="H1918" s="14">
        <f t="shared" si="9"/>
        <v>1855612.933</v>
      </c>
      <c r="I1918" s="22"/>
      <c r="J1918" s="22">
        <v>154634.41</v>
      </c>
      <c r="K1918" s="15">
        <f t="shared" si="4"/>
        <v>10846499.4</v>
      </c>
      <c r="L1918" s="45"/>
      <c r="M1918" s="19" t="s">
        <v>1704</v>
      </c>
    </row>
    <row r="1919" ht="15.75" customHeight="1">
      <c r="A1919" s="115">
        <v>45961.0</v>
      </c>
      <c r="B1919" s="50"/>
      <c r="C1919" s="31" t="s">
        <v>216</v>
      </c>
      <c r="D1919" s="32" t="s">
        <v>15</v>
      </c>
      <c r="E1919" s="31" t="s">
        <v>2125</v>
      </c>
      <c r="F1919" s="161">
        <v>45955.0</v>
      </c>
      <c r="G1919" s="53">
        <v>8132872.36</v>
      </c>
      <c r="H1919" s="14">
        <f t="shared" si="9"/>
        <v>1707903.196</v>
      </c>
      <c r="I1919" s="22">
        <v>243986.17</v>
      </c>
      <c r="J1919" s="22">
        <v>142325.27</v>
      </c>
      <c r="K1919" s="15">
        <f t="shared" si="4"/>
        <v>10227087</v>
      </c>
      <c r="L1919" s="45"/>
      <c r="M1919" s="19" t="s">
        <v>1704</v>
      </c>
    </row>
    <row r="1920" ht="15.75" customHeight="1">
      <c r="A1920" s="177">
        <v>45964.0</v>
      </c>
      <c r="B1920" s="56"/>
      <c r="C1920" s="57" t="s">
        <v>969</v>
      </c>
      <c r="D1920" s="57" t="s">
        <v>2126</v>
      </c>
      <c r="E1920" s="58" t="s">
        <v>2127</v>
      </c>
      <c r="F1920" s="165">
        <v>45955.0</v>
      </c>
      <c r="G1920" s="65">
        <v>2.34024E7</v>
      </c>
      <c r="H1920" s="9">
        <f t="shared" si="9"/>
        <v>4914504</v>
      </c>
      <c r="I1920" s="56"/>
      <c r="J1920" s="60"/>
      <c r="K1920" s="10">
        <f t="shared" si="4"/>
        <v>28316904</v>
      </c>
      <c r="L1920" s="61"/>
      <c r="M1920" s="62"/>
    </row>
    <row r="1921" ht="15.75" customHeight="1">
      <c r="A1921" s="177">
        <v>45964.0</v>
      </c>
      <c r="B1921" s="56"/>
      <c r="C1921" s="57" t="s">
        <v>1486</v>
      </c>
      <c r="D1921" s="57" t="s">
        <v>2128</v>
      </c>
      <c r="E1921" s="58" t="s">
        <v>2129</v>
      </c>
      <c r="F1921" s="165">
        <v>45955.0</v>
      </c>
      <c r="G1921" s="65">
        <f>8002000/1.21</f>
        <v>6613223.14</v>
      </c>
      <c r="H1921" s="9">
        <f t="shared" si="9"/>
        <v>1388776.86</v>
      </c>
      <c r="I1921" s="56"/>
      <c r="J1921" s="60"/>
      <c r="K1921" s="10">
        <f t="shared" si="4"/>
        <v>8002000</v>
      </c>
      <c r="L1921" s="61"/>
      <c r="M1921" s="62"/>
    </row>
    <row r="1922" ht="15.75" customHeight="1">
      <c r="A1922" s="177">
        <v>45964.0</v>
      </c>
      <c r="B1922" s="56"/>
      <c r="C1922" s="57" t="s">
        <v>2130</v>
      </c>
      <c r="D1922" s="57" t="s">
        <v>2128</v>
      </c>
      <c r="E1922" s="58" t="s">
        <v>2131</v>
      </c>
      <c r="F1922" s="165">
        <v>45955.0</v>
      </c>
      <c r="G1922" s="65">
        <f>40000600/1.21</f>
        <v>33058347.11</v>
      </c>
      <c r="H1922" s="9">
        <f t="shared" si="9"/>
        <v>6942252.893</v>
      </c>
      <c r="I1922" s="56"/>
      <c r="J1922" s="60"/>
      <c r="K1922" s="10">
        <f t="shared" si="4"/>
        <v>40000600</v>
      </c>
      <c r="L1922" s="61"/>
      <c r="M1922" s="62"/>
    </row>
    <row r="1923" ht="15.75" customHeight="1">
      <c r="A1923" s="115">
        <v>45964.0</v>
      </c>
      <c r="B1923" s="50"/>
      <c r="C1923" s="31" t="s">
        <v>1452</v>
      </c>
      <c r="D1923" s="31" t="s">
        <v>2128</v>
      </c>
      <c r="E1923" s="32" t="s">
        <v>2132</v>
      </c>
      <c r="F1923" s="161">
        <v>45955.0</v>
      </c>
      <c r="G1923" s="53">
        <f>30000056/1.21</f>
        <v>24793434.71</v>
      </c>
      <c r="H1923" s="14">
        <f t="shared" si="9"/>
        <v>5206621.289</v>
      </c>
      <c r="I1923" s="50"/>
      <c r="J1923" s="14"/>
      <c r="K1923" s="15">
        <f t="shared" si="4"/>
        <v>30000056</v>
      </c>
      <c r="L1923" s="45"/>
      <c r="M1923" s="6"/>
    </row>
    <row r="1924" ht="15.75" customHeight="1">
      <c r="A1924" s="115">
        <v>45964.0</v>
      </c>
      <c r="B1924" s="50"/>
      <c r="C1924" s="31" t="s">
        <v>1484</v>
      </c>
      <c r="D1924" s="31" t="s">
        <v>2128</v>
      </c>
      <c r="E1924" s="32" t="s">
        <v>2133</v>
      </c>
      <c r="F1924" s="161">
        <v>45955.0</v>
      </c>
      <c r="G1924" s="53">
        <f>26000310/1.21</f>
        <v>21487859.5</v>
      </c>
      <c r="H1924" s="14">
        <f t="shared" si="9"/>
        <v>4512450.496</v>
      </c>
      <c r="I1924" s="50"/>
      <c r="J1924" s="14"/>
      <c r="K1924" s="15">
        <f t="shared" si="4"/>
        <v>26000310</v>
      </c>
      <c r="L1924" s="45"/>
      <c r="M1924" s="6"/>
    </row>
    <row r="1925" ht="15.75" customHeight="1">
      <c r="A1925" s="115">
        <v>45964.0</v>
      </c>
      <c r="B1925" s="50"/>
      <c r="C1925" s="31" t="s">
        <v>1484</v>
      </c>
      <c r="D1925" s="32" t="s">
        <v>15</v>
      </c>
      <c r="E1925" s="32" t="s">
        <v>2134</v>
      </c>
      <c r="F1925" s="161">
        <v>45955.0</v>
      </c>
      <c r="G1925" s="53">
        <v>2.001239949E7</v>
      </c>
      <c r="H1925" s="14">
        <f t="shared" si="9"/>
        <v>4202603.893</v>
      </c>
      <c r="I1925" s="22">
        <v>1423855.71</v>
      </c>
      <c r="J1925" s="14"/>
      <c r="K1925" s="15">
        <f t="shared" si="4"/>
        <v>25638859.09</v>
      </c>
      <c r="L1925" s="45"/>
      <c r="M1925" s="6"/>
    </row>
    <row r="1926" ht="15.75" customHeight="1">
      <c r="A1926" s="115">
        <v>45964.0</v>
      </c>
      <c r="B1926" s="50"/>
      <c r="C1926" s="31" t="s">
        <v>1452</v>
      </c>
      <c r="D1926" s="32" t="s">
        <v>15</v>
      </c>
      <c r="E1926" s="32" t="s">
        <v>2135</v>
      </c>
      <c r="F1926" s="161">
        <v>45955.0</v>
      </c>
      <c r="G1926" s="53">
        <v>2.001240217E7</v>
      </c>
      <c r="H1926" s="14">
        <f t="shared" si="9"/>
        <v>4202604.456</v>
      </c>
      <c r="I1926" s="22">
        <v>1197448.04</v>
      </c>
      <c r="J1926" s="14"/>
      <c r="K1926" s="15">
        <f t="shared" si="4"/>
        <v>25412454.67</v>
      </c>
      <c r="L1926" s="45"/>
      <c r="M1926" s="6"/>
    </row>
    <row r="1927" ht="15.75" customHeight="1">
      <c r="A1927" s="177">
        <v>45964.0</v>
      </c>
      <c r="B1927" s="56"/>
      <c r="C1927" s="57" t="s">
        <v>2130</v>
      </c>
      <c r="D1927" s="58" t="s">
        <v>15</v>
      </c>
      <c r="E1927" s="58" t="s">
        <v>2136</v>
      </c>
      <c r="F1927" s="165">
        <v>45955.0</v>
      </c>
      <c r="G1927" s="65">
        <v>7000974.5</v>
      </c>
      <c r="H1927" s="9">
        <f t="shared" si="9"/>
        <v>1470204.645</v>
      </c>
      <c r="I1927" s="44"/>
      <c r="J1927" s="60"/>
      <c r="K1927" s="10">
        <f t="shared" si="4"/>
        <v>8471179.145</v>
      </c>
      <c r="L1927" s="61"/>
      <c r="M1927" s="62"/>
    </row>
    <row r="1928" ht="15.75" customHeight="1">
      <c r="A1928" s="177">
        <v>45964.0</v>
      </c>
      <c r="B1928" s="56"/>
      <c r="C1928" s="57" t="s">
        <v>1486</v>
      </c>
      <c r="D1928" s="58" t="s">
        <v>15</v>
      </c>
      <c r="E1928" s="58" t="s">
        <v>2137</v>
      </c>
      <c r="F1928" s="165">
        <v>45955.0</v>
      </c>
      <c r="G1928" s="65">
        <v>7010900.19</v>
      </c>
      <c r="H1928" s="9">
        <f t="shared" si="9"/>
        <v>1472289.04</v>
      </c>
      <c r="I1928" s="44"/>
      <c r="J1928" s="60"/>
      <c r="K1928" s="10">
        <f t="shared" si="4"/>
        <v>8483189.23</v>
      </c>
      <c r="L1928" s="61"/>
      <c r="M1928" s="62"/>
    </row>
    <row r="1929" ht="15.75" customHeight="1">
      <c r="A1929" s="115">
        <v>45964.0</v>
      </c>
      <c r="B1929" s="50"/>
      <c r="C1929" s="31" t="s">
        <v>2138</v>
      </c>
      <c r="D1929" s="32" t="s">
        <v>15</v>
      </c>
      <c r="E1929" s="32" t="s">
        <v>2139</v>
      </c>
      <c r="F1929" s="161">
        <v>45955.0</v>
      </c>
      <c r="G1929" s="53">
        <v>6001479.0</v>
      </c>
      <c r="H1929" s="14">
        <f t="shared" si="9"/>
        <v>1260310.59</v>
      </c>
      <c r="I1929" s="22"/>
      <c r="J1929" s="14"/>
      <c r="K1929" s="15">
        <f t="shared" si="4"/>
        <v>7261789.59</v>
      </c>
      <c r="L1929" s="45"/>
      <c r="M1929" s="24">
        <v>45971.0</v>
      </c>
    </row>
    <row r="1930" ht="15.75" customHeight="1">
      <c r="A1930" s="115">
        <v>45964.0</v>
      </c>
      <c r="B1930" s="50"/>
      <c r="C1930" s="31" t="s">
        <v>1112</v>
      </c>
      <c r="D1930" s="32" t="s">
        <v>99</v>
      </c>
      <c r="E1930" s="32" t="s">
        <v>2140</v>
      </c>
      <c r="F1930" s="161">
        <v>45986.0</v>
      </c>
      <c r="G1930" s="53">
        <v>1.987925833E7</v>
      </c>
      <c r="H1930" s="14">
        <f t="shared" si="9"/>
        <v>4174644.249</v>
      </c>
      <c r="I1930" s="22"/>
      <c r="J1930" s="14"/>
      <c r="K1930" s="15">
        <f t="shared" si="4"/>
        <v>24053902.58</v>
      </c>
      <c r="L1930" s="45"/>
      <c r="M1930" s="24">
        <v>45974.0</v>
      </c>
    </row>
    <row r="1931" ht="15.75" customHeight="1">
      <c r="A1931" s="115">
        <v>45964.0</v>
      </c>
      <c r="B1931" s="50"/>
      <c r="C1931" s="31" t="s">
        <v>1112</v>
      </c>
      <c r="D1931" s="32" t="s">
        <v>99</v>
      </c>
      <c r="E1931" s="32" t="s">
        <v>2141</v>
      </c>
      <c r="F1931" s="161">
        <v>45986.0</v>
      </c>
      <c r="G1931" s="53">
        <v>1.992579222E7</v>
      </c>
      <c r="H1931" s="14">
        <f t="shared" si="9"/>
        <v>4184416.366</v>
      </c>
      <c r="I1931" s="50"/>
      <c r="J1931" s="14"/>
      <c r="K1931" s="15">
        <f t="shared" si="4"/>
        <v>24110208.59</v>
      </c>
      <c r="L1931" s="45"/>
      <c r="M1931" s="24">
        <v>45978.0</v>
      </c>
    </row>
    <row r="1932" ht="15.75" customHeight="1">
      <c r="A1932" s="115">
        <v>45964.0</v>
      </c>
      <c r="B1932" s="50"/>
      <c r="C1932" s="31" t="s">
        <v>1112</v>
      </c>
      <c r="D1932" s="32" t="s">
        <v>15</v>
      </c>
      <c r="E1932" s="31" t="s">
        <v>2142</v>
      </c>
      <c r="F1932" s="161">
        <v>45986.0</v>
      </c>
      <c r="G1932" s="53">
        <v>1.935625059E7</v>
      </c>
      <c r="H1932" s="14">
        <f t="shared" si="9"/>
        <v>4064812.624</v>
      </c>
      <c r="I1932" s="50"/>
      <c r="J1932" s="14"/>
      <c r="K1932" s="15">
        <f t="shared" si="4"/>
        <v>23421063.21</v>
      </c>
      <c r="L1932" s="45"/>
      <c r="M1932" s="24">
        <v>45973.0</v>
      </c>
    </row>
    <row r="1933" ht="15.75" customHeight="1">
      <c r="A1933" s="115">
        <v>45964.0</v>
      </c>
      <c r="B1933" s="50"/>
      <c r="C1933" s="31" t="s">
        <v>1112</v>
      </c>
      <c r="D1933" s="32" t="s">
        <v>15</v>
      </c>
      <c r="E1933" s="31" t="s">
        <v>2143</v>
      </c>
      <c r="F1933" s="161">
        <v>45986.0</v>
      </c>
      <c r="G1933" s="53">
        <v>1.998368216E7</v>
      </c>
      <c r="H1933" s="14">
        <f t="shared" si="9"/>
        <v>4196573.254</v>
      </c>
      <c r="I1933" s="50"/>
      <c r="J1933" s="14"/>
      <c r="K1933" s="15">
        <f t="shared" si="4"/>
        <v>24180255.41</v>
      </c>
      <c r="L1933" s="45"/>
      <c r="M1933" s="24">
        <v>45973.0</v>
      </c>
    </row>
    <row r="1934" ht="15.75" customHeight="1">
      <c r="A1934" s="115">
        <v>45964.0</v>
      </c>
      <c r="B1934" s="50"/>
      <c r="C1934" s="31" t="s">
        <v>171</v>
      </c>
      <c r="D1934" s="32" t="s">
        <v>15</v>
      </c>
      <c r="E1934" s="31" t="s">
        <v>2144</v>
      </c>
      <c r="F1934" s="161">
        <v>45986.0</v>
      </c>
      <c r="G1934" s="53">
        <v>7625352.13</v>
      </c>
      <c r="H1934" s="14">
        <f t="shared" si="9"/>
        <v>1601323.947</v>
      </c>
      <c r="I1934" s="50"/>
      <c r="J1934" s="14"/>
      <c r="K1934" s="15">
        <f t="shared" si="4"/>
        <v>9226676.077</v>
      </c>
      <c r="L1934" s="45"/>
      <c r="M1934" s="6"/>
    </row>
    <row r="1935" ht="15.75" customHeight="1">
      <c r="A1935" s="115">
        <v>45964.0</v>
      </c>
      <c r="B1935" s="50"/>
      <c r="C1935" s="31" t="s">
        <v>171</v>
      </c>
      <c r="D1935" s="32" t="s">
        <v>15</v>
      </c>
      <c r="E1935" s="31" t="s">
        <v>2145</v>
      </c>
      <c r="F1935" s="161">
        <v>45986.0</v>
      </c>
      <c r="G1935" s="53">
        <v>7437376.29</v>
      </c>
      <c r="H1935" s="14">
        <f t="shared" si="9"/>
        <v>1561849.021</v>
      </c>
      <c r="I1935" s="50"/>
      <c r="J1935" s="14"/>
      <c r="K1935" s="15">
        <f t="shared" si="4"/>
        <v>8999225.311</v>
      </c>
      <c r="L1935" s="45"/>
      <c r="M1935" s="6"/>
    </row>
    <row r="1936" ht="15.75" customHeight="1">
      <c r="A1936" s="115">
        <v>45964.0</v>
      </c>
      <c r="B1936" s="50"/>
      <c r="C1936" s="31" t="s">
        <v>171</v>
      </c>
      <c r="D1936" s="32" t="s">
        <v>15</v>
      </c>
      <c r="E1936" s="31" t="s">
        <v>2146</v>
      </c>
      <c r="F1936" s="161">
        <v>45986.0</v>
      </c>
      <c r="G1936" s="53">
        <v>8837636.59</v>
      </c>
      <c r="H1936" s="14">
        <f t="shared" si="9"/>
        <v>1855903.684</v>
      </c>
      <c r="I1936" s="50"/>
      <c r="J1936" s="14"/>
      <c r="K1936" s="15">
        <f t="shared" si="4"/>
        <v>10693540.27</v>
      </c>
      <c r="L1936" s="45"/>
      <c r="M1936" s="6"/>
    </row>
    <row r="1937" ht="15.75" customHeight="1">
      <c r="A1937" s="115">
        <v>45964.0</v>
      </c>
      <c r="B1937" s="50"/>
      <c r="C1937" s="31" t="s">
        <v>171</v>
      </c>
      <c r="D1937" s="32" t="s">
        <v>15</v>
      </c>
      <c r="E1937" s="31" t="s">
        <v>2147</v>
      </c>
      <c r="F1937" s="161">
        <v>45986.0</v>
      </c>
      <c r="G1937" s="53">
        <v>1.812292363E7</v>
      </c>
      <c r="H1937" s="14">
        <f t="shared" si="9"/>
        <v>3805813.962</v>
      </c>
      <c r="I1937" s="50"/>
      <c r="J1937" s="14"/>
      <c r="K1937" s="15">
        <f t="shared" si="4"/>
        <v>21928737.59</v>
      </c>
      <c r="L1937" s="45"/>
      <c r="M1937" s="6"/>
    </row>
    <row r="1938" ht="15.75" customHeight="1">
      <c r="A1938" s="177">
        <v>45964.0</v>
      </c>
      <c r="B1938" s="56"/>
      <c r="C1938" s="58" t="s">
        <v>1246</v>
      </c>
      <c r="D1938" s="58" t="s">
        <v>2148</v>
      </c>
      <c r="E1938" s="58" t="s">
        <v>2149</v>
      </c>
      <c r="F1938" s="165">
        <v>45955.0</v>
      </c>
      <c r="G1938" s="65">
        <v>2.000007E7</v>
      </c>
      <c r="H1938" s="9">
        <f t="shared" si="9"/>
        <v>4200014.7</v>
      </c>
      <c r="I1938" s="56"/>
      <c r="J1938" s="60"/>
      <c r="K1938" s="10">
        <f t="shared" si="4"/>
        <v>24200084.7</v>
      </c>
      <c r="L1938" s="61"/>
      <c r="M1938" s="62"/>
    </row>
    <row r="1939" ht="15.75" customHeight="1">
      <c r="A1939" s="177">
        <v>45965.0</v>
      </c>
      <c r="B1939" s="56"/>
      <c r="C1939" s="58" t="s">
        <v>2040</v>
      </c>
      <c r="D1939" s="58" t="s">
        <v>2150</v>
      </c>
      <c r="E1939" s="58">
        <v>35804.0</v>
      </c>
      <c r="F1939" s="165">
        <v>45955.0</v>
      </c>
      <c r="G1939" s="65">
        <v>1.4446244E7</v>
      </c>
      <c r="H1939" s="9">
        <f t="shared" si="9"/>
        <v>3033711.24</v>
      </c>
      <c r="I1939" s="56"/>
      <c r="J1939" s="60"/>
      <c r="K1939" s="10">
        <f t="shared" si="4"/>
        <v>17479955.24</v>
      </c>
      <c r="L1939" s="61"/>
      <c r="M1939" s="62"/>
    </row>
    <row r="1940" ht="15.75" customHeight="1">
      <c r="A1940" s="177">
        <v>45965.0</v>
      </c>
      <c r="B1940" s="56"/>
      <c r="C1940" s="58" t="s">
        <v>1246</v>
      </c>
      <c r="D1940" s="58" t="s">
        <v>2150</v>
      </c>
      <c r="E1940" s="58">
        <v>35835.0</v>
      </c>
      <c r="F1940" s="165">
        <v>45955.0</v>
      </c>
      <c r="G1940" s="65">
        <v>1.1503467E7</v>
      </c>
      <c r="H1940" s="9">
        <f t="shared" si="9"/>
        <v>2415728.07</v>
      </c>
      <c r="I1940" s="56"/>
      <c r="J1940" s="60"/>
      <c r="K1940" s="10">
        <f t="shared" si="4"/>
        <v>13919195.07</v>
      </c>
      <c r="L1940" s="61"/>
      <c r="M1940" s="62"/>
    </row>
    <row r="1941" ht="15.75" customHeight="1">
      <c r="A1941" s="177">
        <v>45965.0</v>
      </c>
      <c r="B1941" s="56"/>
      <c r="C1941" s="58" t="s">
        <v>2151</v>
      </c>
      <c r="D1941" s="58" t="s">
        <v>2150</v>
      </c>
      <c r="E1941" s="58">
        <v>35882.0</v>
      </c>
      <c r="F1941" s="165">
        <v>45955.0</v>
      </c>
      <c r="G1941" s="65">
        <v>1.7713177E7</v>
      </c>
      <c r="H1941" s="9">
        <f t="shared" si="9"/>
        <v>3719767.17</v>
      </c>
      <c r="I1941" s="56"/>
      <c r="J1941" s="60"/>
      <c r="K1941" s="10">
        <f t="shared" si="4"/>
        <v>21432944.17</v>
      </c>
      <c r="L1941" s="61"/>
      <c r="M1941" s="62"/>
    </row>
    <row r="1942" ht="15.75" customHeight="1">
      <c r="A1942" s="177">
        <v>45965.0</v>
      </c>
      <c r="B1942" s="56"/>
      <c r="C1942" s="58" t="s">
        <v>1248</v>
      </c>
      <c r="D1942" s="58" t="s">
        <v>2150</v>
      </c>
      <c r="E1942" s="58">
        <v>35942.0</v>
      </c>
      <c r="F1942" s="165">
        <v>45955.0</v>
      </c>
      <c r="G1942" s="65">
        <v>1.0624773E7</v>
      </c>
      <c r="H1942" s="9">
        <f t="shared" si="9"/>
        <v>2231202.33</v>
      </c>
      <c r="I1942" s="56"/>
      <c r="J1942" s="60"/>
      <c r="K1942" s="10">
        <f t="shared" si="4"/>
        <v>12855975.33</v>
      </c>
      <c r="L1942" s="61"/>
      <c r="M1942" s="62"/>
    </row>
    <row r="1943" ht="15.75" customHeight="1">
      <c r="A1943" s="177">
        <v>45965.0</v>
      </c>
      <c r="B1943" s="56"/>
      <c r="C1943" s="58" t="s">
        <v>1903</v>
      </c>
      <c r="D1943" s="58" t="s">
        <v>2150</v>
      </c>
      <c r="E1943" s="58">
        <v>35953.0</v>
      </c>
      <c r="F1943" s="165">
        <v>45955.0</v>
      </c>
      <c r="G1943" s="65">
        <v>1.2024099E7</v>
      </c>
      <c r="H1943" s="9">
        <f t="shared" si="9"/>
        <v>2525060.79</v>
      </c>
      <c r="I1943" s="56"/>
      <c r="J1943" s="60"/>
      <c r="K1943" s="10">
        <f t="shared" si="4"/>
        <v>14549159.79</v>
      </c>
      <c r="L1943" s="61"/>
      <c r="M1943" s="62"/>
    </row>
    <row r="1944" ht="15.75" customHeight="1">
      <c r="A1944" s="177">
        <v>45965.0</v>
      </c>
      <c r="B1944" s="56"/>
      <c r="C1944" s="58" t="s">
        <v>1248</v>
      </c>
      <c r="D1944" s="58" t="s">
        <v>2150</v>
      </c>
      <c r="E1944" s="58">
        <v>35954.0</v>
      </c>
      <c r="F1944" s="165">
        <v>45955.0</v>
      </c>
      <c r="G1944" s="65">
        <v>1.2021896E7</v>
      </c>
      <c r="H1944" s="9">
        <f t="shared" si="9"/>
        <v>2524598.16</v>
      </c>
      <c r="I1944" s="56"/>
      <c r="J1944" s="60"/>
      <c r="K1944" s="10">
        <f t="shared" si="4"/>
        <v>14546494.16</v>
      </c>
      <c r="L1944" s="61"/>
      <c r="M1944" s="62"/>
    </row>
    <row r="1945" ht="15.75" customHeight="1">
      <c r="A1945" s="115">
        <v>45965.0</v>
      </c>
      <c r="B1945" s="50"/>
      <c r="C1945" s="31" t="s">
        <v>1858</v>
      </c>
      <c r="D1945" s="32" t="s">
        <v>15</v>
      </c>
      <c r="E1945" s="32" t="s">
        <v>2152</v>
      </c>
      <c r="F1945" s="161">
        <v>45986.0</v>
      </c>
      <c r="G1945" s="53">
        <v>2.22623262E7</v>
      </c>
      <c r="H1945" s="14">
        <f t="shared" si="9"/>
        <v>4675088.502</v>
      </c>
      <c r="I1945" s="22">
        <v>667869.79</v>
      </c>
      <c r="J1945" s="22">
        <v>89049.3</v>
      </c>
      <c r="K1945" s="15">
        <f t="shared" si="4"/>
        <v>27694333.79</v>
      </c>
      <c r="L1945" s="45"/>
      <c r="M1945" s="24">
        <v>45968.0</v>
      </c>
    </row>
    <row r="1946" ht="15.75" customHeight="1">
      <c r="A1946" s="115">
        <v>45965.0</v>
      </c>
      <c r="B1946" s="50"/>
      <c r="C1946" s="31" t="s">
        <v>1858</v>
      </c>
      <c r="D1946" s="32" t="s">
        <v>15</v>
      </c>
      <c r="E1946" s="32" t="s">
        <v>2153</v>
      </c>
      <c r="F1946" s="161">
        <v>45986.0</v>
      </c>
      <c r="G1946" s="53">
        <v>9880528.96</v>
      </c>
      <c r="H1946" s="14">
        <f t="shared" si="9"/>
        <v>2074911.082</v>
      </c>
      <c r="I1946" s="22">
        <v>296415.87</v>
      </c>
      <c r="J1946" s="22">
        <v>39522.12</v>
      </c>
      <c r="K1946" s="15">
        <f t="shared" si="4"/>
        <v>12291378.03</v>
      </c>
      <c r="L1946" s="45"/>
      <c r="M1946" s="24">
        <v>45968.0</v>
      </c>
    </row>
    <row r="1947" ht="15.75" customHeight="1">
      <c r="A1947" s="115">
        <v>45965.0</v>
      </c>
      <c r="B1947" s="50"/>
      <c r="C1947" s="31" t="s">
        <v>1858</v>
      </c>
      <c r="D1947" s="32" t="s">
        <v>15</v>
      </c>
      <c r="E1947" s="32" t="s">
        <v>2154</v>
      </c>
      <c r="F1947" s="161">
        <v>45986.0</v>
      </c>
      <c r="G1947" s="53">
        <v>6233042.25</v>
      </c>
      <c r="H1947" s="14">
        <f t="shared" si="9"/>
        <v>1308938.873</v>
      </c>
      <c r="I1947" s="22">
        <v>186991.27</v>
      </c>
      <c r="J1947" s="22">
        <v>24932.17</v>
      </c>
      <c r="K1947" s="15">
        <f t="shared" si="4"/>
        <v>7753904.563</v>
      </c>
      <c r="L1947" s="45"/>
      <c r="M1947" s="24">
        <v>45968.0</v>
      </c>
    </row>
    <row r="1948" ht="15.75" customHeight="1">
      <c r="A1948" s="115">
        <v>45965.0</v>
      </c>
      <c r="B1948" s="50"/>
      <c r="C1948" s="31" t="s">
        <v>1861</v>
      </c>
      <c r="D1948" s="32" t="s">
        <v>99</v>
      </c>
      <c r="E1948" s="32" t="s">
        <v>2155</v>
      </c>
      <c r="F1948" s="161">
        <v>45986.0</v>
      </c>
      <c r="G1948" s="53">
        <v>2.012037588E7</v>
      </c>
      <c r="H1948" s="14">
        <f t="shared" si="9"/>
        <v>4225278.935</v>
      </c>
      <c r="I1948" s="22">
        <v>603611.28</v>
      </c>
      <c r="J1948" s="22">
        <v>402407.52</v>
      </c>
      <c r="K1948" s="15">
        <f t="shared" si="4"/>
        <v>25351673.61</v>
      </c>
      <c r="L1948" s="45"/>
      <c r="M1948" s="24">
        <v>45971.0</v>
      </c>
    </row>
    <row r="1949" ht="15.75" customHeight="1">
      <c r="A1949" s="115">
        <v>45965.0</v>
      </c>
      <c r="B1949" s="50"/>
      <c r="C1949" s="31" t="s">
        <v>1861</v>
      </c>
      <c r="D1949" s="32" t="s">
        <v>99</v>
      </c>
      <c r="E1949" s="31" t="s">
        <v>2156</v>
      </c>
      <c r="F1949" s="161">
        <v>45986.0</v>
      </c>
      <c r="G1949" s="53">
        <v>1.800868384E7</v>
      </c>
      <c r="H1949" s="14">
        <f t="shared" si="9"/>
        <v>3781823.606</v>
      </c>
      <c r="I1949" s="22">
        <v>540260.52</v>
      </c>
      <c r="J1949" s="22">
        <v>360173.68</v>
      </c>
      <c r="K1949" s="15">
        <f t="shared" si="4"/>
        <v>22690941.65</v>
      </c>
      <c r="L1949" s="45"/>
      <c r="M1949" s="24">
        <v>45971.0</v>
      </c>
    </row>
    <row r="1950" ht="15.75" customHeight="1">
      <c r="A1950" s="115">
        <v>45965.0</v>
      </c>
      <c r="B1950" s="50"/>
      <c r="C1950" s="31" t="s">
        <v>1861</v>
      </c>
      <c r="D1950" s="32" t="s">
        <v>99</v>
      </c>
      <c r="E1950" s="31" t="s">
        <v>2157</v>
      </c>
      <c r="F1950" s="161">
        <v>45986.0</v>
      </c>
      <c r="G1950" s="53">
        <v>1.87932636E7</v>
      </c>
      <c r="H1950" s="14">
        <f t="shared" si="9"/>
        <v>3946585.356</v>
      </c>
      <c r="I1950" s="22">
        <v>563797.91</v>
      </c>
      <c r="J1950" s="22">
        <v>375865.27</v>
      </c>
      <c r="K1950" s="15">
        <f t="shared" si="4"/>
        <v>23679512.14</v>
      </c>
      <c r="L1950" s="45"/>
      <c r="M1950" s="24">
        <v>45971.0</v>
      </c>
    </row>
    <row r="1951" ht="15.75" customHeight="1">
      <c r="A1951" s="115">
        <v>45965.0</v>
      </c>
      <c r="B1951" s="50"/>
      <c r="C1951" s="31" t="s">
        <v>1854</v>
      </c>
      <c r="D1951" s="32" t="s">
        <v>99</v>
      </c>
      <c r="E1951" s="31" t="s">
        <v>2158</v>
      </c>
      <c r="F1951" s="161">
        <v>45986.0</v>
      </c>
      <c r="G1951" s="53">
        <v>1.963205856E7</v>
      </c>
      <c r="H1951" s="14">
        <f t="shared" si="9"/>
        <v>4122732.298</v>
      </c>
      <c r="I1951" s="22">
        <v>588961.76</v>
      </c>
      <c r="J1951" s="22">
        <v>1177923.51</v>
      </c>
      <c r="K1951" s="15">
        <f t="shared" si="4"/>
        <v>25521676.13</v>
      </c>
      <c r="L1951" s="45"/>
      <c r="M1951" s="24">
        <v>45972.0</v>
      </c>
    </row>
    <row r="1952" ht="15.75" customHeight="1">
      <c r="A1952" s="115">
        <v>45965.0</v>
      </c>
      <c r="B1952" s="50"/>
      <c r="C1952" s="31" t="s">
        <v>1854</v>
      </c>
      <c r="D1952" s="32" t="s">
        <v>99</v>
      </c>
      <c r="E1952" s="31" t="s">
        <v>2159</v>
      </c>
      <c r="F1952" s="161">
        <v>45986.0</v>
      </c>
      <c r="G1952" s="53">
        <v>2.032090272E7</v>
      </c>
      <c r="H1952" s="14">
        <f t="shared" si="9"/>
        <v>4267389.571</v>
      </c>
      <c r="I1952" s="22">
        <v>609627.08</v>
      </c>
      <c r="J1952" s="22">
        <v>1219254.16</v>
      </c>
      <c r="K1952" s="15">
        <f t="shared" si="4"/>
        <v>26417173.53</v>
      </c>
      <c r="L1952" s="45"/>
      <c r="M1952" s="24">
        <v>45972.0</v>
      </c>
    </row>
    <row r="1953" ht="15.75" customHeight="1">
      <c r="A1953" s="115">
        <v>45965.0</v>
      </c>
      <c r="B1953" s="50"/>
      <c r="C1953" s="31" t="s">
        <v>1854</v>
      </c>
      <c r="D1953" s="32" t="s">
        <v>99</v>
      </c>
      <c r="E1953" s="31" t="s">
        <v>2160</v>
      </c>
      <c r="F1953" s="161">
        <v>45986.0</v>
      </c>
      <c r="G1953" s="53">
        <v>1.81835985E7</v>
      </c>
      <c r="H1953" s="14">
        <f t="shared" si="9"/>
        <v>3818555.685</v>
      </c>
      <c r="I1953" s="22">
        <v>545507.96</v>
      </c>
      <c r="J1953" s="22">
        <v>1091015.91</v>
      </c>
      <c r="K1953" s="15">
        <f t="shared" si="4"/>
        <v>23638678.06</v>
      </c>
      <c r="L1953" s="45"/>
      <c r="M1953" s="24">
        <v>45972.0</v>
      </c>
    </row>
    <row r="1954" ht="15.75" customHeight="1">
      <c r="A1954" s="115">
        <v>45965.0</v>
      </c>
      <c r="B1954" s="50"/>
      <c r="C1954" s="31" t="s">
        <v>1854</v>
      </c>
      <c r="D1954" s="32" t="s">
        <v>99</v>
      </c>
      <c r="E1954" s="31" t="s">
        <v>2161</v>
      </c>
      <c r="F1954" s="161">
        <v>45986.0</v>
      </c>
      <c r="G1954" s="53">
        <v>1.81835985E7</v>
      </c>
      <c r="H1954" s="14">
        <f t="shared" si="9"/>
        <v>3818555.685</v>
      </c>
      <c r="I1954" s="22">
        <v>545507.96</v>
      </c>
      <c r="J1954" s="22">
        <v>1091015.91</v>
      </c>
      <c r="K1954" s="15">
        <f t="shared" si="4"/>
        <v>23638678.06</v>
      </c>
      <c r="L1954" s="45"/>
      <c r="M1954" s="24">
        <v>45972.0</v>
      </c>
    </row>
    <row r="1955" ht="15.75" customHeight="1">
      <c r="A1955" s="115">
        <v>45965.0</v>
      </c>
      <c r="B1955" s="50"/>
      <c r="C1955" s="31" t="s">
        <v>1854</v>
      </c>
      <c r="D1955" s="32" t="s">
        <v>99</v>
      </c>
      <c r="E1955" s="31" t="s">
        <v>2162</v>
      </c>
      <c r="F1955" s="161">
        <v>45986.0</v>
      </c>
      <c r="G1955" s="53">
        <v>1.38722016E7</v>
      </c>
      <c r="H1955" s="14">
        <f t="shared" si="9"/>
        <v>2913162.336</v>
      </c>
      <c r="I1955" s="22">
        <v>416166.05</v>
      </c>
      <c r="J1955" s="22">
        <v>832332.1</v>
      </c>
      <c r="K1955" s="15">
        <f t="shared" si="4"/>
        <v>18033862.09</v>
      </c>
      <c r="L1955" s="45"/>
      <c r="M1955" s="24">
        <v>45972.0</v>
      </c>
    </row>
    <row r="1956" ht="15.75" customHeight="1">
      <c r="A1956" s="115">
        <v>45966.0</v>
      </c>
      <c r="B1956" s="50"/>
      <c r="C1956" s="31" t="s">
        <v>410</v>
      </c>
      <c r="D1956" s="32" t="s">
        <v>99</v>
      </c>
      <c r="E1956" s="31" t="s">
        <v>2163</v>
      </c>
      <c r="F1956" s="161">
        <v>45986.0</v>
      </c>
      <c r="G1956" s="53">
        <v>2983381.09</v>
      </c>
      <c r="H1956" s="14">
        <f t="shared" si="9"/>
        <v>626510.0289</v>
      </c>
      <c r="I1956" s="50"/>
      <c r="J1956" s="14"/>
      <c r="K1956" s="15">
        <f t="shared" si="4"/>
        <v>3609891.119</v>
      </c>
      <c r="L1956" s="45"/>
      <c r="M1956" s="24">
        <v>45968.0</v>
      </c>
    </row>
    <row r="1957" ht="15.75" customHeight="1">
      <c r="A1957" s="115">
        <v>45966.0</v>
      </c>
      <c r="B1957" s="50"/>
      <c r="C1957" s="31" t="s">
        <v>410</v>
      </c>
      <c r="D1957" s="32" t="s">
        <v>99</v>
      </c>
      <c r="E1957" s="32" t="s">
        <v>2164</v>
      </c>
      <c r="F1957" s="161">
        <v>45986.0</v>
      </c>
      <c r="G1957" s="53">
        <v>2021470.95</v>
      </c>
      <c r="H1957" s="14">
        <f t="shared" si="9"/>
        <v>424508.8995</v>
      </c>
      <c r="I1957" s="50"/>
      <c r="J1957" s="14"/>
      <c r="K1957" s="15">
        <f t="shared" si="4"/>
        <v>2445979.85</v>
      </c>
      <c r="L1957" s="45"/>
      <c r="M1957" s="24">
        <v>45968.0</v>
      </c>
    </row>
    <row r="1958" ht="15.75" customHeight="1">
      <c r="A1958" s="115">
        <v>45966.0</v>
      </c>
      <c r="B1958" s="50"/>
      <c r="C1958" s="31" t="s">
        <v>410</v>
      </c>
      <c r="D1958" s="32" t="s">
        <v>15</v>
      </c>
      <c r="E1958" s="31" t="s">
        <v>2165</v>
      </c>
      <c r="F1958" s="161">
        <v>45986.0</v>
      </c>
      <c r="G1958" s="53">
        <v>3018362.41</v>
      </c>
      <c r="H1958" s="14">
        <f t="shared" si="9"/>
        <v>633856.1061</v>
      </c>
      <c r="I1958" s="50"/>
      <c r="J1958" s="14"/>
      <c r="K1958" s="15">
        <f t="shared" si="4"/>
        <v>3652218.516</v>
      </c>
      <c r="L1958" s="45"/>
      <c r="M1958" s="24">
        <v>45968.0</v>
      </c>
    </row>
    <row r="1959" ht="15.75" customHeight="1">
      <c r="A1959" s="115">
        <v>45966.0</v>
      </c>
      <c r="B1959" s="50"/>
      <c r="C1959" s="31" t="s">
        <v>168</v>
      </c>
      <c r="D1959" s="32" t="s">
        <v>15</v>
      </c>
      <c r="E1959" s="31" t="s">
        <v>2166</v>
      </c>
      <c r="F1959" s="161">
        <v>45986.0</v>
      </c>
      <c r="G1959" s="53">
        <v>1.790957123E7</v>
      </c>
      <c r="H1959" s="14">
        <f t="shared" si="9"/>
        <v>3761009.958</v>
      </c>
      <c r="I1959" s="22">
        <v>537287.14</v>
      </c>
      <c r="J1959" s="14"/>
      <c r="K1959" s="15">
        <f t="shared" si="4"/>
        <v>22207868.33</v>
      </c>
      <c r="L1959" s="45"/>
      <c r="M1959" s="24">
        <v>45972.0</v>
      </c>
    </row>
    <row r="1960" ht="15.75" customHeight="1">
      <c r="A1960" s="115">
        <v>45966.0</v>
      </c>
      <c r="B1960" s="50"/>
      <c r="C1960" s="31" t="s">
        <v>211</v>
      </c>
      <c r="D1960" s="32" t="s">
        <v>99</v>
      </c>
      <c r="E1960" s="31" t="s">
        <v>2167</v>
      </c>
      <c r="F1960" s="161">
        <v>45986.0</v>
      </c>
      <c r="G1960" s="53">
        <f>2411570.64/1.21</f>
        <v>1993033.587</v>
      </c>
      <c r="H1960" s="14">
        <f t="shared" si="9"/>
        <v>418537.0532</v>
      </c>
      <c r="I1960" s="50"/>
      <c r="J1960" s="14"/>
      <c r="K1960" s="15">
        <f t="shared" si="4"/>
        <v>2411570.64</v>
      </c>
      <c r="L1960" s="45"/>
      <c r="M1960" s="24">
        <v>45967.0</v>
      </c>
    </row>
    <row r="1961" ht="15.75" customHeight="1">
      <c r="A1961" s="115">
        <v>45966.0</v>
      </c>
      <c r="B1961" s="50"/>
      <c r="C1961" s="31" t="s">
        <v>211</v>
      </c>
      <c r="D1961" s="32" t="s">
        <v>99</v>
      </c>
      <c r="E1961" s="31" t="s">
        <v>2168</v>
      </c>
      <c r="F1961" s="161">
        <v>45986.0</v>
      </c>
      <c r="G1961" s="53">
        <f>3621890.45/1.21</f>
        <v>2993297.893</v>
      </c>
      <c r="H1961" s="14">
        <f t="shared" si="9"/>
        <v>628592.5574</v>
      </c>
      <c r="I1961" s="50"/>
      <c r="J1961" s="14"/>
      <c r="K1961" s="15">
        <f t="shared" si="4"/>
        <v>3621890.45</v>
      </c>
      <c r="L1961" s="45"/>
      <c r="M1961" s="24">
        <v>45967.0</v>
      </c>
    </row>
    <row r="1962" ht="15.75" customHeight="1">
      <c r="A1962" s="115">
        <v>45966.0</v>
      </c>
      <c r="B1962" s="50"/>
      <c r="C1962" s="31" t="s">
        <v>16</v>
      </c>
      <c r="D1962" s="32" t="s">
        <v>99</v>
      </c>
      <c r="E1962" s="31" t="s">
        <v>2169</v>
      </c>
      <c r="F1962" s="161">
        <v>45986.0</v>
      </c>
      <c r="G1962" s="53">
        <v>5508792.08</v>
      </c>
      <c r="H1962" s="14">
        <f t="shared" si="9"/>
        <v>1156846.337</v>
      </c>
      <c r="I1962" s="22">
        <v>165263.76</v>
      </c>
      <c r="J1962" s="14"/>
      <c r="K1962" s="15">
        <f t="shared" si="4"/>
        <v>6830902.177</v>
      </c>
      <c r="L1962" s="45"/>
      <c r="M1962" s="24">
        <v>45972.0</v>
      </c>
    </row>
    <row r="1963" ht="15.75" customHeight="1">
      <c r="A1963" s="115">
        <v>45966.0</v>
      </c>
      <c r="B1963" s="50"/>
      <c r="C1963" s="31" t="s">
        <v>567</v>
      </c>
      <c r="D1963" s="32" t="s">
        <v>99</v>
      </c>
      <c r="E1963" s="31" t="s">
        <v>2170</v>
      </c>
      <c r="F1963" s="161">
        <v>45986.0</v>
      </c>
      <c r="G1963" s="53">
        <v>2.172625207E7</v>
      </c>
      <c r="H1963" s="14">
        <f t="shared" si="9"/>
        <v>4562512.935</v>
      </c>
      <c r="I1963" s="22">
        <v>651787.56</v>
      </c>
      <c r="J1963" s="14"/>
      <c r="K1963" s="15">
        <f t="shared" si="4"/>
        <v>26940552.56</v>
      </c>
      <c r="L1963" s="45"/>
      <c r="M1963" s="6"/>
    </row>
    <row r="1964" ht="15.75" customHeight="1">
      <c r="A1964" s="115">
        <v>45966.0</v>
      </c>
      <c r="B1964" s="50"/>
      <c r="C1964" s="31" t="s">
        <v>567</v>
      </c>
      <c r="D1964" s="32" t="s">
        <v>99</v>
      </c>
      <c r="E1964" s="31" t="s">
        <v>2171</v>
      </c>
      <c r="F1964" s="161">
        <v>45986.0</v>
      </c>
      <c r="G1964" s="53">
        <v>1.374673608E7</v>
      </c>
      <c r="H1964" s="14">
        <f t="shared" si="9"/>
        <v>2886814.577</v>
      </c>
      <c r="I1964" s="22">
        <v>412402.08</v>
      </c>
      <c r="J1964" s="14"/>
      <c r="K1964" s="15">
        <f t="shared" si="4"/>
        <v>17045952.74</v>
      </c>
      <c r="L1964" s="45"/>
      <c r="M1964" s="6"/>
    </row>
    <row r="1965" ht="15.75" customHeight="1">
      <c r="A1965" s="115">
        <v>45966.0</v>
      </c>
      <c r="B1965" s="50"/>
      <c r="C1965" s="31" t="s">
        <v>567</v>
      </c>
      <c r="D1965" s="32" t="s">
        <v>99</v>
      </c>
      <c r="E1965" s="31" t="s">
        <v>2172</v>
      </c>
      <c r="F1965" s="161">
        <v>45986.0</v>
      </c>
      <c r="G1965" s="53">
        <v>2993727.51</v>
      </c>
      <c r="H1965" s="14">
        <f t="shared" si="9"/>
        <v>628682.7771</v>
      </c>
      <c r="I1965" s="22"/>
      <c r="J1965" s="14"/>
      <c r="K1965" s="15">
        <f t="shared" si="4"/>
        <v>3622410.287</v>
      </c>
      <c r="L1965" s="45"/>
      <c r="M1965" s="6"/>
    </row>
    <row r="1966" ht="15.75" customHeight="1">
      <c r="A1966" s="177">
        <v>45966.0</v>
      </c>
      <c r="B1966" s="56"/>
      <c r="C1966" s="57" t="s">
        <v>567</v>
      </c>
      <c r="D1966" s="58" t="s">
        <v>15</v>
      </c>
      <c r="E1966" s="58" t="s">
        <v>2173</v>
      </c>
      <c r="F1966" s="178">
        <v>45986.0</v>
      </c>
      <c r="G1966" s="65">
        <v>1.233928208E7</v>
      </c>
      <c r="H1966" s="9">
        <f t="shared" si="9"/>
        <v>2591249.237</v>
      </c>
      <c r="I1966" s="44">
        <v>370178.46</v>
      </c>
      <c r="J1966" s="60"/>
      <c r="K1966" s="10">
        <f t="shared" si="4"/>
        <v>15300709.78</v>
      </c>
      <c r="L1966" s="61"/>
      <c r="M1966" s="62"/>
    </row>
    <row r="1967" ht="15.75" customHeight="1">
      <c r="A1967" s="177">
        <v>45966.0</v>
      </c>
      <c r="B1967" s="56"/>
      <c r="C1967" s="57" t="s">
        <v>567</v>
      </c>
      <c r="D1967" s="58" t="s">
        <v>15</v>
      </c>
      <c r="E1967" s="57" t="s">
        <v>2174</v>
      </c>
      <c r="F1967" s="178">
        <v>45986.0</v>
      </c>
      <c r="G1967" s="65">
        <v>3237262.89</v>
      </c>
      <c r="H1967" s="9">
        <f t="shared" si="9"/>
        <v>679825.2069</v>
      </c>
      <c r="I1967" s="56"/>
      <c r="J1967" s="60"/>
      <c r="K1967" s="10">
        <f t="shared" si="4"/>
        <v>3917088.097</v>
      </c>
      <c r="L1967" s="61"/>
      <c r="M1967" s="62"/>
    </row>
    <row r="1968" ht="15.75" customHeight="1">
      <c r="A1968" s="115">
        <v>45966.0</v>
      </c>
      <c r="B1968" s="50"/>
      <c r="C1968" s="31" t="s">
        <v>567</v>
      </c>
      <c r="D1968" s="32" t="s">
        <v>15</v>
      </c>
      <c r="E1968" s="31" t="s">
        <v>2175</v>
      </c>
      <c r="F1968" s="161">
        <v>45986.0</v>
      </c>
      <c r="G1968" s="53">
        <v>1.43362651E7</v>
      </c>
      <c r="H1968" s="14">
        <f t="shared" si="9"/>
        <v>3010615.671</v>
      </c>
      <c r="I1968" s="22">
        <v>430087.95</v>
      </c>
      <c r="J1968" s="14"/>
      <c r="K1968" s="15">
        <f t="shared" si="4"/>
        <v>17776968.72</v>
      </c>
      <c r="L1968" s="45"/>
      <c r="M1968" s="6"/>
    </row>
    <row r="1969" ht="15.75" customHeight="1">
      <c r="A1969" s="115">
        <v>45966.0</v>
      </c>
      <c r="B1969" s="50"/>
      <c r="C1969" s="31" t="s">
        <v>567</v>
      </c>
      <c r="D1969" s="32" t="s">
        <v>15</v>
      </c>
      <c r="E1969" s="31" t="s">
        <v>2176</v>
      </c>
      <c r="F1969" s="161">
        <v>45986.0</v>
      </c>
      <c r="G1969" s="53">
        <v>3500029.44</v>
      </c>
      <c r="H1969" s="14">
        <f t="shared" si="9"/>
        <v>735006.1824</v>
      </c>
      <c r="I1969" s="22"/>
      <c r="J1969" s="14"/>
      <c r="K1969" s="15">
        <f t="shared" si="4"/>
        <v>4235035.622</v>
      </c>
      <c r="L1969" s="45"/>
      <c r="M1969" s="6"/>
    </row>
    <row r="1970" ht="15.75" customHeight="1">
      <c r="A1970" s="115">
        <v>45966.0</v>
      </c>
      <c r="B1970" s="50"/>
      <c r="C1970" s="31" t="s">
        <v>567</v>
      </c>
      <c r="D1970" s="32" t="s">
        <v>15</v>
      </c>
      <c r="E1970" s="31" t="s">
        <v>2177</v>
      </c>
      <c r="F1970" s="161">
        <v>45986.0</v>
      </c>
      <c r="G1970" s="53">
        <v>4635252.05</v>
      </c>
      <c r="H1970" s="14">
        <f t="shared" si="9"/>
        <v>973402.9305</v>
      </c>
      <c r="I1970" s="22"/>
      <c r="J1970" s="14"/>
      <c r="K1970" s="15">
        <f t="shared" si="4"/>
        <v>5608654.981</v>
      </c>
      <c r="L1970" s="45"/>
      <c r="M1970" s="6"/>
    </row>
    <row r="1971" ht="15.75" customHeight="1">
      <c r="A1971" s="115">
        <v>45966.0</v>
      </c>
      <c r="B1971" s="50"/>
      <c r="C1971" s="31" t="s">
        <v>567</v>
      </c>
      <c r="D1971" s="32" t="s">
        <v>15</v>
      </c>
      <c r="E1971" s="31" t="s">
        <v>2178</v>
      </c>
      <c r="F1971" s="161">
        <v>45986.0</v>
      </c>
      <c r="G1971" s="53">
        <v>2.044837206E7</v>
      </c>
      <c r="H1971" s="14">
        <f t="shared" si="9"/>
        <v>4294158.133</v>
      </c>
      <c r="I1971" s="22">
        <v>613451.16</v>
      </c>
      <c r="J1971" s="14"/>
      <c r="K1971" s="15">
        <f t="shared" si="4"/>
        <v>25355981.35</v>
      </c>
      <c r="L1971" s="45"/>
      <c r="M1971" s="6"/>
    </row>
    <row r="1972" ht="15.75" customHeight="1">
      <c r="A1972" s="115">
        <v>45966.0</v>
      </c>
      <c r="B1972" s="50"/>
      <c r="C1972" s="31" t="s">
        <v>567</v>
      </c>
      <c r="D1972" s="32" t="s">
        <v>15</v>
      </c>
      <c r="E1972" s="31" t="s">
        <v>2179</v>
      </c>
      <c r="F1972" s="161">
        <v>45986.0</v>
      </c>
      <c r="G1972" s="53">
        <v>3.426362108E7</v>
      </c>
      <c r="H1972" s="14">
        <f t="shared" si="9"/>
        <v>7195360.427</v>
      </c>
      <c r="I1972" s="22">
        <v>1027908.63</v>
      </c>
      <c r="J1972" s="14"/>
      <c r="K1972" s="15">
        <f t="shared" si="4"/>
        <v>42486890.14</v>
      </c>
      <c r="L1972" s="45"/>
      <c r="M1972" s="6"/>
    </row>
    <row r="1973" ht="15.75" customHeight="1">
      <c r="A1973" s="115">
        <v>45966.0</v>
      </c>
      <c r="B1973" s="50"/>
      <c r="C1973" s="31" t="s">
        <v>567</v>
      </c>
      <c r="D1973" s="32" t="s">
        <v>15</v>
      </c>
      <c r="E1973" s="32" t="s">
        <v>2180</v>
      </c>
      <c r="F1973" s="161">
        <v>45986.0</v>
      </c>
      <c r="G1973" s="53">
        <v>7939838.08</v>
      </c>
      <c r="H1973" s="14">
        <f t="shared" si="9"/>
        <v>1667365.997</v>
      </c>
      <c r="I1973" s="22"/>
      <c r="J1973" s="14"/>
      <c r="K1973" s="15">
        <f t="shared" si="4"/>
        <v>9607204.077</v>
      </c>
      <c r="L1973" s="45"/>
      <c r="M1973" s="6"/>
    </row>
    <row r="1974" ht="15.75" customHeight="1">
      <c r="A1974" s="115">
        <v>45966.0</v>
      </c>
      <c r="B1974" s="50"/>
      <c r="C1974" s="31" t="s">
        <v>567</v>
      </c>
      <c r="D1974" s="32" t="s">
        <v>99</v>
      </c>
      <c r="E1974" s="31" t="s">
        <v>2181</v>
      </c>
      <c r="F1974" s="161">
        <v>45986.0</v>
      </c>
      <c r="G1974" s="53">
        <v>3772625.05</v>
      </c>
      <c r="H1974" s="14">
        <f t="shared" si="9"/>
        <v>792251.2605</v>
      </c>
      <c r="I1974" s="50"/>
      <c r="J1974" s="14"/>
      <c r="K1974" s="15">
        <f t="shared" si="4"/>
        <v>4564876.311</v>
      </c>
      <c r="L1974" s="45"/>
      <c r="M1974" s="6"/>
    </row>
    <row r="1975" ht="15.75" customHeight="1">
      <c r="A1975" s="115">
        <v>45966.0</v>
      </c>
      <c r="B1975" s="50"/>
      <c r="C1975" s="31" t="s">
        <v>567</v>
      </c>
      <c r="D1975" s="32" t="s">
        <v>99</v>
      </c>
      <c r="E1975" s="32" t="s">
        <v>2182</v>
      </c>
      <c r="F1975" s="161">
        <v>45986.0</v>
      </c>
      <c r="G1975" s="53">
        <v>1.390393203E7</v>
      </c>
      <c r="H1975" s="14">
        <f t="shared" si="9"/>
        <v>2919825.726</v>
      </c>
      <c r="I1975" s="22">
        <v>417117.96</v>
      </c>
      <c r="J1975" s="14"/>
      <c r="K1975" s="15">
        <f t="shared" si="4"/>
        <v>17240875.72</v>
      </c>
      <c r="L1975" s="45"/>
      <c r="M1975" s="6"/>
    </row>
    <row r="1976" ht="15.75" customHeight="1">
      <c r="A1976" s="115">
        <v>45966.0</v>
      </c>
      <c r="B1976" s="50"/>
      <c r="C1976" s="31" t="s">
        <v>567</v>
      </c>
      <c r="D1976" s="32" t="s">
        <v>99</v>
      </c>
      <c r="E1976" s="31" t="s">
        <v>2183</v>
      </c>
      <c r="F1976" s="161">
        <v>45986.0</v>
      </c>
      <c r="G1976" s="53">
        <v>3982726.08</v>
      </c>
      <c r="H1976" s="14">
        <f t="shared" si="9"/>
        <v>836372.4768</v>
      </c>
      <c r="I1976" s="22"/>
      <c r="J1976" s="14"/>
      <c r="K1976" s="15">
        <f t="shared" si="4"/>
        <v>4819098.557</v>
      </c>
      <c r="L1976" s="45"/>
      <c r="M1976" s="6"/>
    </row>
    <row r="1977" ht="15.75" customHeight="1">
      <c r="A1977" s="115">
        <v>45966.0</v>
      </c>
      <c r="B1977" s="50"/>
      <c r="C1977" s="31" t="s">
        <v>567</v>
      </c>
      <c r="D1977" s="32" t="s">
        <v>99</v>
      </c>
      <c r="E1977" s="31" t="s">
        <v>2184</v>
      </c>
      <c r="F1977" s="161">
        <v>45986.0</v>
      </c>
      <c r="G1977" s="53">
        <v>3.388282703E7</v>
      </c>
      <c r="H1977" s="14">
        <f t="shared" si="9"/>
        <v>7115393.676</v>
      </c>
      <c r="I1977" s="22">
        <v>1016484.81</v>
      </c>
      <c r="J1977" s="14"/>
      <c r="K1977" s="15">
        <f t="shared" si="4"/>
        <v>42014705.52</v>
      </c>
      <c r="L1977" s="45"/>
      <c r="M1977" s="6"/>
    </row>
    <row r="1978" ht="15.75" customHeight="1">
      <c r="A1978" s="115">
        <v>45966.0</v>
      </c>
      <c r="B1978" s="50"/>
      <c r="C1978" s="31" t="s">
        <v>567</v>
      </c>
      <c r="D1978" s="32" t="s">
        <v>99</v>
      </c>
      <c r="E1978" s="31" t="s">
        <v>2185</v>
      </c>
      <c r="F1978" s="161">
        <v>45986.0</v>
      </c>
      <c r="G1978" s="53">
        <v>8827262.08</v>
      </c>
      <c r="H1978" s="14">
        <f t="shared" si="9"/>
        <v>1853725.037</v>
      </c>
      <c r="I1978" s="22"/>
      <c r="J1978" s="14"/>
      <c r="K1978" s="15">
        <f t="shared" si="4"/>
        <v>10680987.12</v>
      </c>
      <c r="L1978" s="45"/>
      <c r="M1978" s="6"/>
    </row>
    <row r="1979" ht="15.75" customHeight="1">
      <c r="A1979" s="115">
        <v>45967.0</v>
      </c>
      <c r="B1979" s="50"/>
      <c r="C1979" s="31" t="s">
        <v>567</v>
      </c>
      <c r="D1979" s="32" t="s">
        <v>15</v>
      </c>
      <c r="E1979" s="31" t="s">
        <v>2186</v>
      </c>
      <c r="F1979" s="161">
        <v>45986.0</v>
      </c>
      <c r="G1979" s="53">
        <v>-1.931238246E7</v>
      </c>
      <c r="H1979" s="14">
        <f t="shared" si="9"/>
        <v>-4055600.317</v>
      </c>
      <c r="I1979" s="50"/>
      <c r="J1979" s="14"/>
      <c r="K1979" s="15">
        <f t="shared" si="4"/>
        <v>-23367982.78</v>
      </c>
      <c r="L1979" s="45"/>
      <c r="M1979" s="6"/>
    </row>
    <row r="1980" ht="15.75" customHeight="1">
      <c r="A1980" s="115">
        <v>45967.0</v>
      </c>
      <c r="B1980" s="50"/>
      <c r="C1980" s="31" t="s">
        <v>567</v>
      </c>
      <c r="D1980" s="32" t="s">
        <v>99</v>
      </c>
      <c r="E1980" s="31" t="s">
        <v>2187</v>
      </c>
      <c r="F1980" s="161">
        <v>45986.0</v>
      </c>
      <c r="G1980" s="53">
        <v>-8.325974721E7</v>
      </c>
      <c r="H1980" s="14">
        <f t="shared" si="9"/>
        <v>-17484546.91</v>
      </c>
      <c r="I1980" s="14">
        <v>-2497792.42</v>
      </c>
      <c r="J1980" s="14"/>
      <c r="K1980" s="15">
        <f t="shared" si="4"/>
        <v>-103242086.5</v>
      </c>
      <c r="L1980" s="45"/>
      <c r="M1980" s="6"/>
    </row>
    <row r="1981" ht="15.75" customHeight="1">
      <c r="A1981" s="115">
        <v>45967.0</v>
      </c>
      <c r="B1981" s="50"/>
      <c r="C1981" s="31" t="s">
        <v>567</v>
      </c>
      <c r="D1981" s="32" t="s">
        <v>15</v>
      </c>
      <c r="E1981" s="31" t="s">
        <v>2188</v>
      </c>
      <c r="F1981" s="161">
        <v>45986.0</v>
      </c>
      <c r="G1981" s="53">
        <v>-8.138754031E7</v>
      </c>
      <c r="H1981" s="14">
        <f t="shared" si="9"/>
        <v>-17091383.47</v>
      </c>
      <c r="I1981" s="22">
        <v>-2441626.21</v>
      </c>
      <c r="J1981" s="14"/>
      <c r="K1981" s="15">
        <f t="shared" si="4"/>
        <v>-100920550</v>
      </c>
      <c r="L1981" s="45"/>
      <c r="M1981" s="6"/>
    </row>
    <row r="1982" ht="15.75" customHeight="1">
      <c r="A1982" s="115">
        <v>45967.0</v>
      </c>
      <c r="B1982" s="50"/>
      <c r="C1982" s="31" t="s">
        <v>567</v>
      </c>
      <c r="D1982" s="32" t="s">
        <v>99</v>
      </c>
      <c r="E1982" s="31" t="s">
        <v>2189</v>
      </c>
      <c r="F1982" s="161">
        <v>45986.0</v>
      </c>
      <c r="G1982" s="53">
        <v>-1.957634073E7</v>
      </c>
      <c r="H1982" s="14">
        <f t="shared" si="9"/>
        <v>-4111031.553</v>
      </c>
      <c r="I1982" s="50"/>
      <c r="J1982" s="14"/>
      <c r="K1982" s="15">
        <f t="shared" si="4"/>
        <v>-23687372.28</v>
      </c>
      <c r="L1982" s="45"/>
      <c r="M1982" s="6"/>
    </row>
    <row r="1983" ht="15.75" customHeight="1">
      <c r="A1983" s="115">
        <v>45967.0</v>
      </c>
      <c r="B1983" s="50"/>
      <c r="C1983" s="31" t="s">
        <v>2087</v>
      </c>
      <c r="D1983" s="32" t="s">
        <v>15</v>
      </c>
      <c r="E1983" s="31" t="s">
        <v>2190</v>
      </c>
      <c r="F1983" s="161">
        <v>45986.0</v>
      </c>
      <c r="G1983" s="53">
        <v>4004679.08</v>
      </c>
      <c r="H1983" s="14">
        <f t="shared" si="9"/>
        <v>840982.6068</v>
      </c>
      <c r="I1983" s="22">
        <v>120140.37</v>
      </c>
      <c r="J1983" s="14"/>
      <c r="K1983" s="15">
        <f t="shared" si="4"/>
        <v>4965802.057</v>
      </c>
      <c r="L1983" s="45"/>
      <c r="M1983" s="6"/>
    </row>
    <row r="1984" ht="15.75" customHeight="1">
      <c r="A1984" s="115">
        <v>45967.0</v>
      </c>
      <c r="B1984" s="50"/>
      <c r="C1984" s="31" t="s">
        <v>567</v>
      </c>
      <c r="D1984" s="32" t="s">
        <v>15</v>
      </c>
      <c r="E1984" s="32" t="s">
        <v>2191</v>
      </c>
      <c r="F1984" s="161">
        <v>45986.0</v>
      </c>
      <c r="G1984" s="53">
        <v>3.902615253E7</v>
      </c>
      <c r="H1984" s="14">
        <f t="shared" si="9"/>
        <v>8195492.031</v>
      </c>
      <c r="I1984" s="22">
        <v>1170784.58</v>
      </c>
      <c r="J1984" s="14"/>
      <c r="K1984" s="15">
        <f t="shared" si="4"/>
        <v>48392429.14</v>
      </c>
      <c r="L1984" s="45"/>
      <c r="M1984" s="6"/>
    </row>
    <row r="1985" ht="15.75" customHeight="1">
      <c r="A1985" s="115">
        <v>45967.0</v>
      </c>
      <c r="B1985" s="50"/>
      <c r="C1985" s="31" t="s">
        <v>567</v>
      </c>
      <c r="D1985" s="32" t="s">
        <v>15</v>
      </c>
      <c r="E1985" s="31" t="s">
        <v>2192</v>
      </c>
      <c r="F1985" s="161">
        <v>45986.0</v>
      </c>
      <c r="G1985" s="53">
        <v>1.002516212E7</v>
      </c>
      <c r="H1985" s="14">
        <f t="shared" si="9"/>
        <v>2105284.045</v>
      </c>
      <c r="I1985" s="22"/>
      <c r="J1985" s="14"/>
      <c r="K1985" s="15">
        <f t="shared" si="4"/>
        <v>12130446.17</v>
      </c>
      <c r="L1985" s="45"/>
      <c r="M1985" s="6"/>
    </row>
    <row r="1986" ht="15.75" customHeight="1">
      <c r="A1986" s="115">
        <v>45967.0</v>
      </c>
      <c r="B1986" s="50"/>
      <c r="C1986" s="31" t="s">
        <v>567</v>
      </c>
      <c r="D1986" s="32" t="s">
        <v>15</v>
      </c>
      <c r="E1986" s="31" t="s">
        <v>2193</v>
      </c>
      <c r="F1986" s="161">
        <v>45986.0</v>
      </c>
      <c r="G1986" s="53">
        <v>4.105426422E7</v>
      </c>
      <c r="H1986" s="14">
        <f t="shared" si="9"/>
        <v>8621395.486</v>
      </c>
      <c r="I1986" s="22">
        <v>1231627.93</v>
      </c>
      <c r="J1986" s="14"/>
      <c r="K1986" s="15">
        <f t="shared" si="4"/>
        <v>50907287.64</v>
      </c>
      <c r="L1986" s="45"/>
      <c r="M1986" s="6"/>
    </row>
    <row r="1987" ht="15.75" customHeight="1">
      <c r="A1987" s="115">
        <v>45967.0</v>
      </c>
      <c r="B1987" s="50"/>
      <c r="C1987" s="31" t="s">
        <v>567</v>
      </c>
      <c r="D1987" s="32" t="s">
        <v>15</v>
      </c>
      <c r="E1987" s="31" t="s">
        <v>2194</v>
      </c>
      <c r="F1987" s="161">
        <v>45986.0</v>
      </c>
      <c r="G1987" s="53">
        <v>1.020113613E7</v>
      </c>
      <c r="H1987" s="14">
        <f t="shared" si="9"/>
        <v>2142238.587</v>
      </c>
      <c r="I1987" s="22"/>
      <c r="J1987" s="14"/>
      <c r="K1987" s="15">
        <f t="shared" si="4"/>
        <v>12343374.72</v>
      </c>
      <c r="L1987" s="45"/>
      <c r="M1987" s="6"/>
    </row>
    <row r="1988" ht="15.75" customHeight="1">
      <c r="A1988" s="115">
        <v>45967.0</v>
      </c>
      <c r="B1988" s="50"/>
      <c r="C1988" s="31" t="s">
        <v>567</v>
      </c>
      <c r="D1988" s="32" t="s">
        <v>99</v>
      </c>
      <c r="E1988" s="31" t="s">
        <v>2195</v>
      </c>
      <c r="F1988" s="161">
        <v>45986.0</v>
      </c>
      <c r="G1988" s="53">
        <v>3.01120541E7</v>
      </c>
      <c r="H1988" s="14">
        <f t="shared" si="9"/>
        <v>6323531.361</v>
      </c>
      <c r="I1988" s="22">
        <v>903361.62</v>
      </c>
      <c r="J1988" s="14"/>
      <c r="K1988" s="15">
        <f t="shared" si="4"/>
        <v>37338947.08</v>
      </c>
      <c r="L1988" s="45"/>
      <c r="M1988" s="6"/>
    </row>
    <row r="1989" ht="15.75" customHeight="1">
      <c r="A1989" s="115">
        <v>45967.0</v>
      </c>
      <c r="B1989" s="50"/>
      <c r="C1989" s="31" t="s">
        <v>567</v>
      </c>
      <c r="D1989" s="32" t="s">
        <v>99</v>
      </c>
      <c r="E1989" s="31" t="s">
        <v>2196</v>
      </c>
      <c r="F1989" s="161">
        <v>45986.0</v>
      </c>
      <c r="G1989" s="53">
        <v>1.033264826E7</v>
      </c>
      <c r="H1989" s="14">
        <f t="shared" si="9"/>
        <v>2169856.135</v>
      </c>
      <c r="I1989" s="22"/>
      <c r="J1989" s="14"/>
      <c r="K1989" s="15">
        <f t="shared" si="4"/>
        <v>12502504.39</v>
      </c>
      <c r="L1989" s="45"/>
      <c r="M1989" s="6"/>
    </row>
    <row r="1990" ht="15.75" customHeight="1">
      <c r="A1990" s="115">
        <v>45967.0</v>
      </c>
      <c r="B1990" s="50"/>
      <c r="C1990" s="31" t="s">
        <v>567</v>
      </c>
      <c r="D1990" s="32" t="s">
        <v>99</v>
      </c>
      <c r="E1990" s="31" t="s">
        <v>2197</v>
      </c>
      <c r="F1990" s="161">
        <v>45986.0</v>
      </c>
      <c r="G1990" s="53">
        <v>1.722018404E7</v>
      </c>
      <c r="H1990" s="14">
        <f t="shared" si="9"/>
        <v>3616238.648</v>
      </c>
      <c r="I1990" s="22"/>
      <c r="J1990" s="14"/>
      <c r="K1990" s="15">
        <f t="shared" si="4"/>
        <v>20836422.69</v>
      </c>
      <c r="L1990" s="45"/>
      <c r="M1990" s="6"/>
    </row>
    <row r="1991" ht="15.75" customHeight="1">
      <c r="A1991" s="115">
        <v>45967.0</v>
      </c>
      <c r="B1991" s="50"/>
      <c r="C1991" s="31" t="s">
        <v>567</v>
      </c>
      <c r="D1991" s="32" t="s">
        <v>99</v>
      </c>
      <c r="E1991" s="31" t="s">
        <v>2198</v>
      </c>
      <c r="F1991" s="161">
        <v>45986.0</v>
      </c>
      <c r="G1991" s="53">
        <v>3.821041573E7</v>
      </c>
      <c r="H1991" s="14">
        <f t="shared" si="9"/>
        <v>8024187.303</v>
      </c>
      <c r="I1991" s="22">
        <v>1146312.47</v>
      </c>
      <c r="J1991" s="14"/>
      <c r="K1991" s="15">
        <f t="shared" si="4"/>
        <v>47380915.5</v>
      </c>
      <c r="L1991" s="45"/>
      <c r="M1991" s="24">
        <v>45975.0</v>
      </c>
    </row>
    <row r="1992" ht="15.75" customHeight="1">
      <c r="A1992" s="115">
        <v>45971.0</v>
      </c>
      <c r="B1992" s="50"/>
      <c r="C1992" s="31" t="s">
        <v>2199</v>
      </c>
      <c r="D1992" s="32" t="s">
        <v>15</v>
      </c>
      <c r="E1992" s="31" t="s">
        <v>2200</v>
      </c>
      <c r="F1992" s="161">
        <v>45986.0</v>
      </c>
      <c r="G1992" s="53">
        <v>5992782.42</v>
      </c>
      <c r="H1992" s="14">
        <f t="shared" si="9"/>
        <v>1258484.308</v>
      </c>
      <c r="I1992" s="50"/>
      <c r="J1992" s="22">
        <v>41949.48</v>
      </c>
      <c r="K1992" s="15">
        <f t="shared" si="4"/>
        <v>7293216.208</v>
      </c>
      <c r="L1992" s="45"/>
      <c r="M1992" s="6"/>
    </row>
    <row r="1993" ht="15.75" customHeight="1">
      <c r="A1993" s="115">
        <v>45971.0</v>
      </c>
      <c r="B1993" s="50"/>
      <c r="C1993" s="31" t="s">
        <v>2199</v>
      </c>
      <c r="D1993" s="32" t="s">
        <v>99</v>
      </c>
      <c r="E1993" s="31" t="s">
        <v>2201</v>
      </c>
      <c r="F1993" s="161">
        <v>45986.0</v>
      </c>
      <c r="G1993" s="53">
        <v>6123362.12</v>
      </c>
      <c r="H1993" s="14">
        <f t="shared" si="9"/>
        <v>1285906.045</v>
      </c>
      <c r="I1993" s="50"/>
      <c r="J1993" s="22">
        <v>42863.53</v>
      </c>
      <c r="K1993" s="15">
        <f t="shared" si="4"/>
        <v>7452131.695</v>
      </c>
      <c r="L1993" s="45"/>
      <c r="M1993" s="6"/>
    </row>
    <row r="1994" ht="15.75" customHeight="1">
      <c r="A1994" s="115">
        <v>45973.0</v>
      </c>
      <c r="B1994" s="50"/>
      <c r="C1994" s="31" t="s">
        <v>64</v>
      </c>
      <c r="D1994" s="32" t="s">
        <v>15</v>
      </c>
      <c r="E1994" s="31" t="s">
        <v>2202</v>
      </c>
      <c r="F1994" s="161">
        <v>45986.0</v>
      </c>
      <c r="G1994" s="53">
        <v>1.180985049E7</v>
      </c>
      <c r="H1994" s="14">
        <f t="shared" si="9"/>
        <v>2480068.603</v>
      </c>
      <c r="I1994" s="22"/>
      <c r="J1994" s="14"/>
      <c r="K1994" s="15">
        <f t="shared" si="4"/>
        <v>14289919.09</v>
      </c>
      <c r="L1994" s="45"/>
      <c r="M1994" s="24">
        <v>45981.0</v>
      </c>
    </row>
    <row r="1995" ht="15.75" customHeight="1">
      <c r="A1995" s="115">
        <v>45974.0</v>
      </c>
      <c r="B1995" s="50"/>
      <c r="C1995" s="31" t="s">
        <v>1279</v>
      </c>
      <c r="D1995" s="32" t="s">
        <v>99</v>
      </c>
      <c r="E1995" s="31" t="s">
        <v>2203</v>
      </c>
      <c r="F1995" s="161">
        <v>45986.0</v>
      </c>
      <c r="G1995" s="53">
        <v>7941241.52</v>
      </c>
      <c r="H1995" s="14">
        <f t="shared" si="9"/>
        <v>1667660.719</v>
      </c>
      <c r="I1995" s="22">
        <v>238237.25</v>
      </c>
      <c r="J1995" s="14"/>
      <c r="K1995" s="15">
        <f t="shared" si="4"/>
        <v>9847139.489</v>
      </c>
      <c r="L1995" s="45"/>
      <c r="M1995" s="24">
        <v>45980.0</v>
      </c>
    </row>
    <row r="1996" ht="15.75" customHeight="1">
      <c r="A1996" s="115">
        <v>45974.0</v>
      </c>
      <c r="B1996" s="50"/>
      <c r="C1996" s="31" t="s">
        <v>1279</v>
      </c>
      <c r="D1996" s="32" t="s">
        <v>15</v>
      </c>
      <c r="E1996" s="31" t="s">
        <v>2204</v>
      </c>
      <c r="F1996" s="161">
        <v>45986.0</v>
      </c>
      <c r="G1996" s="53">
        <v>2355372.74</v>
      </c>
      <c r="H1996" s="14">
        <f t="shared" si="9"/>
        <v>494628.2754</v>
      </c>
      <c r="I1996" s="22">
        <v>70661.18</v>
      </c>
      <c r="J1996" s="14"/>
      <c r="K1996" s="15">
        <f t="shared" si="4"/>
        <v>2920662.195</v>
      </c>
      <c r="L1996" s="45"/>
      <c r="M1996" s="6"/>
    </row>
    <row r="1997" ht="15.75" customHeight="1">
      <c r="A1997" s="115">
        <v>45974.0</v>
      </c>
      <c r="B1997" s="50"/>
      <c r="C1997" s="31" t="s">
        <v>1279</v>
      </c>
      <c r="D1997" s="32" t="s">
        <v>99</v>
      </c>
      <c r="E1997" s="31" t="s">
        <v>2205</v>
      </c>
      <c r="F1997" s="161">
        <v>45986.0</v>
      </c>
      <c r="G1997" s="53">
        <v>3403389.12</v>
      </c>
      <c r="H1997" s="14">
        <f t="shared" si="9"/>
        <v>714711.7152</v>
      </c>
      <c r="I1997" s="22"/>
      <c r="J1997" s="14"/>
      <c r="K1997" s="15">
        <f t="shared" si="4"/>
        <v>4118100.835</v>
      </c>
      <c r="L1997" s="45"/>
      <c r="M1997" s="24">
        <v>45980.0</v>
      </c>
    </row>
    <row r="1998" ht="15.75" customHeight="1">
      <c r="A1998" s="115">
        <v>45974.0</v>
      </c>
      <c r="B1998" s="50"/>
      <c r="C1998" s="31" t="s">
        <v>1283</v>
      </c>
      <c r="D1998" s="32" t="s">
        <v>15</v>
      </c>
      <c r="E1998" s="31" t="s">
        <v>2206</v>
      </c>
      <c r="F1998" s="161">
        <v>45986.0</v>
      </c>
      <c r="G1998" s="53">
        <v>578512.85</v>
      </c>
      <c r="H1998" s="14">
        <f t="shared" si="9"/>
        <v>121487.6985</v>
      </c>
      <c r="I1998" s="22">
        <v>17355.39</v>
      </c>
      <c r="J1998" s="22">
        <v>2892.56</v>
      </c>
      <c r="K1998" s="15">
        <f t="shared" si="4"/>
        <v>720248.4985</v>
      </c>
      <c r="L1998" s="45"/>
      <c r="M1998" s="6"/>
    </row>
    <row r="1999" ht="15.75" customHeight="1">
      <c r="A1999" s="115">
        <v>45974.0</v>
      </c>
      <c r="B1999" s="50"/>
      <c r="C1999" s="31" t="s">
        <v>1283</v>
      </c>
      <c r="D1999" s="32" t="s">
        <v>99</v>
      </c>
      <c r="E1999" s="31" t="s">
        <v>2207</v>
      </c>
      <c r="F1999" s="161">
        <v>45986.0</v>
      </c>
      <c r="G1999" s="53">
        <v>1073558.72</v>
      </c>
      <c r="H1999" s="14">
        <f t="shared" si="9"/>
        <v>225447.3312</v>
      </c>
      <c r="I1999" s="22"/>
      <c r="J1999" s="22">
        <v>5367.79</v>
      </c>
      <c r="K1999" s="15">
        <f t="shared" si="4"/>
        <v>1304373.841</v>
      </c>
      <c r="L1999" s="45"/>
      <c r="M1999" s="6"/>
    </row>
    <row r="2000" ht="15.75" customHeight="1">
      <c r="A2000" s="115">
        <v>45974.0</v>
      </c>
      <c r="B2000" s="50"/>
      <c r="C2000" s="31" t="s">
        <v>1283</v>
      </c>
      <c r="D2000" s="32" t="s">
        <v>99</v>
      </c>
      <c r="E2000" s="32" t="s">
        <v>2208</v>
      </c>
      <c r="F2000" s="161">
        <v>45986.0</v>
      </c>
      <c r="G2000" s="53">
        <v>2504962.52</v>
      </c>
      <c r="H2000" s="14">
        <f t="shared" si="9"/>
        <v>526042.1292</v>
      </c>
      <c r="I2000" s="22">
        <v>75148.88</v>
      </c>
      <c r="J2000" s="22">
        <v>12524.81</v>
      </c>
      <c r="K2000" s="15">
        <f t="shared" si="4"/>
        <v>3118678.339</v>
      </c>
      <c r="L2000" s="45"/>
      <c r="M2000" s="6"/>
    </row>
    <row r="2001" ht="15.75" customHeight="1">
      <c r="A2001" s="115">
        <v>45974.0</v>
      </c>
      <c r="B2001" s="50"/>
      <c r="C2001" s="31" t="s">
        <v>1281</v>
      </c>
      <c r="D2001" s="32" t="s">
        <v>15</v>
      </c>
      <c r="E2001" s="31" t="s">
        <v>2209</v>
      </c>
      <c r="F2001" s="161">
        <v>45986.0</v>
      </c>
      <c r="G2001" s="53">
        <v>793388.59</v>
      </c>
      <c r="H2001" s="14">
        <f t="shared" si="9"/>
        <v>166611.6039</v>
      </c>
      <c r="I2001" s="22">
        <v>23801.66</v>
      </c>
      <c r="J2001" s="14"/>
      <c r="K2001" s="15">
        <f t="shared" si="4"/>
        <v>983801.8539</v>
      </c>
      <c r="L2001" s="45"/>
      <c r="M2001" s="6"/>
    </row>
    <row r="2002" ht="15.75" customHeight="1">
      <c r="A2002" s="115">
        <v>45974.0</v>
      </c>
      <c r="B2002" s="50"/>
      <c r="C2002" s="31" t="s">
        <v>1281</v>
      </c>
      <c r="D2002" s="32" t="s">
        <v>99</v>
      </c>
      <c r="E2002" s="31" t="s">
        <v>2210</v>
      </c>
      <c r="F2002" s="161">
        <v>45986.0</v>
      </c>
      <c r="G2002" s="53">
        <v>2690088.23</v>
      </c>
      <c r="H2002" s="14">
        <f t="shared" si="9"/>
        <v>564918.5283</v>
      </c>
      <c r="I2002" s="22">
        <v>80702.65</v>
      </c>
      <c r="J2002" s="14"/>
      <c r="K2002" s="15">
        <f t="shared" si="4"/>
        <v>3335709.408</v>
      </c>
      <c r="L2002" s="45"/>
      <c r="M2002" s="24">
        <v>45980.0</v>
      </c>
    </row>
    <row r="2003" ht="15.75" customHeight="1">
      <c r="A2003" s="115">
        <v>45974.0</v>
      </c>
      <c r="B2003" s="50"/>
      <c r="C2003" s="31" t="s">
        <v>1281</v>
      </c>
      <c r="D2003" s="32" t="s">
        <v>99</v>
      </c>
      <c r="E2003" s="31" t="s">
        <v>2211</v>
      </c>
      <c r="F2003" s="161">
        <v>45986.0</v>
      </c>
      <c r="G2003" s="53">
        <v>1152898.15</v>
      </c>
      <c r="H2003" s="14">
        <f t="shared" si="9"/>
        <v>242108.6115</v>
      </c>
      <c r="I2003" s="22"/>
      <c r="J2003" s="14"/>
      <c r="K2003" s="15">
        <f t="shared" si="4"/>
        <v>1395006.762</v>
      </c>
      <c r="L2003" s="45"/>
      <c r="M2003" s="24">
        <v>45980.0</v>
      </c>
    </row>
    <row r="2004" ht="15.75" customHeight="1">
      <c r="A2004" s="115">
        <v>45974.0</v>
      </c>
      <c r="B2004" s="50"/>
      <c r="C2004" s="31" t="s">
        <v>1312</v>
      </c>
      <c r="D2004" s="32" t="s">
        <v>15</v>
      </c>
      <c r="E2004" s="31" t="s">
        <v>2212</v>
      </c>
      <c r="F2004" s="161">
        <v>45986.0</v>
      </c>
      <c r="G2004" s="53">
        <v>1438017.84</v>
      </c>
      <c r="H2004" s="14">
        <f t="shared" si="9"/>
        <v>301983.7464</v>
      </c>
      <c r="I2004" s="22">
        <v>43140.54</v>
      </c>
      <c r="J2004" s="14"/>
      <c r="K2004" s="15">
        <f t="shared" si="4"/>
        <v>1783142.126</v>
      </c>
      <c r="L2004" s="45"/>
      <c r="M2004" s="6"/>
    </row>
    <row r="2005" ht="15.75" customHeight="1">
      <c r="A2005" s="115">
        <v>45974.0</v>
      </c>
      <c r="B2005" s="50"/>
      <c r="C2005" s="31" t="s">
        <v>1312</v>
      </c>
      <c r="D2005" s="32" t="s">
        <v>99</v>
      </c>
      <c r="E2005" s="31" t="s">
        <v>2213</v>
      </c>
      <c r="F2005" s="161">
        <v>45986.0</v>
      </c>
      <c r="G2005" s="53">
        <v>1623471.59</v>
      </c>
      <c r="H2005" s="14">
        <f t="shared" si="9"/>
        <v>340929.0339</v>
      </c>
      <c r="I2005" s="22"/>
      <c r="J2005" s="14"/>
      <c r="K2005" s="15">
        <f t="shared" si="4"/>
        <v>1964400.624</v>
      </c>
      <c r="L2005" s="45"/>
      <c r="M2005" s="6"/>
    </row>
    <row r="2006" ht="15.75" customHeight="1">
      <c r="A2006" s="115">
        <v>45974.0</v>
      </c>
      <c r="B2006" s="50"/>
      <c r="C2006" s="31" t="s">
        <v>1189</v>
      </c>
      <c r="D2006" s="32" t="s">
        <v>15</v>
      </c>
      <c r="E2006" s="31" t="s">
        <v>2214</v>
      </c>
      <c r="F2006" s="161">
        <v>45986.0</v>
      </c>
      <c r="G2006" s="53">
        <v>1.602789012E7</v>
      </c>
      <c r="H2006" s="14">
        <f t="shared" si="9"/>
        <v>3365856.925</v>
      </c>
      <c r="I2006" s="22"/>
      <c r="J2006" s="22">
        <v>480836.7</v>
      </c>
      <c r="K2006" s="15">
        <f t="shared" si="4"/>
        <v>19874583.75</v>
      </c>
      <c r="L2006" s="45"/>
      <c r="M2006" s="6"/>
    </row>
    <row r="2007" ht="15.75" customHeight="1">
      <c r="A2007" s="115">
        <v>45974.0</v>
      </c>
      <c r="B2007" s="50"/>
      <c r="C2007" s="31" t="s">
        <v>1312</v>
      </c>
      <c r="D2007" s="32" t="s">
        <v>99</v>
      </c>
      <c r="E2007" s="31" t="s">
        <v>2215</v>
      </c>
      <c r="F2007" s="161">
        <v>45986.0</v>
      </c>
      <c r="G2007" s="53">
        <v>3788102.41</v>
      </c>
      <c r="H2007" s="14">
        <f t="shared" si="9"/>
        <v>795501.5061</v>
      </c>
      <c r="I2007" s="22">
        <v>113643.07</v>
      </c>
      <c r="J2007" s="14"/>
      <c r="K2007" s="15">
        <f t="shared" si="4"/>
        <v>4697246.986</v>
      </c>
      <c r="L2007" s="45"/>
      <c r="M2007" s="6"/>
    </row>
    <row r="2008" ht="15.75" customHeight="1">
      <c r="A2008" s="115">
        <v>45974.0</v>
      </c>
      <c r="B2008" s="50"/>
      <c r="C2008" s="31" t="s">
        <v>1277</v>
      </c>
      <c r="D2008" s="32" t="s">
        <v>15</v>
      </c>
      <c r="E2008" s="31" t="s">
        <v>2216</v>
      </c>
      <c r="F2008" s="161">
        <v>45986.0</v>
      </c>
      <c r="G2008" s="53">
        <v>1446281.94</v>
      </c>
      <c r="H2008" s="14">
        <f t="shared" si="9"/>
        <v>303719.2074</v>
      </c>
      <c r="I2008" s="22">
        <v>43388.46</v>
      </c>
      <c r="J2008" s="14"/>
      <c r="K2008" s="15">
        <f t="shared" si="4"/>
        <v>1793389.607</v>
      </c>
      <c r="L2008" s="45"/>
      <c r="M2008" s="6"/>
    </row>
    <row r="2009" ht="15.75" customHeight="1">
      <c r="A2009" s="115">
        <v>45974.0</v>
      </c>
      <c r="B2009" s="50"/>
      <c r="C2009" s="31" t="s">
        <v>1277</v>
      </c>
      <c r="D2009" s="32" t="s">
        <v>99</v>
      </c>
      <c r="E2009" s="31" t="s">
        <v>2217</v>
      </c>
      <c r="F2009" s="161">
        <v>45986.0</v>
      </c>
      <c r="G2009" s="53">
        <v>6219012.42</v>
      </c>
      <c r="H2009" s="14">
        <f t="shared" si="9"/>
        <v>1305992.608</v>
      </c>
      <c r="I2009" s="22">
        <v>186570.37</v>
      </c>
      <c r="J2009" s="14"/>
      <c r="K2009" s="15">
        <f t="shared" si="4"/>
        <v>7711575.398</v>
      </c>
      <c r="L2009" s="45"/>
      <c r="M2009" s="6"/>
    </row>
    <row r="2010" ht="15.75" customHeight="1">
      <c r="A2010" s="115">
        <v>45974.0</v>
      </c>
      <c r="B2010" s="50"/>
      <c r="C2010" s="31" t="s">
        <v>1277</v>
      </c>
      <c r="D2010" s="32" t="s">
        <v>99</v>
      </c>
      <c r="E2010" s="31" t="s">
        <v>2218</v>
      </c>
      <c r="F2010" s="161">
        <v>45986.0</v>
      </c>
      <c r="G2010" s="53">
        <v>2665295.17</v>
      </c>
      <c r="H2010" s="14">
        <f t="shared" si="9"/>
        <v>559711.9857</v>
      </c>
      <c r="I2010" s="22"/>
      <c r="J2010" s="14"/>
      <c r="K2010" s="15">
        <f t="shared" si="4"/>
        <v>3225007.156</v>
      </c>
      <c r="L2010" s="45"/>
      <c r="M2010" s="6"/>
    </row>
    <row r="2011" ht="15.75" customHeight="1">
      <c r="A2011" s="115">
        <v>45974.0</v>
      </c>
      <c r="B2011" s="50"/>
      <c r="C2011" s="31" t="s">
        <v>1189</v>
      </c>
      <c r="D2011" s="32" t="s">
        <v>99</v>
      </c>
      <c r="E2011" s="31" t="s">
        <v>2219</v>
      </c>
      <c r="F2011" s="161">
        <v>45986.0</v>
      </c>
      <c r="G2011" s="53">
        <v>1.397675085E7</v>
      </c>
      <c r="H2011" s="14">
        <f t="shared" si="9"/>
        <v>2935117.679</v>
      </c>
      <c r="I2011" s="22">
        <v>419302.53</v>
      </c>
      <c r="J2011" s="14"/>
      <c r="K2011" s="15">
        <f t="shared" si="4"/>
        <v>17331171.06</v>
      </c>
      <c r="L2011" s="45"/>
      <c r="M2011" s="6"/>
    </row>
    <row r="2012" ht="15.75" customHeight="1">
      <c r="A2012" s="115">
        <v>45974.0</v>
      </c>
      <c r="B2012" s="50"/>
      <c r="C2012" s="144" t="s">
        <v>64</v>
      </c>
      <c r="D2012" s="32" t="s">
        <v>99</v>
      </c>
      <c r="E2012" s="31" t="s">
        <v>2220</v>
      </c>
      <c r="F2012" s="161">
        <v>45986.0</v>
      </c>
      <c r="G2012" s="53">
        <v>9817382.18</v>
      </c>
      <c r="H2012" s="14">
        <f t="shared" si="9"/>
        <v>2061650.258</v>
      </c>
      <c r="I2012" s="22">
        <v>294521.47</v>
      </c>
      <c r="J2012" s="14"/>
      <c r="K2012" s="15">
        <f t="shared" si="4"/>
        <v>12173553.91</v>
      </c>
      <c r="L2012" s="45"/>
      <c r="M2012" s="24">
        <v>45981.0</v>
      </c>
      <c r="N2012" s="179"/>
      <c r="O2012" s="179"/>
      <c r="P2012" s="179"/>
      <c r="Q2012" s="179"/>
      <c r="R2012" s="179"/>
      <c r="S2012" s="179"/>
      <c r="T2012" s="179"/>
      <c r="U2012" s="179"/>
      <c r="V2012" s="179"/>
      <c r="W2012" s="179"/>
      <c r="X2012" s="179"/>
      <c r="Y2012" s="179"/>
      <c r="Z2012" s="179"/>
    </row>
    <row r="2013" ht="15.75" customHeight="1">
      <c r="A2013" s="115">
        <v>45975.0</v>
      </c>
      <c r="B2013" s="50"/>
      <c r="C2013" s="31" t="s">
        <v>2221</v>
      </c>
      <c r="D2013" s="32" t="s">
        <v>99</v>
      </c>
      <c r="E2013" s="31" t="s">
        <v>2222</v>
      </c>
      <c r="F2013" s="161">
        <v>45986.0</v>
      </c>
      <c r="G2013" s="53">
        <v>1.458736122E7</v>
      </c>
      <c r="H2013" s="14">
        <f t="shared" si="9"/>
        <v>3063345.856</v>
      </c>
      <c r="I2013" s="22">
        <v>437620.84</v>
      </c>
      <c r="J2013" s="14"/>
      <c r="K2013" s="15">
        <f t="shared" si="4"/>
        <v>18088327.92</v>
      </c>
      <c r="L2013" s="45"/>
      <c r="M2013" s="24">
        <v>45978.0</v>
      </c>
    </row>
    <row r="2014" ht="15.75" customHeight="1">
      <c r="A2014" s="115">
        <v>45975.0</v>
      </c>
      <c r="B2014" s="50"/>
      <c r="C2014" s="31" t="s">
        <v>2221</v>
      </c>
      <c r="D2014" s="32" t="s">
        <v>99</v>
      </c>
      <c r="E2014" s="31" t="s">
        <v>2223</v>
      </c>
      <c r="F2014" s="161">
        <v>45986.0</v>
      </c>
      <c r="G2014" s="53">
        <v>1.589353242E7</v>
      </c>
      <c r="H2014" s="14">
        <f t="shared" si="9"/>
        <v>3337641.808</v>
      </c>
      <c r="I2014" s="22">
        <v>476805.97</v>
      </c>
      <c r="J2014" s="14"/>
      <c r="K2014" s="15">
        <f t="shared" si="4"/>
        <v>19707980.2</v>
      </c>
      <c r="L2014" s="45"/>
      <c r="M2014" s="24">
        <v>45978.0</v>
      </c>
    </row>
    <row r="2015" ht="15.75" customHeight="1">
      <c r="A2015" s="115">
        <v>45975.0</v>
      </c>
      <c r="B2015" s="50"/>
      <c r="C2015" s="31" t="s">
        <v>2221</v>
      </c>
      <c r="D2015" s="32" t="s">
        <v>99</v>
      </c>
      <c r="E2015" s="32" t="s">
        <v>2224</v>
      </c>
      <c r="F2015" s="161">
        <v>45986.0</v>
      </c>
      <c r="G2015" s="53">
        <v>1.913268218E7</v>
      </c>
      <c r="H2015" s="14">
        <f t="shared" si="9"/>
        <v>4017863.258</v>
      </c>
      <c r="I2015" s="22">
        <v>573980.47</v>
      </c>
      <c r="J2015" s="14"/>
      <c r="K2015" s="15">
        <f t="shared" si="4"/>
        <v>23724525.91</v>
      </c>
      <c r="L2015" s="45"/>
      <c r="M2015" s="24">
        <v>45978.0</v>
      </c>
    </row>
    <row r="2016" ht="15.75" customHeight="1">
      <c r="A2016" s="115">
        <v>45978.0</v>
      </c>
      <c r="B2016" s="50"/>
      <c r="C2016" s="31" t="s">
        <v>1845</v>
      </c>
      <c r="D2016" s="32" t="s">
        <v>15</v>
      </c>
      <c r="E2016" s="31" t="s">
        <v>2225</v>
      </c>
      <c r="F2016" s="161">
        <v>45986.0</v>
      </c>
      <c r="G2016" s="53">
        <v>3129740.49</v>
      </c>
      <c r="H2016" s="14">
        <f t="shared" si="9"/>
        <v>657245.5029</v>
      </c>
      <c r="I2016" s="50"/>
      <c r="J2016" s="14"/>
      <c r="K2016" s="15">
        <f t="shared" si="4"/>
        <v>3786985.993</v>
      </c>
      <c r="L2016" s="45"/>
      <c r="M2016" s="6"/>
    </row>
    <row r="2017" ht="15.75" customHeight="1">
      <c r="A2017" s="115">
        <v>45978.0</v>
      </c>
      <c r="B2017" s="50"/>
      <c r="C2017" s="31" t="s">
        <v>1845</v>
      </c>
      <c r="D2017" s="32" t="s">
        <v>15</v>
      </c>
      <c r="E2017" s="31" t="s">
        <v>2226</v>
      </c>
      <c r="F2017" s="161">
        <v>45986.0</v>
      </c>
      <c r="G2017" s="53">
        <v>2892804.12</v>
      </c>
      <c r="H2017" s="14">
        <f t="shared" si="9"/>
        <v>607488.8652</v>
      </c>
      <c r="I2017" s="50"/>
      <c r="J2017" s="14"/>
      <c r="K2017" s="15">
        <f t="shared" si="4"/>
        <v>3500292.985</v>
      </c>
      <c r="L2017" s="45"/>
      <c r="M2017" s="6"/>
    </row>
    <row r="2018" ht="15.75" customHeight="1">
      <c r="A2018" s="177">
        <v>45978.0</v>
      </c>
      <c r="B2018" s="56"/>
      <c r="C2018" s="57" t="s">
        <v>1845</v>
      </c>
      <c r="D2018" s="58" t="s">
        <v>99</v>
      </c>
      <c r="E2018" s="57" t="s">
        <v>2227</v>
      </c>
      <c r="F2018" s="178">
        <v>45986.0</v>
      </c>
      <c r="G2018" s="65">
        <v>4036221.18</v>
      </c>
      <c r="H2018" s="9">
        <f t="shared" si="9"/>
        <v>847606.4478</v>
      </c>
      <c r="I2018" s="56"/>
      <c r="J2018" s="44">
        <v>161448.85</v>
      </c>
      <c r="K2018" s="10">
        <f t="shared" si="4"/>
        <v>5045276.478</v>
      </c>
      <c r="L2018" s="61"/>
      <c r="M2018" s="62"/>
    </row>
    <row r="2019" ht="15.75" customHeight="1">
      <c r="A2019" s="177">
        <v>45978.0</v>
      </c>
      <c r="B2019" s="56"/>
      <c r="C2019" s="57" t="s">
        <v>1845</v>
      </c>
      <c r="D2019" s="58" t="s">
        <v>99</v>
      </c>
      <c r="E2019" s="57" t="s">
        <v>2228</v>
      </c>
      <c r="F2019" s="178">
        <v>45986.0</v>
      </c>
      <c r="G2019" s="65">
        <v>3440943.71</v>
      </c>
      <c r="H2019" s="9">
        <f t="shared" si="9"/>
        <v>722598.1791</v>
      </c>
      <c r="I2019" s="56"/>
      <c r="J2019" s="44">
        <v>137637.75</v>
      </c>
      <c r="K2019" s="10">
        <f t="shared" si="4"/>
        <v>4301179.639</v>
      </c>
      <c r="L2019" s="61"/>
      <c r="M2019" s="62"/>
    </row>
    <row r="2020" ht="15.75" customHeight="1">
      <c r="A2020" s="177">
        <v>45978.0</v>
      </c>
      <c r="B2020" s="56"/>
      <c r="C2020" s="57" t="s">
        <v>1845</v>
      </c>
      <c r="D2020" s="58" t="s">
        <v>99</v>
      </c>
      <c r="E2020" s="57" t="s">
        <v>2229</v>
      </c>
      <c r="F2020" s="178">
        <v>45986.0</v>
      </c>
      <c r="G2020" s="65">
        <v>3011198.41</v>
      </c>
      <c r="H2020" s="9">
        <f t="shared" si="9"/>
        <v>632351.6661</v>
      </c>
      <c r="I2020" s="56"/>
      <c r="J2020" s="44">
        <v>120447.94</v>
      </c>
      <c r="K2020" s="10">
        <f t="shared" si="4"/>
        <v>3763998.016</v>
      </c>
      <c r="L2020" s="61"/>
      <c r="M2020" s="62"/>
    </row>
    <row r="2021" ht="15.75" customHeight="1">
      <c r="A2021" s="177">
        <v>45978.0</v>
      </c>
      <c r="B2021" s="56"/>
      <c r="C2021" s="57" t="s">
        <v>1845</v>
      </c>
      <c r="D2021" s="58" t="s">
        <v>99</v>
      </c>
      <c r="E2021" s="57" t="s">
        <v>2230</v>
      </c>
      <c r="F2021" s="178">
        <v>45986.0</v>
      </c>
      <c r="G2021" s="65">
        <v>2926747.07</v>
      </c>
      <c r="H2021" s="9">
        <f t="shared" si="9"/>
        <v>614616.8847</v>
      </c>
      <c r="I2021" s="56"/>
      <c r="J2021" s="60"/>
      <c r="K2021" s="10">
        <f t="shared" si="4"/>
        <v>3541363.955</v>
      </c>
      <c r="L2021" s="61"/>
      <c r="M2021" s="62"/>
    </row>
    <row r="2022" ht="15.75" customHeight="1">
      <c r="A2022" s="115">
        <v>45978.0</v>
      </c>
      <c r="B2022" s="50"/>
      <c r="C2022" s="31" t="s">
        <v>2231</v>
      </c>
      <c r="D2022" s="32" t="s">
        <v>15</v>
      </c>
      <c r="E2022" s="31" t="s">
        <v>2232</v>
      </c>
      <c r="F2022" s="161">
        <v>45986.0</v>
      </c>
      <c r="G2022" s="53">
        <v>1.004473295E7</v>
      </c>
      <c r="H2022" s="14">
        <f t="shared" si="9"/>
        <v>2109393.92</v>
      </c>
      <c r="I2022" s="50"/>
      <c r="J2022" s="22">
        <v>602683.98</v>
      </c>
      <c r="K2022" s="15">
        <f t="shared" si="4"/>
        <v>12756810.85</v>
      </c>
      <c r="L2022" s="45"/>
      <c r="M2022" s="6"/>
    </row>
    <row r="2023" ht="15.75" customHeight="1">
      <c r="A2023" s="115">
        <v>45978.0</v>
      </c>
      <c r="B2023" s="50"/>
      <c r="C2023" s="31" t="s">
        <v>2233</v>
      </c>
      <c r="D2023" s="32" t="s">
        <v>99</v>
      </c>
      <c r="E2023" s="31" t="s">
        <v>2234</v>
      </c>
      <c r="F2023" s="161">
        <v>45986.0</v>
      </c>
      <c r="G2023" s="53">
        <v>8826362.41</v>
      </c>
      <c r="H2023" s="14">
        <f t="shared" si="9"/>
        <v>1853536.106</v>
      </c>
      <c r="I2023" s="50"/>
      <c r="J2023" s="22">
        <v>441318.12</v>
      </c>
      <c r="K2023" s="15">
        <f t="shared" si="4"/>
        <v>11121216.64</v>
      </c>
      <c r="L2023" s="45"/>
      <c r="M2023" s="6"/>
    </row>
    <row r="2024" ht="15.75" customHeight="1">
      <c r="A2024" s="115">
        <v>45978.0</v>
      </c>
      <c r="B2024" s="50"/>
      <c r="C2024" s="31" t="s">
        <v>2233</v>
      </c>
      <c r="D2024" s="32" t="s">
        <v>99</v>
      </c>
      <c r="E2024" s="31" t="s">
        <v>2235</v>
      </c>
      <c r="F2024" s="161">
        <v>45986.0</v>
      </c>
      <c r="G2024" s="53">
        <v>1.283626208E7</v>
      </c>
      <c r="H2024" s="14">
        <f t="shared" si="9"/>
        <v>2695615.037</v>
      </c>
      <c r="I2024" s="50"/>
      <c r="J2024" s="22">
        <v>641813.1</v>
      </c>
      <c r="K2024" s="15">
        <f t="shared" si="4"/>
        <v>16173690.22</v>
      </c>
      <c r="L2024" s="45"/>
      <c r="M2024" s="6"/>
    </row>
    <row r="2025" ht="15.75" customHeight="1">
      <c r="A2025" s="115">
        <v>45978.0</v>
      </c>
      <c r="B2025" s="50"/>
      <c r="C2025" s="31" t="s">
        <v>1285</v>
      </c>
      <c r="D2025" s="32" t="s">
        <v>15</v>
      </c>
      <c r="E2025" s="31" t="s">
        <v>2236</v>
      </c>
      <c r="F2025" s="161">
        <v>45986.0</v>
      </c>
      <c r="G2025" s="53">
        <v>3002580.42</v>
      </c>
      <c r="H2025" s="14">
        <f t="shared" si="9"/>
        <v>630541.8882</v>
      </c>
      <c r="I2025" s="50"/>
      <c r="J2025" s="14"/>
      <c r="K2025" s="15">
        <f t="shared" si="4"/>
        <v>3633122.308</v>
      </c>
      <c r="L2025" s="45"/>
      <c r="M2025" s="24">
        <v>45979.0</v>
      </c>
    </row>
    <row r="2026" ht="15.75" customHeight="1">
      <c r="A2026" s="177">
        <v>45978.0</v>
      </c>
      <c r="B2026" s="56"/>
      <c r="C2026" s="141" t="s">
        <v>969</v>
      </c>
      <c r="D2026" s="57" t="s">
        <v>2237</v>
      </c>
      <c r="E2026" s="58" t="s">
        <v>2238</v>
      </c>
      <c r="F2026" s="178">
        <v>45986.0</v>
      </c>
      <c r="G2026" s="65">
        <v>1.6536675E7</v>
      </c>
      <c r="H2026" s="9">
        <f t="shared" si="9"/>
        <v>3472701.75</v>
      </c>
      <c r="I2026" s="56"/>
      <c r="J2026" s="60"/>
      <c r="K2026" s="10">
        <f t="shared" si="4"/>
        <v>20009376.75</v>
      </c>
      <c r="L2026" s="61"/>
      <c r="M2026" s="62"/>
    </row>
    <row r="2027" ht="15.75" customHeight="1">
      <c r="A2027" s="177">
        <v>45979.0</v>
      </c>
      <c r="B2027" s="56"/>
      <c r="C2027" s="57" t="s">
        <v>2054</v>
      </c>
      <c r="D2027" s="58" t="s">
        <v>15</v>
      </c>
      <c r="E2027" s="58" t="s">
        <v>2239</v>
      </c>
      <c r="F2027" s="178">
        <v>45986.0</v>
      </c>
      <c r="G2027" s="65">
        <v>2.200184533E7</v>
      </c>
      <c r="H2027" s="9">
        <f t="shared" si="9"/>
        <v>4620387.519</v>
      </c>
      <c r="I2027" s="44"/>
      <c r="J2027" s="60"/>
      <c r="K2027" s="10">
        <f t="shared" si="4"/>
        <v>26622232.85</v>
      </c>
      <c r="L2027" s="61"/>
      <c r="M2027" s="62"/>
    </row>
    <row r="2028" ht="15.75" customHeight="1">
      <c r="A2028" s="177">
        <v>45979.0</v>
      </c>
      <c r="B2028" s="56"/>
      <c r="C2028" s="57" t="s">
        <v>2054</v>
      </c>
      <c r="D2028" s="58" t="s">
        <v>99</v>
      </c>
      <c r="E2028" s="58" t="s">
        <v>2240</v>
      </c>
      <c r="F2028" s="178">
        <v>45986.0</v>
      </c>
      <c r="G2028" s="65">
        <v>2.200132642E7</v>
      </c>
      <c r="H2028" s="9">
        <f t="shared" si="9"/>
        <v>4620278.548</v>
      </c>
      <c r="I2028" s="44">
        <v>660039.79</v>
      </c>
      <c r="J2028" s="60"/>
      <c r="K2028" s="10">
        <f t="shared" si="4"/>
        <v>27281644.76</v>
      </c>
      <c r="L2028" s="61"/>
      <c r="M2028" s="62"/>
    </row>
    <row r="2029" ht="15.75" customHeight="1">
      <c r="A2029" s="115">
        <v>45979.0</v>
      </c>
      <c r="B2029" s="50"/>
      <c r="C2029" s="31" t="s">
        <v>567</v>
      </c>
      <c r="D2029" s="32" t="s">
        <v>15</v>
      </c>
      <c r="E2029" s="31" t="s">
        <v>2241</v>
      </c>
      <c r="F2029" s="161">
        <v>45986.0</v>
      </c>
      <c r="G2029" s="53">
        <v>5.102383705E7</v>
      </c>
      <c r="H2029" s="14">
        <f t="shared" si="9"/>
        <v>10715005.78</v>
      </c>
      <c r="I2029" s="22"/>
      <c r="J2029" s="14"/>
      <c r="K2029" s="15">
        <f t="shared" si="4"/>
        <v>61738842.83</v>
      </c>
      <c r="L2029" s="45"/>
      <c r="M2029" s="6"/>
    </row>
    <row r="2030" ht="15.75" customHeight="1">
      <c r="A2030" s="115">
        <v>45979.0</v>
      </c>
      <c r="B2030" s="50"/>
      <c r="C2030" s="31" t="s">
        <v>567</v>
      </c>
      <c r="D2030" s="32" t="s">
        <v>15</v>
      </c>
      <c r="E2030" s="31" t="s">
        <v>2242</v>
      </c>
      <c r="F2030" s="161">
        <v>45986.0</v>
      </c>
      <c r="G2030" s="53">
        <v>4.983736242E7</v>
      </c>
      <c r="H2030" s="14">
        <f t="shared" si="9"/>
        <v>10465846.11</v>
      </c>
      <c r="I2030" s="22"/>
      <c r="J2030" s="14"/>
      <c r="K2030" s="15">
        <f t="shared" si="4"/>
        <v>60303208.53</v>
      </c>
      <c r="L2030" s="45"/>
      <c r="M2030" s="24"/>
      <c r="N2030" s="179"/>
      <c r="O2030" s="179"/>
      <c r="P2030" s="179"/>
      <c r="Q2030" s="179"/>
      <c r="R2030" s="179"/>
      <c r="S2030" s="179"/>
      <c r="T2030" s="179"/>
      <c r="U2030" s="179"/>
      <c r="V2030" s="179"/>
      <c r="W2030" s="179"/>
      <c r="X2030" s="179"/>
      <c r="Y2030" s="179"/>
      <c r="Z2030" s="179"/>
    </row>
    <row r="2031" ht="15.75" customHeight="1">
      <c r="A2031" s="115">
        <v>45979.0</v>
      </c>
      <c r="B2031" s="50"/>
      <c r="C2031" s="31" t="s">
        <v>196</v>
      </c>
      <c r="D2031" s="32" t="s">
        <v>15</v>
      </c>
      <c r="E2031" s="31" t="s">
        <v>2243</v>
      </c>
      <c r="F2031" s="161">
        <v>45986.0</v>
      </c>
      <c r="G2031" s="53">
        <v>2998430.49</v>
      </c>
      <c r="H2031" s="14">
        <f t="shared" si="9"/>
        <v>629670.4029</v>
      </c>
      <c r="I2031" s="22"/>
      <c r="J2031" s="14"/>
      <c r="K2031" s="15">
        <f t="shared" si="4"/>
        <v>3628100.893</v>
      </c>
      <c r="L2031" s="45"/>
      <c r="M2031" s="6"/>
    </row>
    <row r="2032" ht="15.75" customHeight="1">
      <c r="A2032" s="115">
        <v>45979.0</v>
      </c>
      <c r="B2032" s="50"/>
      <c r="C2032" s="31" t="s">
        <v>196</v>
      </c>
      <c r="D2032" s="32" t="s">
        <v>99</v>
      </c>
      <c r="E2032" s="31" t="s">
        <v>2244</v>
      </c>
      <c r="F2032" s="161">
        <v>45986.0</v>
      </c>
      <c r="G2032" s="53">
        <v>1.000947042E7</v>
      </c>
      <c r="H2032" s="14">
        <f t="shared" si="9"/>
        <v>2101988.788</v>
      </c>
      <c r="I2032" s="22"/>
      <c r="J2032" s="14"/>
      <c r="K2032" s="15">
        <f t="shared" si="4"/>
        <v>12111459.21</v>
      </c>
      <c r="L2032" s="45"/>
      <c r="M2032" s="6"/>
    </row>
    <row r="2033" ht="15.75" customHeight="1">
      <c r="A2033" s="115">
        <v>45981.0</v>
      </c>
      <c r="B2033" s="50"/>
      <c r="C2033" s="31" t="s">
        <v>171</v>
      </c>
      <c r="D2033" s="32" t="s">
        <v>15</v>
      </c>
      <c r="E2033" s="32" t="s">
        <v>2245</v>
      </c>
      <c r="F2033" s="161">
        <v>45986.0</v>
      </c>
      <c r="G2033" s="53">
        <v>1.577362259E7</v>
      </c>
      <c r="H2033" s="14">
        <f t="shared" si="9"/>
        <v>3312460.744</v>
      </c>
      <c r="I2033" s="22"/>
      <c r="J2033" s="14"/>
      <c r="K2033" s="15">
        <f t="shared" si="4"/>
        <v>19086083.33</v>
      </c>
      <c r="L2033" s="45"/>
      <c r="M2033" s="6"/>
    </row>
    <row r="2034" ht="15.75" customHeight="1">
      <c r="A2034" s="115">
        <v>45981.0</v>
      </c>
      <c r="B2034" s="50"/>
      <c r="C2034" s="31" t="s">
        <v>171</v>
      </c>
      <c r="D2034" s="32" t="s">
        <v>15</v>
      </c>
      <c r="E2034" s="31" t="s">
        <v>2246</v>
      </c>
      <c r="F2034" s="161">
        <v>45986.0</v>
      </c>
      <c r="G2034" s="53">
        <v>1.499372648E7</v>
      </c>
      <c r="H2034" s="14">
        <f t="shared" si="9"/>
        <v>3148682.561</v>
      </c>
      <c r="I2034" s="50"/>
      <c r="J2034" s="14"/>
      <c r="K2034" s="15">
        <f t="shared" si="4"/>
        <v>18142409.04</v>
      </c>
      <c r="L2034" s="45"/>
      <c r="M2034" s="6"/>
    </row>
    <row r="2035" ht="15.75" customHeight="1">
      <c r="A2035" s="115">
        <v>45981.0</v>
      </c>
      <c r="B2035" s="50"/>
      <c r="C2035" s="31" t="s">
        <v>171</v>
      </c>
      <c r="D2035" s="32" t="s">
        <v>99</v>
      </c>
      <c r="E2035" s="31" t="s">
        <v>2247</v>
      </c>
      <c r="F2035" s="161">
        <v>45986.0</v>
      </c>
      <c r="G2035" s="53">
        <v>1.533525219E7</v>
      </c>
      <c r="H2035" s="14">
        <f t="shared" si="9"/>
        <v>3220402.96</v>
      </c>
      <c r="I2035" s="50"/>
      <c r="J2035" s="14"/>
      <c r="K2035" s="15">
        <f t="shared" si="4"/>
        <v>18555655.15</v>
      </c>
      <c r="L2035" s="45"/>
      <c r="M2035" s="6"/>
    </row>
    <row r="2036" ht="15.75" customHeight="1">
      <c r="A2036" s="115">
        <v>45981.0</v>
      </c>
      <c r="B2036" s="50"/>
      <c r="C2036" s="31" t="s">
        <v>171</v>
      </c>
      <c r="D2036" s="32" t="s">
        <v>99</v>
      </c>
      <c r="E2036" s="31" t="s">
        <v>2248</v>
      </c>
      <c r="F2036" s="161">
        <v>45986.0</v>
      </c>
      <c r="G2036" s="53">
        <v>1.488372641E7</v>
      </c>
      <c r="H2036" s="14">
        <f t="shared" si="9"/>
        <v>3125582.546</v>
      </c>
      <c r="I2036" s="50"/>
      <c r="J2036" s="22"/>
      <c r="K2036" s="15">
        <f t="shared" si="4"/>
        <v>18009308.96</v>
      </c>
      <c r="L2036" s="45"/>
      <c r="M2036" s="6"/>
    </row>
    <row r="2037" ht="15.75" customHeight="1">
      <c r="A2037" s="115">
        <v>45981.0</v>
      </c>
      <c r="B2037" s="50"/>
      <c r="C2037" s="31" t="s">
        <v>395</v>
      </c>
      <c r="D2037" s="32" t="s">
        <v>99</v>
      </c>
      <c r="E2037" s="31" t="s">
        <v>2249</v>
      </c>
      <c r="F2037" s="161">
        <v>45986.0</v>
      </c>
      <c r="G2037" s="53">
        <v>4107982.84</v>
      </c>
      <c r="H2037" s="14">
        <f t="shared" si="9"/>
        <v>862676.3964</v>
      </c>
      <c r="I2037" s="22">
        <v>123239.49</v>
      </c>
      <c r="J2037" s="22">
        <v>12323.95</v>
      </c>
      <c r="K2037" s="15">
        <f t="shared" si="4"/>
        <v>5106222.676</v>
      </c>
      <c r="L2037" s="45"/>
      <c r="M2037" s="6"/>
    </row>
    <row r="2038" ht="15.75" customHeight="1">
      <c r="A2038" s="115">
        <v>45981.0</v>
      </c>
      <c r="B2038" s="50"/>
      <c r="C2038" s="31" t="s">
        <v>395</v>
      </c>
      <c r="D2038" s="32" t="s">
        <v>15</v>
      </c>
      <c r="E2038" s="31" t="s">
        <v>2250</v>
      </c>
      <c r="F2038" s="161">
        <v>45986.0</v>
      </c>
      <c r="G2038" s="53">
        <v>4009571.52</v>
      </c>
      <c r="H2038" s="14">
        <f t="shared" si="9"/>
        <v>842010.0192</v>
      </c>
      <c r="I2038" s="22">
        <v>120287.15</v>
      </c>
      <c r="J2038" s="22">
        <v>12028.71</v>
      </c>
      <c r="K2038" s="15">
        <f t="shared" si="4"/>
        <v>4983897.399</v>
      </c>
      <c r="L2038" s="45"/>
      <c r="M2038" s="6"/>
    </row>
    <row r="2039" ht="15.75" customHeight="1">
      <c r="A2039" s="115">
        <v>45981.0</v>
      </c>
      <c r="B2039" s="50"/>
      <c r="C2039" s="31" t="s">
        <v>1842</v>
      </c>
      <c r="D2039" s="32" t="s">
        <v>15</v>
      </c>
      <c r="E2039" s="31" t="s">
        <v>2251</v>
      </c>
      <c r="F2039" s="161">
        <v>45986.0</v>
      </c>
      <c r="G2039" s="53">
        <v>2.513289152E7</v>
      </c>
      <c r="H2039" s="14">
        <f t="shared" si="9"/>
        <v>5277907.219</v>
      </c>
      <c r="I2039" s="50"/>
      <c r="J2039" s="14"/>
      <c r="K2039" s="15">
        <f t="shared" si="4"/>
        <v>30410798.74</v>
      </c>
      <c r="L2039" s="45"/>
      <c r="M2039" s="19" t="s">
        <v>2252</v>
      </c>
    </row>
    <row r="2040" ht="15.75" customHeight="1">
      <c r="A2040" s="115">
        <v>45981.0</v>
      </c>
      <c r="B2040" s="50"/>
      <c r="C2040" s="31" t="s">
        <v>1842</v>
      </c>
      <c r="D2040" s="32" t="s">
        <v>99</v>
      </c>
      <c r="E2040" s="31" t="s">
        <v>2253</v>
      </c>
      <c r="F2040" s="161">
        <v>45986.0</v>
      </c>
      <c r="G2040" s="53">
        <v>2.724368129E7</v>
      </c>
      <c r="H2040" s="14">
        <f t="shared" si="9"/>
        <v>5721173.071</v>
      </c>
      <c r="I2040" s="50"/>
      <c r="J2040" s="22"/>
      <c r="K2040" s="15">
        <f t="shared" si="4"/>
        <v>32964854.36</v>
      </c>
      <c r="L2040" s="45"/>
      <c r="M2040" s="19" t="s">
        <v>2252</v>
      </c>
    </row>
    <row r="2041" ht="15.75" customHeight="1">
      <c r="A2041" s="115">
        <v>45981.0</v>
      </c>
      <c r="B2041" s="50"/>
      <c r="C2041" s="32" t="s">
        <v>1990</v>
      </c>
      <c r="D2041" s="32" t="s">
        <v>15</v>
      </c>
      <c r="E2041" s="31" t="s">
        <v>2254</v>
      </c>
      <c r="F2041" s="161">
        <v>45986.0</v>
      </c>
      <c r="G2041" s="53">
        <v>4969175.19</v>
      </c>
      <c r="H2041" s="14">
        <f t="shared" si="9"/>
        <v>1043526.79</v>
      </c>
      <c r="I2041" s="50"/>
      <c r="J2041" s="22"/>
      <c r="K2041" s="15">
        <f t="shared" si="4"/>
        <v>6012701.98</v>
      </c>
      <c r="L2041" s="45"/>
      <c r="M2041" s="6"/>
    </row>
    <row r="2042" ht="15.75" customHeight="1">
      <c r="A2042" s="166">
        <v>45982.0</v>
      </c>
      <c r="B2042" s="167"/>
      <c r="C2042" s="168" t="s">
        <v>635</v>
      </c>
      <c r="D2042" s="169" t="s">
        <v>99</v>
      </c>
      <c r="E2042" s="168" t="s">
        <v>2255</v>
      </c>
      <c r="F2042" s="170">
        <v>45986.0</v>
      </c>
      <c r="G2042" s="171">
        <v>1.029152284E7</v>
      </c>
      <c r="H2042" s="172">
        <f t="shared" si="9"/>
        <v>2161219.796</v>
      </c>
      <c r="I2042" s="173">
        <v>308745.69</v>
      </c>
      <c r="J2042" s="173"/>
      <c r="K2042" s="174">
        <f t="shared" si="4"/>
        <v>12761488.33</v>
      </c>
      <c r="L2042" s="61"/>
      <c r="M2042" s="62"/>
    </row>
    <row r="2043" ht="15.75" customHeight="1">
      <c r="A2043" s="166">
        <v>45982.0</v>
      </c>
      <c r="B2043" s="167"/>
      <c r="C2043" s="168" t="s">
        <v>635</v>
      </c>
      <c r="D2043" s="169" t="s">
        <v>99</v>
      </c>
      <c r="E2043" s="169" t="s">
        <v>2256</v>
      </c>
      <c r="F2043" s="170">
        <v>45986.0</v>
      </c>
      <c r="G2043" s="171">
        <v>7892834.26</v>
      </c>
      <c r="H2043" s="172">
        <f t="shared" si="9"/>
        <v>1657495.195</v>
      </c>
      <c r="I2043" s="173">
        <v>236785.03</v>
      </c>
      <c r="J2043" s="172"/>
      <c r="K2043" s="174">
        <f t="shared" si="4"/>
        <v>9787114.485</v>
      </c>
      <c r="L2043" s="61"/>
      <c r="M2043" s="62"/>
    </row>
    <row r="2044" ht="15.75" customHeight="1">
      <c r="A2044" s="166">
        <v>45982.0</v>
      </c>
      <c r="B2044" s="167"/>
      <c r="C2044" s="168" t="s">
        <v>635</v>
      </c>
      <c r="D2044" s="169" t="s">
        <v>99</v>
      </c>
      <c r="E2044" s="169" t="s">
        <v>2257</v>
      </c>
      <c r="F2044" s="170">
        <v>45986.0</v>
      </c>
      <c r="G2044" s="171">
        <v>1.545443215E7</v>
      </c>
      <c r="H2044" s="172">
        <f t="shared" si="9"/>
        <v>3245430.752</v>
      </c>
      <c r="I2044" s="173">
        <v>463632.96</v>
      </c>
      <c r="J2044" s="172"/>
      <c r="K2044" s="174">
        <f t="shared" si="4"/>
        <v>19163495.86</v>
      </c>
      <c r="L2044" s="61"/>
      <c r="M2044" s="62"/>
    </row>
    <row r="2045" ht="15.75" customHeight="1">
      <c r="A2045" s="166">
        <v>45982.0</v>
      </c>
      <c r="B2045" s="167"/>
      <c r="C2045" s="168" t="s">
        <v>635</v>
      </c>
      <c r="D2045" s="169" t="s">
        <v>99</v>
      </c>
      <c r="E2045" s="168" t="s">
        <v>2258</v>
      </c>
      <c r="F2045" s="170">
        <v>45986.0</v>
      </c>
      <c r="G2045" s="171">
        <v>1.113734723E7</v>
      </c>
      <c r="H2045" s="172">
        <f t="shared" si="9"/>
        <v>2338842.918</v>
      </c>
      <c r="I2045" s="173">
        <v>334120.42</v>
      </c>
      <c r="J2045" s="172"/>
      <c r="K2045" s="174">
        <f t="shared" si="4"/>
        <v>13810310.57</v>
      </c>
      <c r="L2045" s="61"/>
      <c r="M2045" s="62"/>
    </row>
    <row r="2046" ht="15.75" customHeight="1">
      <c r="A2046" s="166">
        <v>45982.0</v>
      </c>
      <c r="B2046" s="167"/>
      <c r="C2046" s="168" t="s">
        <v>635</v>
      </c>
      <c r="D2046" s="169" t="s">
        <v>99</v>
      </c>
      <c r="E2046" s="168" t="s">
        <v>2259</v>
      </c>
      <c r="F2046" s="170">
        <v>45986.0</v>
      </c>
      <c r="G2046" s="171">
        <v>1.338473213E7</v>
      </c>
      <c r="H2046" s="172">
        <f t="shared" si="9"/>
        <v>2810793.747</v>
      </c>
      <c r="I2046" s="173">
        <v>401541.96</v>
      </c>
      <c r="J2046" s="172"/>
      <c r="K2046" s="174">
        <f t="shared" si="4"/>
        <v>16597067.84</v>
      </c>
      <c r="L2046" s="61"/>
      <c r="M2046" s="62"/>
    </row>
    <row r="2047" ht="15.75" customHeight="1">
      <c r="A2047" s="166">
        <v>45982.0</v>
      </c>
      <c r="B2047" s="167"/>
      <c r="C2047" s="168" t="s">
        <v>635</v>
      </c>
      <c r="D2047" s="169" t="s">
        <v>99</v>
      </c>
      <c r="E2047" s="168" t="s">
        <v>2260</v>
      </c>
      <c r="F2047" s="170">
        <v>45986.0</v>
      </c>
      <c r="G2047" s="171">
        <v>5555645.25</v>
      </c>
      <c r="H2047" s="172">
        <f t="shared" si="9"/>
        <v>1166685.503</v>
      </c>
      <c r="I2047" s="173">
        <v>166669.36</v>
      </c>
      <c r="J2047" s="172"/>
      <c r="K2047" s="174">
        <f t="shared" si="4"/>
        <v>6889000.113</v>
      </c>
      <c r="L2047" s="61"/>
      <c r="M2047" s="62"/>
    </row>
    <row r="2048" ht="15.75" customHeight="1">
      <c r="A2048" s="166">
        <v>45982.0</v>
      </c>
      <c r="B2048" s="167"/>
      <c r="C2048" s="168" t="s">
        <v>635</v>
      </c>
      <c r="D2048" s="169" t="s">
        <v>99</v>
      </c>
      <c r="E2048" s="168" t="s">
        <v>2261</v>
      </c>
      <c r="F2048" s="170">
        <v>45986.0</v>
      </c>
      <c r="G2048" s="171">
        <v>7727362.48</v>
      </c>
      <c r="H2048" s="172">
        <f t="shared" si="9"/>
        <v>1622746.121</v>
      </c>
      <c r="I2048" s="173">
        <v>231820.87</v>
      </c>
      <c r="J2048" s="172"/>
      <c r="K2048" s="174">
        <f t="shared" si="4"/>
        <v>9581929.471</v>
      </c>
      <c r="L2048" s="61"/>
      <c r="M2048" s="62"/>
    </row>
    <row r="2049" ht="15.75" customHeight="1">
      <c r="A2049" s="166">
        <v>45982.0</v>
      </c>
      <c r="B2049" s="167"/>
      <c r="C2049" s="168" t="s">
        <v>635</v>
      </c>
      <c r="D2049" s="169" t="s">
        <v>15</v>
      </c>
      <c r="E2049" s="168" t="s">
        <v>2262</v>
      </c>
      <c r="F2049" s="170">
        <v>45986.0</v>
      </c>
      <c r="G2049" s="171">
        <v>1.283723722E7</v>
      </c>
      <c r="H2049" s="172">
        <f t="shared" si="9"/>
        <v>2695819.816</v>
      </c>
      <c r="I2049" s="173">
        <v>385117.12</v>
      </c>
      <c r="J2049" s="172"/>
      <c r="K2049" s="174">
        <f t="shared" si="4"/>
        <v>15918174.16</v>
      </c>
      <c r="L2049" s="175"/>
      <c r="M2049" s="176"/>
    </row>
    <row r="2050" ht="15.75" customHeight="1">
      <c r="A2050" s="166">
        <v>45982.0</v>
      </c>
      <c r="B2050" s="167"/>
      <c r="C2050" s="168" t="s">
        <v>635</v>
      </c>
      <c r="D2050" s="169" t="s">
        <v>15</v>
      </c>
      <c r="E2050" s="168" t="s">
        <v>2263</v>
      </c>
      <c r="F2050" s="170">
        <v>45986.0</v>
      </c>
      <c r="G2050" s="171">
        <v>8837362.19</v>
      </c>
      <c r="H2050" s="172">
        <f t="shared" si="9"/>
        <v>1855846.06</v>
      </c>
      <c r="I2050" s="173">
        <v>265120.87</v>
      </c>
      <c r="J2050" s="172"/>
      <c r="K2050" s="174">
        <f t="shared" si="4"/>
        <v>10958329.12</v>
      </c>
      <c r="L2050" s="175"/>
      <c r="M2050" s="176"/>
    </row>
    <row r="2051" ht="15.75" customHeight="1">
      <c r="A2051" s="166">
        <v>45982.0</v>
      </c>
      <c r="B2051" s="167"/>
      <c r="C2051" s="168" t="s">
        <v>635</v>
      </c>
      <c r="D2051" s="169" t="s">
        <v>15</v>
      </c>
      <c r="E2051" s="168" t="s">
        <v>2264</v>
      </c>
      <c r="F2051" s="170">
        <v>45986.0</v>
      </c>
      <c r="G2051" s="171">
        <v>9927272.18</v>
      </c>
      <c r="H2051" s="172">
        <f t="shared" si="9"/>
        <v>2084727.158</v>
      </c>
      <c r="I2051" s="173">
        <v>297818.0</v>
      </c>
      <c r="J2051" s="172"/>
      <c r="K2051" s="174">
        <f t="shared" si="4"/>
        <v>12309817.34</v>
      </c>
      <c r="L2051" s="175"/>
      <c r="M2051" s="176"/>
    </row>
    <row r="2052" ht="15.75" customHeight="1">
      <c r="A2052" s="166">
        <v>45982.0</v>
      </c>
      <c r="B2052" s="167"/>
      <c r="C2052" s="168" t="s">
        <v>635</v>
      </c>
      <c r="D2052" s="169" t="s">
        <v>15</v>
      </c>
      <c r="E2052" s="168" t="s">
        <v>2265</v>
      </c>
      <c r="F2052" s="170">
        <v>45986.0</v>
      </c>
      <c r="G2052" s="171">
        <v>1.392727223E7</v>
      </c>
      <c r="H2052" s="172">
        <f t="shared" si="9"/>
        <v>2924727.168</v>
      </c>
      <c r="I2052" s="173">
        <v>417818.17</v>
      </c>
      <c r="J2052" s="172"/>
      <c r="K2052" s="174">
        <f t="shared" si="4"/>
        <v>17269817.57</v>
      </c>
      <c r="L2052" s="175"/>
      <c r="M2052" s="176"/>
    </row>
    <row r="2053" ht="15.75" customHeight="1">
      <c r="A2053" s="166">
        <v>45982.0</v>
      </c>
      <c r="B2053" s="167"/>
      <c r="C2053" s="168" t="s">
        <v>635</v>
      </c>
      <c r="D2053" s="169" t="s">
        <v>15</v>
      </c>
      <c r="E2053" s="168" t="s">
        <v>2266</v>
      </c>
      <c r="F2053" s="170">
        <v>45986.0</v>
      </c>
      <c r="G2053" s="171">
        <v>1.493827264E7</v>
      </c>
      <c r="H2053" s="172">
        <f t="shared" si="9"/>
        <v>3137037.254</v>
      </c>
      <c r="I2053" s="173">
        <v>448148.18</v>
      </c>
      <c r="J2053" s="172"/>
      <c r="K2053" s="174">
        <f t="shared" si="4"/>
        <v>18523458.07</v>
      </c>
      <c r="L2053" s="175"/>
      <c r="M2053" s="176"/>
    </row>
    <row r="2054" ht="15.75" customHeight="1">
      <c r="A2054" s="166">
        <v>45982.0</v>
      </c>
      <c r="B2054" s="167"/>
      <c r="C2054" s="168" t="s">
        <v>635</v>
      </c>
      <c r="D2054" s="169" t="s">
        <v>15</v>
      </c>
      <c r="E2054" s="168" t="s">
        <v>2267</v>
      </c>
      <c r="F2054" s="170">
        <v>45986.0</v>
      </c>
      <c r="G2054" s="171">
        <v>1.118373295E7</v>
      </c>
      <c r="H2054" s="172">
        <f t="shared" si="9"/>
        <v>2348583.92</v>
      </c>
      <c r="I2054" s="173">
        <v>335511.99</v>
      </c>
      <c r="J2054" s="172"/>
      <c r="K2054" s="174">
        <f t="shared" si="4"/>
        <v>13867828.86</v>
      </c>
      <c r="L2054" s="175"/>
      <c r="M2054" s="176"/>
    </row>
    <row r="2055" ht="15.75" customHeight="1">
      <c r="A2055" s="115">
        <v>45982.0</v>
      </c>
      <c r="B2055" s="50"/>
      <c r="C2055" s="31" t="s">
        <v>423</v>
      </c>
      <c r="D2055" s="32" t="s">
        <v>15</v>
      </c>
      <c r="E2055" s="31" t="s">
        <v>2268</v>
      </c>
      <c r="F2055" s="161">
        <v>45986.0</v>
      </c>
      <c r="G2055" s="53">
        <v>3000966.51</v>
      </c>
      <c r="H2055" s="14">
        <f t="shared" si="9"/>
        <v>630202.9671</v>
      </c>
      <c r="I2055" s="22">
        <v>90029.0</v>
      </c>
      <c r="J2055" s="14"/>
      <c r="K2055" s="15">
        <f t="shared" si="4"/>
        <v>3721198.477</v>
      </c>
      <c r="L2055" s="45"/>
      <c r="M2055" s="6"/>
    </row>
    <row r="2056" ht="15.75" customHeight="1">
      <c r="A2056" s="115">
        <v>45982.0</v>
      </c>
      <c r="B2056" s="50"/>
      <c r="C2056" s="31" t="s">
        <v>423</v>
      </c>
      <c r="D2056" s="32" t="s">
        <v>15</v>
      </c>
      <c r="E2056" s="31" t="s">
        <v>2269</v>
      </c>
      <c r="F2056" s="161">
        <v>45986.0</v>
      </c>
      <c r="G2056" s="53">
        <v>3000722.3</v>
      </c>
      <c r="H2056" s="14">
        <f t="shared" si="9"/>
        <v>630151.683</v>
      </c>
      <c r="I2056" s="22">
        <v>90021.67</v>
      </c>
      <c r="J2056" s="14"/>
      <c r="K2056" s="15">
        <f t="shared" si="4"/>
        <v>3720895.653</v>
      </c>
      <c r="L2056" s="45"/>
      <c r="M2056" s="6"/>
    </row>
    <row r="2057" ht="15.75" customHeight="1">
      <c r="A2057" s="115">
        <v>45982.0</v>
      </c>
      <c r="B2057" s="50"/>
      <c r="C2057" s="31" t="s">
        <v>423</v>
      </c>
      <c r="D2057" s="32" t="s">
        <v>99</v>
      </c>
      <c r="E2057" s="31" t="s">
        <v>2270</v>
      </c>
      <c r="F2057" s="161">
        <v>45986.0</v>
      </c>
      <c r="G2057" s="53">
        <v>3001047.55</v>
      </c>
      <c r="H2057" s="14">
        <f t="shared" si="9"/>
        <v>630219.9855</v>
      </c>
      <c r="I2057" s="22">
        <v>90031.43</v>
      </c>
      <c r="J2057" s="14"/>
      <c r="K2057" s="15">
        <f t="shared" si="4"/>
        <v>3721298.966</v>
      </c>
      <c r="L2057" s="45"/>
      <c r="M2057" s="6"/>
    </row>
    <row r="2058" ht="15.75" customHeight="1">
      <c r="A2058" s="115">
        <v>45982.0</v>
      </c>
      <c r="B2058" s="50"/>
      <c r="C2058" s="31" t="s">
        <v>423</v>
      </c>
      <c r="D2058" s="32" t="s">
        <v>99</v>
      </c>
      <c r="E2058" s="31" t="s">
        <v>2271</v>
      </c>
      <c r="F2058" s="161">
        <v>45986.0</v>
      </c>
      <c r="G2058" s="53">
        <v>3001196.42</v>
      </c>
      <c r="H2058" s="14">
        <f t="shared" si="9"/>
        <v>630251.2482</v>
      </c>
      <c r="I2058" s="22">
        <v>90035.89</v>
      </c>
      <c r="J2058" s="14"/>
      <c r="K2058" s="15">
        <f t="shared" si="4"/>
        <v>3721483.558</v>
      </c>
      <c r="L2058" s="45"/>
      <c r="M2058" s="6"/>
    </row>
    <row r="2059" ht="15.75" customHeight="1">
      <c r="A2059" s="115">
        <v>45987.0</v>
      </c>
      <c r="B2059" s="50"/>
      <c r="C2059" s="31" t="s">
        <v>74</v>
      </c>
      <c r="D2059" s="32" t="s">
        <v>15</v>
      </c>
      <c r="E2059" s="31" t="s">
        <v>2272</v>
      </c>
      <c r="F2059" s="161">
        <v>45986.0</v>
      </c>
      <c r="G2059" s="53">
        <v>2102938.75</v>
      </c>
      <c r="H2059" s="14">
        <f t="shared" si="9"/>
        <v>441617.1375</v>
      </c>
      <c r="I2059" s="22">
        <v>63088.16</v>
      </c>
      <c r="J2059" s="22">
        <v>33647.02</v>
      </c>
      <c r="K2059" s="15">
        <f t="shared" si="4"/>
        <v>2641291.068</v>
      </c>
      <c r="L2059" s="45"/>
      <c r="M2059" s="6"/>
    </row>
    <row r="2060" ht="15.75" customHeight="1">
      <c r="A2060" s="115">
        <v>45987.0</v>
      </c>
      <c r="B2060" s="50"/>
      <c r="C2060" s="31" t="s">
        <v>74</v>
      </c>
      <c r="D2060" s="32" t="s">
        <v>15</v>
      </c>
      <c r="E2060" s="31" t="s">
        <v>2273</v>
      </c>
      <c r="F2060" s="161">
        <v>45986.0</v>
      </c>
      <c r="G2060" s="53">
        <v>3827263.08</v>
      </c>
      <c r="H2060" s="14">
        <f t="shared" si="9"/>
        <v>803725.2468</v>
      </c>
      <c r="I2060" s="22"/>
      <c r="J2060" s="14"/>
      <c r="K2060" s="15">
        <f t="shared" si="4"/>
        <v>4630988.327</v>
      </c>
      <c r="L2060" s="45"/>
      <c r="M2060" s="6"/>
    </row>
    <row r="2061" ht="15.75" customHeight="1">
      <c r="A2061" s="115">
        <v>45987.0</v>
      </c>
      <c r="B2061" s="50"/>
      <c r="C2061" s="31" t="s">
        <v>74</v>
      </c>
      <c r="D2061" s="32" t="s">
        <v>15</v>
      </c>
      <c r="E2061" s="31" t="s">
        <v>2274</v>
      </c>
      <c r="F2061" s="161">
        <v>45986.0</v>
      </c>
      <c r="G2061" s="53">
        <v>2000123.19</v>
      </c>
      <c r="H2061" s="14">
        <f t="shared" si="9"/>
        <v>420025.8699</v>
      </c>
      <c r="I2061" s="22"/>
      <c r="J2061" s="22">
        <v>32001.97</v>
      </c>
      <c r="K2061" s="15">
        <f t="shared" si="4"/>
        <v>2452151.03</v>
      </c>
      <c r="L2061" s="45"/>
      <c r="M2061" s="6"/>
    </row>
    <row r="2062" ht="15.75" customHeight="1">
      <c r="A2062" s="115">
        <v>45987.0</v>
      </c>
      <c r="B2062" s="50"/>
      <c r="C2062" s="31" t="s">
        <v>74</v>
      </c>
      <c r="D2062" s="32" t="s">
        <v>15</v>
      </c>
      <c r="E2062" s="31" t="s">
        <v>2275</v>
      </c>
      <c r="F2062" s="161">
        <v>45986.0</v>
      </c>
      <c r="G2062" s="53">
        <v>6829285.11</v>
      </c>
      <c r="H2062" s="14">
        <f t="shared" si="9"/>
        <v>1434149.873</v>
      </c>
      <c r="I2062" s="22"/>
      <c r="J2062" s="22">
        <v>109268.56</v>
      </c>
      <c r="K2062" s="15">
        <f t="shared" si="4"/>
        <v>8372703.543</v>
      </c>
      <c r="L2062" s="45"/>
      <c r="M2062" s="6"/>
    </row>
    <row r="2063" ht="15.75" customHeight="1">
      <c r="A2063" s="115">
        <v>45987.0</v>
      </c>
      <c r="B2063" s="50"/>
      <c r="C2063" s="31" t="s">
        <v>74</v>
      </c>
      <c r="D2063" s="32" t="s">
        <v>15</v>
      </c>
      <c r="E2063" s="31" t="s">
        <v>2276</v>
      </c>
      <c r="F2063" s="161">
        <v>45986.0</v>
      </c>
      <c r="G2063" s="53">
        <v>6222823.16</v>
      </c>
      <c r="H2063" s="14">
        <f t="shared" si="9"/>
        <v>1306792.864</v>
      </c>
      <c r="I2063" s="22"/>
      <c r="J2063" s="14"/>
      <c r="K2063" s="15">
        <f t="shared" si="4"/>
        <v>7529616.024</v>
      </c>
      <c r="L2063" s="45"/>
      <c r="M2063" s="6"/>
    </row>
    <row r="2064" ht="15.75" customHeight="1">
      <c r="A2064" s="115">
        <v>45987.0</v>
      </c>
      <c r="B2064" s="50"/>
      <c r="C2064" s="31" t="s">
        <v>2004</v>
      </c>
      <c r="D2064" s="32" t="s">
        <v>15</v>
      </c>
      <c r="E2064" s="31" t="s">
        <v>2277</v>
      </c>
      <c r="F2064" s="161">
        <v>45986.0</v>
      </c>
      <c r="G2064" s="53">
        <v>1.946369128E7</v>
      </c>
      <c r="H2064" s="14">
        <f t="shared" si="9"/>
        <v>4087375.169</v>
      </c>
      <c r="I2064" s="22">
        <v>583910.74</v>
      </c>
      <c r="J2064" s="14"/>
      <c r="K2064" s="15">
        <f t="shared" si="4"/>
        <v>24134977.19</v>
      </c>
      <c r="L2064" s="45"/>
      <c r="M2064" s="19" t="s">
        <v>2278</v>
      </c>
    </row>
    <row r="2065" ht="15.75" customHeight="1">
      <c r="A2065" s="115">
        <v>45987.0</v>
      </c>
      <c r="B2065" s="50"/>
      <c r="C2065" s="31" t="s">
        <v>2004</v>
      </c>
      <c r="D2065" s="32" t="s">
        <v>15</v>
      </c>
      <c r="E2065" s="31" t="s">
        <v>2279</v>
      </c>
      <c r="F2065" s="161">
        <v>45986.0</v>
      </c>
      <c r="G2065" s="53">
        <v>2.001838041E7</v>
      </c>
      <c r="H2065" s="14">
        <f t="shared" si="9"/>
        <v>4203859.886</v>
      </c>
      <c r="I2065" s="22">
        <v>600551.41</v>
      </c>
      <c r="J2065" s="14"/>
      <c r="K2065" s="15">
        <f t="shared" si="4"/>
        <v>24822791.71</v>
      </c>
      <c r="L2065" s="45"/>
      <c r="M2065" s="19" t="s">
        <v>2278</v>
      </c>
    </row>
    <row r="2066" ht="15.75" customHeight="1">
      <c r="A2066" s="115">
        <v>45987.0</v>
      </c>
      <c r="B2066" s="50"/>
      <c r="C2066" s="31" t="s">
        <v>2004</v>
      </c>
      <c r="D2066" s="32" t="s">
        <v>15</v>
      </c>
      <c r="E2066" s="31" t="s">
        <v>2280</v>
      </c>
      <c r="F2066" s="161">
        <v>45986.0</v>
      </c>
      <c r="G2066" s="53">
        <v>1.837358028E7</v>
      </c>
      <c r="H2066" s="14">
        <f t="shared" si="9"/>
        <v>3858451.859</v>
      </c>
      <c r="I2066" s="22">
        <v>551207.41</v>
      </c>
      <c r="J2066" s="14"/>
      <c r="K2066" s="15">
        <f t="shared" si="4"/>
        <v>22783239.55</v>
      </c>
      <c r="L2066" s="45"/>
      <c r="M2066" s="19" t="s">
        <v>2278</v>
      </c>
    </row>
    <row r="2067" ht="15.75" customHeight="1">
      <c r="A2067" s="115">
        <v>45987.0</v>
      </c>
      <c r="B2067" s="50"/>
      <c r="C2067" s="31" t="s">
        <v>1972</v>
      </c>
      <c r="D2067" s="32" t="s">
        <v>15</v>
      </c>
      <c r="E2067" s="31" t="s">
        <v>2281</v>
      </c>
      <c r="F2067" s="161">
        <v>45986.0</v>
      </c>
      <c r="G2067" s="53">
        <v>1.553284219E7</v>
      </c>
      <c r="H2067" s="14">
        <f t="shared" si="9"/>
        <v>3261896.86</v>
      </c>
      <c r="I2067" s="22">
        <v>465985.27</v>
      </c>
      <c r="J2067" s="14"/>
      <c r="K2067" s="15">
        <f t="shared" si="4"/>
        <v>19260724.32</v>
      </c>
      <c r="L2067" s="45"/>
      <c r="M2067" s="19" t="s">
        <v>2278</v>
      </c>
    </row>
    <row r="2068" ht="15.75" customHeight="1">
      <c r="A2068" s="115">
        <v>45987.0</v>
      </c>
      <c r="B2068" s="50"/>
      <c r="C2068" s="31" t="s">
        <v>1972</v>
      </c>
      <c r="D2068" s="32" t="s">
        <v>15</v>
      </c>
      <c r="E2068" s="31" t="s">
        <v>2282</v>
      </c>
      <c r="F2068" s="161">
        <v>45986.0</v>
      </c>
      <c r="G2068" s="53">
        <v>1.753189123E7</v>
      </c>
      <c r="H2068" s="14">
        <f t="shared" si="9"/>
        <v>3681697.158</v>
      </c>
      <c r="I2068" s="22">
        <v>525956.74</v>
      </c>
      <c r="J2068" s="14"/>
      <c r="K2068" s="15">
        <f t="shared" si="4"/>
        <v>21739545.13</v>
      </c>
      <c r="L2068" s="45"/>
      <c r="M2068" s="19" t="s">
        <v>2278</v>
      </c>
    </row>
    <row r="2069" ht="15.75" customHeight="1">
      <c r="A2069" s="115">
        <v>45987.0</v>
      </c>
      <c r="B2069" s="50"/>
      <c r="C2069" s="31" t="s">
        <v>1285</v>
      </c>
      <c r="D2069" s="32" t="s">
        <v>15</v>
      </c>
      <c r="E2069" s="31" t="s">
        <v>2283</v>
      </c>
      <c r="F2069" s="161">
        <v>45986.0</v>
      </c>
      <c r="G2069" s="53">
        <v>5011275.19</v>
      </c>
      <c r="H2069" s="14">
        <f t="shared" si="9"/>
        <v>1052367.79</v>
      </c>
      <c r="I2069" s="22"/>
      <c r="J2069" s="14"/>
      <c r="K2069" s="15">
        <f t="shared" si="4"/>
        <v>6063642.98</v>
      </c>
      <c r="L2069" s="45"/>
      <c r="M2069" s="19" t="s">
        <v>2278</v>
      </c>
    </row>
    <row r="2070" ht="15.75" customHeight="1">
      <c r="A2070" s="115">
        <v>45988.0</v>
      </c>
      <c r="B2070" s="50"/>
      <c r="C2070" s="31" t="s">
        <v>973</v>
      </c>
      <c r="D2070" s="32" t="s">
        <v>15</v>
      </c>
      <c r="E2070" s="31" t="s">
        <v>2284</v>
      </c>
      <c r="F2070" s="161">
        <v>45986.0</v>
      </c>
      <c r="G2070" s="53">
        <v>4.5618139E7</v>
      </c>
      <c r="H2070" s="14">
        <f t="shared" si="9"/>
        <v>9579809.19</v>
      </c>
      <c r="I2070" s="22">
        <v>1368544.17</v>
      </c>
      <c r="J2070" s="22">
        <v>319326.97</v>
      </c>
      <c r="K2070" s="15">
        <f t="shared" si="4"/>
        <v>56885819.33</v>
      </c>
      <c r="L2070" s="45"/>
      <c r="M2070" s="6"/>
    </row>
    <row r="2071" ht="15.75" customHeight="1">
      <c r="A2071" s="115">
        <v>45988.0</v>
      </c>
      <c r="B2071" s="50"/>
      <c r="C2071" s="31" t="s">
        <v>973</v>
      </c>
      <c r="D2071" s="32" t="s">
        <v>15</v>
      </c>
      <c r="E2071" s="31" t="s">
        <v>2285</v>
      </c>
      <c r="F2071" s="161">
        <v>45986.0</v>
      </c>
      <c r="G2071" s="53">
        <v>2.8065828E7</v>
      </c>
      <c r="H2071" s="14">
        <f t="shared" si="9"/>
        <v>5893823.88</v>
      </c>
      <c r="I2071" s="22">
        <v>841974.84</v>
      </c>
      <c r="J2071" s="22">
        <v>196460.8</v>
      </c>
      <c r="K2071" s="15">
        <f t="shared" si="4"/>
        <v>34998087.52</v>
      </c>
      <c r="L2071" s="45"/>
      <c r="M2071" s="6"/>
    </row>
    <row r="2072" ht="15.75" customHeight="1">
      <c r="A2072" s="115">
        <v>45988.0</v>
      </c>
      <c r="B2072" s="50"/>
      <c r="C2072" s="31" t="s">
        <v>973</v>
      </c>
      <c r="D2072" s="32" t="s">
        <v>15</v>
      </c>
      <c r="E2072" s="31" t="s">
        <v>2286</v>
      </c>
      <c r="F2072" s="161">
        <v>45986.0</v>
      </c>
      <c r="G2072" s="53">
        <v>4.7328972E7</v>
      </c>
      <c r="H2072" s="14">
        <f t="shared" si="9"/>
        <v>9939084.12</v>
      </c>
      <c r="I2072" s="22">
        <v>1419869.16</v>
      </c>
      <c r="J2072" s="22">
        <v>331302.8</v>
      </c>
      <c r="K2072" s="15">
        <f t="shared" si="4"/>
        <v>59019228.08</v>
      </c>
      <c r="L2072" s="45"/>
      <c r="M2072" s="6"/>
    </row>
    <row r="2073" ht="15.75" customHeight="1">
      <c r="A2073" s="115">
        <v>45988.0</v>
      </c>
      <c r="B2073" s="50"/>
      <c r="C2073" s="31" t="s">
        <v>973</v>
      </c>
      <c r="D2073" s="32" t="s">
        <v>15</v>
      </c>
      <c r="E2073" s="31" t="s">
        <v>2287</v>
      </c>
      <c r="F2073" s="161">
        <v>45986.0</v>
      </c>
      <c r="G2073" s="53">
        <v>2.9042496E7</v>
      </c>
      <c r="H2073" s="14">
        <f t="shared" si="9"/>
        <v>6098924.16</v>
      </c>
      <c r="I2073" s="22">
        <v>871274.88</v>
      </c>
      <c r="J2073" s="22">
        <v>203297.47</v>
      </c>
      <c r="K2073" s="15">
        <f t="shared" si="4"/>
        <v>36215992.51</v>
      </c>
      <c r="L2073" s="45"/>
      <c r="M2073" s="6"/>
    </row>
    <row r="2074" ht="15.75" customHeight="1">
      <c r="A2074" s="115">
        <v>45988.0</v>
      </c>
      <c r="B2074" s="50"/>
      <c r="C2074" s="31" t="s">
        <v>1796</v>
      </c>
      <c r="D2074" s="32" t="s">
        <v>15</v>
      </c>
      <c r="E2074" s="31" t="s">
        <v>2288</v>
      </c>
      <c r="F2074" s="161">
        <v>45986.0</v>
      </c>
      <c r="G2074" s="53">
        <v>5302589.49</v>
      </c>
      <c r="H2074" s="14">
        <f t="shared" si="9"/>
        <v>1113543.793</v>
      </c>
      <c r="I2074" s="22">
        <v>159077.68</v>
      </c>
      <c r="J2074" s="22">
        <v>26512.95</v>
      </c>
      <c r="K2074" s="15">
        <f t="shared" si="4"/>
        <v>6601723.913</v>
      </c>
      <c r="L2074" s="61"/>
      <c r="M2074" s="62"/>
    </row>
    <row r="2075" ht="15.75" customHeight="1">
      <c r="A2075" s="115">
        <v>45988.0</v>
      </c>
      <c r="B2075" s="50"/>
      <c r="C2075" s="31" t="s">
        <v>1796</v>
      </c>
      <c r="D2075" s="32" t="s">
        <v>15</v>
      </c>
      <c r="E2075" s="31" t="s">
        <v>2289</v>
      </c>
      <c r="F2075" s="161">
        <v>45986.0</v>
      </c>
      <c r="G2075" s="53">
        <v>4304572.18</v>
      </c>
      <c r="H2075" s="14">
        <f t="shared" si="9"/>
        <v>903960.1578</v>
      </c>
      <c r="I2075" s="22">
        <v>129137.17</v>
      </c>
      <c r="J2075" s="22">
        <v>21522.86</v>
      </c>
      <c r="K2075" s="15">
        <f t="shared" si="4"/>
        <v>5359192.368</v>
      </c>
      <c r="L2075" s="61"/>
      <c r="M2075" s="62"/>
    </row>
    <row r="2076" ht="15.75" customHeight="1">
      <c r="A2076" s="115">
        <v>45988.0</v>
      </c>
      <c r="B2076" s="50"/>
      <c r="C2076" s="31" t="s">
        <v>1796</v>
      </c>
      <c r="D2076" s="32" t="s">
        <v>15</v>
      </c>
      <c r="E2076" s="31" t="s">
        <v>2290</v>
      </c>
      <c r="F2076" s="161">
        <v>45986.0</v>
      </c>
      <c r="G2076" s="53">
        <v>3998460.53</v>
      </c>
      <c r="H2076" s="14">
        <f t="shared" si="9"/>
        <v>839676.7113</v>
      </c>
      <c r="I2076" s="22">
        <v>119953.82</v>
      </c>
      <c r="J2076" s="22">
        <v>19992.3</v>
      </c>
      <c r="K2076" s="15">
        <f t="shared" si="4"/>
        <v>4978083.361</v>
      </c>
      <c r="L2076" s="61"/>
      <c r="M2076" s="62"/>
    </row>
    <row r="2077" ht="15.75" customHeight="1">
      <c r="A2077" s="115">
        <v>45988.0</v>
      </c>
      <c r="B2077" s="50"/>
      <c r="C2077" s="31" t="s">
        <v>1842</v>
      </c>
      <c r="D2077" s="32" t="s">
        <v>15</v>
      </c>
      <c r="E2077" s="31" t="s">
        <v>2291</v>
      </c>
      <c r="F2077" s="161">
        <v>45986.0</v>
      </c>
      <c r="G2077" s="53">
        <v>2.259467213E7</v>
      </c>
      <c r="H2077" s="14">
        <f t="shared" si="9"/>
        <v>4744881.147</v>
      </c>
      <c r="I2077" s="22"/>
      <c r="J2077" s="14"/>
      <c r="K2077" s="15">
        <f t="shared" si="4"/>
        <v>27339553.28</v>
      </c>
      <c r="L2077" s="61"/>
      <c r="M2077" s="62"/>
    </row>
    <row r="2078" ht="15.75" customHeight="1">
      <c r="A2078" s="115">
        <v>45988.0</v>
      </c>
      <c r="B2078" s="50"/>
      <c r="C2078" s="31" t="s">
        <v>1112</v>
      </c>
      <c r="D2078" s="32" t="s">
        <v>99</v>
      </c>
      <c r="E2078" s="32" t="s">
        <v>2292</v>
      </c>
      <c r="F2078" s="161">
        <v>45986.0</v>
      </c>
      <c r="G2078" s="53">
        <v>1.122623607E7</v>
      </c>
      <c r="H2078" s="14">
        <f t="shared" si="9"/>
        <v>2357509.575</v>
      </c>
      <c r="I2078" s="50"/>
      <c r="J2078" s="14"/>
      <c r="K2078" s="15">
        <f t="shared" si="4"/>
        <v>13583745.64</v>
      </c>
      <c r="L2078" s="45"/>
      <c r="M2078" s="24">
        <v>45992.0</v>
      </c>
    </row>
    <row r="2079" ht="15.75" customHeight="1">
      <c r="A2079" s="115">
        <v>45988.0</v>
      </c>
      <c r="B2079" s="50"/>
      <c r="C2079" s="31" t="s">
        <v>1112</v>
      </c>
      <c r="D2079" s="32" t="s">
        <v>99</v>
      </c>
      <c r="E2079" s="32" t="s">
        <v>2293</v>
      </c>
      <c r="F2079" s="161">
        <v>45986.0</v>
      </c>
      <c r="G2079" s="53">
        <v>1.322636242E7</v>
      </c>
      <c r="H2079" s="14">
        <f t="shared" si="9"/>
        <v>2777536.108</v>
      </c>
      <c r="I2079" s="50"/>
      <c r="J2079" s="14"/>
      <c r="K2079" s="15">
        <f t="shared" si="4"/>
        <v>16003898.53</v>
      </c>
      <c r="L2079" s="45"/>
      <c r="M2079" s="24">
        <v>45992.0</v>
      </c>
    </row>
    <row r="2080" ht="15.75" customHeight="1">
      <c r="A2080" s="115">
        <v>45988.0</v>
      </c>
      <c r="B2080" s="50"/>
      <c r="C2080" s="31" t="s">
        <v>1112</v>
      </c>
      <c r="D2080" s="32" t="s">
        <v>99</v>
      </c>
      <c r="E2080" s="32" t="s">
        <v>2294</v>
      </c>
      <c r="F2080" s="161">
        <v>45986.0</v>
      </c>
      <c r="G2080" s="53">
        <v>1.622322342E7</v>
      </c>
      <c r="H2080" s="14">
        <f t="shared" si="9"/>
        <v>3406876.918</v>
      </c>
      <c r="I2080" s="50"/>
      <c r="J2080" s="14"/>
      <c r="K2080" s="15">
        <f t="shared" si="4"/>
        <v>19630100.34</v>
      </c>
      <c r="L2080" s="45"/>
      <c r="M2080" s="24">
        <v>45992.0</v>
      </c>
    </row>
    <row r="2081" ht="15.75" customHeight="1">
      <c r="A2081" s="115">
        <v>45988.0</v>
      </c>
      <c r="B2081" s="50"/>
      <c r="C2081" s="31" t="s">
        <v>1112</v>
      </c>
      <c r="D2081" s="32" t="s">
        <v>99</v>
      </c>
      <c r="E2081" s="32" t="s">
        <v>2295</v>
      </c>
      <c r="F2081" s="161">
        <v>45986.0</v>
      </c>
      <c r="G2081" s="53">
        <v>9827367.63</v>
      </c>
      <c r="H2081" s="14">
        <f t="shared" si="9"/>
        <v>2063747.202</v>
      </c>
      <c r="I2081" s="50"/>
      <c r="J2081" s="14"/>
      <c r="K2081" s="15">
        <f t="shared" si="4"/>
        <v>11891114.83</v>
      </c>
      <c r="L2081" s="45"/>
      <c r="M2081" s="24">
        <v>45992.0</v>
      </c>
    </row>
    <row r="2082" ht="15.75" customHeight="1">
      <c r="A2082" s="115">
        <v>45988.0</v>
      </c>
      <c r="B2082" s="50"/>
      <c r="C2082" s="31" t="s">
        <v>1796</v>
      </c>
      <c r="D2082" s="32" t="s">
        <v>99</v>
      </c>
      <c r="E2082" s="31" t="s">
        <v>2296</v>
      </c>
      <c r="F2082" s="161">
        <v>45986.0</v>
      </c>
      <c r="G2082" s="53">
        <v>4702562.06</v>
      </c>
      <c r="H2082" s="14">
        <f t="shared" si="9"/>
        <v>987538.0326</v>
      </c>
      <c r="I2082" s="22">
        <v>141076.86</v>
      </c>
      <c r="J2082" s="22">
        <v>23512.81</v>
      </c>
      <c r="K2082" s="15">
        <f t="shared" si="4"/>
        <v>5854689.763</v>
      </c>
      <c r="L2082" s="61"/>
      <c r="M2082" s="62"/>
    </row>
    <row r="2083" ht="15.75" customHeight="1">
      <c r="A2083" s="115">
        <v>45988.0</v>
      </c>
      <c r="B2083" s="50"/>
      <c r="C2083" s="31" t="s">
        <v>1796</v>
      </c>
      <c r="D2083" s="32" t="s">
        <v>99</v>
      </c>
      <c r="E2083" s="31" t="s">
        <v>2297</v>
      </c>
      <c r="F2083" s="161">
        <v>45986.0</v>
      </c>
      <c r="G2083" s="53">
        <v>5003242.08</v>
      </c>
      <c r="H2083" s="14">
        <f t="shared" si="9"/>
        <v>1050680.837</v>
      </c>
      <c r="I2083" s="22">
        <v>150097.26</v>
      </c>
      <c r="J2083" s="22">
        <v>25016.21</v>
      </c>
      <c r="K2083" s="15">
        <f t="shared" si="4"/>
        <v>6229036.387</v>
      </c>
      <c r="L2083" s="61"/>
      <c r="M2083" s="62"/>
    </row>
    <row r="2084" ht="15.75" customHeight="1">
      <c r="A2084" s="115">
        <v>45988.0</v>
      </c>
      <c r="B2084" s="50"/>
      <c r="C2084" s="31" t="s">
        <v>1796</v>
      </c>
      <c r="D2084" s="32" t="s">
        <v>99</v>
      </c>
      <c r="E2084" s="31" t="s">
        <v>2298</v>
      </c>
      <c r="F2084" s="161">
        <v>45986.0</v>
      </c>
      <c r="G2084" s="53">
        <v>4255621.08</v>
      </c>
      <c r="H2084" s="14">
        <f t="shared" si="9"/>
        <v>893680.4268</v>
      </c>
      <c r="I2084" s="22">
        <v>127668.63</v>
      </c>
      <c r="J2084" s="22">
        <v>21278.11</v>
      </c>
      <c r="K2084" s="15">
        <f t="shared" si="4"/>
        <v>5298248.247</v>
      </c>
      <c r="L2084" s="61"/>
      <c r="M2084" s="62"/>
    </row>
    <row r="2085" ht="15.75" customHeight="1">
      <c r="A2085" s="177">
        <v>45988.0</v>
      </c>
      <c r="B2085" s="56"/>
      <c r="C2085" s="57" t="s">
        <v>1507</v>
      </c>
      <c r="D2085" s="58" t="s">
        <v>99</v>
      </c>
      <c r="E2085" s="57" t="s">
        <v>2299</v>
      </c>
      <c r="F2085" s="178">
        <v>45986.0</v>
      </c>
      <c r="G2085" s="65">
        <v>1.597348123E7</v>
      </c>
      <c r="H2085" s="9">
        <f t="shared" si="9"/>
        <v>3354431.058</v>
      </c>
      <c r="I2085" s="44">
        <v>479204.44</v>
      </c>
      <c r="J2085" s="60"/>
      <c r="K2085" s="10">
        <f t="shared" si="4"/>
        <v>19807116.73</v>
      </c>
      <c r="L2085" s="61"/>
      <c r="M2085" s="62"/>
    </row>
    <row r="2086" ht="15.75" customHeight="1">
      <c r="A2086" s="177">
        <v>45988.0</v>
      </c>
      <c r="B2086" s="56"/>
      <c r="C2086" s="57" t="s">
        <v>1507</v>
      </c>
      <c r="D2086" s="58" t="s">
        <v>99</v>
      </c>
      <c r="E2086" s="57" t="s">
        <v>2300</v>
      </c>
      <c r="F2086" s="178">
        <v>45986.0</v>
      </c>
      <c r="G2086" s="65">
        <v>1.769832124E7</v>
      </c>
      <c r="H2086" s="9">
        <f t="shared" si="9"/>
        <v>3716647.46</v>
      </c>
      <c r="I2086" s="44">
        <v>530949.64</v>
      </c>
      <c r="J2086" s="60"/>
      <c r="K2086" s="10">
        <f t="shared" si="4"/>
        <v>21945918.34</v>
      </c>
      <c r="L2086" s="61"/>
      <c r="M2086" s="62"/>
    </row>
    <row r="2087" ht="15.75" customHeight="1">
      <c r="A2087" s="177">
        <v>45988.0</v>
      </c>
      <c r="B2087" s="56"/>
      <c r="C2087" s="57" t="s">
        <v>1507</v>
      </c>
      <c r="D2087" s="58" t="s">
        <v>99</v>
      </c>
      <c r="E2087" s="57" t="s">
        <v>2301</v>
      </c>
      <c r="F2087" s="178">
        <v>45986.0</v>
      </c>
      <c r="G2087" s="65">
        <v>1.148626126E7</v>
      </c>
      <c r="H2087" s="9">
        <f t="shared" si="9"/>
        <v>2412114.865</v>
      </c>
      <c r="I2087" s="44"/>
      <c r="J2087" s="60"/>
      <c r="K2087" s="10">
        <f t="shared" si="4"/>
        <v>13898376.12</v>
      </c>
      <c r="L2087" s="61"/>
      <c r="M2087" s="62"/>
    </row>
    <row r="2088" ht="15.75" customHeight="1">
      <c r="A2088" s="115">
        <v>45988.0</v>
      </c>
      <c r="B2088" s="50"/>
      <c r="C2088" s="31" t="s">
        <v>441</v>
      </c>
      <c r="D2088" s="32" t="s">
        <v>99</v>
      </c>
      <c r="E2088" s="31" t="s">
        <v>2302</v>
      </c>
      <c r="F2088" s="161">
        <v>45986.0</v>
      </c>
      <c r="G2088" s="53">
        <v>1.427047108E7</v>
      </c>
      <c r="H2088" s="14">
        <f t="shared" si="9"/>
        <v>2996798.927</v>
      </c>
      <c r="I2088" s="22">
        <v>428114.13</v>
      </c>
      <c r="J2088" s="22">
        <v>99893.3</v>
      </c>
      <c r="K2088" s="15">
        <f t="shared" si="4"/>
        <v>17795277.44</v>
      </c>
      <c r="L2088" s="45"/>
      <c r="M2088" s="6"/>
    </row>
    <row r="2089" ht="15.75" customHeight="1">
      <c r="A2089" s="115">
        <v>45988.0</v>
      </c>
      <c r="B2089" s="50"/>
      <c r="C2089" s="31" t="s">
        <v>441</v>
      </c>
      <c r="D2089" s="32" t="s">
        <v>15</v>
      </c>
      <c r="E2089" s="31" t="s">
        <v>2303</v>
      </c>
      <c r="F2089" s="161">
        <v>45986.0</v>
      </c>
      <c r="G2089" s="53">
        <v>1.564358296E7</v>
      </c>
      <c r="H2089" s="14">
        <f t="shared" si="9"/>
        <v>3285152.422</v>
      </c>
      <c r="I2089" s="22"/>
      <c r="J2089" s="22">
        <v>109505.08</v>
      </c>
      <c r="K2089" s="15">
        <f t="shared" si="4"/>
        <v>19038240.46</v>
      </c>
      <c r="L2089" s="45"/>
      <c r="M2089" s="6"/>
    </row>
    <row r="2090" ht="15.75" customHeight="1">
      <c r="A2090" s="115">
        <v>45988.0</v>
      </c>
      <c r="B2090" s="50"/>
      <c r="C2090" s="31" t="s">
        <v>22</v>
      </c>
      <c r="D2090" s="32" t="s">
        <v>15</v>
      </c>
      <c r="E2090" s="31" t="s">
        <v>2304</v>
      </c>
      <c r="F2090" s="161">
        <v>45986.0</v>
      </c>
      <c r="G2090" s="53">
        <v>8309421.29</v>
      </c>
      <c r="H2090" s="14">
        <f t="shared" si="9"/>
        <v>1744978.471</v>
      </c>
      <c r="I2090" s="22"/>
      <c r="J2090" s="22">
        <v>41547.11</v>
      </c>
      <c r="K2090" s="15">
        <f t="shared" si="4"/>
        <v>10095946.87</v>
      </c>
      <c r="L2090" s="45"/>
      <c r="M2090" s="19" t="s">
        <v>1704</v>
      </c>
    </row>
    <row r="2091" ht="15.75" customHeight="1">
      <c r="A2091" s="115">
        <v>45988.0</v>
      </c>
      <c r="B2091" s="50"/>
      <c r="C2091" s="31" t="s">
        <v>22</v>
      </c>
      <c r="D2091" s="32" t="s">
        <v>15</v>
      </c>
      <c r="E2091" s="31" t="s">
        <v>2305</v>
      </c>
      <c r="F2091" s="161">
        <v>45986.0</v>
      </c>
      <c r="G2091" s="53">
        <v>8545780.13</v>
      </c>
      <c r="H2091" s="14">
        <f t="shared" si="9"/>
        <v>1794613.827</v>
      </c>
      <c r="I2091" s="22">
        <v>256373.4</v>
      </c>
      <c r="J2091" s="22">
        <v>42728.9</v>
      </c>
      <c r="K2091" s="15">
        <f t="shared" si="4"/>
        <v>10639496.26</v>
      </c>
      <c r="L2091" s="45"/>
      <c r="M2091" s="19" t="s">
        <v>1704</v>
      </c>
    </row>
    <row r="2092" ht="15.75" customHeight="1">
      <c r="A2092" s="115">
        <v>45988.0</v>
      </c>
      <c r="B2092" s="50"/>
      <c r="C2092" s="31" t="s">
        <v>216</v>
      </c>
      <c r="D2092" s="32" t="s">
        <v>15</v>
      </c>
      <c r="E2092" s="31" t="s">
        <v>2306</v>
      </c>
      <c r="F2092" s="161">
        <v>45986.0</v>
      </c>
      <c r="G2092" s="53">
        <v>8355630.05</v>
      </c>
      <c r="H2092" s="14">
        <f t="shared" si="9"/>
        <v>1754682.311</v>
      </c>
      <c r="I2092" s="22"/>
      <c r="J2092" s="22">
        <v>146223.53</v>
      </c>
      <c r="K2092" s="15">
        <f t="shared" si="4"/>
        <v>10256535.89</v>
      </c>
      <c r="L2092" s="45"/>
      <c r="M2092" s="19" t="s">
        <v>1704</v>
      </c>
    </row>
    <row r="2093" ht="15.75" customHeight="1">
      <c r="A2093" s="115">
        <v>45988.0</v>
      </c>
      <c r="B2093" s="50"/>
      <c r="C2093" s="31" t="s">
        <v>216</v>
      </c>
      <c r="D2093" s="32" t="s">
        <v>15</v>
      </c>
      <c r="E2093" s="31" t="s">
        <v>2307</v>
      </c>
      <c r="F2093" s="161">
        <v>45986.0</v>
      </c>
      <c r="G2093" s="53">
        <v>8211473.29</v>
      </c>
      <c r="H2093" s="14">
        <f t="shared" si="9"/>
        <v>1724409.391</v>
      </c>
      <c r="I2093" s="22">
        <v>246344.2</v>
      </c>
      <c r="J2093" s="22">
        <v>143700.78</v>
      </c>
      <c r="K2093" s="15">
        <f t="shared" si="4"/>
        <v>10325927.66</v>
      </c>
      <c r="L2093" s="45"/>
      <c r="M2093" s="19" t="s">
        <v>1704</v>
      </c>
    </row>
    <row r="2094" ht="15.75" customHeight="1">
      <c r="A2094" s="115">
        <v>45988.0</v>
      </c>
      <c r="B2094" s="50"/>
      <c r="C2094" s="31" t="s">
        <v>221</v>
      </c>
      <c r="D2094" s="32" t="s">
        <v>15</v>
      </c>
      <c r="E2094" s="31" t="s">
        <v>2308</v>
      </c>
      <c r="F2094" s="161">
        <v>45986.0</v>
      </c>
      <c r="G2094" s="53">
        <v>8244980.29</v>
      </c>
      <c r="H2094" s="14">
        <f t="shared" si="9"/>
        <v>1731445.861</v>
      </c>
      <c r="I2094" s="50"/>
      <c r="J2094" s="22">
        <v>412249.01</v>
      </c>
      <c r="K2094" s="15">
        <f t="shared" si="4"/>
        <v>10388675.16</v>
      </c>
      <c r="L2094" s="45"/>
      <c r="M2094" s="19" t="s">
        <v>2309</v>
      </c>
    </row>
    <row r="2095" ht="15.75" customHeight="1">
      <c r="A2095" s="115">
        <v>45988.0</v>
      </c>
      <c r="B2095" s="50"/>
      <c r="C2095" s="31" t="s">
        <v>221</v>
      </c>
      <c r="D2095" s="32" t="s">
        <v>15</v>
      </c>
      <c r="E2095" s="31" t="s">
        <v>2310</v>
      </c>
      <c r="F2095" s="161">
        <v>45986.0</v>
      </c>
      <c r="G2095" s="53">
        <v>8591235.23</v>
      </c>
      <c r="H2095" s="14">
        <f t="shared" si="9"/>
        <v>1804159.398</v>
      </c>
      <c r="I2095" s="50"/>
      <c r="J2095" s="22">
        <v>429561.76</v>
      </c>
      <c r="K2095" s="15">
        <f t="shared" si="4"/>
        <v>10824956.39</v>
      </c>
      <c r="L2095" s="45"/>
      <c r="M2095" s="19" t="s">
        <v>2309</v>
      </c>
    </row>
    <row r="2096" ht="15.75" customHeight="1">
      <c r="A2096" s="115">
        <v>45988.0</v>
      </c>
      <c r="B2096" s="50"/>
      <c r="C2096" s="31" t="s">
        <v>111</v>
      </c>
      <c r="D2096" s="32" t="s">
        <v>15</v>
      </c>
      <c r="E2096" s="31" t="s">
        <v>2311</v>
      </c>
      <c r="F2096" s="161">
        <v>45986.0</v>
      </c>
      <c r="G2096" s="53">
        <v>1.646032219E7</v>
      </c>
      <c r="H2096" s="14">
        <f t="shared" si="9"/>
        <v>3456667.66</v>
      </c>
      <c r="I2096" s="50"/>
      <c r="J2096" s="14"/>
      <c r="K2096" s="15">
        <f t="shared" si="4"/>
        <v>19916989.85</v>
      </c>
      <c r="L2096" s="45"/>
      <c r="M2096" s="6"/>
    </row>
    <row r="2097" ht="15.75" customHeight="1">
      <c r="A2097" s="115">
        <v>45988.0</v>
      </c>
      <c r="B2097" s="50"/>
      <c r="C2097" s="31" t="s">
        <v>111</v>
      </c>
      <c r="D2097" s="32" t="s">
        <v>15</v>
      </c>
      <c r="E2097" s="32" t="s">
        <v>2312</v>
      </c>
      <c r="F2097" s="161">
        <v>45986.0</v>
      </c>
      <c r="G2097" s="53">
        <v>1.835069082E7</v>
      </c>
      <c r="H2097" s="14">
        <f t="shared" si="9"/>
        <v>3853645.072</v>
      </c>
      <c r="I2097" s="50"/>
      <c r="J2097" s="14"/>
      <c r="K2097" s="15">
        <f t="shared" si="4"/>
        <v>22204335.89</v>
      </c>
      <c r="L2097" s="45"/>
      <c r="M2097" s="6"/>
    </row>
    <row r="2098" ht="15.75" customHeight="1">
      <c r="A2098" s="115">
        <v>45988.0</v>
      </c>
      <c r="B2098" s="50"/>
      <c r="C2098" s="31" t="s">
        <v>111</v>
      </c>
      <c r="D2098" s="32" t="s">
        <v>15</v>
      </c>
      <c r="E2098" s="32" t="s">
        <v>2313</v>
      </c>
      <c r="F2098" s="161">
        <v>45986.0</v>
      </c>
      <c r="G2098" s="53">
        <v>1.019554085E7</v>
      </c>
      <c r="H2098" s="14">
        <f t="shared" si="9"/>
        <v>2141063.579</v>
      </c>
      <c r="I2098" s="50"/>
      <c r="J2098" s="14"/>
      <c r="K2098" s="15">
        <f t="shared" si="4"/>
        <v>12336604.43</v>
      </c>
      <c r="L2098" s="45"/>
      <c r="M2098" s="6"/>
    </row>
    <row r="2099" ht="15.75" customHeight="1">
      <c r="A2099" s="115">
        <v>45988.0</v>
      </c>
      <c r="B2099" s="50"/>
      <c r="C2099" s="31" t="s">
        <v>111</v>
      </c>
      <c r="D2099" s="32" t="s">
        <v>99</v>
      </c>
      <c r="E2099" s="31" t="s">
        <v>2314</v>
      </c>
      <c r="F2099" s="161">
        <v>45986.0</v>
      </c>
      <c r="G2099" s="53">
        <v>1.245068126E7</v>
      </c>
      <c r="H2099" s="14">
        <f t="shared" si="9"/>
        <v>2614643.065</v>
      </c>
      <c r="I2099" s="50"/>
      <c r="J2099" s="14"/>
      <c r="K2099" s="15">
        <f t="shared" si="4"/>
        <v>15065324.32</v>
      </c>
      <c r="L2099" s="45"/>
      <c r="M2099" s="24">
        <v>45992.0</v>
      </c>
    </row>
    <row r="2100" ht="15.75" customHeight="1">
      <c r="A2100" s="115">
        <v>45988.0</v>
      </c>
      <c r="B2100" s="50"/>
      <c r="C2100" s="31" t="s">
        <v>111</v>
      </c>
      <c r="D2100" s="32" t="s">
        <v>99</v>
      </c>
      <c r="E2100" s="32" t="s">
        <v>2315</v>
      </c>
      <c r="F2100" s="161">
        <v>45986.0</v>
      </c>
      <c r="G2100" s="53">
        <v>1.569095219E7</v>
      </c>
      <c r="H2100" s="14">
        <f t="shared" si="9"/>
        <v>3295099.96</v>
      </c>
      <c r="I2100" s="50"/>
      <c r="J2100" s="14"/>
      <c r="K2100" s="15">
        <f t="shared" si="4"/>
        <v>18986052.15</v>
      </c>
      <c r="L2100" s="45"/>
      <c r="M2100" s="24">
        <v>45992.0</v>
      </c>
    </row>
    <row r="2101" ht="15.75" customHeight="1">
      <c r="A2101" s="115">
        <v>45988.0</v>
      </c>
      <c r="B2101" s="50"/>
      <c r="C2101" s="31" t="s">
        <v>111</v>
      </c>
      <c r="D2101" s="32" t="s">
        <v>99</v>
      </c>
      <c r="E2101" s="32" t="s">
        <v>2316</v>
      </c>
      <c r="F2101" s="161">
        <v>45986.0</v>
      </c>
      <c r="G2101" s="53">
        <v>1.452263219E7</v>
      </c>
      <c r="H2101" s="14">
        <f t="shared" si="9"/>
        <v>3049752.76</v>
      </c>
      <c r="I2101" s="22">
        <v>435678.97</v>
      </c>
      <c r="J2101" s="14"/>
      <c r="K2101" s="15">
        <f t="shared" si="4"/>
        <v>18008063.92</v>
      </c>
      <c r="L2101" s="45"/>
      <c r="M2101" s="24">
        <v>45992.0</v>
      </c>
    </row>
    <row r="2102" ht="15.75" customHeight="1">
      <c r="A2102" s="115">
        <v>45988.0</v>
      </c>
      <c r="B2102" s="50"/>
      <c r="C2102" s="31" t="s">
        <v>111</v>
      </c>
      <c r="D2102" s="32" t="s">
        <v>99</v>
      </c>
      <c r="E2102" s="32" t="s">
        <v>2317</v>
      </c>
      <c r="F2102" s="161">
        <v>45986.0</v>
      </c>
      <c r="G2102" s="53">
        <v>1.235026039E7</v>
      </c>
      <c r="H2102" s="14">
        <f t="shared" si="9"/>
        <v>2593554.682</v>
      </c>
      <c r="I2102" s="22">
        <v>370507.81</v>
      </c>
      <c r="J2102" s="14"/>
      <c r="K2102" s="15">
        <f t="shared" si="4"/>
        <v>15314322.88</v>
      </c>
      <c r="L2102" s="45"/>
      <c r="M2102" s="24">
        <v>45992.0</v>
      </c>
    </row>
    <row r="2103" ht="15.75" customHeight="1">
      <c r="A2103" s="115">
        <v>45989.0</v>
      </c>
      <c r="B2103" s="50"/>
      <c r="C2103" s="31" t="s">
        <v>2318</v>
      </c>
      <c r="D2103" s="32" t="s">
        <v>15</v>
      </c>
      <c r="E2103" s="31" t="s">
        <v>2319</v>
      </c>
      <c r="F2103" s="161">
        <v>45986.0</v>
      </c>
      <c r="G2103" s="53">
        <v>3.4999974E7</v>
      </c>
      <c r="H2103" s="14">
        <f t="shared" si="9"/>
        <v>7349994.54</v>
      </c>
      <c r="I2103" s="22">
        <v>1049999.22</v>
      </c>
      <c r="J2103" s="22">
        <v>1749998.7</v>
      </c>
      <c r="K2103" s="15">
        <f t="shared" si="4"/>
        <v>45149966.46</v>
      </c>
      <c r="L2103" s="45"/>
      <c r="M2103" s="24">
        <v>46052.0</v>
      </c>
    </row>
    <row r="2104" ht="15.75" customHeight="1">
      <c r="A2104" s="115">
        <v>45989.0</v>
      </c>
      <c r="B2104" s="50"/>
      <c r="C2104" s="31" t="s">
        <v>2318</v>
      </c>
      <c r="D2104" s="32" t="s">
        <v>15</v>
      </c>
      <c r="E2104" s="31" t="s">
        <v>2320</v>
      </c>
      <c r="F2104" s="161">
        <v>45986.0</v>
      </c>
      <c r="G2104" s="53">
        <v>4435252.49</v>
      </c>
      <c r="H2104" s="14">
        <f t="shared" si="9"/>
        <v>931403.0229</v>
      </c>
      <c r="I2104" s="22"/>
      <c r="J2104" s="14"/>
      <c r="K2104" s="15">
        <f t="shared" si="4"/>
        <v>5366655.513</v>
      </c>
      <c r="L2104" s="45"/>
      <c r="M2104" s="24">
        <v>46052.0</v>
      </c>
    </row>
    <row r="2105" ht="15.75" customHeight="1">
      <c r="A2105" s="115">
        <v>45989.0</v>
      </c>
      <c r="B2105" s="50"/>
      <c r="C2105" s="31" t="s">
        <v>2318</v>
      </c>
      <c r="D2105" s="32" t="s">
        <v>15</v>
      </c>
      <c r="E2105" s="31" t="s">
        <v>2321</v>
      </c>
      <c r="F2105" s="161">
        <v>45986.0</v>
      </c>
      <c r="G2105" s="53">
        <v>3.484556235E7</v>
      </c>
      <c r="H2105" s="14">
        <f t="shared" si="9"/>
        <v>7317568.094</v>
      </c>
      <c r="I2105" s="22">
        <v>1045366.87</v>
      </c>
      <c r="J2105" s="22">
        <v>1742278.12</v>
      </c>
      <c r="K2105" s="15">
        <f t="shared" si="4"/>
        <v>44950775.43</v>
      </c>
      <c r="L2105" s="45"/>
      <c r="M2105" s="24">
        <v>46052.0</v>
      </c>
    </row>
    <row r="2106" ht="15.75" customHeight="1">
      <c r="A2106" s="115">
        <v>45989.0</v>
      </c>
      <c r="B2106" s="50"/>
      <c r="C2106" s="31" t="s">
        <v>2318</v>
      </c>
      <c r="D2106" s="32" t="s">
        <v>15</v>
      </c>
      <c r="E2106" s="31" t="s">
        <v>2322</v>
      </c>
      <c r="F2106" s="161">
        <v>45986.0</v>
      </c>
      <c r="G2106" s="53">
        <v>3.512007195E7</v>
      </c>
      <c r="H2106" s="14">
        <f t="shared" si="9"/>
        <v>7375215.11</v>
      </c>
      <c r="I2106" s="22">
        <v>1053602.16</v>
      </c>
      <c r="J2106" s="22">
        <v>1756003.6</v>
      </c>
      <c r="K2106" s="15">
        <f t="shared" si="4"/>
        <v>45304892.82</v>
      </c>
      <c r="L2106" s="45"/>
      <c r="M2106" s="24">
        <v>46052.0</v>
      </c>
    </row>
    <row r="2107" ht="15.75" customHeight="1">
      <c r="A2107" s="115">
        <v>45989.0</v>
      </c>
      <c r="B2107" s="50"/>
      <c r="C2107" s="31" t="s">
        <v>2318</v>
      </c>
      <c r="D2107" s="32" t="s">
        <v>15</v>
      </c>
      <c r="E2107" s="31" t="s">
        <v>2323</v>
      </c>
      <c r="F2107" s="161">
        <v>45986.0</v>
      </c>
      <c r="G2107" s="53">
        <v>3.504458181E7</v>
      </c>
      <c r="H2107" s="14">
        <f t="shared" si="9"/>
        <v>7359362.18</v>
      </c>
      <c r="I2107" s="22">
        <v>1051337.45</v>
      </c>
      <c r="J2107" s="22">
        <v>1752229.09</v>
      </c>
      <c r="K2107" s="15">
        <f t="shared" si="4"/>
        <v>45207510.53</v>
      </c>
      <c r="L2107" s="45"/>
      <c r="M2107" s="24">
        <v>46052.0</v>
      </c>
    </row>
    <row r="2108" ht="15.75" customHeight="1">
      <c r="A2108" s="115">
        <v>45989.0</v>
      </c>
      <c r="B2108" s="50"/>
      <c r="C2108" s="31" t="s">
        <v>2318</v>
      </c>
      <c r="D2108" s="32" t="s">
        <v>15</v>
      </c>
      <c r="E2108" s="31" t="s">
        <v>2324</v>
      </c>
      <c r="F2108" s="161">
        <v>45986.0</v>
      </c>
      <c r="G2108" s="53">
        <v>3.498281715E7</v>
      </c>
      <c r="H2108" s="14">
        <f t="shared" si="9"/>
        <v>7346391.602</v>
      </c>
      <c r="I2108" s="22">
        <v>1049484.51</v>
      </c>
      <c r="J2108" s="22">
        <v>1749140.86</v>
      </c>
      <c r="K2108" s="15">
        <f t="shared" si="4"/>
        <v>45127834.12</v>
      </c>
      <c r="L2108" s="45"/>
      <c r="M2108" s="24">
        <v>46052.0</v>
      </c>
    </row>
    <row r="2109" ht="15.75" customHeight="1">
      <c r="A2109" s="115">
        <v>45989.0</v>
      </c>
      <c r="B2109" s="50"/>
      <c r="C2109" s="31" t="s">
        <v>2318</v>
      </c>
      <c r="D2109" s="32" t="s">
        <v>15</v>
      </c>
      <c r="E2109" s="31" t="s">
        <v>2325</v>
      </c>
      <c r="F2109" s="161">
        <v>45986.0</v>
      </c>
      <c r="G2109" s="53">
        <v>6635352.49</v>
      </c>
      <c r="H2109" s="14">
        <f t="shared" si="9"/>
        <v>1393424.023</v>
      </c>
      <c r="I2109" s="22"/>
      <c r="J2109" s="22">
        <v>331767.62</v>
      </c>
      <c r="K2109" s="15">
        <f t="shared" si="4"/>
        <v>8360544.133</v>
      </c>
      <c r="L2109" s="45"/>
      <c r="M2109" s="24">
        <v>46052.0</v>
      </c>
    </row>
    <row r="2110" ht="15.75" customHeight="1">
      <c r="A2110" s="115">
        <v>45989.0</v>
      </c>
      <c r="B2110" s="50"/>
      <c r="C2110" s="31" t="s">
        <v>2318</v>
      </c>
      <c r="D2110" s="32" t="s">
        <v>15</v>
      </c>
      <c r="E2110" s="31" t="s">
        <v>2326</v>
      </c>
      <c r="F2110" s="161">
        <v>45986.0</v>
      </c>
      <c r="G2110" s="53">
        <v>3.487987605E7</v>
      </c>
      <c r="H2110" s="14">
        <f t="shared" si="9"/>
        <v>7324773.971</v>
      </c>
      <c r="I2110" s="22">
        <v>1046396.28</v>
      </c>
      <c r="J2110" s="22">
        <v>1743993.8</v>
      </c>
      <c r="K2110" s="15">
        <f t="shared" si="4"/>
        <v>44995040.1</v>
      </c>
      <c r="L2110" s="45"/>
      <c r="M2110" s="24">
        <v>46052.0</v>
      </c>
    </row>
    <row r="2111" ht="15.75" customHeight="1">
      <c r="A2111" s="115">
        <v>45989.0</v>
      </c>
      <c r="B2111" s="50"/>
      <c r="C2111" s="31" t="s">
        <v>2318</v>
      </c>
      <c r="D2111" s="32" t="s">
        <v>15</v>
      </c>
      <c r="E2111" s="31" t="s">
        <v>2327</v>
      </c>
      <c r="F2111" s="161">
        <v>45986.0</v>
      </c>
      <c r="G2111" s="53">
        <v>3.50342877E7</v>
      </c>
      <c r="H2111" s="14">
        <f t="shared" si="9"/>
        <v>7357200.417</v>
      </c>
      <c r="I2111" s="22">
        <v>1051028.63</v>
      </c>
      <c r="J2111" s="22">
        <v>1751714.39</v>
      </c>
      <c r="K2111" s="15">
        <f t="shared" si="4"/>
        <v>45194231.14</v>
      </c>
      <c r="L2111" s="45"/>
      <c r="M2111" s="24">
        <v>46052.0</v>
      </c>
    </row>
    <row r="2112" ht="15.75" customHeight="1">
      <c r="A2112" s="115">
        <v>45989.0</v>
      </c>
      <c r="B2112" s="50"/>
      <c r="C2112" s="31" t="s">
        <v>2318</v>
      </c>
      <c r="D2112" s="32" t="s">
        <v>15</v>
      </c>
      <c r="E2112" s="31" t="s">
        <v>2328</v>
      </c>
      <c r="F2112" s="161">
        <v>45986.0</v>
      </c>
      <c r="G2112" s="53">
        <v>3.494850345E7</v>
      </c>
      <c r="H2112" s="14">
        <f t="shared" si="9"/>
        <v>7339185.725</v>
      </c>
      <c r="I2112" s="22">
        <v>1048455.1</v>
      </c>
      <c r="J2112" s="22">
        <v>1747425.17</v>
      </c>
      <c r="K2112" s="15">
        <f t="shared" si="4"/>
        <v>45083569.44</v>
      </c>
      <c r="L2112" s="45"/>
      <c r="M2112" s="24">
        <v>46052.0</v>
      </c>
    </row>
    <row r="2113" ht="15.75" customHeight="1">
      <c r="A2113" s="115">
        <v>45989.0</v>
      </c>
      <c r="B2113" s="50"/>
      <c r="C2113" s="31" t="s">
        <v>2318</v>
      </c>
      <c r="D2113" s="32" t="s">
        <v>15</v>
      </c>
      <c r="E2113" s="31" t="s">
        <v>2329</v>
      </c>
      <c r="F2113" s="161">
        <v>45986.0</v>
      </c>
      <c r="G2113" s="53">
        <v>3.50686014E7</v>
      </c>
      <c r="H2113" s="14">
        <f t="shared" si="9"/>
        <v>7364406.294</v>
      </c>
      <c r="I2113" s="22">
        <v>1052058.04</v>
      </c>
      <c r="J2113" s="22">
        <v>1753430.07</v>
      </c>
      <c r="K2113" s="15">
        <f t="shared" si="4"/>
        <v>45238495.8</v>
      </c>
      <c r="L2113" s="45"/>
      <c r="M2113" s="24">
        <v>46052.0</v>
      </c>
    </row>
    <row r="2114" ht="15.75" customHeight="1">
      <c r="A2114" s="115">
        <v>45989.0</v>
      </c>
      <c r="B2114" s="50"/>
      <c r="C2114" s="31" t="s">
        <v>2318</v>
      </c>
      <c r="D2114" s="32" t="s">
        <v>15</v>
      </c>
      <c r="E2114" s="31" t="s">
        <v>2330</v>
      </c>
      <c r="F2114" s="161">
        <v>45986.0</v>
      </c>
      <c r="G2114" s="53">
        <v>3.507546417E7</v>
      </c>
      <c r="H2114" s="14">
        <f t="shared" si="9"/>
        <v>7365847.476</v>
      </c>
      <c r="I2114" s="22">
        <v>1052263.93</v>
      </c>
      <c r="J2114" s="22">
        <v>1753773.21</v>
      </c>
      <c r="K2114" s="15">
        <f t="shared" si="4"/>
        <v>45247348.79</v>
      </c>
      <c r="L2114" s="45"/>
      <c r="M2114" s="24">
        <v>46052.0</v>
      </c>
    </row>
    <row r="2115" ht="15.75" customHeight="1">
      <c r="A2115" s="115">
        <v>45989.0</v>
      </c>
      <c r="B2115" s="50"/>
      <c r="C2115" s="31" t="s">
        <v>2318</v>
      </c>
      <c r="D2115" s="32" t="s">
        <v>99</v>
      </c>
      <c r="E2115" s="31" t="s">
        <v>2331</v>
      </c>
      <c r="F2115" s="161">
        <v>45986.0</v>
      </c>
      <c r="G2115" s="53">
        <v>1.66764582E7</v>
      </c>
      <c r="H2115" s="14">
        <f t="shared" si="9"/>
        <v>3502056.222</v>
      </c>
      <c r="I2115" s="22">
        <v>500293.75</v>
      </c>
      <c r="J2115" s="22">
        <v>833822.91</v>
      </c>
      <c r="K2115" s="15">
        <f t="shared" si="4"/>
        <v>21512631.08</v>
      </c>
      <c r="L2115" s="45"/>
      <c r="M2115" s="24">
        <v>46052.0</v>
      </c>
    </row>
    <row r="2116" ht="15.75" customHeight="1">
      <c r="A2116" s="115">
        <v>45989.0</v>
      </c>
      <c r="B2116" s="50"/>
      <c r="C2116" s="31" t="s">
        <v>2318</v>
      </c>
      <c r="D2116" s="32" t="s">
        <v>99</v>
      </c>
      <c r="E2116" s="31" t="s">
        <v>2332</v>
      </c>
      <c r="F2116" s="161">
        <v>45986.0</v>
      </c>
      <c r="G2116" s="53">
        <v>1.666959546E7</v>
      </c>
      <c r="H2116" s="14">
        <f t="shared" si="9"/>
        <v>3500615.047</v>
      </c>
      <c r="I2116" s="22">
        <v>500087.86</v>
      </c>
      <c r="J2116" s="22">
        <v>833479.77</v>
      </c>
      <c r="K2116" s="15">
        <f t="shared" si="4"/>
        <v>21503778.14</v>
      </c>
      <c r="L2116" s="45"/>
      <c r="M2116" s="24">
        <v>46052.0</v>
      </c>
    </row>
    <row r="2117" ht="15.75" customHeight="1">
      <c r="A2117" s="115">
        <v>45989.0</v>
      </c>
      <c r="B2117" s="50"/>
      <c r="C2117" s="31" t="s">
        <v>2318</v>
      </c>
      <c r="D2117" s="32" t="s">
        <v>99</v>
      </c>
      <c r="E2117" s="31" t="s">
        <v>2333</v>
      </c>
      <c r="F2117" s="161">
        <v>45986.0</v>
      </c>
      <c r="G2117" s="53">
        <v>1.664900724E7</v>
      </c>
      <c r="H2117" s="14">
        <f t="shared" si="9"/>
        <v>3496291.52</v>
      </c>
      <c r="I2117" s="22">
        <v>499470.22</v>
      </c>
      <c r="J2117" s="22">
        <v>832450.36</v>
      </c>
      <c r="K2117" s="15">
        <f t="shared" si="4"/>
        <v>21477219.34</v>
      </c>
      <c r="L2117" s="45"/>
      <c r="M2117" s="24">
        <v>46052.0</v>
      </c>
    </row>
    <row r="2118" ht="15.75" customHeight="1">
      <c r="A2118" s="115">
        <v>45989.0</v>
      </c>
      <c r="B2118" s="50"/>
      <c r="C2118" s="31" t="s">
        <v>2334</v>
      </c>
      <c r="D2118" s="32" t="s">
        <v>15</v>
      </c>
      <c r="E2118" s="31" t="s">
        <v>2335</v>
      </c>
      <c r="F2118" s="161">
        <v>45986.0</v>
      </c>
      <c r="G2118" s="53">
        <v>4021102.23</v>
      </c>
      <c r="H2118" s="14">
        <f t="shared" si="9"/>
        <v>844431.4683</v>
      </c>
      <c r="I2118" s="22"/>
      <c r="J2118" s="14"/>
      <c r="K2118" s="15">
        <f t="shared" si="4"/>
        <v>4865533.698</v>
      </c>
      <c r="L2118" s="45"/>
      <c r="M2118" s="6"/>
    </row>
    <row r="2119" ht="15.75" customHeight="1">
      <c r="A2119" s="115">
        <v>45989.0</v>
      </c>
      <c r="B2119" s="50"/>
      <c r="C2119" s="31" t="s">
        <v>2334</v>
      </c>
      <c r="D2119" s="32" t="s">
        <v>15</v>
      </c>
      <c r="E2119" s="31" t="s">
        <v>2336</v>
      </c>
      <c r="F2119" s="161">
        <v>45986.0</v>
      </c>
      <c r="G2119" s="53">
        <v>3227014.71</v>
      </c>
      <c r="H2119" s="14">
        <f t="shared" si="9"/>
        <v>677673.0891</v>
      </c>
      <c r="I2119" s="22"/>
      <c r="J2119" s="14"/>
      <c r="K2119" s="15">
        <f t="shared" si="4"/>
        <v>3904687.799</v>
      </c>
      <c r="L2119" s="45"/>
      <c r="M2119" s="6"/>
    </row>
    <row r="2120" ht="15.75" customHeight="1">
      <c r="A2120" s="115">
        <v>45989.0</v>
      </c>
      <c r="B2120" s="50"/>
      <c r="C2120" s="31" t="s">
        <v>2334</v>
      </c>
      <c r="D2120" s="32" t="s">
        <v>99</v>
      </c>
      <c r="E2120" s="31" t="s">
        <v>2337</v>
      </c>
      <c r="F2120" s="161">
        <v>45986.0</v>
      </c>
      <c r="G2120" s="53">
        <v>6018664.26</v>
      </c>
      <c r="H2120" s="14">
        <f t="shared" si="9"/>
        <v>1263919.495</v>
      </c>
      <c r="I2120" s="22"/>
      <c r="J2120" s="14"/>
      <c r="K2120" s="15">
        <f t="shared" si="4"/>
        <v>7282583.755</v>
      </c>
      <c r="L2120" s="45"/>
      <c r="M2120" s="24">
        <v>45996.0</v>
      </c>
    </row>
    <row r="2121" ht="15.75" customHeight="1">
      <c r="A2121" s="115">
        <v>45989.0</v>
      </c>
      <c r="B2121" s="50"/>
      <c r="C2121" s="31" t="s">
        <v>2334</v>
      </c>
      <c r="D2121" s="32" t="s">
        <v>99</v>
      </c>
      <c r="E2121" s="31" t="s">
        <v>2338</v>
      </c>
      <c r="F2121" s="161">
        <v>45986.0</v>
      </c>
      <c r="G2121" s="53">
        <v>3908063.16</v>
      </c>
      <c r="H2121" s="14">
        <f t="shared" si="9"/>
        <v>820693.2636</v>
      </c>
      <c r="I2121" s="22"/>
      <c r="J2121" s="14"/>
      <c r="K2121" s="15">
        <f t="shared" si="4"/>
        <v>4728756.424</v>
      </c>
      <c r="L2121" s="45"/>
      <c r="M2121" s="24">
        <v>45996.0</v>
      </c>
    </row>
    <row r="2122" ht="15.75" customHeight="1">
      <c r="A2122" s="115">
        <v>45989.0</v>
      </c>
      <c r="B2122" s="50"/>
      <c r="C2122" s="31" t="s">
        <v>2339</v>
      </c>
      <c r="D2122" s="32" t="s">
        <v>15</v>
      </c>
      <c r="E2122" s="31" t="s">
        <v>2340</v>
      </c>
      <c r="F2122" s="161">
        <v>45986.0</v>
      </c>
      <c r="G2122" s="53">
        <v>5327818.17</v>
      </c>
      <c r="H2122" s="14">
        <f t="shared" si="9"/>
        <v>1118841.816</v>
      </c>
      <c r="I2122" s="22"/>
      <c r="J2122" s="14"/>
      <c r="K2122" s="15">
        <f t="shared" si="4"/>
        <v>6446659.986</v>
      </c>
      <c r="L2122" s="45"/>
      <c r="M2122" s="24">
        <v>46020.0</v>
      </c>
    </row>
    <row r="2123" ht="15.75" customHeight="1">
      <c r="A2123" s="115">
        <v>45989.0</v>
      </c>
      <c r="B2123" s="50"/>
      <c r="C2123" s="31" t="s">
        <v>2339</v>
      </c>
      <c r="D2123" s="32" t="s">
        <v>15</v>
      </c>
      <c r="E2123" s="31" t="s">
        <v>2341</v>
      </c>
      <c r="F2123" s="161">
        <v>45986.0</v>
      </c>
      <c r="G2123" s="53">
        <v>4826115.26</v>
      </c>
      <c r="H2123" s="14">
        <f t="shared" si="9"/>
        <v>1013484.205</v>
      </c>
      <c r="I2123" s="22"/>
      <c r="J2123" s="14"/>
      <c r="K2123" s="15">
        <f t="shared" si="4"/>
        <v>5839599.465</v>
      </c>
      <c r="L2123" s="45"/>
      <c r="M2123" s="24">
        <v>46020.0</v>
      </c>
    </row>
    <row r="2124" ht="15.75" customHeight="1">
      <c r="A2124" s="115">
        <v>45989.0</v>
      </c>
      <c r="B2124" s="50"/>
      <c r="C2124" s="31" t="s">
        <v>2339</v>
      </c>
      <c r="D2124" s="32" t="s">
        <v>15</v>
      </c>
      <c r="E2124" s="31" t="s">
        <v>2342</v>
      </c>
      <c r="F2124" s="161">
        <v>45986.0</v>
      </c>
      <c r="G2124" s="53">
        <v>5028099.23</v>
      </c>
      <c r="H2124" s="14">
        <f t="shared" si="9"/>
        <v>1055900.838</v>
      </c>
      <c r="I2124" s="22"/>
      <c r="J2124" s="14"/>
      <c r="K2124" s="15">
        <f t="shared" si="4"/>
        <v>6084000.068</v>
      </c>
      <c r="L2124" s="45"/>
      <c r="M2124" s="24">
        <v>46020.0</v>
      </c>
    </row>
    <row r="2125" ht="15.75" customHeight="1">
      <c r="A2125" s="115">
        <v>45989.0</v>
      </c>
      <c r="B2125" s="50"/>
      <c r="C2125" s="31" t="s">
        <v>2318</v>
      </c>
      <c r="D2125" s="32" t="s">
        <v>15</v>
      </c>
      <c r="E2125" s="31" t="s">
        <v>2343</v>
      </c>
      <c r="F2125" s="161">
        <v>45986.0</v>
      </c>
      <c r="G2125" s="53">
        <v>1.000102516E7</v>
      </c>
      <c r="H2125" s="14">
        <f t="shared" si="9"/>
        <v>2100215.284</v>
      </c>
      <c r="I2125" s="22">
        <v>300030.75</v>
      </c>
      <c r="J2125" s="22">
        <v>500051.26</v>
      </c>
      <c r="K2125" s="15">
        <f t="shared" si="4"/>
        <v>12901322.45</v>
      </c>
      <c r="L2125" s="45"/>
      <c r="M2125" s="24">
        <v>46052.0</v>
      </c>
    </row>
    <row r="2126" ht="15.75" customHeight="1">
      <c r="A2126" s="115">
        <v>45989.0</v>
      </c>
      <c r="B2126" s="50"/>
      <c r="C2126" s="31" t="s">
        <v>159</v>
      </c>
      <c r="D2126" s="32" t="s">
        <v>15</v>
      </c>
      <c r="E2126" s="31" t="s">
        <v>2344</v>
      </c>
      <c r="F2126" s="161">
        <v>45986.0</v>
      </c>
      <c r="G2126" s="53">
        <v>3000562.37</v>
      </c>
      <c r="H2126" s="14">
        <f t="shared" si="9"/>
        <v>630118.0977</v>
      </c>
      <c r="I2126" s="22">
        <v>90016.87</v>
      </c>
      <c r="J2126" s="22">
        <v>36006.75</v>
      </c>
      <c r="K2126" s="15">
        <f t="shared" si="4"/>
        <v>3756704.088</v>
      </c>
      <c r="L2126" s="45"/>
      <c r="M2126" s="6"/>
    </row>
    <row r="2127" ht="15.75" customHeight="1">
      <c r="A2127" s="115">
        <v>45989.0</v>
      </c>
      <c r="B2127" s="50"/>
      <c r="C2127" s="31" t="s">
        <v>159</v>
      </c>
      <c r="D2127" s="32" t="s">
        <v>15</v>
      </c>
      <c r="E2127" s="32" t="s">
        <v>2345</v>
      </c>
      <c r="F2127" s="161">
        <v>45986.0</v>
      </c>
      <c r="G2127" s="53">
        <v>3000734.26</v>
      </c>
      <c r="H2127" s="14">
        <f t="shared" si="9"/>
        <v>630154.1946</v>
      </c>
      <c r="I2127" s="22">
        <v>90022.03</v>
      </c>
      <c r="J2127" s="22">
        <v>36008.81</v>
      </c>
      <c r="K2127" s="15">
        <f t="shared" si="4"/>
        <v>3756919.295</v>
      </c>
      <c r="L2127" s="45"/>
      <c r="M2127" s="6"/>
    </row>
    <row r="2128" ht="15.75" customHeight="1">
      <c r="A2128" s="115">
        <v>45991.0</v>
      </c>
      <c r="B2128" s="50"/>
      <c r="C2128" s="31" t="s">
        <v>2346</v>
      </c>
      <c r="D2128" s="32" t="s">
        <v>15</v>
      </c>
      <c r="E2128" s="31" t="s">
        <v>2347</v>
      </c>
      <c r="F2128" s="161">
        <v>45986.0</v>
      </c>
      <c r="G2128" s="53">
        <v>1.726363216E7</v>
      </c>
      <c r="H2128" s="14">
        <f t="shared" si="9"/>
        <v>3625362.754</v>
      </c>
      <c r="I2128" s="22">
        <v>517908.96</v>
      </c>
      <c r="J2128" s="22">
        <v>258954.48</v>
      </c>
      <c r="K2128" s="15">
        <f t="shared" si="4"/>
        <v>21665858.35</v>
      </c>
      <c r="L2128" s="45"/>
      <c r="M2128" s="6"/>
    </row>
    <row r="2129" ht="15.75" customHeight="1">
      <c r="A2129" s="115">
        <v>45991.0</v>
      </c>
      <c r="B2129" s="50"/>
      <c r="C2129" s="31" t="s">
        <v>2346</v>
      </c>
      <c r="D2129" s="32" t="s">
        <v>15</v>
      </c>
      <c r="E2129" s="31" t="s">
        <v>2348</v>
      </c>
      <c r="F2129" s="161">
        <v>45986.0</v>
      </c>
      <c r="G2129" s="53">
        <v>2.436322316E7</v>
      </c>
      <c r="H2129" s="14">
        <f t="shared" si="9"/>
        <v>5116276.864</v>
      </c>
      <c r="I2129" s="22">
        <v>730896.69</v>
      </c>
      <c r="J2129" s="22">
        <v>365448.35</v>
      </c>
      <c r="K2129" s="15">
        <f t="shared" si="4"/>
        <v>30575845.06</v>
      </c>
      <c r="L2129" s="45"/>
      <c r="M2129" s="6"/>
    </row>
    <row r="2130" ht="15.75" customHeight="1">
      <c r="A2130" s="115">
        <v>45991.0</v>
      </c>
      <c r="B2130" s="50"/>
      <c r="C2130" s="31" t="s">
        <v>2346</v>
      </c>
      <c r="D2130" s="32" t="s">
        <v>15</v>
      </c>
      <c r="E2130" s="31" t="s">
        <v>2349</v>
      </c>
      <c r="F2130" s="161">
        <v>45986.0</v>
      </c>
      <c r="G2130" s="53">
        <v>2.533823842E7</v>
      </c>
      <c r="H2130" s="14">
        <f t="shared" si="9"/>
        <v>5321030.068</v>
      </c>
      <c r="I2130" s="22">
        <v>760147.15</v>
      </c>
      <c r="J2130" s="22">
        <v>380073.58</v>
      </c>
      <c r="K2130" s="15">
        <f t="shared" si="4"/>
        <v>31799489.22</v>
      </c>
      <c r="L2130" s="45"/>
      <c r="M2130" s="6"/>
    </row>
    <row r="2131" ht="15.75" customHeight="1">
      <c r="A2131" s="115">
        <v>45991.0</v>
      </c>
      <c r="B2131" s="50"/>
      <c r="C2131" s="31" t="s">
        <v>2346</v>
      </c>
      <c r="D2131" s="32" t="s">
        <v>15</v>
      </c>
      <c r="E2131" s="31" t="s">
        <v>2350</v>
      </c>
      <c r="F2131" s="161">
        <v>45986.0</v>
      </c>
      <c r="G2131" s="53">
        <v>6626253.14</v>
      </c>
      <c r="H2131" s="14">
        <f t="shared" si="9"/>
        <v>1391513.159</v>
      </c>
      <c r="I2131" s="22"/>
      <c r="J2131" s="14"/>
      <c r="K2131" s="15">
        <f t="shared" si="4"/>
        <v>8017766.299</v>
      </c>
      <c r="L2131" s="45"/>
      <c r="M2131" s="6"/>
    </row>
    <row r="2132" ht="15.75" customHeight="1">
      <c r="A2132" s="115">
        <v>45991.0</v>
      </c>
      <c r="B2132" s="50"/>
      <c r="C2132" s="31" t="s">
        <v>2346</v>
      </c>
      <c r="D2132" s="32" t="s">
        <v>15</v>
      </c>
      <c r="E2132" s="31" t="s">
        <v>2351</v>
      </c>
      <c r="F2132" s="161">
        <v>45986.0</v>
      </c>
      <c r="G2132" s="53">
        <v>5222352.23</v>
      </c>
      <c r="H2132" s="14">
        <f t="shared" si="9"/>
        <v>1096693.968</v>
      </c>
      <c r="I2132" s="22"/>
      <c r="J2132" s="14"/>
      <c r="K2132" s="15">
        <f t="shared" si="4"/>
        <v>6319046.198</v>
      </c>
      <c r="L2132" s="45"/>
      <c r="M2132" s="6"/>
    </row>
    <row r="2133" ht="15.75" customHeight="1">
      <c r="A2133" s="115">
        <v>45991.0</v>
      </c>
      <c r="B2133" s="50"/>
      <c r="C2133" s="31" t="s">
        <v>2346</v>
      </c>
      <c r="D2133" s="32" t="s">
        <v>15</v>
      </c>
      <c r="E2133" s="31" t="s">
        <v>2352</v>
      </c>
      <c r="F2133" s="161">
        <v>45986.0</v>
      </c>
      <c r="G2133" s="53">
        <v>6982762.05</v>
      </c>
      <c r="H2133" s="14">
        <f t="shared" si="9"/>
        <v>1466380.031</v>
      </c>
      <c r="I2133" s="22">
        <v>209482.86</v>
      </c>
      <c r="J2133" s="22">
        <v>104741.43</v>
      </c>
      <c r="K2133" s="15">
        <f t="shared" si="4"/>
        <v>8763366.371</v>
      </c>
      <c r="L2133" s="45"/>
      <c r="M2133" s="6"/>
    </row>
    <row r="2134" ht="15.75" customHeight="1">
      <c r="A2134" s="115">
        <v>45991.0</v>
      </c>
      <c r="B2134" s="50"/>
      <c r="C2134" s="31" t="s">
        <v>2346</v>
      </c>
      <c r="D2134" s="32" t="s">
        <v>15</v>
      </c>
      <c r="E2134" s="31" t="s">
        <v>2353</v>
      </c>
      <c r="F2134" s="161">
        <v>45986.0</v>
      </c>
      <c r="G2134" s="53">
        <v>7937362.13</v>
      </c>
      <c r="H2134" s="14">
        <f t="shared" si="9"/>
        <v>1666846.047</v>
      </c>
      <c r="I2134" s="22">
        <v>238120.86</v>
      </c>
      <c r="J2134" s="22">
        <v>119060.43</v>
      </c>
      <c r="K2134" s="15">
        <f t="shared" si="4"/>
        <v>9961389.467</v>
      </c>
      <c r="L2134" s="45"/>
      <c r="M2134" s="6"/>
    </row>
    <row r="2135" ht="15.75" customHeight="1">
      <c r="A2135" s="115">
        <v>45991.0</v>
      </c>
      <c r="B2135" s="50"/>
      <c r="C2135" s="31" t="s">
        <v>2346</v>
      </c>
      <c r="D2135" s="32" t="s">
        <v>15</v>
      </c>
      <c r="E2135" s="31" t="s">
        <v>2354</v>
      </c>
      <c r="F2135" s="161">
        <v>45986.0</v>
      </c>
      <c r="G2135" s="53">
        <v>1.772635252E7</v>
      </c>
      <c r="H2135" s="14">
        <f t="shared" si="9"/>
        <v>3722534.029</v>
      </c>
      <c r="I2135" s="22">
        <v>531790.58</v>
      </c>
      <c r="J2135" s="22">
        <v>265895.29</v>
      </c>
      <c r="K2135" s="15">
        <f t="shared" si="4"/>
        <v>22246572.42</v>
      </c>
      <c r="L2135" s="45"/>
      <c r="M2135" s="6"/>
    </row>
    <row r="2136" ht="15.75" customHeight="1">
      <c r="A2136" s="115">
        <v>45991.0</v>
      </c>
      <c r="B2136" s="50"/>
      <c r="C2136" s="31" t="s">
        <v>2346</v>
      </c>
      <c r="D2136" s="32" t="s">
        <v>15</v>
      </c>
      <c r="E2136" s="31" t="s">
        <v>2355</v>
      </c>
      <c r="F2136" s="161">
        <v>45986.0</v>
      </c>
      <c r="G2136" s="53">
        <v>1.447347205E7</v>
      </c>
      <c r="H2136" s="14">
        <f t="shared" si="9"/>
        <v>3039429.131</v>
      </c>
      <c r="I2136" s="22">
        <v>434204.16</v>
      </c>
      <c r="J2136" s="22">
        <v>217102.08</v>
      </c>
      <c r="K2136" s="15">
        <f t="shared" si="4"/>
        <v>18164207.42</v>
      </c>
      <c r="L2136" s="45"/>
      <c r="M2136" s="6"/>
    </row>
    <row r="2137" ht="15.75" customHeight="1">
      <c r="A2137" s="115">
        <v>45991.0</v>
      </c>
      <c r="B2137" s="50"/>
      <c r="C2137" s="31" t="s">
        <v>2346</v>
      </c>
      <c r="D2137" s="32" t="s">
        <v>15</v>
      </c>
      <c r="E2137" s="31" t="s">
        <v>2356</v>
      </c>
      <c r="F2137" s="161">
        <v>45986.0</v>
      </c>
      <c r="G2137" s="53">
        <v>9927262.41</v>
      </c>
      <c r="H2137" s="14">
        <f t="shared" si="9"/>
        <v>2084725.106</v>
      </c>
      <c r="I2137" s="22"/>
      <c r="J2137" s="22">
        <v>148908.94</v>
      </c>
      <c r="K2137" s="15">
        <f t="shared" si="4"/>
        <v>12160896.46</v>
      </c>
      <c r="L2137" s="45"/>
      <c r="M2137" s="6"/>
    </row>
    <row r="2138" ht="15.75" customHeight="1">
      <c r="A2138" s="115">
        <v>45991.0</v>
      </c>
      <c r="B2138" s="50"/>
      <c r="C2138" s="31" t="s">
        <v>2346</v>
      </c>
      <c r="D2138" s="32" t="s">
        <v>15</v>
      </c>
      <c r="E2138" s="31" t="s">
        <v>2357</v>
      </c>
      <c r="F2138" s="161">
        <v>45986.0</v>
      </c>
      <c r="G2138" s="53">
        <v>1.292383741E7</v>
      </c>
      <c r="H2138" s="14">
        <f t="shared" si="9"/>
        <v>2714005.856</v>
      </c>
      <c r="I2138" s="22">
        <v>387715.12</v>
      </c>
      <c r="J2138" s="22">
        <v>193857.56</v>
      </c>
      <c r="K2138" s="15">
        <f t="shared" si="4"/>
        <v>16219415.95</v>
      </c>
      <c r="L2138" s="45"/>
      <c r="M2138" s="6"/>
    </row>
    <row r="2139" ht="15.75" customHeight="1">
      <c r="A2139" s="166">
        <v>45991.0</v>
      </c>
      <c r="B2139" s="167"/>
      <c r="C2139" s="168" t="s">
        <v>635</v>
      </c>
      <c r="D2139" s="169" t="s">
        <v>15</v>
      </c>
      <c r="E2139" s="168" t="s">
        <v>2358</v>
      </c>
      <c r="F2139" s="170">
        <v>45986.0</v>
      </c>
      <c r="G2139" s="171">
        <v>1.080000418E7</v>
      </c>
      <c r="H2139" s="172">
        <f t="shared" si="9"/>
        <v>2268000.878</v>
      </c>
      <c r="I2139" s="173">
        <v>324000.13</v>
      </c>
      <c r="J2139" s="172"/>
      <c r="K2139" s="174">
        <f t="shared" si="4"/>
        <v>13392005.19</v>
      </c>
      <c r="L2139" s="175"/>
      <c r="M2139" s="176"/>
    </row>
    <row r="2140" ht="15.75" customHeight="1">
      <c r="A2140" s="166">
        <v>45991.0</v>
      </c>
      <c r="B2140" s="167"/>
      <c r="C2140" s="168" t="s">
        <v>635</v>
      </c>
      <c r="D2140" s="169" t="s">
        <v>15</v>
      </c>
      <c r="E2140" s="168" t="s">
        <v>2359</v>
      </c>
      <c r="F2140" s="170">
        <v>45986.0</v>
      </c>
      <c r="G2140" s="171">
        <v>7633535.29</v>
      </c>
      <c r="H2140" s="172">
        <f t="shared" si="9"/>
        <v>1603042.411</v>
      </c>
      <c r="I2140" s="173">
        <v>229006.06</v>
      </c>
      <c r="J2140" s="172"/>
      <c r="K2140" s="174">
        <f t="shared" si="4"/>
        <v>9465583.761</v>
      </c>
      <c r="L2140" s="175"/>
      <c r="M2140" s="176"/>
    </row>
    <row r="2141" ht="15.75" customHeight="1">
      <c r="A2141" s="166">
        <v>45991.0</v>
      </c>
      <c r="B2141" s="167"/>
      <c r="C2141" s="168" t="s">
        <v>635</v>
      </c>
      <c r="D2141" s="169" t="s">
        <v>15</v>
      </c>
      <c r="E2141" s="168" t="s">
        <v>2360</v>
      </c>
      <c r="F2141" s="170">
        <v>45986.0</v>
      </c>
      <c r="G2141" s="171">
        <v>8333722.16</v>
      </c>
      <c r="H2141" s="172">
        <f t="shared" si="9"/>
        <v>1750081.654</v>
      </c>
      <c r="I2141" s="173">
        <v>250011.66</v>
      </c>
      <c r="J2141" s="172"/>
      <c r="K2141" s="174">
        <f t="shared" si="4"/>
        <v>10333815.47</v>
      </c>
      <c r="L2141" s="175"/>
      <c r="M2141" s="176"/>
    </row>
    <row r="2142" ht="15.75" customHeight="1">
      <c r="A2142" s="166">
        <v>45991.0</v>
      </c>
      <c r="B2142" s="167"/>
      <c r="C2142" s="168" t="s">
        <v>635</v>
      </c>
      <c r="D2142" s="169" t="s">
        <v>15</v>
      </c>
      <c r="E2142" s="168" t="s">
        <v>2361</v>
      </c>
      <c r="F2142" s="170">
        <v>45986.0</v>
      </c>
      <c r="G2142" s="171">
        <v>1.539223362E7</v>
      </c>
      <c r="H2142" s="172">
        <f t="shared" si="9"/>
        <v>3232369.06</v>
      </c>
      <c r="I2142" s="173">
        <v>461767.01</v>
      </c>
      <c r="J2142" s="172"/>
      <c r="K2142" s="174">
        <f t="shared" si="4"/>
        <v>19086369.69</v>
      </c>
      <c r="L2142" s="175"/>
      <c r="M2142" s="176"/>
    </row>
    <row r="2143" ht="15.75" customHeight="1">
      <c r="A2143" s="166">
        <v>45991.0</v>
      </c>
      <c r="B2143" s="167"/>
      <c r="C2143" s="168" t="s">
        <v>635</v>
      </c>
      <c r="D2143" s="169" t="s">
        <v>15</v>
      </c>
      <c r="E2143" s="168" t="s">
        <v>2362</v>
      </c>
      <c r="F2143" s="170">
        <v>45986.0</v>
      </c>
      <c r="G2143" s="171">
        <v>9663652.19</v>
      </c>
      <c r="H2143" s="172">
        <f t="shared" si="9"/>
        <v>2029366.96</v>
      </c>
      <c r="I2143" s="173">
        <v>289909.57</v>
      </c>
      <c r="J2143" s="172"/>
      <c r="K2143" s="174">
        <f t="shared" si="4"/>
        <v>11982928.72</v>
      </c>
      <c r="L2143" s="175"/>
      <c r="M2143" s="176"/>
    </row>
    <row r="2144" ht="15.75" customHeight="1">
      <c r="A2144" s="166">
        <v>45991.0</v>
      </c>
      <c r="B2144" s="167"/>
      <c r="C2144" s="168" t="s">
        <v>635</v>
      </c>
      <c r="D2144" s="169" t="s">
        <v>15</v>
      </c>
      <c r="E2144" s="168" t="s">
        <v>2363</v>
      </c>
      <c r="F2144" s="170">
        <v>45986.0</v>
      </c>
      <c r="G2144" s="171">
        <v>1.278922342E7</v>
      </c>
      <c r="H2144" s="172">
        <f t="shared" si="9"/>
        <v>2685736.918</v>
      </c>
      <c r="I2144" s="173">
        <v>383676.7</v>
      </c>
      <c r="J2144" s="172"/>
      <c r="K2144" s="174">
        <f t="shared" si="4"/>
        <v>15858637.04</v>
      </c>
      <c r="L2144" s="175"/>
      <c r="M2144" s="176"/>
    </row>
    <row r="2145" ht="15.75" customHeight="1">
      <c r="A2145" s="166">
        <v>45991.0</v>
      </c>
      <c r="B2145" s="167"/>
      <c r="C2145" s="168" t="s">
        <v>635</v>
      </c>
      <c r="D2145" s="169" t="s">
        <v>15</v>
      </c>
      <c r="E2145" s="168" t="s">
        <v>2364</v>
      </c>
      <c r="F2145" s="170">
        <v>45986.0</v>
      </c>
      <c r="G2145" s="171">
        <v>1.143362329E7</v>
      </c>
      <c r="H2145" s="172">
        <f t="shared" si="9"/>
        <v>2401060.891</v>
      </c>
      <c r="I2145" s="173">
        <v>343008.7</v>
      </c>
      <c r="J2145" s="172"/>
      <c r="K2145" s="174">
        <f t="shared" si="4"/>
        <v>14177692.88</v>
      </c>
      <c r="L2145" s="175"/>
      <c r="M2145" s="176"/>
    </row>
    <row r="2146" ht="15.75" customHeight="1">
      <c r="A2146" s="166">
        <v>45991.0</v>
      </c>
      <c r="B2146" s="167"/>
      <c r="C2146" s="168" t="s">
        <v>635</v>
      </c>
      <c r="D2146" s="169" t="s">
        <v>15</v>
      </c>
      <c r="E2146" s="168" t="s">
        <v>2365</v>
      </c>
      <c r="F2146" s="170">
        <v>45986.0</v>
      </c>
      <c r="G2146" s="171">
        <v>1.489227363E7</v>
      </c>
      <c r="H2146" s="172">
        <f t="shared" si="9"/>
        <v>3127377.462</v>
      </c>
      <c r="I2146" s="173">
        <v>446768.21</v>
      </c>
      <c r="J2146" s="172"/>
      <c r="K2146" s="174">
        <f t="shared" si="4"/>
        <v>18466419.3</v>
      </c>
      <c r="L2146" s="175"/>
      <c r="M2146" s="176"/>
    </row>
    <row r="2147" ht="15.75" customHeight="1">
      <c r="A2147" s="166">
        <v>45991.0</v>
      </c>
      <c r="B2147" s="167"/>
      <c r="C2147" s="168" t="s">
        <v>635</v>
      </c>
      <c r="D2147" s="169" t="s">
        <v>15</v>
      </c>
      <c r="E2147" s="168" t="s">
        <v>2366</v>
      </c>
      <c r="F2147" s="170">
        <v>45986.0</v>
      </c>
      <c r="G2147" s="171">
        <v>1.355434328E7</v>
      </c>
      <c r="H2147" s="172">
        <f t="shared" si="9"/>
        <v>2846412.089</v>
      </c>
      <c r="I2147" s="173">
        <v>406630.3</v>
      </c>
      <c r="J2147" s="172"/>
      <c r="K2147" s="174">
        <f t="shared" si="4"/>
        <v>16807385.67</v>
      </c>
      <c r="L2147" s="175"/>
      <c r="M2147" s="176"/>
    </row>
    <row r="2148" ht="15.75" customHeight="1">
      <c r="A2148" s="115">
        <v>45991.0</v>
      </c>
      <c r="B2148" s="50"/>
      <c r="C2148" s="31" t="s">
        <v>1136</v>
      </c>
      <c r="D2148" s="32" t="s">
        <v>15</v>
      </c>
      <c r="E2148" s="31" t="s">
        <v>2367</v>
      </c>
      <c r="F2148" s="161">
        <v>45986.0</v>
      </c>
      <c r="G2148" s="53">
        <v>2.168620304E7</v>
      </c>
      <c r="H2148" s="14">
        <f t="shared" si="9"/>
        <v>4554102.638</v>
      </c>
      <c r="I2148" s="22">
        <v>650586.09</v>
      </c>
      <c r="J2148" s="22">
        <v>542155.08</v>
      </c>
      <c r="K2148" s="15">
        <f t="shared" si="4"/>
        <v>27433046.85</v>
      </c>
      <c r="L2148" s="45"/>
      <c r="M2148" s="6"/>
    </row>
    <row r="2149" ht="15.75" customHeight="1">
      <c r="A2149" s="115">
        <v>45991.0</v>
      </c>
      <c r="B2149" s="50"/>
      <c r="C2149" s="31" t="s">
        <v>1136</v>
      </c>
      <c r="D2149" s="32" t="s">
        <v>15</v>
      </c>
      <c r="E2149" s="31" t="s">
        <v>2368</v>
      </c>
      <c r="F2149" s="161">
        <v>45986.0</v>
      </c>
      <c r="G2149" s="53">
        <v>2.16439234E7</v>
      </c>
      <c r="H2149" s="14">
        <f t="shared" si="9"/>
        <v>4545223.914</v>
      </c>
      <c r="I2149" s="22">
        <v>649317.7</v>
      </c>
      <c r="J2149" s="22">
        <v>541098.09</v>
      </c>
      <c r="K2149" s="15">
        <f t="shared" si="4"/>
        <v>27379563.1</v>
      </c>
      <c r="L2149" s="45"/>
      <c r="M2149" s="6"/>
    </row>
    <row r="2150" ht="15.75" customHeight="1">
      <c r="A2150" s="115">
        <v>45991.0</v>
      </c>
      <c r="B2150" s="50"/>
      <c r="C2150" s="31" t="s">
        <v>1136</v>
      </c>
      <c r="D2150" s="32" t="s">
        <v>15</v>
      </c>
      <c r="E2150" s="32" t="s">
        <v>2369</v>
      </c>
      <c r="F2150" s="161">
        <v>45986.0</v>
      </c>
      <c r="G2150" s="53">
        <v>2.171547356E7</v>
      </c>
      <c r="H2150" s="14">
        <f t="shared" si="9"/>
        <v>4560249.448</v>
      </c>
      <c r="I2150" s="22">
        <v>651464.21</v>
      </c>
      <c r="J2150" s="22">
        <v>542886.84</v>
      </c>
      <c r="K2150" s="15">
        <f t="shared" si="4"/>
        <v>27470074.06</v>
      </c>
      <c r="L2150" s="45"/>
      <c r="M2150" s="6"/>
    </row>
    <row r="2151" ht="15.75" customHeight="1">
      <c r="A2151" s="177">
        <v>45991.0</v>
      </c>
      <c r="B2151" s="56"/>
      <c r="C2151" s="57" t="s">
        <v>2370</v>
      </c>
      <c r="D2151" s="57" t="s">
        <v>77</v>
      </c>
      <c r="E2151" s="57" t="s">
        <v>2371</v>
      </c>
      <c r="F2151" s="178">
        <v>45986.0</v>
      </c>
      <c r="G2151" s="65">
        <v>1993965.0</v>
      </c>
      <c r="H2151" s="9">
        <f t="shared" si="9"/>
        <v>418732.65</v>
      </c>
      <c r="I2151" s="44"/>
      <c r="J2151" s="60"/>
      <c r="K2151" s="10">
        <f t="shared" si="4"/>
        <v>2412697.65</v>
      </c>
      <c r="L2151" s="61"/>
      <c r="M2151" s="62"/>
    </row>
    <row r="2152" ht="15.75" customHeight="1">
      <c r="A2152" s="177">
        <v>45991.0</v>
      </c>
      <c r="B2152" s="56"/>
      <c r="C2152" s="57" t="s">
        <v>2372</v>
      </c>
      <c r="D2152" s="57" t="s">
        <v>77</v>
      </c>
      <c r="E2152" s="57" t="s">
        <v>2373</v>
      </c>
      <c r="F2152" s="178">
        <v>45986.0</v>
      </c>
      <c r="G2152" s="65">
        <v>5003430.0</v>
      </c>
      <c r="H2152" s="9">
        <f t="shared" si="9"/>
        <v>1050720.3</v>
      </c>
      <c r="I2152" s="44"/>
      <c r="J2152" s="60"/>
      <c r="K2152" s="10">
        <f t="shared" si="4"/>
        <v>6054150.3</v>
      </c>
      <c r="L2152" s="61"/>
      <c r="M2152" s="62"/>
    </row>
    <row r="2153" ht="15.75" customHeight="1">
      <c r="A2153" s="177">
        <v>45991.0</v>
      </c>
      <c r="B2153" s="56"/>
      <c r="C2153" s="57" t="s">
        <v>2374</v>
      </c>
      <c r="D2153" s="57" t="s">
        <v>77</v>
      </c>
      <c r="E2153" s="57" t="s">
        <v>2375</v>
      </c>
      <c r="F2153" s="178">
        <v>45986.0</v>
      </c>
      <c r="G2153" s="65">
        <v>2508000.0</v>
      </c>
      <c r="H2153" s="9">
        <f t="shared" si="9"/>
        <v>526680</v>
      </c>
      <c r="I2153" s="44"/>
      <c r="J2153" s="60"/>
      <c r="K2153" s="10">
        <f t="shared" si="4"/>
        <v>3034680</v>
      </c>
      <c r="L2153" s="61"/>
      <c r="M2153" s="62"/>
    </row>
    <row r="2154" ht="15.75" customHeight="1">
      <c r="A2154" s="115">
        <v>45992.0</v>
      </c>
      <c r="B2154" s="50"/>
      <c r="C2154" s="31" t="s">
        <v>171</v>
      </c>
      <c r="D2154" s="32" t="s">
        <v>15</v>
      </c>
      <c r="E2154" s="31" t="s">
        <v>2376</v>
      </c>
      <c r="F2154" s="161">
        <v>46016.0</v>
      </c>
      <c r="G2154" s="53">
        <v>8901233.41</v>
      </c>
      <c r="H2154" s="14">
        <f t="shared" si="9"/>
        <v>1869259.016</v>
      </c>
      <c r="I2154" s="22"/>
      <c r="J2154" s="14"/>
      <c r="K2154" s="15">
        <f t="shared" si="4"/>
        <v>10770492.43</v>
      </c>
      <c r="L2154" s="45"/>
      <c r="M2154" s="6"/>
    </row>
    <row r="2155" ht="15.75" customHeight="1">
      <c r="A2155" s="115">
        <v>45992.0</v>
      </c>
      <c r="B2155" s="50"/>
      <c r="C2155" s="31" t="s">
        <v>171</v>
      </c>
      <c r="D2155" s="32" t="s">
        <v>15</v>
      </c>
      <c r="E2155" s="31" t="s">
        <v>2377</v>
      </c>
      <c r="F2155" s="161">
        <v>46016.0</v>
      </c>
      <c r="G2155" s="53">
        <v>1.119382248E7</v>
      </c>
      <c r="H2155" s="14">
        <f t="shared" si="9"/>
        <v>2350702.721</v>
      </c>
      <c r="I2155" s="22"/>
      <c r="J2155" s="14"/>
      <c r="K2155" s="15">
        <f t="shared" si="4"/>
        <v>13544525.2</v>
      </c>
      <c r="L2155" s="45"/>
      <c r="M2155" s="6"/>
    </row>
    <row r="2156" ht="15.75" customHeight="1">
      <c r="A2156" s="115">
        <v>45992.0</v>
      </c>
      <c r="B2156" s="50"/>
      <c r="C2156" s="31" t="s">
        <v>171</v>
      </c>
      <c r="D2156" s="32" t="s">
        <v>15</v>
      </c>
      <c r="E2156" s="31" t="s">
        <v>2378</v>
      </c>
      <c r="F2156" s="161">
        <v>46016.0</v>
      </c>
      <c r="G2156" s="53">
        <v>1.332262241E7</v>
      </c>
      <c r="H2156" s="14">
        <f t="shared" si="9"/>
        <v>2797750.706</v>
      </c>
      <c r="I2156" s="22"/>
      <c r="J2156" s="14"/>
      <c r="K2156" s="15">
        <f t="shared" si="4"/>
        <v>16120373.12</v>
      </c>
      <c r="L2156" s="45"/>
      <c r="M2156" s="6"/>
    </row>
    <row r="2157" ht="15.75" customHeight="1">
      <c r="A2157" s="115">
        <v>45992.0</v>
      </c>
      <c r="B2157" s="50"/>
      <c r="C2157" s="31" t="s">
        <v>171</v>
      </c>
      <c r="D2157" s="32" t="s">
        <v>15</v>
      </c>
      <c r="E2157" s="31" t="s">
        <v>2379</v>
      </c>
      <c r="F2157" s="161">
        <v>46016.0</v>
      </c>
      <c r="G2157" s="53">
        <v>1.722342259E7</v>
      </c>
      <c r="H2157" s="14">
        <f t="shared" si="9"/>
        <v>3616918.744</v>
      </c>
      <c r="I2157" s="22"/>
      <c r="J2157" s="14"/>
      <c r="K2157" s="15">
        <f t="shared" si="4"/>
        <v>20840341.33</v>
      </c>
      <c r="L2157" s="45"/>
      <c r="M2157" s="6"/>
    </row>
    <row r="2158" ht="15.75" customHeight="1">
      <c r="A2158" s="115">
        <v>45992.0</v>
      </c>
      <c r="B2158" s="50"/>
      <c r="C2158" s="31" t="s">
        <v>171</v>
      </c>
      <c r="D2158" s="32" t="s">
        <v>99</v>
      </c>
      <c r="E2158" s="31" t="s">
        <v>2380</v>
      </c>
      <c r="F2158" s="161">
        <v>46016.0</v>
      </c>
      <c r="G2158" s="53">
        <v>7625352.95</v>
      </c>
      <c r="H2158" s="14">
        <f t="shared" si="9"/>
        <v>1601324.12</v>
      </c>
      <c r="I2158" s="22"/>
      <c r="J2158" s="14"/>
      <c r="K2158" s="15">
        <f t="shared" si="4"/>
        <v>9226677.07</v>
      </c>
      <c r="L2158" s="45"/>
      <c r="M2158" s="6"/>
    </row>
    <row r="2159" ht="15.75" customHeight="1">
      <c r="A2159" s="115">
        <v>45992.0</v>
      </c>
      <c r="B2159" s="50"/>
      <c r="C2159" s="31" t="s">
        <v>171</v>
      </c>
      <c r="D2159" s="32" t="s">
        <v>99</v>
      </c>
      <c r="E2159" s="31" t="s">
        <v>2381</v>
      </c>
      <c r="F2159" s="161">
        <v>46016.0</v>
      </c>
      <c r="G2159" s="53">
        <v>1.522523229E7</v>
      </c>
      <c r="H2159" s="14">
        <f t="shared" si="9"/>
        <v>3197298.781</v>
      </c>
      <c r="I2159" s="22"/>
      <c r="J2159" s="14"/>
      <c r="K2159" s="15">
        <f t="shared" si="4"/>
        <v>18422531.07</v>
      </c>
      <c r="L2159" s="45"/>
      <c r="M2159" s="6"/>
    </row>
    <row r="2160" ht="15.75" customHeight="1">
      <c r="A2160" s="115">
        <v>45992.0</v>
      </c>
      <c r="B2160" s="50"/>
      <c r="C2160" s="31" t="s">
        <v>171</v>
      </c>
      <c r="D2160" s="32" t="s">
        <v>99</v>
      </c>
      <c r="E2160" s="31" t="s">
        <v>2382</v>
      </c>
      <c r="F2160" s="161">
        <v>46016.0</v>
      </c>
      <c r="G2160" s="53">
        <v>1.412237226E7</v>
      </c>
      <c r="H2160" s="14">
        <f t="shared" si="9"/>
        <v>2965698.175</v>
      </c>
      <c r="I2160" s="22"/>
      <c r="J2160" s="14"/>
      <c r="K2160" s="15">
        <f t="shared" si="4"/>
        <v>17088070.43</v>
      </c>
      <c r="L2160" s="45"/>
      <c r="M2160" s="6"/>
    </row>
    <row r="2161" ht="15.75" customHeight="1">
      <c r="A2161" s="115">
        <v>45992.0</v>
      </c>
      <c r="B2161" s="50"/>
      <c r="C2161" s="31" t="s">
        <v>171</v>
      </c>
      <c r="D2161" s="32" t="s">
        <v>99</v>
      </c>
      <c r="E2161" s="31" t="s">
        <v>2383</v>
      </c>
      <c r="F2161" s="161">
        <v>46016.0</v>
      </c>
      <c r="G2161" s="53">
        <v>1.336236285E7</v>
      </c>
      <c r="H2161" s="14">
        <f t="shared" si="9"/>
        <v>2806096.199</v>
      </c>
      <c r="I2161" s="22"/>
      <c r="J2161" s="14"/>
      <c r="K2161" s="15">
        <f t="shared" si="4"/>
        <v>16168459.05</v>
      </c>
      <c r="L2161" s="45"/>
      <c r="M2161" s="6"/>
    </row>
    <row r="2162" ht="15.75" customHeight="1">
      <c r="A2162" s="177">
        <v>45993.0</v>
      </c>
      <c r="B2162" s="56"/>
      <c r="C2162" s="57" t="s">
        <v>1903</v>
      </c>
      <c r="D2162" s="57" t="s">
        <v>1901</v>
      </c>
      <c r="E2162" s="58" t="s">
        <v>2384</v>
      </c>
      <c r="F2162" s="178">
        <v>45986.0</v>
      </c>
      <c r="G2162" s="65">
        <v>1.500210679E7</v>
      </c>
      <c r="H2162" s="9">
        <f t="shared" si="9"/>
        <v>3150442.426</v>
      </c>
      <c r="I2162" s="44"/>
      <c r="J2162" s="60"/>
      <c r="K2162" s="10">
        <f t="shared" si="4"/>
        <v>18152549.22</v>
      </c>
      <c r="L2162" s="61"/>
      <c r="M2162" s="62"/>
    </row>
    <row r="2163" ht="15.75" customHeight="1">
      <c r="A2163" s="177">
        <v>45993.0</v>
      </c>
      <c r="B2163" s="56"/>
      <c r="C2163" s="57" t="s">
        <v>1402</v>
      </c>
      <c r="D2163" s="57" t="s">
        <v>1901</v>
      </c>
      <c r="E2163" s="58" t="s">
        <v>2385</v>
      </c>
      <c r="F2163" s="178">
        <v>45986.0</v>
      </c>
      <c r="G2163" s="65">
        <v>3.000061555E7</v>
      </c>
      <c r="H2163" s="9">
        <f t="shared" si="9"/>
        <v>6300129.266</v>
      </c>
      <c r="I2163" s="44"/>
      <c r="J2163" s="60"/>
      <c r="K2163" s="10">
        <f t="shared" si="4"/>
        <v>36300744.82</v>
      </c>
      <c r="L2163" s="61"/>
      <c r="M2163" s="62"/>
    </row>
    <row r="2164" ht="15.75" customHeight="1">
      <c r="A2164" s="177">
        <v>45993.0</v>
      </c>
      <c r="B2164" s="56"/>
      <c r="C2164" s="57" t="s">
        <v>2040</v>
      </c>
      <c r="D2164" s="57" t="s">
        <v>1901</v>
      </c>
      <c r="E2164" s="58" t="s">
        <v>2386</v>
      </c>
      <c r="F2164" s="178">
        <v>45986.0</v>
      </c>
      <c r="G2164" s="65">
        <v>3.000285486E7</v>
      </c>
      <c r="H2164" s="9">
        <f t="shared" si="9"/>
        <v>6300599.521</v>
      </c>
      <c r="I2164" s="44"/>
      <c r="J2164" s="60"/>
      <c r="K2164" s="10">
        <f t="shared" si="4"/>
        <v>36303454.38</v>
      </c>
      <c r="L2164" s="61"/>
      <c r="M2164" s="62"/>
    </row>
    <row r="2165" ht="15.75" customHeight="1">
      <c r="A2165" s="177">
        <v>45993.0</v>
      </c>
      <c r="B2165" s="56"/>
      <c r="C2165" s="57" t="s">
        <v>2126</v>
      </c>
      <c r="D2165" s="57" t="s">
        <v>1901</v>
      </c>
      <c r="E2165" s="58" t="s">
        <v>2387</v>
      </c>
      <c r="F2165" s="178">
        <v>45986.0</v>
      </c>
      <c r="G2165" s="65">
        <v>1.500326555E7</v>
      </c>
      <c r="H2165" s="9">
        <f t="shared" si="9"/>
        <v>3150685.766</v>
      </c>
      <c r="I2165" s="44"/>
      <c r="J2165" s="60"/>
      <c r="K2165" s="10">
        <f t="shared" si="4"/>
        <v>18153951.32</v>
      </c>
      <c r="L2165" s="61"/>
      <c r="M2165" s="62"/>
    </row>
    <row r="2166" ht="15.75" customHeight="1">
      <c r="A2166" s="177">
        <v>45993.0</v>
      </c>
      <c r="B2166" s="56"/>
      <c r="C2166" s="57" t="s">
        <v>1248</v>
      </c>
      <c r="D2166" s="57" t="s">
        <v>1901</v>
      </c>
      <c r="E2166" s="58" t="s">
        <v>2388</v>
      </c>
      <c r="F2166" s="178">
        <v>45986.0</v>
      </c>
      <c r="G2166" s="65">
        <v>1.500271502E7</v>
      </c>
      <c r="H2166" s="9">
        <f t="shared" si="9"/>
        <v>3150570.154</v>
      </c>
      <c r="I2166" s="44"/>
      <c r="J2166" s="60"/>
      <c r="K2166" s="10">
        <f t="shared" si="4"/>
        <v>18153285.17</v>
      </c>
      <c r="L2166" s="61"/>
      <c r="M2166" s="62"/>
    </row>
    <row r="2167" ht="15.75" customHeight="1">
      <c r="A2167" s="177">
        <v>45993.0</v>
      </c>
      <c r="B2167" s="56"/>
      <c r="C2167" s="120" t="s">
        <v>2389</v>
      </c>
      <c r="D2167" s="58" t="s">
        <v>2150</v>
      </c>
      <c r="E2167" s="58" t="s">
        <v>2390</v>
      </c>
      <c r="F2167" s="178">
        <v>45986.0</v>
      </c>
      <c r="G2167" s="65">
        <v>1.499977361E7</v>
      </c>
      <c r="H2167" s="9">
        <f t="shared" si="9"/>
        <v>3149952.458</v>
      </c>
      <c r="I2167" s="44"/>
      <c r="J2167" s="121">
        <v>599990.94</v>
      </c>
      <c r="K2167" s="10">
        <f t="shared" si="4"/>
        <v>18749717.01</v>
      </c>
      <c r="L2167" s="61"/>
      <c r="M2167" s="62"/>
    </row>
    <row r="2168" ht="15.75" customHeight="1">
      <c r="A2168" s="177">
        <v>45993.0</v>
      </c>
      <c r="B2168" s="56"/>
      <c r="C2168" s="57" t="s">
        <v>2040</v>
      </c>
      <c r="D2168" s="58" t="s">
        <v>2150</v>
      </c>
      <c r="E2168" s="58" t="s">
        <v>2391</v>
      </c>
      <c r="F2168" s="178">
        <v>45986.0</v>
      </c>
      <c r="G2168" s="65">
        <v>1.912439545E7</v>
      </c>
      <c r="H2168" s="9">
        <f t="shared" si="9"/>
        <v>4016123.045</v>
      </c>
      <c r="I2168" s="44"/>
      <c r="J2168" s="60"/>
      <c r="K2168" s="10">
        <f t="shared" si="4"/>
        <v>23140518.49</v>
      </c>
      <c r="L2168" s="61"/>
      <c r="M2168" s="62"/>
    </row>
    <row r="2169" ht="15.75" customHeight="1">
      <c r="A2169" s="177">
        <v>45993.0</v>
      </c>
      <c r="B2169" s="56"/>
      <c r="C2169" s="57" t="s">
        <v>2040</v>
      </c>
      <c r="D2169" s="58" t="s">
        <v>2150</v>
      </c>
      <c r="E2169" s="58" t="s">
        <v>2392</v>
      </c>
      <c r="F2169" s="178">
        <v>45986.0</v>
      </c>
      <c r="G2169" s="65">
        <v>4517762.83</v>
      </c>
      <c r="H2169" s="9">
        <f t="shared" si="9"/>
        <v>948730.1943</v>
      </c>
      <c r="I2169" s="44"/>
      <c r="J2169" s="60"/>
      <c r="K2169" s="10">
        <f t="shared" si="4"/>
        <v>5466493.024</v>
      </c>
      <c r="L2169" s="61"/>
      <c r="M2169" s="62"/>
    </row>
    <row r="2170" ht="15.75" customHeight="1">
      <c r="A2170" s="177">
        <v>45993.0</v>
      </c>
      <c r="B2170" s="56"/>
      <c r="C2170" s="58" t="s">
        <v>1477</v>
      </c>
      <c r="D2170" s="58" t="s">
        <v>2150</v>
      </c>
      <c r="E2170" s="58" t="s">
        <v>2393</v>
      </c>
      <c r="F2170" s="178">
        <v>45986.0</v>
      </c>
      <c r="G2170" s="65">
        <v>1.587263001E7</v>
      </c>
      <c r="H2170" s="9">
        <f t="shared" si="9"/>
        <v>3333252.302</v>
      </c>
      <c r="I2170" s="44"/>
      <c r="J2170" s="60"/>
      <c r="K2170" s="10">
        <f t="shared" si="4"/>
        <v>19205882.31</v>
      </c>
      <c r="L2170" s="61"/>
      <c r="M2170" s="62"/>
    </row>
    <row r="2171" ht="15.75" customHeight="1">
      <c r="A2171" s="115">
        <v>45993.0</v>
      </c>
      <c r="B2171" s="50"/>
      <c r="C2171" s="31" t="s">
        <v>1842</v>
      </c>
      <c r="D2171" s="32" t="s">
        <v>15</v>
      </c>
      <c r="E2171" s="31" t="s">
        <v>2394</v>
      </c>
      <c r="F2171" s="161">
        <v>46016.0</v>
      </c>
      <c r="G2171" s="53">
        <v>2.262368216E7</v>
      </c>
      <c r="H2171" s="14">
        <f t="shared" si="9"/>
        <v>4750973.254</v>
      </c>
      <c r="I2171" s="22"/>
      <c r="J2171" s="14"/>
      <c r="K2171" s="15">
        <f t="shared" si="4"/>
        <v>27374655.41</v>
      </c>
      <c r="L2171" s="45"/>
      <c r="M2171" s="6"/>
    </row>
    <row r="2172" ht="15.75" customHeight="1">
      <c r="A2172" s="115">
        <v>45993.0</v>
      </c>
      <c r="B2172" s="50"/>
      <c r="C2172" s="31" t="s">
        <v>1842</v>
      </c>
      <c r="D2172" s="32" t="s">
        <v>99</v>
      </c>
      <c r="E2172" s="31" t="s">
        <v>2395</v>
      </c>
      <c r="F2172" s="161">
        <v>46016.0</v>
      </c>
      <c r="G2172" s="53">
        <v>2.779257213E7</v>
      </c>
      <c r="H2172" s="14">
        <f t="shared" si="9"/>
        <v>5836440.147</v>
      </c>
      <c r="I2172" s="22"/>
      <c r="J2172" s="14"/>
      <c r="K2172" s="15">
        <f t="shared" si="4"/>
        <v>33629012.28</v>
      </c>
      <c r="L2172" s="45"/>
      <c r="M2172" s="6"/>
    </row>
    <row r="2173" ht="15.75" customHeight="1">
      <c r="A2173" s="115">
        <v>45993.0</v>
      </c>
      <c r="B2173" s="50"/>
      <c r="C2173" s="144" t="s">
        <v>211</v>
      </c>
      <c r="D2173" s="32" t="s">
        <v>99</v>
      </c>
      <c r="E2173" s="31" t="s">
        <v>2396</v>
      </c>
      <c r="F2173" s="161">
        <v>46016.0</v>
      </c>
      <c r="G2173" s="53">
        <f>3628321.23/1.21</f>
        <v>2998612.587</v>
      </c>
      <c r="H2173" s="14">
        <f t="shared" si="9"/>
        <v>629708.6432</v>
      </c>
      <c r="I2173" s="22"/>
      <c r="J2173" s="14"/>
      <c r="K2173" s="15">
        <f t="shared" si="4"/>
        <v>3628321.23</v>
      </c>
      <c r="L2173" s="45"/>
      <c r="M2173" s="24">
        <v>45993.0</v>
      </c>
    </row>
    <row r="2174" ht="15.75" customHeight="1">
      <c r="A2174" s="115">
        <v>45993.0</v>
      </c>
      <c r="B2174" s="50"/>
      <c r="C2174" s="144" t="s">
        <v>211</v>
      </c>
      <c r="D2174" s="32" t="s">
        <v>99</v>
      </c>
      <c r="E2174" s="31" t="s">
        <v>2397</v>
      </c>
      <c r="F2174" s="161">
        <v>46016.0</v>
      </c>
      <c r="G2174" s="53">
        <f>2419420.47/1.21</f>
        <v>1999521.05</v>
      </c>
      <c r="H2174" s="14">
        <f t="shared" si="9"/>
        <v>419899.4204</v>
      </c>
      <c r="I2174" s="22"/>
      <c r="J2174" s="14"/>
      <c r="K2174" s="15">
        <f t="shared" si="4"/>
        <v>2419420.47</v>
      </c>
      <c r="L2174" s="45"/>
      <c r="M2174" s="24">
        <v>45993.0</v>
      </c>
    </row>
    <row r="2175" ht="15.75" customHeight="1">
      <c r="A2175" s="115">
        <v>45994.0</v>
      </c>
      <c r="B2175" s="50"/>
      <c r="C2175" s="31" t="s">
        <v>1858</v>
      </c>
      <c r="D2175" s="32" t="s">
        <v>15</v>
      </c>
      <c r="E2175" s="31" t="s">
        <v>2398</v>
      </c>
      <c r="F2175" s="161">
        <v>46016.0</v>
      </c>
      <c r="G2175" s="53">
        <v>2.28600582E7</v>
      </c>
      <c r="H2175" s="14">
        <f t="shared" si="9"/>
        <v>4800612.222</v>
      </c>
      <c r="I2175" s="22">
        <v>685801.75</v>
      </c>
      <c r="J2175" s="22">
        <v>91440.23</v>
      </c>
      <c r="K2175" s="15">
        <f t="shared" si="4"/>
        <v>28437912.4</v>
      </c>
      <c r="L2175" s="45"/>
      <c r="M2175" s="24">
        <v>46013.0</v>
      </c>
    </row>
    <row r="2176" ht="15.75" customHeight="1">
      <c r="A2176" s="115">
        <v>45994.0</v>
      </c>
      <c r="B2176" s="50"/>
      <c r="C2176" s="31" t="s">
        <v>1858</v>
      </c>
      <c r="D2176" s="32" t="s">
        <v>15</v>
      </c>
      <c r="E2176" s="31" t="s">
        <v>2399</v>
      </c>
      <c r="F2176" s="161">
        <v>46016.0</v>
      </c>
      <c r="G2176" s="53">
        <v>9702602.7</v>
      </c>
      <c r="H2176" s="14">
        <f t="shared" si="9"/>
        <v>2037546.567</v>
      </c>
      <c r="I2176" s="22">
        <v>291078.08</v>
      </c>
      <c r="J2176" s="22">
        <v>38810.41</v>
      </c>
      <c r="K2176" s="15">
        <f t="shared" si="4"/>
        <v>12070037.76</v>
      </c>
      <c r="L2176" s="45"/>
      <c r="M2176" s="24">
        <v>46006.0</v>
      </c>
    </row>
    <row r="2177" ht="15.75" customHeight="1">
      <c r="A2177" s="115">
        <v>45994.0</v>
      </c>
      <c r="B2177" s="50"/>
      <c r="C2177" s="31" t="s">
        <v>1858</v>
      </c>
      <c r="D2177" s="32" t="s">
        <v>15</v>
      </c>
      <c r="E2177" s="31" t="s">
        <v>2400</v>
      </c>
      <c r="F2177" s="161">
        <v>46016.0</v>
      </c>
      <c r="G2177" s="53">
        <v>6547626.0</v>
      </c>
      <c r="H2177" s="14">
        <f t="shared" si="9"/>
        <v>1375001.46</v>
      </c>
      <c r="I2177" s="22">
        <v>196428.78</v>
      </c>
      <c r="J2177" s="22">
        <v>26190.5</v>
      </c>
      <c r="K2177" s="15">
        <f t="shared" si="4"/>
        <v>8145246.74</v>
      </c>
      <c r="L2177" s="45"/>
      <c r="M2177" s="24">
        <v>46006.0</v>
      </c>
    </row>
    <row r="2178" ht="15.75" customHeight="1">
      <c r="A2178" s="115">
        <v>45994.0</v>
      </c>
      <c r="B2178" s="50"/>
      <c r="C2178" s="31" t="s">
        <v>1854</v>
      </c>
      <c r="D2178" s="32" t="s">
        <v>99</v>
      </c>
      <c r="E2178" s="31" t="s">
        <v>2401</v>
      </c>
      <c r="F2178" s="161">
        <v>46016.0</v>
      </c>
      <c r="G2178" s="53">
        <v>4.60128081E7</v>
      </c>
      <c r="H2178" s="14">
        <f t="shared" si="9"/>
        <v>9662689.701</v>
      </c>
      <c r="I2178" s="22">
        <v>1380384.24</v>
      </c>
      <c r="J2178" s="22">
        <v>2760768.49</v>
      </c>
      <c r="K2178" s="15">
        <f t="shared" si="4"/>
        <v>59816650.53</v>
      </c>
      <c r="L2178" s="45"/>
      <c r="M2178" s="24">
        <v>46017.0</v>
      </c>
    </row>
    <row r="2179" ht="15.75" customHeight="1">
      <c r="A2179" s="115">
        <v>45994.0</v>
      </c>
      <c r="B2179" s="50"/>
      <c r="C2179" s="31" t="s">
        <v>1861</v>
      </c>
      <c r="D2179" s="32" t="s">
        <v>99</v>
      </c>
      <c r="E2179" s="31" t="s">
        <v>2402</v>
      </c>
      <c r="F2179" s="161">
        <v>46016.0</v>
      </c>
      <c r="G2179" s="53">
        <v>1.935025872E7</v>
      </c>
      <c r="H2179" s="14">
        <f t="shared" si="9"/>
        <v>4063554.331</v>
      </c>
      <c r="I2179" s="22">
        <v>580507.76</v>
      </c>
      <c r="J2179" s="22">
        <v>387005.17</v>
      </c>
      <c r="K2179" s="15">
        <f t="shared" si="4"/>
        <v>24381325.98</v>
      </c>
      <c r="L2179" s="45"/>
      <c r="M2179" s="24">
        <v>46014.0</v>
      </c>
    </row>
    <row r="2180" ht="15.75" customHeight="1">
      <c r="A2180" s="115">
        <v>45994.0</v>
      </c>
      <c r="B2180" s="50"/>
      <c r="C2180" s="31" t="s">
        <v>1861</v>
      </c>
      <c r="D2180" s="32" t="s">
        <v>99</v>
      </c>
      <c r="E2180" s="31" t="s">
        <v>2403</v>
      </c>
      <c r="F2180" s="161">
        <v>46016.0</v>
      </c>
      <c r="G2180" s="53">
        <v>2.252325075E7</v>
      </c>
      <c r="H2180" s="14">
        <f t="shared" si="9"/>
        <v>4729882.658</v>
      </c>
      <c r="I2180" s="22">
        <v>675697.52</v>
      </c>
      <c r="J2180" s="22">
        <v>450465.02</v>
      </c>
      <c r="K2180" s="15">
        <f t="shared" si="4"/>
        <v>28379295.95</v>
      </c>
      <c r="L2180" s="45"/>
      <c r="M2180" s="24">
        <v>46014.0</v>
      </c>
    </row>
    <row r="2181" ht="15.75" customHeight="1">
      <c r="A2181" s="115">
        <v>45995.0</v>
      </c>
      <c r="B2181" s="50"/>
      <c r="C2181" s="31" t="s">
        <v>1854</v>
      </c>
      <c r="D2181" s="32" t="s">
        <v>99</v>
      </c>
      <c r="E2181" s="31" t="s">
        <v>2404</v>
      </c>
      <c r="F2181" s="161">
        <v>46016.0</v>
      </c>
      <c r="G2181" s="53">
        <v>6402312.4</v>
      </c>
      <c r="H2181" s="14">
        <f t="shared" si="9"/>
        <v>1344485.604</v>
      </c>
      <c r="I2181" s="22">
        <v>192069.37</v>
      </c>
      <c r="J2181" s="22">
        <v>384138.74</v>
      </c>
      <c r="K2181" s="15">
        <f t="shared" si="4"/>
        <v>8323006.114</v>
      </c>
      <c r="L2181" s="45"/>
      <c r="M2181" s="19" t="s">
        <v>2405</v>
      </c>
    </row>
    <row r="2182" ht="15.75" customHeight="1">
      <c r="A2182" s="115">
        <v>45995.0</v>
      </c>
      <c r="B2182" s="50"/>
      <c r="C2182" s="31" t="s">
        <v>1854</v>
      </c>
      <c r="D2182" s="32" t="s">
        <v>99</v>
      </c>
      <c r="E2182" s="31" t="s">
        <v>2406</v>
      </c>
      <c r="F2182" s="161">
        <v>46016.0</v>
      </c>
      <c r="G2182" s="53">
        <v>4.19264448E7</v>
      </c>
      <c r="H2182" s="14">
        <f t="shared" si="9"/>
        <v>8804553.408</v>
      </c>
      <c r="I2182" s="22">
        <v>1257793.34</v>
      </c>
      <c r="J2182" s="22">
        <v>2515586.69</v>
      </c>
      <c r="K2182" s="15">
        <f t="shared" si="4"/>
        <v>54504378.24</v>
      </c>
      <c r="L2182" s="45"/>
      <c r="M2182" s="19" t="s">
        <v>2405</v>
      </c>
    </row>
    <row r="2183" ht="15.75" customHeight="1">
      <c r="A2183" s="115">
        <v>45995.0</v>
      </c>
      <c r="B2183" s="50"/>
      <c r="C2183" s="31" t="s">
        <v>1861</v>
      </c>
      <c r="D2183" s="32" t="s">
        <v>99</v>
      </c>
      <c r="E2183" s="31" t="s">
        <v>2407</v>
      </c>
      <c r="F2183" s="161">
        <v>46016.0</v>
      </c>
      <c r="G2183" s="53">
        <v>1.681827784E7</v>
      </c>
      <c r="H2183" s="14">
        <f t="shared" si="9"/>
        <v>3531838.346</v>
      </c>
      <c r="I2183" s="22">
        <v>504548.34</v>
      </c>
      <c r="J2183" s="22">
        <v>336365.56</v>
      </c>
      <c r="K2183" s="15">
        <f t="shared" si="4"/>
        <v>21191030.09</v>
      </c>
      <c r="L2183" s="45"/>
      <c r="M2183" s="24">
        <v>46007.0</v>
      </c>
    </row>
    <row r="2184" ht="15.75" customHeight="1">
      <c r="A2184" s="177">
        <v>45995.0</v>
      </c>
      <c r="B2184" s="56"/>
      <c r="C2184" s="57" t="s">
        <v>969</v>
      </c>
      <c r="D2184" s="57" t="s">
        <v>2126</v>
      </c>
      <c r="E2184" s="58" t="s">
        <v>2408</v>
      </c>
      <c r="F2184" s="178">
        <v>45986.0</v>
      </c>
      <c r="G2184" s="65">
        <v>3984500.0</v>
      </c>
      <c r="H2184" s="9">
        <f t="shared" si="9"/>
        <v>836745</v>
      </c>
      <c r="I2184" s="44"/>
      <c r="J2184" s="60"/>
      <c r="K2184" s="10">
        <f t="shared" si="4"/>
        <v>4821245</v>
      </c>
      <c r="L2184" s="61"/>
      <c r="M2184" s="62"/>
    </row>
    <row r="2185" ht="15.75" customHeight="1">
      <c r="A2185" s="115">
        <v>45995.0</v>
      </c>
      <c r="B2185" s="50"/>
      <c r="C2185" s="31" t="s">
        <v>423</v>
      </c>
      <c r="D2185" s="32" t="s">
        <v>15</v>
      </c>
      <c r="E2185" s="31" t="s">
        <v>2409</v>
      </c>
      <c r="F2185" s="161">
        <v>46016.0</v>
      </c>
      <c r="G2185" s="53">
        <v>1948845.3</v>
      </c>
      <c r="H2185" s="14">
        <f t="shared" si="9"/>
        <v>409257.513</v>
      </c>
      <c r="I2185" s="22">
        <v>58465.36</v>
      </c>
      <c r="J2185" s="14"/>
      <c r="K2185" s="15">
        <f t="shared" si="4"/>
        <v>2416568.173</v>
      </c>
      <c r="L2185" s="45"/>
      <c r="M2185" s="6"/>
    </row>
    <row r="2186" ht="15.75" customHeight="1">
      <c r="A2186" s="115">
        <v>45995.0</v>
      </c>
      <c r="B2186" s="50"/>
      <c r="C2186" s="31" t="s">
        <v>423</v>
      </c>
      <c r="D2186" s="32" t="s">
        <v>15</v>
      </c>
      <c r="E2186" s="31" t="s">
        <v>2410</v>
      </c>
      <c r="F2186" s="161">
        <v>46016.0</v>
      </c>
      <c r="G2186" s="53">
        <v>2051606.21</v>
      </c>
      <c r="H2186" s="14">
        <f t="shared" si="9"/>
        <v>430837.3041</v>
      </c>
      <c r="I2186" s="22">
        <v>61548.19</v>
      </c>
      <c r="J2186" s="14"/>
      <c r="K2186" s="15">
        <f t="shared" si="4"/>
        <v>2543991.704</v>
      </c>
      <c r="L2186" s="45"/>
      <c r="M2186" s="6"/>
    </row>
    <row r="2187" ht="15.75" customHeight="1">
      <c r="A2187" s="115">
        <v>45995.0</v>
      </c>
      <c r="B2187" s="50"/>
      <c r="C2187" s="31" t="s">
        <v>423</v>
      </c>
      <c r="D2187" s="32" t="s">
        <v>99</v>
      </c>
      <c r="E2187" s="31" t="s">
        <v>2411</v>
      </c>
      <c r="F2187" s="161">
        <v>46016.0</v>
      </c>
      <c r="G2187" s="53">
        <v>2105456.28</v>
      </c>
      <c r="H2187" s="14">
        <f t="shared" si="9"/>
        <v>442145.8188</v>
      </c>
      <c r="I2187" s="22">
        <v>63163.69</v>
      </c>
      <c r="J2187" s="14"/>
      <c r="K2187" s="15">
        <f t="shared" si="4"/>
        <v>2610765.789</v>
      </c>
      <c r="L2187" s="45"/>
      <c r="M2187" s="6"/>
    </row>
    <row r="2188" ht="15.75" customHeight="1">
      <c r="A2188" s="115">
        <v>45995.0</v>
      </c>
      <c r="B2188" s="50"/>
      <c r="C2188" s="31" t="s">
        <v>423</v>
      </c>
      <c r="D2188" s="32" t="s">
        <v>99</v>
      </c>
      <c r="E2188" s="31" t="s">
        <v>2412</v>
      </c>
      <c r="F2188" s="161">
        <v>46016.0</v>
      </c>
      <c r="G2188" s="53">
        <v>1896109.45</v>
      </c>
      <c r="H2188" s="14">
        <f t="shared" si="9"/>
        <v>398182.9845</v>
      </c>
      <c r="I2188" s="22">
        <v>56883.28</v>
      </c>
      <c r="J2188" s="14"/>
      <c r="K2188" s="15">
        <f t="shared" si="4"/>
        <v>2351175.715</v>
      </c>
      <c r="L2188" s="45"/>
      <c r="M2188" s="6"/>
    </row>
    <row r="2189" ht="15.75" customHeight="1">
      <c r="A2189" s="115">
        <v>45995.0</v>
      </c>
      <c r="B2189" s="50"/>
      <c r="C2189" s="31" t="s">
        <v>16</v>
      </c>
      <c r="D2189" s="32" t="s">
        <v>99</v>
      </c>
      <c r="E2189" s="31" t="s">
        <v>2413</v>
      </c>
      <c r="F2189" s="161">
        <v>46016.0</v>
      </c>
      <c r="G2189" s="53">
        <v>9802461.06</v>
      </c>
      <c r="H2189" s="14">
        <f t="shared" si="9"/>
        <v>2058516.823</v>
      </c>
      <c r="I2189" s="22">
        <v>294073.83</v>
      </c>
      <c r="J2189" s="14"/>
      <c r="K2189" s="15">
        <f t="shared" si="4"/>
        <v>12155051.71</v>
      </c>
      <c r="L2189" s="45"/>
      <c r="M2189" s="6"/>
    </row>
    <row r="2190" ht="15.75" customHeight="1">
      <c r="A2190" s="115">
        <v>45995.0</v>
      </c>
      <c r="B2190" s="50"/>
      <c r="C2190" s="31" t="s">
        <v>168</v>
      </c>
      <c r="D2190" s="32" t="s">
        <v>99</v>
      </c>
      <c r="E2190" s="31" t="s">
        <v>2414</v>
      </c>
      <c r="F2190" s="161">
        <v>46016.0</v>
      </c>
      <c r="G2190" s="53">
        <v>7007570.85</v>
      </c>
      <c r="H2190" s="14">
        <f t="shared" si="9"/>
        <v>1471589.879</v>
      </c>
      <c r="I2190" s="22">
        <v>210227.13</v>
      </c>
      <c r="J2190" s="14"/>
      <c r="K2190" s="15">
        <f t="shared" si="4"/>
        <v>8689387.859</v>
      </c>
      <c r="L2190" s="45"/>
      <c r="M2190" s="6"/>
    </row>
    <row r="2191" ht="15.75" customHeight="1">
      <c r="A2191" s="115">
        <v>45995.0</v>
      </c>
      <c r="B2191" s="50"/>
      <c r="C2191" s="31" t="s">
        <v>410</v>
      </c>
      <c r="D2191" s="32" t="s">
        <v>99</v>
      </c>
      <c r="E2191" s="31" t="s">
        <v>2415</v>
      </c>
      <c r="F2191" s="161">
        <v>46016.0</v>
      </c>
      <c r="G2191" s="53">
        <v>6989460.29</v>
      </c>
      <c r="H2191" s="14">
        <f t="shared" si="9"/>
        <v>1467786.661</v>
      </c>
      <c r="I2191" s="22"/>
      <c r="J2191" s="14"/>
      <c r="K2191" s="15">
        <f t="shared" si="4"/>
        <v>8457246.951</v>
      </c>
      <c r="L2191" s="45"/>
      <c r="M2191" s="6"/>
    </row>
    <row r="2192" ht="15.75" customHeight="1">
      <c r="A2192" s="115">
        <v>45995.0</v>
      </c>
      <c r="B2192" s="50"/>
      <c r="C2192" s="31" t="s">
        <v>410</v>
      </c>
      <c r="D2192" s="32" t="s">
        <v>15</v>
      </c>
      <c r="E2192" s="31" t="s">
        <v>2416</v>
      </c>
      <c r="F2192" s="161">
        <v>46016.0</v>
      </c>
      <c r="G2192" s="53">
        <v>4998322.15</v>
      </c>
      <c r="H2192" s="14">
        <f t="shared" si="9"/>
        <v>1049647.652</v>
      </c>
      <c r="I2192" s="22"/>
      <c r="J2192" s="14"/>
      <c r="K2192" s="15">
        <f t="shared" si="4"/>
        <v>6047969.802</v>
      </c>
      <c r="L2192" s="45"/>
      <c r="M2192" s="6"/>
    </row>
    <row r="2193" ht="15.75" customHeight="1">
      <c r="A2193" s="115">
        <v>45995.0</v>
      </c>
      <c r="B2193" s="50"/>
      <c r="C2193" s="31" t="s">
        <v>1285</v>
      </c>
      <c r="D2193" s="32" t="s">
        <v>15</v>
      </c>
      <c r="E2193" s="31" t="s">
        <v>2417</v>
      </c>
      <c r="F2193" s="161">
        <v>46016.0</v>
      </c>
      <c r="G2193" s="53">
        <v>3010981.02</v>
      </c>
      <c r="H2193" s="14">
        <f t="shared" si="9"/>
        <v>632306.0142</v>
      </c>
      <c r="I2193" s="22"/>
      <c r="J2193" s="14"/>
      <c r="K2193" s="15">
        <f t="shared" si="4"/>
        <v>3643287.034</v>
      </c>
      <c r="L2193" s="45"/>
      <c r="M2193" s="6"/>
    </row>
    <row r="2194" ht="15.75" customHeight="1">
      <c r="A2194" s="115">
        <v>45995.0</v>
      </c>
      <c r="B2194" s="50"/>
      <c r="C2194" s="31" t="s">
        <v>567</v>
      </c>
      <c r="D2194" s="32" t="s">
        <v>99</v>
      </c>
      <c r="E2194" s="31" t="s">
        <v>2418</v>
      </c>
      <c r="F2194" s="161">
        <v>46016.0</v>
      </c>
      <c r="G2194" s="53">
        <v>1.511367104E7</v>
      </c>
      <c r="H2194" s="14">
        <f t="shared" si="9"/>
        <v>3173870.918</v>
      </c>
      <c r="I2194" s="22"/>
      <c r="J2194" s="14"/>
      <c r="K2194" s="15">
        <f t="shared" si="4"/>
        <v>18287541.96</v>
      </c>
      <c r="L2194" s="45"/>
      <c r="M2194" s="6"/>
    </row>
    <row r="2195" ht="15.75" customHeight="1">
      <c r="A2195" s="115">
        <v>45995.0</v>
      </c>
      <c r="B2195" s="50"/>
      <c r="C2195" s="31" t="s">
        <v>567</v>
      </c>
      <c r="D2195" s="32" t="s">
        <v>99</v>
      </c>
      <c r="E2195" s="31" t="s">
        <v>2419</v>
      </c>
      <c r="F2195" s="161">
        <v>46016.0</v>
      </c>
      <c r="G2195" s="53">
        <v>9945681.21</v>
      </c>
      <c r="H2195" s="14">
        <f t="shared" si="9"/>
        <v>2088593.054</v>
      </c>
      <c r="I2195" s="22">
        <v>298370.44</v>
      </c>
      <c r="J2195" s="14"/>
      <c r="K2195" s="15">
        <f t="shared" si="4"/>
        <v>12332644.7</v>
      </c>
      <c r="L2195" s="45"/>
      <c r="M2195" s="6"/>
    </row>
    <row r="2196" ht="15.75" customHeight="1">
      <c r="A2196" s="115">
        <v>45995.0</v>
      </c>
      <c r="B2196" s="50"/>
      <c r="C2196" s="31" t="s">
        <v>567</v>
      </c>
      <c r="D2196" s="32" t="s">
        <v>99</v>
      </c>
      <c r="E2196" s="31" t="s">
        <v>2420</v>
      </c>
      <c r="F2196" s="161">
        <v>46016.0</v>
      </c>
      <c r="G2196" s="53">
        <v>1.512147025E7</v>
      </c>
      <c r="H2196" s="14">
        <f t="shared" si="9"/>
        <v>3175508.753</v>
      </c>
      <c r="I2196" s="22"/>
      <c r="J2196" s="14"/>
      <c r="K2196" s="15">
        <f t="shared" si="4"/>
        <v>18296979</v>
      </c>
      <c r="L2196" s="45"/>
      <c r="M2196" s="6"/>
    </row>
    <row r="2197" ht="15.75" customHeight="1">
      <c r="A2197" s="115">
        <v>45995.0</v>
      </c>
      <c r="B2197" s="50"/>
      <c r="C2197" s="31" t="s">
        <v>567</v>
      </c>
      <c r="D2197" s="32" t="s">
        <v>99</v>
      </c>
      <c r="E2197" s="31" t="s">
        <v>2421</v>
      </c>
      <c r="F2197" s="161">
        <v>46016.0</v>
      </c>
      <c r="G2197" s="53">
        <v>9872490.53</v>
      </c>
      <c r="H2197" s="14">
        <f t="shared" si="9"/>
        <v>2073223.011</v>
      </c>
      <c r="I2197" s="22">
        <v>296174.72</v>
      </c>
      <c r="J2197" s="14"/>
      <c r="K2197" s="15">
        <f t="shared" si="4"/>
        <v>12241888.26</v>
      </c>
      <c r="L2197" s="45"/>
      <c r="M2197" s="6"/>
    </row>
    <row r="2198" ht="15.75" customHeight="1">
      <c r="A2198" s="115">
        <v>45995.0</v>
      </c>
      <c r="B2198" s="50"/>
      <c r="C2198" s="31" t="s">
        <v>567</v>
      </c>
      <c r="D2198" s="32" t="s">
        <v>15</v>
      </c>
      <c r="E2198" s="31" t="s">
        <v>2422</v>
      </c>
      <c r="F2198" s="161">
        <v>46016.0</v>
      </c>
      <c r="G2198" s="53">
        <v>1.498236109E7</v>
      </c>
      <c r="H2198" s="14">
        <f t="shared" si="9"/>
        <v>3146295.829</v>
      </c>
      <c r="I2198" s="22"/>
      <c r="J2198" s="14"/>
      <c r="K2198" s="15">
        <f t="shared" si="4"/>
        <v>18128656.92</v>
      </c>
      <c r="L2198" s="45"/>
      <c r="M2198" s="6"/>
    </row>
    <row r="2199" ht="15.75" customHeight="1">
      <c r="A2199" s="115">
        <v>45995.0</v>
      </c>
      <c r="B2199" s="50"/>
      <c r="C2199" s="31" t="s">
        <v>567</v>
      </c>
      <c r="D2199" s="32" t="s">
        <v>15</v>
      </c>
      <c r="E2199" s="31" t="s">
        <v>2423</v>
      </c>
      <c r="F2199" s="161">
        <v>46016.0</v>
      </c>
      <c r="G2199" s="53">
        <v>9956262.07</v>
      </c>
      <c r="H2199" s="14">
        <f t="shared" si="9"/>
        <v>2090815.035</v>
      </c>
      <c r="I2199" s="22">
        <v>298687.86</v>
      </c>
      <c r="J2199" s="14"/>
      <c r="K2199" s="15">
        <f t="shared" si="4"/>
        <v>12345764.96</v>
      </c>
      <c r="L2199" s="45"/>
      <c r="M2199" s="6"/>
    </row>
    <row r="2200" ht="15.75" customHeight="1">
      <c r="A2200" s="115">
        <v>45995.0</v>
      </c>
      <c r="B2200" s="50"/>
      <c r="C2200" s="31" t="s">
        <v>567</v>
      </c>
      <c r="D2200" s="32" t="s">
        <v>15</v>
      </c>
      <c r="E2200" s="31" t="s">
        <v>2424</v>
      </c>
      <c r="F2200" s="161">
        <v>46016.0</v>
      </c>
      <c r="G2200" s="53">
        <v>1.506889233E7</v>
      </c>
      <c r="H2200" s="14">
        <f t="shared" si="9"/>
        <v>3164467.389</v>
      </c>
      <c r="I2200" s="22"/>
      <c r="J2200" s="14"/>
      <c r="K2200" s="15">
        <f t="shared" si="4"/>
        <v>18233359.72</v>
      </c>
      <c r="L2200" s="45"/>
      <c r="M2200" s="6"/>
    </row>
    <row r="2201" ht="15.75" customHeight="1">
      <c r="A2201" s="115">
        <v>45995.0</v>
      </c>
      <c r="B2201" s="50"/>
      <c r="C2201" s="31" t="s">
        <v>567</v>
      </c>
      <c r="D2201" s="32" t="s">
        <v>15</v>
      </c>
      <c r="E2201" s="31" t="s">
        <v>2425</v>
      </c>
      <c r="F2201" s="161">
        <v>46016.0</v>
      </c>
      <c r="G2201" s="53">
        <v>1.001148027E7</v>
      </c>
      <c r="H2201" s="14">
        <f t="shared" si="9"/>
        <v>2102410.857</v>
      </c>
      <c r="I2201" s="22">
        <v>300344.41</v>
      </c>
      <c r="J2201" s="14"/>
      <c r="K2201" s="15">
        <f t="shared" si="4"/>
        <v>12414235.54</v>
      </c>
      <c r="L2201" s="45"/>
      <c r="M2201" s="6"/>
    </row>
    <row r="2202" ht="15.75" customHeight="1">
      <c r="A2202" s="115">
        <v>45996.0</v>
      </c>
      <c r="B2202" s="50"/>
      <c r="C2202" s="31" t="s">
        <v>2004</v>
      </c>
      <c r="D2202" s="32" t="s">
        <v>15</v>
      </c>
      <c r="E2202" s="31" t="s">
        <v>2426</v>
      </c>
      <c r="F2202" s="161">
        <v>46016.0</v>
      </c>
      <c r="G2202" s="53">
        <v>1.20967756E7</v>
      </c>
      <c r="H2202" s="14">
        <f t="shared" si="9"/>
        <v>2540322.876</v>
      </c>
      <c r="I2202" s="22">
        <v>362903.27</v>
      </c>
      <c r="J2202" s="14"/>
      <c r="K2202" s="15">
        <f t="shared" si="4"/>
        <v>15000001.75</v>
      </c>
      <c r="L2202" s="45"/>
      <c r="M2202" s="6"/>
    </row>
    <row r="2203" ht="15.75" customHeight="1">
      <c r="A2203" s="115">
        <v>45996.0</v>
      </c>
      <c r="B2203" s="50"/>
      <c r="C2203" s="31" t="s">
        <v>2004</v>
      </c>
      <c r="D2203" s="32" t="s">
        <v>15</v>
      </c>
      <c r="E2203" s="31" t="s">
        <v>2427</v>
      </c>
      <c r="F2203" s="161">
        <v>46016.0</v>
      </c>
      <c r="G2203" s="53">
        <v>1.362548851E7</v>
      </c>
      <c r="H2203" s="14">
        <f t="shared" si="9"/>
        <v>2861352.587</v>
      </c>
      <c r="I2203" s="22">
        <v>408764.66</v>
      </c>
      <c r="J2203" s="14"/>
      <c r="K2203" s="15">
        <f t="shared" si="4"/>
        <v>16895605.76</v>
      </c>
      <c r="L2203" s="45"/>
      <c r="M2203" s="6"/>
    </row>
    <row r="2204" ht="15.75" customHeight="1">
      <c r="A2204" s="115">
        <v>45996.0</v>
      </c>
      <c r="B2204" s="50"/>
      <c r="C2204" s="31" t="s">
        <v>2004</v>
      </c>
      <c r="D2204" s="32" t="s">
        <v>15</v>
      </c>
      <c r="E2204" s="31" t="s">
        <v>2428</v>
      </c>
      <c r="F2204" s="161">
        <v>46016.0</v>
      </c>
      <c r="G2204" s="53">
        <v>1.214980519E7</v>
      </c>
      <c r="H2204" s="14">
        <f t="shared" si="9"/>
        <v>2551459.09</v>
      </c>
      <c r="I2204" s="22">
        <v>364494.16</v>
      </c>
      <c r="J2204" s="14"/>
      <c r="K2204" s="15">
        <f t="shared" si="4"/>
        <v>15065758.44</v>
      </c>
      <c r="L2204" s="45"/>
      <c r="M2204" s="6"/>
    </row>
    <row r="2205" ht="15.75" customHeight="1">
      <c r="A2205" s="115">
        <v>45996.0</v>
      </c>
      <c r="B2205" s="50"/>
      <c r="C2205" s="31" t="s">
        <v>2004</v>
      </c>
      <c r="D2205" s="32" t="s">
        <v>15</v>
      </c>
      <c r="E2205" s="31" t="s">
        <v>2429</v>
      </c>
      <c r="F2205" s="161">
        <v>46016.0</v>
      </c>
      <c r="G2205" s="53">
        <v>1.213334149E7</v>
      </c>
      <c r="H2205" s="14">
        <f t="shared" si="9"/>
        <v>2548001.713</v>
      </c>
      <c r="I2205" s="22">
        <v>364000.24</v>
      </c>
      <c r="J2205" s="14"/>
      <c r="K2205" s="15">
        <f t="shared" si="4"/>
        <v>15045343.44</v>
      </c>
      <c r="L2205" s="45"/>
      <c r="M2205" s="6"/>
    </row>
    <row r="2206" ht="15.75" customHeight="1">
      <c r="A2206" s="115">
        <v>45996.0</v>
      </c>
      <c r="B2206" s="50"/>
      <c r="C2206" s="31" t="s">
        <v>2004</v>
      </c>
      <c r="D2206" s="32" t="s">
        <v>99</v>
      </c>
      <c r="E2206" s="31" t="s">
        <v>2430</v>
      </c>
      <c r="F2206" s="161">
        <v>46016.0</v>
      </c>
      <c r="G2206" s="53">
        <v>2.229046126E7</v>
      </c>
      <c r="H2206" s="14">
        <f t="shared" si="9"/>
        <v>4680996.865</v>
      </c>
      <c r="I2206" s="22">
        <v>668713.84</v>
      </c>
      <c r="J2206" s="14"/>
      <c r="K2206" s="15">
        <f t="shared" si="4"/>
        <v>27640171.96</v>
      </c>
      <c r="L2206" s="45"/>
      <c r="M2206" s="6"/>
    </row>
    <row r="2207" ht="15.75" customHeight="1">
      <c r="A2207" s="115">
        <v>45996.0</v>
      </c>
      <c r="B2207" s="50"/>
      <c r="C2207" s="31" t="s">
        <v>2004</v>
      </c>
      <c r="D2207" s="32" t="s">
        <v>99</v>
      </c>
      <c r="E2207" s="31" t="s">
        <v>2431</v>
      </c>
      <c r="F2207" s="161">
        <v>46016.0</v>
      </c>
      <c r="G2207" s="53">
        <v>1.451182266E7</v>
      </c>
      <c r="H2207" s="14">
        <f t="shared" si="9"/>
        <v>3047482.759</v>
      </c>
      <c r="I2207" s="22">
        <v>435354.68</v>
      </c>
      <c r="J2207" s="14"/>
      <c r="K2207" s="15">
        <f t="shared" si="4"/>
        <v>17994660.1</v>
      </c>
      <c r="L2207" s="45"/>
      <c r="M2207" s="6"/>
    </row>
    <row r="2208" ht="15.75" customHeight="1">
      <c r="A2208" s="115">
        <v>45996.0</v>
      </c>
      <c r="B2208" s="50"/>
      <c r="C2208" s="31" t="s">
        <v>2004</v>
      </c>
      <c r="D2208" s="32" t="s">
        <v>99</v>
      </c>
      <c r="E2208" s="31" t="s">
        <v>2432</v>
      </c>
      <c r="F2208" s="161">
        <v>46016.0</v>
      </c>
      <c r="G2208" s="53">
        <v>1.321086734E7</v>
      </c>
      <c r="H2208" s="14">
        <f t="shared" si="9"/>
        <v>2774282.141</v>
      </c>
      <c r="I2208" s="22">
        <v>396326.02</v>
      </c>
      <c r="J2208" s="14"/>
      <c r="K2208" s="15">
        <f t="shared" si="4"/>
        <v>16381475.5</v>
      </c>
      <c r="L2208" s="45"/>
      <c r="M2208" s="6"/>
    </row>
    <row r="2209" ht="15.75" customHeight="1">
      <c r="A2209" s="115">
        <v>45996.0</v>
      </c>
      <c r="B2209" s="50"/>
      <c r="C2209" s="31" t="s">
        <v>405</v>
      </c>
      <c r="D2209" s="32" t="s">
        <v>99</v>
      </c>
      <c r="E2209" s="31" t="s">
        <v>2433</v>
      </c>
      <c r="F2209" s="161">
        <v>46016.0</v>
      </c>
      <c r="G2209" s="53">
        <f>4008323.88/1.21</f>
        <v>3312664.364</v>
      </c>
      <c r="H2209" s="14">
        <f t="shared" si="9"/>
        <v>695659.5164</v>
      </c>
      <c r="I2209" s="22"/>
      <c r="J2209" s="14"/>
      <c r="K2209" s="15">
        <f t="shared" si="4"/>
        <v>4008323.88</v>
      </c>
      <c r="L2209" s="45"/>
      <c r="M2209" s="6"/>
    </row>
    <row r="2210" ht="15.75" customHeight="1">
      <c r="A2210" s="115">
        <v>45996.0</v>
      </c>
      <c r="B2210" s="50"/>
      <c r="C2210" s="31" t="s">
        <v>2434</v>
      </c>
      <c r="D2210" s="32" t="s">
        <v>15</v>
      </c>
      <c r="E2210" s="31" t="s">
        <v>2435</v>
      </c>
      <c r="F2210" s="161">
        <v>46016.0</v>
      </c>
      <c r="G2210" s="53">
        <v>1.532502593E7</v>
      </c>
      <c r="H2210" s="14">
        <f t="shared" si="9"/>
        <v>3218255.445</v>
      </c>
      <c r="I2210" s="22">
        <v>459750.0</v>
      </c>
      <c r="J2210" s="14"/>
      <c r="K2210" s="15">
        <f t="shared" si="4"/>
        <v>19003031.38</v>
      </c>
      <c r="L2210" s="45"/>
      <c r="M2210" s="6"/>
    </row>
    <row r="2211" ht="15.75" customHeight="1">
      <c r="A2211" s="115">
        <v>45996.0</v>
      </c>
      <c r="B2211" s="50"/>
      <c r="C2211" s="32" t="s">
        <v>122</v>
      </c>
      <c r="D2211" s="32" t="s">
        <v>15</v>
      </c>
      <c r="E2211" s="31" t="s">
        <v>2436</v>
      </c>
      <c r="F2211" s="161">
        <v>46016.0</v>
      </c>
      <c r="G2211" s="53">
        <v>4969175.19</v>
      </c>
      <c r="H2211" s="14">
        <f t="shared" si="9"/>
        <v>1043526.79</v>
      </c>
      <c r="I2211" s="22"/>
      <c r="J2211" s="14"/>
      <c r="K2211" s="15">
        <f t="shared" si="4"/>
        <v>6012701.98</v>
      </c>
      <c r="L2211" s="45"/>
      <c r="M2211" s="6"/>
    </row>
    <row r="2212" ht="15.75" customHeight="1">
      <c r="A2212" s="115">
        <v>46000.0</v>
      </c>
      <c r="B2212" s="50"/>
      <c r="C2212" s="31" t="s">
        <v>1112</v>
      </c>
      <c r="D2212" s="32" t="s">
        <v>99</v>
      </c>
      <c r="E2212" s="32" t="s">
        <v>2437</v>
      </c>
      <c r="F2212" s="161">
        <v>46016.0</v>
      </c>
      <c r="G2212" s="53">
        <v>1.988246213E7</v>
      </c>
      <c r="H2212" s="14">
        <f t="shared" si="9"/>
        <v>4175317.047</v>
      </c>
      <c r="I2212" s="22"/>
      <c r="J2212" s="14"/>
      <c r="K2212" s="15">
        <f t="shared" si="4"/>
        <v>24057779.18</v>
      </c>
      <c r="L2212" s="45"/>
      <c r="M2212" s="6"/>
    </row>
    <row r="2213" ht="15.75" customHeight="1">
      <c r="A2213" s="115">
        <v>46000.0</v>
      </c>
      <c r="B2213" s="50"/>
      <c r="C2213" s="31" t="s">
        <v>1112</v>
      </c>
      <c r="D2213" s="32" t="s">
        <v>99</v>
      </c>
      <c r="E2213" s="32" t="s">
        <v>2438</v>
      </c>
      <c r="F2213" s="161">
        <v>46016.0</v>
      </c>
      <c r="G2213" s="53">
        <v>1.999457216E7</v>
      </c>
      <c r="H2213" s="14">
        <f t="shared" si="9"/>
        <v>4198860.154</v>
      </c>
      <c r="I2213" s="22"/>
      <c r="J2213" s="14"/>
      <c r="K2213" s="15">
        <f t="shared" si="4"/>
        <v>24193432.31</v>
      </c>
      <c r="L2213" s="45"/>
      <c r="M2213" s="6"/>
    </row>
    <row r="2214" ht="15.75" customHeight="1">
      <c r="A2214" s="115">
        <v>46000.0</v>
      </c>
      <c r="B2214" s="50"/>
      <c r="C2214" s="31" t="s">
        <v>1112</v>
      </c>
      <c r="D2214" s="32" t="s">
        <v>15</v>
      </c>
      <c r="E2214" s="31" t="s">
        <v>2439</v>
      </c>
      <c r="F2214" s="161">
        <v>46016.0</v>
      </c>
      <c r="G2214" s="53">
        <v>1.989457206E7</v>
      </c>
      <c r="H2214" s="14">
        <f t="shared" si="9"/>
        <v>4177860.133</v>
      </c>
      <c r="I2214" s="22"/>
      <c r="J2214" s="14"/>
      <c r="K2214" s="15">
        <f t="shared" si="4"/>
        <v>24072432.19</v>
      </c>
      <c r="L2214" s="45"/>
      <c r="M2214" s="6"/>
    </row>
    <row r="2215" ht="15.75" customHeight="1">
      <c r="A2215" s="115">
        <v>46000.0</v>
      </c>
      <c r="B2215" s="50"/>
      <c r="C2215" s="31" t="s">
        <v>1112</v>
      </c>
      <c r="D2215" s="32" t="s">
        <v>15</v>
      </c>
      <c r="E2215" s="31" t="s">
        <v>2440</v>
      </c>
      <c r="F2215" s="161">
        <v>46016.0</v>
      </c>
      <c r="G2215" s="53">
        <v>1.996618213E7</v>
      </c>
      <c r="H2215" s="14">
        <f t="shared" si="9"/>
        <v>4192898.247</v>
      </c>
      <c r="I2215" s="22"/>
      <c r="J2215" s="14"/>
      <c r="K2215" s="15">
        <f t="shared" si="4"/>
        <v>24159080.38</v>
      </c>
      <c r="L2215" s="45"/>
      <c r="M2215" s="6"/>
    </row>
    <row r="2216" ht="15.75" customHeight="1">
      <c r="A2216" s="115">
        <v>46001.0</v>
      </c>
      <c r="B2216" s="50"/>
      <c r="C2216" s="31" t="s">
        <v>2441</v>
      </c>
      <c r="D2216" s="32" t="s">
        <v>99</v>
      </c>
      <c r="E2216" s="31" t="s">
        <v>2442</v>
      </c>
      <c r="F2216" s="161">
        <v>46016.0</v>
      </c>
      <c r="G2216" s="53">
        <v>5001028.94</v>
      </c>
      <c r="H2216" s="14">
        <f t="shared" si="9"/>
        <v>1050216.077</v>
      </c>
      <c r="I2216" s="22"/>
      <c r="J2216" s="22">
        <v>100020.58</v>
      </c>
      <c r="K2216" s="15">
        <f t="shared" si="4"/>
        <v>6151265.597</v>
      </c>
      <c r="L2216" s="45"/>
      <c r="M2216" s="6"/>
    </row>
    <row r="2217" ht="15.75" customHeight="1">
      <c r="A2217" s="115">
        <v>46001.0</v>
      </c>
      <c r="B2217" s="50"/>
      <c r="C2217" s="31" t="s">
        <v>657</v>
      </c>
      <c r="D2217" s="32" t="s">
        <v>99</v>
      </c>
      <c r="E2217" s="31" t="s">
        <v>2443</v>
      </c>
      <c r="F2217" s="161">
        <v>46016.0</v>
      </c>
      <c r="G2217" s="53">
        <v>3506682.19</v>
      </c>
      <c r="H2217" s="14">
        <f t="shared" si="9"/>
        <v>736403.2599</v>
      </c>
      <c r="I2217" s="22">
        <v>105200.47</v>
      </c>
      <c r="J2217" s="14"/>
      <c r="K2217" s="15">
        <f t="shared" si="4"/>
        <v>4348285.92</v>
      </c>
      <c r="L2217" s="45"/>
      <c r="M2217" s="24">
        <v>46006.0</v>
      </c>
    </row>
    <row r="2218" ht="15.75" customHeight="1">
      <c r="A2218" s="115">
        <v>46002.0</v>
      </c>
      <c r="B2218" s="50"/>
      <c r="C2218" s="31" t="s">
        <v>2221</v>
      </c>
      <c r="D2218" s="32" t="s">
        <v>99</v>
      </c>
      <c r="E2218" s="31" t="s">
        <v>2444</v>
      </c>
      <c r="F2218" s="161">
        <v>46016.0</v>
      </c>
      <c r="G2218" s="53">
        <v>1.635636216E7</v>
      </c>
      <c r="H2218" s="14">
        <f t="shared" si="9"/>
        <v>3434836.054</v>
      </c>
      <c r="I2218" s="22">
        <v>490690.86</v>
      </c>
      <c r="J2218" s="14"/>
      <c r="K2218" s="15">
        <f t="shared" si="4"/>
        <v>20281889.07</v>
      </c>
      <c r="L2218" s="45"/>
      <c r="M2218" s="6"/>
    </row>
    <row r="2219" ht="15.75" customHeight="1">
      <c r="A2219" s="115">
        <v>46002.0</v>
      </c>
      <c r="B2219" s="50"/>
      <c r="C2219" s="31" t="s">
        <v>2221</v>
      </c>
      <c r="D2219" s="32" t="s">
        <v>99</v>
      </c>
      <c r="E2219" s="32" t="s">
        <v>2445</v>
      </c>
      <c r="F2219" s="161">
        <v>46016.0</v>
      </c>
      <c r="G2219" s="53">
        <v>1.927947224E7</v>
      </c>
      <c r="H2219" s="14">
        <f t="shared" si="9"/>
        <v>4048689.17</v>
      </c>
      <c r="I2219" s="22">
        <v>578384.17</v>
      </c>
      <c r="J2219" s="14"/>
      <c r="K2219" s="15">
        <f t="shared" si="4"/>
        <v>23906545.58</v>
      </c>
      <c r="L2219" s="45"/>
      <c r="M2219" s="6"/>
    </row>
    <row r="2220" ht="15.75" customHeight="1">
      <c r="A2220" s="115">
        <v>46002.0</v>
      </c>
      <c r="B2220" s="50"/>
      <c r="C2220" s="31" t="s">
        <v>2221</v>
      </c>
      <c r="D2220" s="32" t="s">
        <v>99</v>
      </c>
      <c r="E2220" s="32" t="s">
        <v>2446</v>
      </c>
      <c r="F2220" s="161">
        <v>46016.0</v>
      </c>
      <c r="G2220" s="53">
        <v>1.937158128E7</v>
      </c>
      <c r="H2220" s="14">
        <f t="shared" si="9"/>
        <v>4068032.069</v>
      </c>
      <c r="I2220" s="22">
        <v>581147.44</v>
      </c>
      <c r="J2220" s="14"/>
      <c r="K2220" s="15">
        <f t="shared" si="4"/>
        <v>24020760.79</v>
      </c>
      <c r="L2220" s="45"/>
      <c r="M2220" s="6"/>
    </row>
    <row r="2221" ht="15.75" customHeight="1">
      <c r="A2221" s="115">
        <v>46006.0</v>
      </c>
      <c r="B2221" s="50"/>
      <c r="C2221" s="31" t="s">
        <v>2447</v>
      </c>
      <c r="D2221" s="32" t="s">
        <v>99</v>
      </c>
      <c r="E2221" s="31" t="s">
        <v>2448</v>
      </c>
      <c r="F2221" s="161">
        <v>46016.0</v>
      </c>
      <c r="G2221" s="53">
        <v>4.99527E7</v>
      </c>
      <c r="H2221" s="14">
        <f t="shared" si="9"/>
        <v>10490067</v>
      </c>
      <c r="I2221" s="22">
        <v>1498581.0</v>
      </c>
      <c r="J2221" s="22">
        <v>2497635.0</v>
      </c>
      <c r="K2221" s="15">
        <f t="shared" si="4"/>
        <v>64438983</v>
      </c>
      <c r="L2221" s="45"/>
      <c r="M2221" s="6"/>
    </row>
    <row r="2222" ht="15.75" customHeight="1">
      <c r="A2222" s="115">
        <v>46006.0</v>
      </c>
      <c r="B2222" s="50"/>
      <c r="C2222" s="31" t="s">
        <v>2447</v>
      </c>
      <c r="D2222" s="32" t="s">
        <v>99</v>
      </c>
      <c r="E2222" s="31" t="s">
        <v>2449</v>
      </c>
      <c r="F2222" s="161">
        <v>46016.0</v>
      </c>
      <c r="G2222" s="53">
        <v>4.99527E7</v>
      </c>
      <c r="H2222" s="14">
        <f t="shared" si="9"/>
        <v>10490067</v>
      </c>
      <c r="I2222" s="22">
        <v>1498581.0</v>
      </c>
      <c r="J2222" s="22">
        <v>2497635.0</v>
      </c>
      <c r="K2222" s="15">
        <f t="shared" si="4"/>
        <v>64438983</v>
      </c>
      <c r="L2222" s="45"/>
      <c r="M2222" s="6"/>
    </row>
    <row r="2223" ht="15.75" customHeight="1">
      <c r="A2223" s="115">
        <v>46006.0</v>
      </c>
      <c r="B2223" s="50"/>
      <c r="C2223" s="31" t="s">
        <v>2447</v>
      </c>
      <c r="D2223" s="32" t="s">
        <v>99</v>
      </c>
      <c r="E2223" s="31" t="s">
        <v>2450</v>
      </c>
      <c r="F2223" s="161">
        <v>46016.0</v>
      </c>
      <c r="G2223" s="53">
        <v>4.99527E7</v>
      </c>
      <c r="H2223" s="14">
        <f t="shared" si="9"/>
        <v>10490067</v>
      </c>
      <c r="I2223" s="22">
        <v>1498581.0</v>
      </c>
      <c r="J2223" s="22">
        <v>2497635.0</v>
      </c>
      <c r="K2223" s="15">
        <f t="shared" si="4"/>
        <v>64438983</v>
      </c>
      <c r="L2223" s="45"/>
      <c r="M2223" s="6"/>
    </row>
    <row r="2224" ht="15.75" customHeight="1">
      <c r="A2224" s="115">
        <v>46006.0</v>
      </c>
      <c r="B2224" s="50"/>
      <c r="C2224" s="31" t="s">
        <v>2447</v>
      </c>
      <c r="D2224" s="32" t="s">
        <v>99</v>
      </c>
      <c r="E2224" s="31" t="s">
        <v>2451</v>
      </c>
      <c r="F2224" s="161">
        <v>46016.0</v>
      </c>
      <c r="G2224" s="53">
        <v>4.99527E7</v>
      </c>
      <c r="H2224" s="14">
        <f t="shared" si="9"/>
        <v>10490067</v>
      </c>
      <c r="I2224" s="22">
        <v>1498581.0</v>
      </c>
      <c r="J2224" s="22">
        <v>2497635.0</v>
      </c>
      <c r="K2224" s="15">
        <f t="shared" si="4"/>
        <v>64438983</v>
      </c>
      <c r="L2224" s="45"/>
      <c r="M2224" s="6"/>
    </row>
    <row r="2225" ht="15.75" customHeight="1">
      <c r="A2225" s="115">
        <v>46006.0</v>
      </c>
      <c r="B2225" s="50"/>
      <c r="C2225" s="31" t="s">
        <v>2447</v>
      </c>
      <c r="D2225" s="32" t="s">
        <v>99</v>
      </c>
      <c r="E2225" s="31" t="s">
        <v>2452</v>
      </c>
      <c r="F2225" s="161">
        <v>46016.0</v>
      </c>
      <c r="G2225" s="53">
        <v>4.99527E7</v>
      </c>
      <c r="H2225" s="14">
        <f t="shared" si="9"/>
        <v>10490067</v>
      </c>
      <c r="I2225" s="22">
        <v>1498581.0</v>
      </c>
      <c r="J2225" s="22">
        <v>2497635.0</v>
      </c>
      <c r="K2225" s="15">
        <f t="shared" si="4"/>
        <v>64438983</v>
      </c>
      <c r="L2225" s="45"/>
      <c r="M2225" s="6"/>
    </row>
    <row r="2226" ht="15.75" customHeight="1">
      <c r="A2226" s="115">
        <v>46007.0</v>
      </c>
      <c r="B2226" s="50"/>
      <c r="C2226" s="31" t="s">
        <v>64</v>
      </c>
      <c r="D2226" s="32" t="s">
        <v>99</v>
      </c>
      <c r="E2226" s="31" t="s">
        <v>2453</v>
      </c>
      <c r="F2226" s="161">
        <v>46016.0</v>
      </c>
      <c r="G2226" s="53">
        <v>9811470.16</v>
      </c>
      <c r="H2226" s="14">
        <f t="shared" si="9"/>
        <v>2060408.734</v>
      </c>
      <c r="I2226" s="22">
        <v>294344.1</v>
      </c>
      <c r="J2226" s="14"/>
      <c r="K2226" s="15">
        <f t="shared" si="4"/>
        <v>12166222.99</v>
      </c>
      <c r="L2226" s="45"/>
      <c r="M2226" s="24">
        <v>46086.0</v>
      </c>
    </row>
    <row r="2227" ht="15.75" customHeight="1">
      <c r="A2227" s="115">
        <v>46007.0</v>
      </c>
      <c r="B2227" s="50"/>
      <c r="C2227" s="31" t="s">
        <v>64</v>
      </c>
      <c r="D2227" s="32" t="s">
        <v>99</v>
      </c>
      <c r="E2227" s="31" t="s">
        <v>2454</v>
      </c>
      <c r="F2227" s="161">
        <v>46016.0</v>
      </c>
      <c r="G2227" s="53">
        <v>1.201036206E7</v>
      </c>
      <c r="H2227" s="14">
        <f t="shared" si="9"/>
        <v>2522176.033</v>
      </c>
      <c r="I2227" s="22">
        <v>360310.86</v>
      </c>
      <c r="J2227" s="14"/>
      <c r="K2227" s="15">
        <f t="shared" si="4"/>
        <v>14892848.95</v>
      </c>
      <c r="L2227" s="45"/>
      <c r="M2227" s="24">
        <v>46086.0</v>
      </c>
    </row>
    <row r="2228" ht="15.75" customHeight="1">
      <c r="A2228" s="115">
        <v>46007.0</v>
      </c>
      <c r="B2228" s="50"/>
      <c r="C2228" s="31" t="s">
        <v>64</v>
      </c>
      <c r="D2228" s="32" t="s">
        <v>15</v>
      </c>
      <c r="E2228" s="31" t="s">
        <v>2455</v>
      </c>
      <c r="F2228" s="161">
        <v>46016.0</v>
      </c>
      <c r="G2228" s="53">
        <v>1.181341826E7</v>
      </c>
      <c r="H2228" s="14">
        <f t="shared" si="9"/>
        <v>2480817.835</v>
      </c>
      <c r="I2228" s="22"/>
      <c r="J2228" s="14"/>
      <c r="K2228" s="15">
        <f t="shared" si="4"/>
        <v>14294236.09</v>
      </c>
      <c r="L2228" s="45"/>
      <c r="M2228" s="6"/>
    </row>
    <row r="2229" ht="15.75" customHeight="1">
      <c r="A2229" s="115">
        <v>46007.0</v>
      </c>
      <c r="B2229" s="50"/>
      <c r="C2229" s="31" t="s">
        <v>1283</v>
      </c>
      <c r="D2229" s="32" t="s">
        <v>99</v>
      </c>
      <c r="E2229" s="31" t="s">
        <v>2456</v>
      </c>
      <c r="F2229" s="161">
        <v>46016.0</v>
      </c>
      <c r="G2229" s="53">
        <v>2089360.53</v>
      </c>
      <c r="H2229" s="14">
        <f t="shared" si="9"/>
        <v>438765.7113</v>
      </c>
      <c r="I2229" s="22">
        <v>62680.82</v>
      </c>
      <c r="J2229" s="22">
        <v>10446.8</v>
      </c>
      <c r="K2229" s="15">
        <f t="shared" si="4"/>
        <v>2601253.861</v>
      </c>
      <c r="L2229" s="45"/>
      <c r="M2229" s="24">
        <v>46014.0</v>
      </c>
    </row>
    <row r="2230" ht="15.75" customHeight="1">
      <c r="A2230" s="115">
        <v>46007.0</v>
      </c>
      <c r="B2230" s="50"/>
      <c r="C2230" s="31" t="s">
        <v>1283</v>
      </c>
      <c r="D2230" s="32" t="s">
        <v>15</v>
      </c>
      <c r="E2230" s="31" t="s">
        <v>2457</v>
      </c>
      <c r="F2230" s="161">
        <v>46016.0</v>
      </c>
      <c r="G2230" s="53">
        <v>3133682.13</v>
      </c>
      <c r="H2230" s="14">
        <f t="shared" si="9"/>
        <v>658073.2473</v>
      </c>
      <c r="I2230" s="22">
        <v>94010.46</v>
      </c>
      <c r="J2230" s="22">
        <v>15668.41</v>
      </c>
      <c r="K2230" s="15">
        <f t="shared" si="4"/>
        <v>3901434.247</v>
      </c>
      <c r="L2230" s="45"/>
      <c r="M2230" s="24">
        <v>46014.0</v>
      </c>
    </row>
    <row r="2231" ht="15.75" customHeight="1">
      <c r="A2231" s="115">
        <v>46007.0</v>
      </c>
      <c r="B2231" s="50"/>
      <c r="C2231" s="31" t="s">
        <v>1312</v>
      </c>
      <c r="D2231" s="32" t="s">
        <v>99</v>
      </c>
      <c r="E2231" s="31" t="s">
        <v>2458</v>
      </c>
      <c r="F2231" s="161">
        <v>46016.0</v>
      </c>
      <c r="G2231" s="53">
        <v>3127491.13</v>
      </c>
      <c r="H2231" s="14">
        <f t="shared" si="9"/>
        <v>656773.1373</v>
      </c>
      <c r="I2231" s="22">
        <v>93824.73</v>
      </c>
      <c r="J2231" s="14"/>
      <c r="K2231" s="15">
        <f t="shared" si="4"/>
        <v>3878088.997</v>
      </c>
      <c r="L2231" s="45"/>
      <c r="M2231" s="24">
        <v>46014.0</v>
      </c>
    </row>
    <row r="2232" ht="15.75" customHeight="1">
      <c r="A2232" s="115">
        <v>46007.0</v>
      </c>
      <c r="B2232" s="50"/>
      <c r="C2232" s="31" t="s">
        <v>1312</v>
      </c>
      <c r="D2232" s="32" t="s">
        <v>15</v>
      </c>
      <c r="E2232" s="31" t="s">
        <v>2459</v>
      </c>
      <c r="F2232" s="161">
        <v>46016.0</v>
      </c>
      <c r="G2232" s="53">
        <v>4692462.16</v>
      </c>
      <c r="H2232" s="14">
        <f t="shared" si="9"/>
        <v>985417.0536</v>
      </c>
      <c r="I2232" s="22">
        <v>140773.86</v>
      </c>
      <c r="J2232" s="14"/>
      <c r="K2232" s="15">
        <f t="shared" si="4"/>
        <v>5818653.074</v>
      </c>
      <c r="L2232" s="45"/>
      <c r="M2232" s="24">
        <v>46014.0</v>
      </c>
    </row>
    <row r="2233" ht="15.75" customHeight="1">
      <c r="A2233" s="115">
        <v>46007.0</v>
      </c>
      <c r="B2233" s="50"/>
      <c r="C2233" s="31" t="s">
        <v>1281</v>
      </c>
      <c r="D2233" s="32" t="s">
        <v>15</v>
      </c>
      <c r="E2233" s="31" t="s">
        <v>2460</v>
      </c>
      <c r="F2233" s="161">
        <v>46016.0</v>
      </c>
      <c r="G2233" s="53">
        <v>3651642.48</v>
      </c>
      <c r="H2233" s="14">
        <f t="shared" si="9"/>
        <v>766844.9208</v>
      </c>
      <c r="I2233" s="22">
        <v>109549.27</v>
      </c>
      <c r="J2233" s="14"/>
      <c r="K2233" s="15">
        <f t="shared" si="4"/>
        <v>4528036.671</v>
      </c>
      <c r="L2233" s="45"/>
      <c r="M2233" s="24">
        <v>46014.0</v>
      </c>
    </row>
    <row r="2234" ht="15.75" customHeight="1">
      <c r="A2234" s="115">
        <v>46007.0</v>
      </c>
      <c r="B2234" s="50"/>
      <c r="C2234" s="31" t="s">
        <v>1281</v>
      </c>
      <c r="D2234" s="32" t="s">
        <v>99</v>
      </c>
      <c r="E2234" s="31" t="s">
        <v>2461</v>
      </c>
      <c r="F2234" s="161">
        <v>46016.0</v>
      </c>
      <c r="G2234" s="53">
        <v>2435685.03</v>
      </c>
      <c r="H2234" s="14">
        <f t="shared" si="9"/>
        <v>511493.8563</v>
      </c>
      <c r="I2234" s="22">
        <v>73070.55</v>
      </c>
      <c r="J2234" s="14"/>
      <c r="K2234" s="15">
        <f t="shared" si="4"/>
        <v>3020249.436</v>
      </c>
      <c r="L2234" s="45"/>
      <c r="M2234" s="6"/>
    </row>
    <row r="2235" ht="15.75" customHeight="1">
      <c r="A2235" s="115">
        <v>46007.0</v>
      </c>
      <c r="B2235" s="50"/>
      <c r="C2235" s="31" t="s">
        <v>1279</v>
      </c>
      <c r="D2235" s="32" t="s">
        <v>99</v>
      </c>
      <c r="E2235" s="31" t="s">
        <v>2462</v>
      </c>
      <c r="F2235" s="161">
        <v>46016.0</v>
      </c>
      <c r="G2235" s="53">
        <v>7505682.13</v>
      </c>
      <c r="H2235" s="14">
        <f t="shared" si="9"/>
        <v>1576193.247</v>
      </c>
      <c r="I2235" s="22">
        <v>225170.46</v>
      </c>
      <c r="J2235" s="14"/>
      <c r="K2235" s="15">
        <f t="shared" si="4"/>
        <v>9307045.837</v>
      </c>
      <c r="L2235" s="45"/>
      <c r="M2235" s="6"/>
    </row>
    <row r="2236" ht="15.75" customHeight="1">
      <c r="A2236" s="115">
        <v>46007.0</v>
      </c>
      <c r="B2236" s="50"/>
      <c r="C2236" s="31" t="s">
        <v>1279</v>
      </c>
      <c r="D2236" s="32" t="s">
        <v>15</v>
      </c>
      <c r="E2236" s="31" t="s">
        <v>2463</v>
      </c>
      <c r="F2236" s="161">
        <v>46016.0</v>
      </c>
      <c r="G2236" s="53">
        <v>1.125783536E7</v>
      </c>
      <c r="H2236" s="14">
        <f t="shared" si="9"/>
        <v>2364145.426</v>
      </c>
      <c r="I2236" s="22">
        <v>337735.06</v>
      </c>
      <c r="J2236" s="14"/>
      <c r="K2236" s="15">
        <f t="shared" si="4"/>
        <v>13959715.85</v>
      </c>
      <c r="L2236" s="45"/>
      <c r="M2236" s="24">
        <v>46014.0</v>
      </c>
    </row>
    <row r="2237" ht="15.75" customHeight="1">
      <c r="A2237" s="115">
        <v>46007.0</v>
      </c>
      <c r="B2237" s="50"/>
      <c r="C2237" s="31" t="s">
        <v>1277</v>
      </c>
      <c r="D2237" s="32" t="s">
        <v>99</v>
      </c>
      <c r="E2237" s="31" t="s">
        <v>2464</v>
      </c>
      <c r="F2237" s="161">
        <v>46016.0</v>
      </c>
      <c r="G2237" s="53">
        <v>2808472.13</v>
      </c>
      <c r="H2237" s="14">
        <f t="shared" si="9"/>
        <v>589779.1473</v>
      </c>
      <c r="I2237" s="22">
        <v>84254.16</v>
      </c>
      <c r="J2237" s="14"/>
      <c r="K2237" s="15">
        <f t="shared" si="4"/>
        <v>3482505.437</v>
      </c>
      <c r="L2237" s="45"/>
      <c r="M2237" s="6"/>
    </row>
    <row r="2238" ht="15.75" customHeight="1">
      <c r="A2238" s="115">
        <v>46007.0</v>
      </c>
      <c r="B2238" s="50"/>
      <c r="C2238" s="31" t="s">
        <v>1277</v>
      </c>
      <c r="D2238" s="32" t="s">
        <v>15</v>
      </c>
      <c r="E2238" s="31" t="s">
        <v>2465</v>
      </c>
      <c r="F2238" s="161">
        <v>46016.0</v>
      </c>
      <c r="G2238" s="53">
        <v>4211165.29</v>
      </c>
      <c r="H2238" s="14">
        <f t="shared" si="9"/>
        <v>884344.7109</v>
      </c>
      <c r="I2238" s="22">
        <v>126334.96</v>
      </c>
      <c r="J2238" s="14"/>
      <c r="K2238" s="15">
        <f t="shared" si="4"/>
        <v>5221844.961</v>
      </c>
      <c r="L2238" s="45"/>
      <c r="M2238" s="24">
        <v>46014.0</v>
      </c>
    </row>
    <row r="2239" ht="15.75" customHeight="1">
      <c r="A2239" s="115">
        <v>46007.0</v>
      </c>
      <c r="B2239" s="50"/>
      <c r="C2239" s="31" t="s">
        <v>1275</v>
      </c>
      <c r="D2239" s="32" t="s">
        <v>99</v>
      </c>
      <c r="E2239" s="31" t="s">
        <v>2466</v>
      </c>
      <c r="F2239" s="161">
        <v>46016.0</v>
      </c>
      <c r="G2239" s="53">
        <v>6683522.16</v>
      </c>
      <c r="H2239" s="14">
        <f t="shared" si="9"/>
        <v>1403539.654</v>
      </c>
      <c r="I2239" s="22">
        <v>200505.66</v>
      </c>
      <c r="J2239" s="14"/>
      <c r="K2239" s="15">
        <f t="shared" si="4"/>
        <v>8287567.474</v>
      </c>
      <c r="L2239" s="45"/>
      <c r="M2239" s="24">
        <v>46014.0</v>
      </c>
    </row>
    <row r="2240" ht="15.75" customHeight="1">
      <c r="A2240" s="115">
        <v>46007.0</v>
      </c>
      <c r="B2240" s="50"/>
      <c r="C2240" s="31" t="s">
        <v>1275</v>
      </c>
      <c r="D2240" s="32" t="s">
        <v>15</v>
      </c>
      <c r="E2240" s="31" t="s">
        <v>2467</v>
      </c>
      <c r="F2240" s="161">
        <v>46016.0</v>
      </c>
      <c r="G2240" s="53">
        <v>1.002374859E7</v>
      </c>
      <c r="H2240" s="14">
        <f t="shared" si="9"/>
        <v>2104987.204</v>
      </c>
      <c r="I2240" s="22">
        <v>300712.46</v>
      </c>
      <c r="J2240" s="14"/>
      <c r="K2240" s="15">
        <f t="shared" si="4"/>
        <v>12429448.25</v>
      </c>
      <c r="L2240" s="45"/>
      <c r="M2240" s="6"/>
    </row>
    <row r="2241" ht="15.75" customHeight="1">
      <c r="A2241" s="115">
        <v>46007.0</v>
      </c>
      <c r="B2241" s="50"/>
      <c r="C2241" s="31" t="s">
        <v>443</v>
      </c>
      <c r="D2241" s="32" t="s">
        <v>99</v>
      </c>
      <c r="E2241" s="31" t="s">
        <v>2468</v>
      </c>
      <c r="F2241" s="161">
        <v>46016.0</v>
      </c>
      <c r="G2241" s="53">
        <v>6002582.15</v>
      </c>
      <c r="H2241" s="14">
        <f t="shared" si="9"/>
        <v>1260542.252</v>
      </c>
      <c r="I2241" s="22"/>
      <c r="J2241" s="22">
        <v>54023.24</v>
      </c>
      <c r="K2241" s="15">
        <f t="shared" si="4"/>
        <v>7317147.642</v>
      </c>
      <c r="L2241" s="45"/>
      <c r="M2241" s="6"/>
    </row>
    <row r="2242" ht="15.75" customHeight="1">
      <c r="A2242" s="115">
        <v>46007.0</v>
      </c>
      <c r="B2242" s="50"/>
      <c r="C2242" s="31" t="s">
        <v>443</v>
      </c>
      <c r="D2242" s="32" t="s">
        <v>15</v>
      </c>
      <c r="E2242" s="31" t="s">
        <v>2469</v>
      </c>
      <c r="F2242" s="161">
        <v>46016.0</v>
      </c>
      <c r="G2242" s="53">
        <v>2009941.52</v>
      </c>
      <c r="H2242" s="14">
        <f t="shared" si="9"/>
        <v>422087.7192</v>
      </c>
      <c r="I2242" s="22">
        <v>60298.25</v>
      </c>
      <c r="J2242" s="22">
        <v>18089.47</v>
      </c>
      <c r="K2242" s="15">
        <f t="shared" si="4"/>
        <v>2510416.959</v>
      </c>
      <c r="L2242" s="45"/>
      <c r="M2242" s="6"/>
    </row>
    <row r="2243" ht="15.75" customHeight="1">
      <c r="A2243" s="115">
        <v>46008.0</v>
      </c>
      <c r="B2243" s="50"/>
      <c r="C2243" s="31" t="s">
        <v>247</v>
      </c>
      <c r="D2243" s="32" t="s">
        <v>15</v>
      </c>
      <c r="E2243" s="31" t="s">
        <v>2470</v>
      </c>
      <c r="F2243" s="161">
        <v>46016.0</v>
      </c>
      <c r="G2243" s="53">
        <v>9756372.13</v>
      </c>
      <c r="H2243" s="14">
        <f t="shared" si="9"/>
        <v>2048838.147</v>
      </c>
      <c r="I2243" s="22"/>
      <c r="J2243" s="14"/>
      <c r="K2243" s="15">
        <f t="shared" si="4"/>
        <v>11805210.28</v>
      </c>
      <c r="L2243" s="45"/>
      <c r="M2243" s="6"/>
    </row>
    <row r="2244" ht="15.75" customHeight="1">
      <c r="A2244" s="115">
        <v>46008.0</v>
      </c>
      <c r="B2244" s="50"/>
      <c r="C2244" s="31" t="s">
        <v>247</v>
      </c>
      <c r="D2244" s="32" t="s">
        <v>15</v>
      </c>
      <c r="E2244" s="31" t="s">
        <v>2471</v>
      </c>
      <c r="F2244" s="161">
        <v>46016.0</v>
      </c>
      <c r="G2244" s="53">
        <v>1.025158213E7</v>
      </c>
      <c r="H2244" s="14">
        <f t="shared" si="9"/>
        <v>2152832.247</v>
      </c>
      <c r="I2244" s="22"/>
      <c r="J2244" s="14"/>
      <c r="K2244" s="15">
        <f t="shared" si="4"/>
        <v>12404414.38</v>
      </c>
      <c r="L2244" s="45"/>
      <c r="M2244" s="6"/>
    </row>
    <row r="2245" ht="15.75" customHeight="1">
      <c r="A2245" s="115">
        <v>46008.0</v>
      </c>
      <c r="B2245" s="50"/>
      <c r="C2245" s="31" t="s">
        <v>74</v>
      </c>
      <c r="D2245" s="32" t="s">
        <v>15</v>
      </c>
      <c r="E2245" s="31" t="s">
        <v>2472</v>
      </c>
      <c r="F2245" s="161">
        <v>46016.0</v>
      </c>
      <c r="G2245" s="53">
        <v>4018626.15</v>
      </c>
      <c r="H2245" s="14">
        <f t="shared" si="9"/>
        <v>843911.4915</v>
      </c>
      <c r="I2245" s="22"/>
      <c r="J2245" s="14"/>
      <c r="K2245" s="15">
        <f t="shared" si="4"/>
        <v>4862537.642</v>
      </c>
      <c r="L2245" s="45"/>
      <c r="M2245" s="6"/>
    </row>
    <row r="2246" ht="15.75" customHeight="1">
      <c r="A2246" s="115">
        <v>46008.0</v>
      </c>
      <c r="B2246" s="50"/>
      <c r="C2246" s="31" t="s">
        <v>74</v>
      </c>
      <c r="D2246" s="32" t="s">
        <v>15</v>
      </c>
      <c r="E2246" s="31" t="s">
        <v>2473</v>
      </c>
      <c r="F2246" s="161">
        <v>46016.0</v>
      </c>
      <c r="G2246" s="53">
        <v>7170747.15</v>
      </c>
      <c r="H2246" s="14">
        <f t="shared" si="9"/>
        <v>1505856.902</v>
      </c>
      <c r="I2246" s="22"/>
      <c r="J2246" s="22">
        <v>114731.95</v>
      </c>
      <c r="K2246" s="15">
        <f t="shared" si="4"/>
        <v>8791336.002</v>
      </c>
      <c r="L2246" s="45"/>
      <c r="M2246" s="6"/>
    </row>
    <row r="2247" ht="15.75" customHeight="1">
      <c r="A2247" s="115">
        <v>46008.0</v>
      </c>
      <c r="B2247" s="50"/>
      <c r="C2247" s="31" t="s">
        <v>74</v>
      </c>
      <c r="D2247" s="32" t="s">
        <v>15</v>
      </c>
      <c r="E2247" s="31" t="s">
        <v>2474</v>
      </c>
      <c r="F2247" s="161">
        <v>46016.0</v>
      </c>
      <c r="G2247" s="53">
        <v>6533964.15</v>
      </c>
      <c r="H2247" s="14">
        <f t="shared" si="9"/>
        <v>1372132.472</v>
      </c>
      <c r="I2247" s="22"/>
      <c r="J2247" s="14"/>
      <c r="K2247" s="15">
        <f t="shared" si="4"/>
        <v>7906096.622</v>
      </c>
      <c r="L2247" s="45"/>
      <c r="M2247" s="6"/>
    </row>
    <row r="2248" ht="15.75" customHeight="1">
      <c r="A2248" s="115">
        <v>46008.0</v>
      </c>
      <c r="B2248" s="50"/>
      <c r="C2248" s="31" t="s">
        <v>74</v>
      </c>
      <c r="D2248" s="32" t="s">
        <v>15</v>
      </c>
      <c r="E2248" s="31" t="s">
        <v>2475</v>
      </c>
      <c r="F2248" s="161">
        <v>46016.0</v>
      </c>
      <c r="G2248" s="53">
        <v>2100129.15</v>
      </c>
      <c r="H2248" s="14">
        <f t="shared" si="9"/>
        <v>441027.1215</v>
      </c>
      <c r="I2248" s="22"/>
      <c r="J2248" s="22">
        <v>33602.07</v>
      </c>
      <c r="K2248" s="15">
        <f t="shared" si="4"/>
        <v>2574758.342</v>
      </c>
      <c r="L2248" s="45"/>
      <c r="M2248" s="6"/>
    </row>
    <row r="2249" ht="15.75" customHeight="1">
      <c r="A2249" s="115">
        <v>46008.0</v>
      </c>
      <c r="B2249" s="50"/>
      <c r="C2249" s="31" t="s">
        <v>74</v>
      </c>
      <c r="D2249" s="32" t="s">
        <v>15</v>
      </c>
      <c r="E2249" s="31" t="s">
        <v>2476</v>
      </c>
      <c r="F2249" s="161">
        <v>46016.0</v>
      </c>
      <c r="G2249" s="53">
        <v>2208084.91</v>
      </c>
      <c r="H2249" s="14">
        <f t="shared" si="9"/>
        <v>463697.8311</v>
      </c>
      <c r="I2249" s="22">
        <v>66242.55</v>
      </c>
      <c r="J2249" s="22">
        <v>35329.36</v>
      </c>
      <c r="K2249" s="15">
        <f t="shared" si="4"/>
        <v>2773354.651</v>
      </c>
      <c r="L2249" s="45"/>
      <c r="M2249" s="6"/>
    </row>
    <row r="2250" ht="15.75" customHeight="1">
      <c r="A2250" s="115">
        <v>46008.0</v>
      </c>
      <c r="B2250" s="50"/>
      <c r="C2250" s="31" t="s">
        <v>1842</v>
      </c>
      <c r="D2250" s="32" t="s">
        <v>15</v>
      </c>
      <c r="E2250" s="31" t="s">
        <v>2477</v>
      </c>
      <c r="F2250" s="161">
        <v>46016.0</v>
      </c>
      <c r="G2250" s="53">
        <v>2.282469216E7</v>
      </c>
      <c r="H2250" s="14">
        <f t="shared" si="9"/>
        <v>4793185.354</v>
      </c>
      <c r="I2250" s="22"/>
      <c r="J2250" s="14"/>
      <c r="K2250" s="15">
        <f t="shared" si="4"/>
        <v>27617877.51</v>
      </c>
      <c r="L2250" s="45"/>
      <c r="M2250" s="6"/>
    </row>
    <row r="2251" ht="15.75" customHeight="1">
      <c r="A2251" s="115">
        <v>46008.0</v>
      </c>
      <c r="B2251" s="50"/>
      <c r="C2251" s="31" t="s">
        <v>1842</v>
      </c>
      <c r="D2251" s="32" t="s">
        <v>99</v>
      </c>
      <c r="E2251" s="31" t="s">
        <v>2478</v>
      </c>
      <c r="F2251" s="161">
        <v>46016.0</v>
      </c>
      <c r="G2251" s="53">
        <v>1.421468523E7</v>
      </c>
      <c r="H2251" s="14">
        <f t="shared" si="9"/>
        <v>2985083.898</v>
      </c>
      <c r="I2251" s="22"/>
      <c r="J2251" s="14"/>
      <c r="K2251" s="15">
        <f t="shared" si="4"/>
        <v>17199769.13</v>
      </c>
      <c r="L2251" s="45"/>
      <c r="M2251" s="6"/>
    </row>
    <row r="2252" ht="15.75" customHeight="1">
      <c r="A2252" s="115">
        <v>46008.0</v>
      </c>
      <c r="B2252" s="50"/>
      <c r="C2252" s="31" t="s">
        <v>1285</v>
      </c>
      <c r="D2252" s="32" t="s">
        <v>15</v>
      </c>
      <c r="E2252" s="31" t="s">
        <v>2479</v>
      </c>
      <c r="F2252" s="161">
        <v>46016.0</v>
      </c>
      <c r="G2252" s="53">
        <v>3012832.13</v>
      </c>
      <c r="H2252" s="14">
        <f t="shared" si="9"/>
        <v>632694.7473</v>
      </c>
      <c r="I2252" s="22"/>
      <c r="J2252" s="14"/>
      <c r="K2252" s="15">
        <f t="shared" si="4"/>
        <v>3645526.877</v>
      </c>
      <c r="L2252" s="45"/>
      <c r="M2252" s="6"/>
    </row>
    <row r="2253" ht="15.75" customHeight="1">
      <c r="A2253" s="115">
        <v>46009.0</v>
      </c>
      <c r="B2253" s="50"/>
      <c r="C2253" s="31" t="s">
        <v>423</v>
      </c>
      <c r="D2253" s="32" t="s">
        <v>99</v>
      </c>
      <c r="E2253" s="31" t="s">
        <v>2480</v>
      </c>
      <c r="F2253" s="161">
        <v>46016.0</v>
      </c>
      <c r="G2253" s="53">
        <v>3614365.36</v>
      </c>
      <c r="H2253" s="14">
        <f t="shared" si="9"/>
        <v>759016.7256</v>
      </c>
      <c r="I2253" s="22">
        <v>108430.96</v>
      </c>
      <c r="J2253" s="14"/>
      <c r="K2253" s="15">
        <f t="shared" si="4"/>
        <v>4481813.046</v>
      </c>
      <c r="L2253" s="45"/>
      <c r="M2253" s="6"/>
    </row>
    <row r="2254" ht="15.75" customHeight="1">
      <c r="A2254" s="115">
        <v>46009.0</v>
      </c>
      <c r="B2254" s="50"/>
      <c r="C2254" s="31" t="s">
        <v>423</v>
      </c>
      <c r="D2254" s="32" t="s">
        <v>99</v>
      </c>
      <c r="E2254" s="31" t="s">
        <v>2481</v>
      </c>
      <c r="F2254" s="161">
        <v>46016.0</v>
      </c>
      <c r="G2254" s="53">
        <v>3386096.8</v>
      </c>
      <c r="H2254" s="14">
        <f t="shared" si="9"/>
        <v>711080.328</v>
      </c>
      <c r="I2254" s="22">
        <v>101582.9</v>
      </c>
      <c r="J2254" s="14"/>
      <c r="K2254" s="15">
        <f t="shared" si="4"/>
        <v>4198760.028</v>
      </c>
      <c r="L2254" s="45"/>
      <c r="M2254" s="6"/>
    </row>
    <row r="2255" ht="15.75" customHeight="1">
      <c r="A2255" s="115">
        <v>46009.0</v>
      </c>
      <c r="B2255" s="50"/>
      <c r="C2255" s="31" t="s">
        <v>423</v>
      </c>
      <c r="D2255" s="32" t="s">
        <v>15</v>
      </c>
      <c r="E2255" s="31" t="s">
        <v>2482</v>
      </c>
      <c r="F2255" s="161">
        <v>46016.0</v>
      </c>
      <c r="G2255" s="53">
        <v>4188834.12</v>
      </c>
      <c r="H2255" s="14">
        <f t="shared" si="9"/>
        <v>879655.1652</v>
      </c>
      <c r="I2255" s="22">
        <v>125665.02</v>
      </c>
      <c r="J2255" s="14"/>
      <c r="K2255" s="15">
        <f t="shared" si="4"/>
        <v>5194154.305</v>
      </c>
      <c r="L2255" s="45"/>
      <c r="M2255" s="6"/>
    </row>
    <row r="2256" ht="15.75" customHeight="1">
      <c r="A2256" s="115">
        <v>46009.0</v>
      </c>
      <c r="B2256" s="50"/>
      <c r="C2256" s="31" t="s">
        <v>423</v>
      </c>
      <c r="D2256" s="32" t="s">
        <v>15</v>
      </c>
      <c r="E2256" s="31" t="s">
        <v>2483</v>
      </c>
      <c r="F2256" s="161">
        <v>46016.0</v>
      </c>
      <c r="G2256" s="53">
        <v>3812798.64</v>
      </c>
      <c r="H2256" s="14">
        <f t="shared" si="9"/>
        <v>800687.7144</v>
      </c>
      <c r="I2256" s="22">
        <v>114383.96</v>
      </c>
      <c r="J2256" s="14"/>
      <c r="K2256" s="15">
        <f t="shared" si="4"/>
        <v>4727870.314</v>
      </c>
      <c r="L2256" s="45"/>
      <c r="M2256" s="6"/>
    </row>
    <row r="2257" ht="15.75" customHeight="1">
      <c r="A2257" s="115">
        <v>46009.0</v>
      </c>
      <c r="B2257" s="50"/>
      <c r="C2257" s="31" t="s">
        <v>441</v>
      </c>
      <c r="D2257" s="32" t="s">
        <v>15</v>
      </c>
      <c r="E2257" s="31" t="s">
        <v>2484</v>
      </c>
      <c r="F2257" s="161">
        <v>46016.0</v>
      </c>
      <c r="G2257" s="53">
        <v>9425672.13</v>
      </c>
      <c r="H2257" s="14">
        <f t="shared" si="9"/>
        <v>1979391.147</v>
      </c>
      <c r="I2257" s="22"/>
      <c r="J2257" s="22">
        <v>65979.7</v>
      </c>
      <c r="K2257" s="15">
        <f t="shared" si="4"/>
        <v>11471042.98</v>
      </c>
      <c r="L2257" s="45"/>
      <c r="M2257" s="24">
        <v>45659.0</v>
      </c>
    </row>
    <row r="2258" ht="15.75" customHeight="1">
      <c r="A2258" s="115">
        <v>46009.0</v>
      </c>
      <c r="B2258" s="50"/>
      <c r="C2258" s="31" t="s">
        <v>441</v>
      </c>
      <c r="D2258" s="32" t="s">
        <v>99</v>
      </c>
      <c r="E2258" s="31" t="s">
        <v>2485</v>
      </c>
      <c r="F2258" s="161">
        <v>46016.0</v>
      </c>
      <c r="G2258" s="53">
        <v>1.158853123E7</v>
      </c>
      <c r="H2258" s="14">
        <f t="shared" si="9"/>
        <v>2433591.558</v>
      </c>
      <c r="I2258" s="22">
        <v>347655.94</v>
      </c>
      <c r="J2258" s="22">
        <v>81119.72</v>
      </c>
      <c r="K2258" s="15">
        <f t="shared" si="4"/>
        <v>14450898.45</v>
      </c>
      <c r="L2258" s="45"/>
      <c r="M2258" s="24">
        <v>45659.0</v>
      </c>
    </row>
    <row r="2259" ht="15.75" customHeight="1">
      <c r="A2259" s="115">
        <v>46009.0</v>
      </c>
      <c r="B2259" s="50"/>
      <c r="C2259" s="31" t="s">
        <v>2486</v>
      </c>
      <c r="D2259" s="32" t="s">
        <v>99</v>
      </c>
      <c r="E2259" s="31" t="s">
        <v>2487</v>
      </c>
      <c r="F2259" s="161">
        <v>46016.0</v>
      </c>
      <c r="G2259" s="53">
        <v>2151581.23</v>
      </c>
      <c r="H2259" s="14">
        <f t="shared" si="9"/>
        <v>451832.0583</v>
      </c>
      <c r="I2259" s="22">
        <v>64547.44</v>
      </c>
      <c r="J2259" s="22">
        <v>6454.74</v>
      </c>
      <c r="K2259" s="15">
        <f t="shared" si="4"/>
        <v>2674415.468</v>
      </c>
      <c r="L2259" s="45"/>
      <c r="M2259" s="24">
        <v>46030.0</v>
      </c>
    </row>
    <row r="2260" ht="15.75" customHeight="1">
      <c r="A2260" s="115">
        <v>46009.0</v>
      </c>
      <c r="B2260" s="50"/>
      <c r="C2260" s="31" t="s">
        <v>2486</v>
      </c>
      <c r="D2260" s="32" t="s">
        <v>15</v>
      </c>
      <c r="E2260" s="31" t="s">
        <v>2488</v>
      </c>
      <c r="F2260" s="161">
        <v>46016.0</v>
      </c>
      <c r="G2260" s="53">
        <v>2208475.13</v>
      </c>
      <c r="H2260" s="14">
        <f t="shared" si="9"/>
        <v>463779.7773</v>
      </c>
      <c r="I2260" s="22">
        <v>66254.25</v>
      </c>
      <c r="J2260" s="22">
        <v>6625.43</v>
      </c>
      <c r="K2260" s="15">
        <f t="shared" si="4"/>
        <v>2745134.587</v>
      </c>
      <c r="L2260" s="45"/>
      <c r="M2260" s="6"/>
    </row>
    <row r="2261" ht="15.75" customHeight="1">
      <c r="A2261" s="115">
        <v>46009.0</v>
      </c>
      <c r="B2261" s="50"/>
      <c r="C2261" s="31" t="s">
        <v>2489</v>
      </c>
      <c r="D2261" s="32" t="s">
        <v>15</v>
      </c>
      <c r="E2261" s="31" t="s">
        <v>2490</v>
      </c>
      <c r="F2261" s="161">
        <v>46016.0</v>
      </c>
      <c r="G2261" s="53">
        <v>1.138080585E7</v>
      </c>
      <c r="H2261" s="14">
        <f t="shared" si="9"/>
        <v>2389969.229</v>
      </c>
      <c r="I2261" s="22">
        <v>341424.18</v>
      </c>
      <c r="J2261" s="14"/>
      <c r="K2261" s="15">
        <f t="shared" si="4"/>
        <v>14112199.26</v>
      </c>
      <c r="L2261" s="45"/>
      <c r="M2261" s="24">
        <v>46017.0</v>
      </c>
    </row>
    <row r="2262" ht="15.75" customHeight="1">
      <c r="A2262" s="115">
        <v>46010.0</v>
      </c>
      <c r="B2262" s="50"/>
      <c r="C2262" s="31" t="s">
        <v>1112</v>
      </c>
      <c r="D2262" s="32" t="s">
        <v>15</v>
      </c>
      <c r="E2262" s="31" t="s">
        <v>2491</v>
      </c>
      <c r="F2262" s="161">
        <v>46016.0</v>
      </c>
      <c r="G2262" s="53">
        <v>1.442434226E7</v>
      </c>
      <c r="H2262" s="14">
        <f t="shared" si="9"/>
        <v>3029111.875</v>
      </c>
      <c r="I2262" s="22"/>
      <c r="J2262" s="14"/>
      <c r="K2262" s="15">
        <f t="shared" si="4"/>
        <v>17453454.13</v>
      </c>
      <c r="L2262" s="45"/>
      <c r="M2262" s="6"/>
    </row>
    <row r="2263" ht="15.75" customHeight="1">
      <c r="A2263" s="115">
        <v>46010.0</v>
      </c>
      <c r="B2263" s="50"/>
      <c r="C2263" s="31" t="s">
        <v>1112</v>
      </c>
      <c r="D2263" s="32" t="s">
        <v>15</v>
      </c>
      <c r="E2263" s="31" t="s">
        <v>2492</v>
      </c>
      <c r="F2263" s="161">
        <v>46016.0</v>
      </c>
      <c r="G2263" s="53">
        <v>1.577326365E7</v>
      </c>
      <c r="H2263" s="14">
        <f t="shared" si="9"/>
        <v>3312385.367</v>
      </c>
      <c r="I2263" s="22"/>
      <c r="J2263" s="14"/>
      <c r="K2263" s="15">
        <f t="shared" si="4"/>
        <v>19085649.02</v>
      </c>
      <c r="L2263" s="45"/>
      <c r="M2263" s="6"/>
    </row>
    <row r="2264" ht="15.75" customHeight="1">
      <c r="A2264" s="115">
        <v>46010.0</v>
      </c>
      <c r="B2264" s="50"/>
      <c r="C2264" s="31" t="s">
        <v>1112</v>
      </c>
      <c r="D2264" s="32" t="s">
        <v>99</v>
      </c>
      <c r="E2264" s="32" t="s">
        <v>2493</v>
      </c>
      <c r="F2264" s="161">
        <v>46016.0</v>
      </c>
      <c r="G2264" s="53">
        <v>1.662534526E7</v>
      </c>
      <c r="H2264" s="14">
        <f t="shared" si="9"/>
        <v>3491322.505</v>
      </c>
      <c r="I2264" s="22"/>
      <c r="J2264" s="14"/>
      <c r="K2264" s="15">
        <f t="shared" si="4"/>
        <v>20116667.76</v>
      </c>
      <c r="L2264" s="45"/>
      <c r="M2264" s="6"/>
    </row>
    <row r="2265" ht="15.75" customHeight="1">
      <c r="A2265" s="115">
        <v>46010.0</v>
      </c>
      <c r="B2265" s="50"/>
      <c r="C2265" s="31" t="s">
        <v>1112</v>
      </c>
      <c r="D2265" s="32" t="s">
        <v>99</v>
      </c>
      <c r="E2265" s="32" t="s">
        <v>2494</v>
      </c>
      <c r="F2265" s="161">
        <v>46016.0</v>
      </c>
      <c r="G2265" s="53">
        <v>1.432352926E7</v>
      </c>
      <c r="H2265" s="14">
        <f t="shared" si="9"/>
        <v>3007941.145</v>
      </c>
      <c r="I2265" s="22"/>
      <c r="J2265" s="14"/>
      <c r="K2265" s="15">
        <f t="shared" si="4"/>
        <v>17331470.4</v>
      </c>
      <c r="L2265" s="45"/>
      <c r="M2265" s="6"/>
    </row>
    <row r="2266" ht="15.75" customHeight="1">
      <c r="A2266" s="115">
        <v>46010.0</v>
      </c>
      <c r="B2266" s="50"/>
      <c r="C2266" s="31" t="s">
        <v>2495</v>
      </c>
      <c r="D2266" s="32" t="s">
        <v>99</v>
      </c>
      <c r="E2266" s="31" t="s">
        <v>2496</v>
      </c>
      <c r="F2266" s="161">
        <v>46016.0</v>
      </c>
      <c r="G2266" s="53">
        <v>4138362.25</v>
      </c>
      <c r="H2266" s="14">
        <f t="shared" si="9"/>
        <v>869056.0725</v>
      </c>
      <c r="I2266" s="22">
        <v>124150.87</v>
      </c>
      <c r="J2266" s="14"/>
      <c r="K2266" s="15">
        <f t="shared" si="4"/>
        <v>5131569.193</v>
      </c>
      <c r="L2266" s="45"/>
      <c r="M2266" s="24">
        <v>46045.0</v>
      </c>
    </row>
    <row r="2267" ht="15.75" customHeight="1">
      <c r="A2267" s="115">
        <v>46010.0</v>
      </c>
      <c r="B2267" s="50"/>
      <c r="C2267" s="31" t="s">
        <v>2495</v>
      </c>
      <c r="D2267" s="32" t="s">
        <v>15</v>
      </c>
      <c r="E2267" s="31" t="s">
        <v>2497</v>
      </c>
      <c r="F2267" s="161">
        <v>46016.0</v>
      </c>
      <c r="G2267" s="53">
        <v>4019382.46</v>
      </c>
      <c r="H2267" s="14">
        <f t="shared" si="9"/>
        <v>844070.3166</v>
      </c>
      <c r="I2267" s="22">
        <v>120581.47</v>
      </c>
      <c r="J2267" s="14"/>
      <c r="K2267" s="15">
        <f t="shared" si="4"/>
        <v>4984034.247</v>
      </c>
      <c r="L2267" s="45"/>
      <c r="M2267" s="24">
        <v>46045.0</v>
      </c>
    </row>
    <row r="2268" ht="15.75" customHeight="1">
      <c r="A2268" s="115">
        <v>46010.0</v>
      </c>
      <c r="B2268" s="50"/>
      <c r="C2268" s="31" t="s">
        <v>2495</v>
      </c>
      <c r="D2268" s="32" t="s">
        <v>15</v>
      </c>
      <c r="E2268" s="31" t="s">
        <v>2498</v>
      </c>
      <c r="F2268" s="161">
        <v>46016.0</v>
      </c>
      <c r="G2268" s="53">
        <v>4281475.95</v>
      </c>
      <c r="H2268" s="14">
        <f t="shared" si="9"/>
        <v>899109.9495</v>
      </c>
      <c r="I2268" s="22">
        <v>128444.28</v>
      </c>
      <c r="J2268" s="14"/>
      <c r="K2268" s="15">
        <f t="shared" si="4"/>
        <v>5309030.18</v>
      </c>
      <c r="L2268" s="45"/>
      <c r="M2268" s="24">
        <v>46045.0</v>
      </c>
    </row>
    <row r="2269" ht="15.75" customHeight="1">
      <c r="A2269" s="115">
        <v>46010.0</v>
      </c>
      <c r="B2269" s="50"/>
      <c r="C2269" s="31" t="s">
        <v>497</v>
      </c>
      <c r="D2269" s="32" t="s">
        <v>15</v>
      </c>
      <c r="E2269" s="31" t="s">
        <v>2499</v>
      </c>
      <c r="F2269" s="161">
        <v>46016.0</v>
      </c>
      <c r="G2269" s="53">
        <v>5008319.58</v>
      </c>
      <c r="H2269" s="14">
        <f t="shared" si="9"/>
        <v>1051747.112</v>
      </c>
      <c r="I2269" s="22"/>
      <c r="J2269" s="14"/>
      <c r="K2269" s="15">
        <f t="shared" si="4"/>
        <v>6060066.692</v>
      </c>
      <c r="L2269" s="45"/>
      <c r="M2269" s="6"/>
    </row>
    <row r="2270" ht="15.75" customHeight="1">
      <c r="A2270" s="177">
        <v>46011.0</v>
      </c>
      <c r="B2270" s="56"/>
      <c r="C2270" s="57" t="s">
        <v>2500</v>
      </c>
      <c r="D2270" s="58" t="s">
        <v>99</v>
      </c>
      <c r="E2270" s="57" t="s">
        <v>2501</v>
      </c>
      <c r="F2270" s="178">
        <v>46016.0</v>
      </c>
      <c r="G2270" s="65">
        <v>8427461.18</v>
      </c>
      <c r="H2270" s="9">
        <f t="shared" si="9"/>
        <v>1769766.848</v>
      </c>
      <c r="I2270" s="44">
        <v>252823.84</v>
      </c>
      <c r="J2270" s="44">
        <v>337098.45</v>
      </c>
      <c r="K2270" s="10">
        <f t="shared" si="4"/>
        <v>10787150.32</v>
      </c>
      <c r="L2270" s="61"/>
      <c r="M2270" s="62"/>
    </row>
    <row r="2271" ht="15.75" customHeight="1">
      <c r="A2271" s="115">
        <v>46011.0</v>
      </c>
      <c r="B2271" s="50"/>
      <c r="C2271" s="31" t="s">
        <v>2500</v>
      </c>
      <c r="D2271" s="32" t="s">
        <v>15</v>
      </c>
      <c r="E2271" s="31" t="s">
        <v>2502</v>
      </c>
      <c r="F2271" s="161">
        <v>46016.0</v>
      </c>
      <c r="G2271" s="53">
        <v>1.125836213E7</v>
      </c>
      <c r="H2271" s="14">
        <f t="shared" si="9"/>
        <v>2364256.047</v>
      </c>
      <c r="I2271" s="22">
        <v>337750.86</v>
      </c>
      <c r="J2271" s="22">
        <v>450334.49</v>
      </c>
      <c r="K2271" s="15">
        <f t="shared" si="4"/>
        <v>14410703.53</v>
      </c>
      <c r="L2271" s="45"/>
      <c r="M2271" s="24">
        <v>46017.0</v>
      </c>
    </row>
    <row r="2272" ht="15.75" customHeight="1">
      <c r="A2272" s="115">
        <v>46011.0</v>
      </c>
      <c r="B2272" s="50"/>
      <c r="C2272" s="31" t="s">
        <v>2500</v>
      </c>
      <c r="D2272" s="32" t="s">
        <v>15</v>
      </c>
      <c r="E2272" s="31" t="s">
        <v>2503</v>
      </c>
      <c r="F2272" s="161">
        <v>46016.0</v>
      </c>
      <c r="G2272" s="53">
        <v>1.337949205E7</v>
      </c>
      <c r="H2272" s="14">
        <f t="shared" si="9"/>
        <v>2809693.331</v>
      </c>
      <c r="I2272" s="22">
        <v>401384.76</v>
      </c>
      <c r="J2272" s="22">
        <v>535179.68</v>
      </c>
      <c r="K2272" s="15">
        <f t="shared" si="4"/>
        <v>17125749.82</v>
      </c>
      <c r="L2272" s="45"/>
      <c r="M2272" s="24">
        <v>46017.0</v>
      </c>
    </row>
    <row r="2273" ht="15.75" customHeight="1">
      <c r="A2273" s="115">
        <v>46013.0</v>
      </c>
      <c r="B2273" s="50"/>
      <c r="C2273" s="31" t="s">
        <v>1183</v>
      </c>
      <c r="D2273" s="32" t="s">
        <v>15</v>
      </c>
      <c r="E2273" s="31" t="s">
        <v>2504</v>
      </c>
      <c r="F2273" s="161">
        <v>46016.0</v>
      </c>
      <c r="G2273" s="53">
        <v>8812691.26</v>
      </c>
      <c r="H2273" s="14">
        <f t="shared" si="9"/>
        <v>1850665.165</v>
      </c>
      <c r="I2273" s="22">
        <v>264380.74</v>
      </c>
      <c r="J2273" s="14"/>
      <c r="K2273" s="15">
        <f t="shared" si="4"/>
        <v>10927737.16</v>
      </c>
      <c r="L2273" s="45"/>
      <c r="M2273" s="24">
        <v>46014.0</v>
      </c>
    </row>
    <row r="2274" ht="15.75" customHeight="1">
      <c r="A2274" s="115">
        <v>46013.0</v>
      </c>
      <c r="B2274" s="50"/>
      <c r="C2274" s="31" t="s">
        <v>1183</v>
      </c>
      <c r="D2274" s="32" t="s">
        <v>15</v>
      </c>
      <c r="E2274" s="31" t="s">
        <v>2505</v>
      </c>
      <c r="F2274" s="161">
        <v>46016.0</v>
      </c>
      <c r="G2274" s="53">
        <v>1.119446026E7</v>
      </c>
      <c r="H2274" s="14">
        <f t="shared" si="9"/>
        <v>2350836.655</v>
      </c>
      <c r="I2274" s="22">
        <v>335833.81</v>
      </c>
      <c r="J2274" s="14"/>
      <c r="K2274" s="15">
        <f t="shared" si="4"/>
        <v>13881130.72</v>
      </c>
      <c r="L2274" s="45"/>
      <c r="M2274" s="24">
        <v>46014.0</v>
      </c>
    </row>
    <row r="2275" ht="15.75" customHeight="1">
      <c r="A2275" s="180">
        <v>46014.0</v>
      </c>
      <c r="B2275" s="158"/>
      <c r="C2275" s="147" t="s">
        <v>1136</v>
      </c>
      <c r="D2275" s="148" t="s">
        <v>15</v>
      </c>
      <c r="E2275" s="147" t="s">
        <v>2506</v>
      </c>
      <c r="F2275" s="181">
        <v>46016.0</v>
      </c>
      <c r="G2275" s="149">
        <v>5.0044107E7</v>
      </c>
      <c r="H2275" s="150">
        <f t="shared" si="9"/>
        <v>10509262.47</v>
      </c>
      <c r="I2275" s="151">
        <v>1501323.21</v>
      </c>
      <c r="J2275" s="151">
        <v>1251102.68</v>
      </c>
      <c r="K2275" s="152">
        <f t="shared" si="4"/>
        <v>63305795.36</v>
      </c>
      <c r="L2275" s="153"/>
      <c r="M2275" s="182">
        <v>46021.0</v>
      </c>
    </row>
    <row r="2276" ht="15.75" customHeight="1">
      <c r="A2276" s="180">
        <v>46014.0</v>
      </c>
      <c r="B2276" s="158"/>
      <c r="C2276" s="147" t="s">
        <v>1136</v>
      </c>
      <c r="D2276" s="148" t="s">
        <v>15</v>
      </c>
      <c r="E2276" s="147" t="s">
        <v>2507</v>
      </c>
      <c r="F2276" s="181">
        <v>46016.0</v>
      </c>
      <c r="G2276" s="149">
        <v>5.0027362E7</v>
      </c>
      <c r="H2276" s="150">
        <f t="shared" si="9"/>
        <v>10505746.02</v>
      </c>
      <c r="I2276" s="151">
        <v>1500820.86</v>
      </c>
      <c r="J2276" s="151">
        <v>1250684.05</v>
      </c>
      <c r="K2276" s="152">
        <f t="shared" si="4"/>
        <v>63284612.93</v>
      </c>
      <c r="L2276" s="153"/>
      <c r="M2276" s="182">
        <v>46021.0</v>
      </c>
    </row>
    <row r="2277" ht="15.75" customHeight="1">
      <c r="A2277" s="180">
        <v>46014.0</v>
      </c>
      <c r="B2277" s="158"/>
      <c r="C2277" s="147" t="s">
        <v>1136</v>
      </c>
      <c r="D2277" s="148" t="s">
        <v>15</v>
      </c>
      <c r="E2277" s="147" t="s">
        <v>2508</v>
      </c>
      <c r="F2277" s="181">
        <v>46016.0</v>
      </c>
      <c r="G2277" s="149">
        <v>4.9916845E7</v>
      </c>
      <c r="H2277" s="150">
        <f t="shared" si="9"/>
        <v>10482537.45</v>
      </c>
      <c r="I2277" s="151">
        <v>1497505.35</v>
      </c>
      <c r="J2277" s="151">
        <v>1247921.13</v>
      </c>
      <c r="K2277" s="152">
        <f t="shared" si="4"/>
        <v>63144808.93</v>
      </c>
      <c r="L2277" s="153"/>
      <c r="M2277" s="182">
        <v>46021.0</v>
      </c>
    </row>
    <row r="2278" ht="15.75" customHeight="1">
      <c r="A2278" s="180">
        <v>46014.0</v>
      </c>
      <c r="B2278" s="158"/>
      <c r="C2278" s="147" t="s">
        <v>1136</v>
      </c>
      <c r="D2278" s="148" t="s">
        <v>15</v>
      </c>
      <c r="E2278" s="147" t="s">
        <v>2509</v>
      </c>
      <c r="F2278" s="181">
        <v>46016.0</v>
      </c>
      <c r="G2278" s="149">
        <v>4.9950335E7</v>
      </c>
      <c r="H2278" s="150">
        <f t="shared" si="9"/>
        <v>10489570.35</v>
      </c>
      <c r="I2278" s="151">
        <v>1498510.05</v>
      </c>
      <c r="J2278" s="151">
        <v>1248758.38</v>
      </c>
      <c r="K2278" s="152">
        <f t="shared" si="4"/>
        <v>63187173.78</v>
      </c>
      <c r="L2278" s="153"/>
      <c r="M2278" s="182">
        <v>46021.0</v>
      </c>
    </row>
    <row r="2279" ht="15.75" customHeight="1">
      <c r="A2279" s="180">
        <v>46014.0</v>
      </c>
      <c r="B2279" s="158"/>
      <c r="C2279" s="147" t="s">
        <v>1136</v>
      </c>
      <c r="D2279" s="148" t="s">
        <v>15</v>
      </c>
      <c r="E2279" s="147" t="s">
        <v>2510</v>
      </c>
      <c r="F2279" s="181">
        <v>46016.0</v>
      </c>
      <c r="G2279" s="149">
        <v>5.0064201E7</v>
      </c>
      <c r="H2279" s="150">
        <f t="shared" si="9"/>
        <v>10513482.21</v>
      </c>
      <c r="I2279" s="151">
        <v>1501926.03</v>
      </c>
      <c r="J2279" s="151">
        <v>1251605.03</v>
      </c>
      <c r="K2279" s="152">
        <f t="shared" si="4"/>
        <v>63331214.27</v>
      </c>
      <c r="L2279" s="153"/>
      <c r="M2279" s="182">
        <v>46021.0</v>
      </c>
    </row>
    <row r="2280" ht="15.75" customHeight="1">
      <c r="A2280" s="115">
        <v>46014.0</v>
      </c>
      <c r="B2280" s="50"/>
      <c r="C2280" s="31" t="s">
        <v>2511</v>
      </c>
      <c r="D2280" s="32" t="s">
        <v>15</v>
      </c>
      <c r="E2280" s="31" t="s">
        <v>2512</v>
      </c>
      <c r="F2280" s="161">
        <v>46016.0</v>
      </c>
      <c r="G2280" s="53">
        <v>2.297369125E7</v>
      </c>
      <c r="H2280" s="14">
        <f t="shared" si="9"/>
        <v>4824475.163</v>
      </c>
      <c r="I2280" s="22">
        <v>689210.74</v>
      </c>
      <c r="J2280" s="14"/>
      <c r="K2280" s="15">
        <f t="shared" si="4"/>
        <v>28487377.15</v>
      </c>
      <c r="L2280" s="45"/>
      <c r="M2280" s="24">
        <v>46020.0</v>
      </c>
    </row>
    <row r="2281" ht="15.75" customHeight="1">
      <c r="A2281" s="115">
        <v>46014.0</v>
      </c>
      <c r="B2281" s="50"/>
      <c r="C2281" s="31" t="s">
        <v>2511</v>
      </c>
      <c r="D2281" s="32" t="s">
        <v>15</v>
      </c>
      <c r="E2281" s="31" t="s">
        <v>2513</v>
      </c>
      <c r="F2281" s="161">
        <v>46016.0</v>
      </c>
      <c r="G2281" s="53">
        <v>2.453289503E7</v>
      </c>
      <c r="H2281" s="14">
        <f t="shared" si="9"/>
        <v>5151907.956</v>
      </c>
      <c r="I2281" s="22">
        <v>735986.85</v>
      </c>
      <c r="J2281" s="14"/>
      <c r="K2281" s="15">
        <f t="shared" si="4"/>
        <v>30420789.84</v>
      </c>
      <c r="L2281" s="45"/>
      <c r="M2281" s="24">
        <v>46020.0</v>
      </c>
    </row>
    <row r="2282" ht="15.75" customHeight="1">
      <c r="A2282" s="115">
        <v>46014.0</v>
      </c>
      <c r="B2282" s="50"/>
      <c r="C2282" s="31" t="s">
        <v>2511</v>
      </c>
      <c r="D2282" s="32" t="s">
        <v>15</v>
      </c>
      <c r="E2282" s="31" t="s">
        <v>2514</v>
      </c>
      <c r="F2282" s="161">
        <v>46016.0</v>
      </c>
      <c r="G2282" s="53">
        <v>1.198937252E7</v>
      </c>
      <c r="H2282" s="14">
        <f t="shared" si="9"/>
        <v>2517768.229</v>
      </c>
      <c r="I2282" s="22"/>
      <c r="J2282" s="14"/>
      <c r="K2282" s="15">
        <f t="shared" si="4"/>
        <v>14507140.75</v>
      </c>
      <c r="L2282" s="45"/>
      <c r="M2282" s="24">
        <v>46020.0</v>
      </c>
    </row>
    <row r="2283" ht="15.75" customHeight="1">
      <c r="A2283" s="115">
        <v>46014.0</v>
      </c>
      <c r="B2283" s="50"/>
      <c r="C2283" s="31" t="s">
        <v>2511</v>
      </c>
      <c r="D2283" s="32" t="s">
        <v>15</v>
      </c>
      <c r="E2283" s="31" t="s">
        <v>2515</v>
      </c>
      <c r="F2283" s="161">
        <v>46016.0</v>
      </c>
      <c r="G2283" s="53">
        <v>2.051256305E7</v>
      </c>
      <c r="H2283" s="14">
        <f t="shared" si="9"/>
        <v>4307638.241</v>
      </c>
      <c r="I2283" s="22">
        <v>615376.89</v>
      </c>
      <c r="J2283" s="14"/>
      <c r="K2283" s="15">
        <f t="shared" si="4"/>
        <v>25435578.18</v>
      </c>
      <c r="L2283" s="45"/>
      <c r="M2283" s="24">
        <v>46020.0</v>
      </c>
    </row>
    <row r="2284" ht="15.75" customHeight="1">
      <c r="A2284" s="115">
        <v>46014.0</v>
      </c>
      <c r="B2284" s="50"/>
      <c r="C2284" s="31" t="s">
        <v>159</v>
      </c>
      <c r="D2284" s="32" t="s">
        <v>15</v>
      </c>
      <c r="E2284" s="31" t="s">
        <v>2516</v>
      </c>
      <c r="F2284" s="161">
        <v>46016.0</v>
      </c>
      <c r="G2284" s="53">
        <v>1.001257123E7</v>
      </c>
      <c r="H2284" s="14">
        <f t="shared" si="9"/>
        <v>2102639.958</v>
      </c>
      <c r="I2284" s="22">
        <v>300377.14</v>
      </c>
      <c r="J2284" s="22">
        <v>120150.85</v>
      </c>
      <c r="K2284" s="15">
        <f t="shared" si="4"/>
        <v>12535739.18</v>
      </c>
      <c r="L2284" s="45"/>
      <c r="M2284" s="6"/>
    </row>
    <row r="2285" ht="15.75" customHeight="1">
      <c r="A2285" s="115">
        <v>46014.0</v>
      </c>
      <c r="B2285" s="50"/>
      <c r="C2285" s="31" t="s">
        <v>159</v>
      </c>
      <c r="D2285" s="32" t="s">
        <v>99</v>
      </c>
      <c r="E2285" s="31" t="s">
        <v>2517</v>
      </c>
      <c r="F2285" s="161">
        <v>46016.0</v>
      </c>
      <c r="G2285" s="53">
        <v>9997463.21</v>
      </c>
      <c r="H2285" s="14">
        <f t="shared" si="9"/>
        <v>2099467.274</v>
      </c>
      <c r="I2285" s="22">
        <v>299923.9</v>
      </c>
      <c r="J2285" s="22">
        <v>119969.56</v>
      </c>
      <c r="K2285" s="15">
        <f t="shared" si="4"/>
        <v>12516823.94</v>
      </c>
      <c r="L2285" s="45"/>
      <c r="M2285" s="24">
        <v>46034.0</v>
      </c>
    </row>
    <row r="2286" ht="15.75" customHeight="1">
      <c r="A2286" s="115">
        <v>46014.0</v>
      </c>
      <c r="B2286" s="50"/>
      <c r="C2286" s="31" t="s">
        <v>2334</v>
      </c>
      <c r="D2286" s="32" t="s">
        <v>99</v>
      </c>
      <c r="E2286" s="31" t="s">
        <v>2518</v>
      </c>
      <c r="F2286" s="161">
        <v>46016.0</v>
      </c>
      <c r="G2286" s="53">
        <v>5018664.07</v>
      </c>
      <c r="H2286" s="14">
        <f t="shared" si="9"/>
        <v>1053919.455</v>
      </c>
      <c r="I2286" s="22"/>
      <c r="J2286" s="14"/>
      <c r="K2286" s="15">
        <f t="shared" si="4"/>
        <v>6072583.525</v>
      </c>
      <c r="L2286" s="45"/>
      <c r="M2286" s="6"/>
    </row>
    <row r="2287" ht="15.75" customHeight="1">
      <c r="A2287" s="115">
        <v>46014.0</v>
      </c>
      <c r="B2287" s="50"/>
      <c r="C2287" s="31" t="s">
        <v>2334</v>
      </c>
      <c r="D2287" s="32" t="s">
        <v>99</v>
      </c>
      <c r="E2287" s="31" t="s">
        <v>2519</v>
      </c>
      <c r="F2287" s="161">
        <v>46016.0</v>
      </c>
      <c r="G2287" s="53">
        <v>3908063.84</v>
      </c>
      <c r="H2287" s="14">
        <f t="shared" si="9"/>
        <v>820693.4064</v>
      </c>
      <c r="I2287" s="22"/>
      <c r="J2287" s="14"/>
      <c r="K2287" s="15">
        <f t="shared" si="4"/>
        <v>4728757.246</v>
      </c>
      <c r="L2287" s="45"/>
      <c r="M2287" s="6"/>
    </row>
    <row r="2288" ht="15.75" customHeight="1">
      <c r="A2288" s="115">
        <v>46014.0</v>
      </c>
      <c r="B2288" s="50"/>
      <c r="C2288" s="31" t="s">
        <v>2334</v>
      </c>
      <c r="D2288" s="32" t="s">
        <v>15</v>
      </c>
      <c r="E2288" s="31" t="s">
        <v>2520</v>
      </c>
      <c r="F2288" s="161">
        <v>46016.0</v>
      </c>
      <c r="G2288" s="53">
        <v>2841088.53</v>
      </c>
      <c r="H2288" s="14">
        <f t="shared" si="9"/>
        <v>596628.5913</v>
      </c>
      <c r="I2288" s="22"/>
      <c r="J2288" s="14"/>
      <c r="K2288" s="15">
        <f t="shared" si="4"/>
        <v>3437717.121</v>
      </c>
      <c r="L2288" s="45"/>
      <c r="M2288" s="24">
        <v>46031.0</v>
      </c>
    </row>
    <row r="2289" ht="15.75" customHeight="1">
      <c r="A2289" s="115">
        <v>46014.0</v>
      </c>
      <c r="B2289" s="50"/>
      <c r="C2289" s="31" t="s">
        <v>2334</v>
      </c>
      <c r="D2289" s="32" t="s">
        <v>15</v>
      </c>
      <c r="E2289" s="31" t="s">
        <v>2521</v>
      </c>
      <c r="F2289" s="161">
        <v>46016.0</v>
      </c>
      <c r="G2289" s="53">
        <v>3628012.09</v>
      </c>
      <c r="H2289" s="14">
        <f t="shared" si="9"/>
        <v>761882.5389</v>
      </c>
      <c r="I2289" s="22"/>
      <c r="J2289" s="14"/>
      <c r="K2289" s="15">
        <f t="shared" si="4"/>
        <v>4389894.629</v>
      </c>
      <c r="L2289" s="45"/>
      <c r="M2289" s="24">
        <v>46031.0</v>
      </c>
    </row>
    <row r="2290" ht="15.75" customHeight="1">
      <c r="A2290" s="115">
        <v>46014.0</v>
      </c>
      <c r="B2290" s="50"/>
      <c r="C2290" s="31" t="s">
        <v>2522</v>
      </c>
      <c r="D2290" s="32" t="s">
        <v>15</v>
      </c>
      <c r="E2290" s="31" t="s">
        <v>2523</v>
      </c>
      <c r="F2290" s="161">
        <v>46016.0</v>
      </c>
      <c r="G2290" s="53">
        <v>7250012.05</v>
      </c>
      <c r="H2290" s="14">
        <f t="shared" si="9"/>
        <v>1522502.531</v>
      </c>
      <c r="I2290" s="22"/>
      <c r="J2290" s="22">
        <v>87000.14</v>
      </c>
      <c r="K2290" s="15">
        <f t="shared" si="4"/>
        <v>8859514.721</v>
      </c>
      <c r="L2290" s="45"/>
      <c r="M2290" s="24">
        <v>46043.0</v>
      </c>
    </row>
    <row r="2291" ht="15.75" customHeight="1">
      <c r="A2291" s="115">
        <v>46014.0</v>
      </c>
      <c r="B2291" s="50"/>
      <c r="C2291" s="31" t="s">
        <v>2522</v>
      </c>
      <c r="D2291" s="32" t="s">
        <v>15</v>
      </c>
      <c r="E2291" s="31" t="s">
        <v>2524</v>
      </c>
      <c r="F2291" s="161">
        <v>46016.0</v>
      </c>
      <c r="G2291" s="53">
        <v>5089602.56</v>
      </c>
      <c r="H2291" s="14">
        <f t="shared" si="9"/>
        <v>1068816.538</v>
      </c>
      <c r="I2291" s="22"/>
      <c r="J2291" s="22">
        <v>61075.23</v>
      </c>
      <c r="K2291" s="15">
        <f t="shared" si="4"/>
        <v>6219494.328</v>
      </c>
      <c r="L2291" s="45"/>
      <c r="M2291" s="24">
        <v>46043.0</v>
      </c>
    </row>
    <row r="2292" ht="15.75" customHeight="1">
      <c r="A2292" s="115">
        <v>46014.0</v>
      </c>
      <c r="B2292" s="50"/>
      <c r="C2292" s="31" t="s">
        <v>2522</v>
      </c>
      <c r="D2292" s="32" t="s">
        <v>15</v>
      </c>
      <c r="E2292" s="31" t="s">
        <v>2525</v>
      </c>
      <c r="F2292" s="161">
        <v>46016.0</v>
      </c>
      <c r="G2292" s="53">
        <v>6921011.75</v>
      </c>
      <c r="H2292" s="14">
        <f t="shared" si="9"/>
        <v>1453412.468</v>
      </c>
      <c r="I2292" s="22"/>
      <c r="J2292" s="22">
        <v>83052.14</v>
      </c>
      <c r="K2292" s="15">
        <f t="shared" si="4"/>
        <v>8457476.358</v>
      </c>
      <c r="L2292" s="45"/>
      <c r="M2292" s="24">
        <v>46043.0</v>
      </c>
    </row>
    <row r="2293" ht="15.75" customHeight="1">
      <c r="A2293" s="115">
        <v>46014.0</v>
      </c>
      <c r="B2293" s="50"/>
      <c r="C2293" s="31" t="s">
        <v>2522</v>
      </c>
      <c r="D2293" s="32" t="s">
        <v>99</v>
      </c>
      <c r="E2293" s="31" t="s">
        <v>2526</v>
      </c>
      <c r="F2293" s="161">
        <v>46016.0</v>
      </c>
      <c r="G2293" s="53">
        <v>4803012.71</v>
      </c>
      <c r="H2293" s="14">
        <f t="shared" si="9"/>
        <v>1008632.669</v>
      </c>
      <c r="I2293" s="22"/>
      <c r="J2293" s="22">
        <v>57636.15</v>
      </c>
      <c r="K2293" s="15">
        <f t="shared" si="4"/>
        <v>5869281.529</v>
      </c>
      <c r="L2293" s="45"/>
      <c r="M2293" s="24">
        <v>46043.0</v>
      </c>
    </row>
    <row r="2294" ht="15.75" customHeight="1">
      <c r="A2294" s="115">
        <v>46014.0</v>
      </c>
      <c r="B2294" s="50"/>
      <c r="C2294" s="31" t="s">
        <v>2522</v>
      </c>
      <c r="D2294" s="32" t="s">
        <v>99</v>
      </c>
      <c r="E2294" s="31" t="s">
        <v>2527</v>
      </c>
      <c r="F2294" s="161">
        <v>46016.0</v>
      </c>
      <c r="G2294" s="53">
        <v>3684777.95</v>
      </c>
      <c r="H2294" s="14">
        <f t="shared" si="9"/>
        <v>773803.3695</v>
      </c>
      <c r="I2294" s="22"/>
      <c r="J2294" s="22">
        <v>44217.34</v>
      </c>
      <c r="K2294" s="15">
        <f t="shared" si="4"/>
        <v>4502798.66</v>
      </c>
      <c r="L2294" s="45"/>
      <c r="M2294" s="24">
        <v>46043.0</v>
      </c>
    </row>
    <row r="2295" ht="15.75" customHeight="1">
      <c r="A2295" s="115">
        <v>46017.0</v>
      </c>
      <c r="B2295" s="50"/>
      <c r="C2295" s="31" t="s">
        <v>2346</v>
      </c>
      <c r="D2295" s="32" t="s">
        <v>99</v>
      </c>
      <c r="E2295" s="32" t="s">
        <v>2528</v>
      </c>
      <c r="F2295" s="161">
        <v>46016.0</v>
      </c>
      <c r="G2295" s="53">
        <v>1.384734608E7</v>
      </c>
      <c r="H2295" s="14">
        <f t="shared" si="9"/>
        <v>2907942.677</v>
      </c>
      <c r="I2295" s="22"/>
      <c r="J2295" s="22">
        <v>207710.19</v>
      </c>
      <c r="K2295" s="15">
        <f t="shared" si="4"/>
        <v>16962998.95</v>
      </c>
      <c r="L2295" s="45"/>
      <c r="M2295" s="6"/>
    </row>
    <row r="2296" ht="15.75" customHeight="1">
      <c r="A2296" s="115">
        <v>46017.0</v>
      </c>
      <c r="B2296" s="50"/>
      <c r="C2296" s="31" t="s">
        <v>2346</v>
      </c>
      <c r="D2296" s="32" t="s">
        <v>99</v>
      </c>
      <c r="E2296" s="32" t="s">
        <v>2529</v>
      </c>
      <c r="F2296" s="161">
        <v>46016.0</v>
      </c>
      <c r="G2296" s="53">
        <v>8837363.59</v>
      </c>
      <c r="H2296" s="14">
        <f t="shared" si="9"/>
        <v>1855846.354</v>
      </c>
      <c r="I2296" s="22"/>
      <c r="J2296" s="22">
        <v>132560.45</v>
      </c>
      <c r="K2296" s="15">
        <f t="shared" si="4"/>
        <v>10825770.39</v>
      </c>
      <c r="L2296" s="45"/>
      <c r="M2296" s="6"/>
    </row>
    <row r="2297" ht="15.75" customHeight="1">
      <c r="A2297" s="115">
        <v>46017.0</v>
      </c>
      <c r="B2297" s="50"/>
      <c r="C2297" s="31" t="s">
        <v>2346</v>
      </c>
      <c r="D2297" s="32" t="s">
        <v>99</v>
      </c>
      <c r="E2297" s="32" t="s">
        <v>2530</v>
      </c>
      <c r="F2297" s="161">
        <v>46016.0</v>
      </c>
      <c r="G2297" s="53">
        <v>1.443522308E7</v>
      </c>
      <c r="H2297" s="14">
        <f t="shared" si="9"/>
        <v>3031396.847</v>
      </c>
      <c r="I2297" s="22"/>
      <c r="J2297" s="22">
        <v>216528.35</v>
      </c>
      <c r="K2297" s="15">
        <f t="shared" si="4"/>
        <v>17683148.28</v>
      </c>
      <c r="L2297" s="45"/>
      <c r="M2297" s="6"/>
    </row>
    <row r="2298" ht="15.75" customHeight="1">
      <c r="A2298" s="115">
        <v>46017.0</v>
      </c>
      <c r="B2298" s="50"/>
      <c r="C2298" s="31" t="s">
        <v>2346</v>
      </c>
      <c r="D2298" s="32" t="s">
        <v>99</v>
      </c>
      <c r="E2298" s="32" t="s">
        <v>2531</v>
      </c>
      <c r="F2298" s="161">
        <v>46016.0</v>
      </c>
      <c r="G2298" s="53">
        <v>1.323726222E7</v>
      </c>
      <c r="H2298" s="14">
        <f t="shared" si="9"/>
        <v>2779825.066</v>
      </c>
      <c r="I2298" s="22"/>
      <c r="J2298" s="22">
        <v>198558.93</v>
      </c>
      <c r="K2298" s="15">
        <f t="shared" si="4"/>
        <v>16215646.22</v>
      </c>
      <c r="L2298" s="45"/>
      <c r="M2298" s="6"/>
    </row>
    <row r="2299" ht="15.75" customHeight="1">
      <c r="A2299" s="115">
        <v>46017.0</v>
      </c>
      <c r="B2299" s="50"/>
      <c r="C2299" s="31" t="s">
        <v>2346</v>
      </c>
      <c r="D2299" s="32" t="s">
        <v>99</v>
      </c>
      <c r="E2299" s="32" t="s">
        <v>2532</v>
      </c>
      <c r="F2299" s="161">
        <v>46016.0</v>
      </c>
      <c r="G2299" s="53">
        <v>8817262.82</v>
      </c>
      <c r="H2299" s="14">
        <f t="shared" si="9"/>
        <v>1851625.192</v>
      </c>
      <c r="I2299" s="22"/>
      <c r="J2299" s="22">
        <v>132258.94</v>
      </c>
      <c r="K2299" s="15">
        <f t="shared" si="4"/>
        <v>10801146.95</v>
      </c>
      <c r="L2299" s="45"/>
      <c r="M2299" s="6"/>
    </row>
    <row r="2300" ht="15.75" customHeight="1">
      <c r="A2300" s="115">
        <v>46017.0</v>
      </c>
      <c r="B2300" s="50"/>
      <c r="C2300" s="31" t="s">
        <v>2346</v>
      </c>
      <c r="D2300" s="32" t="s">
        <v>99</v>
      </c>
      <c r="E2300" s="32" t="s">
        <v>2533</v>
      </c>
      <c r="F2300" s="161">
        <v>46016.0</v>
      </c>
      <c r="G2300" s="53">
        <v>1.222263882E7</v>
      </c>
      <c r="H2300" s="14">
        <f t="shared" si="9"/>
        <v>2566754.152</v>
      </c>
      <c r="I2300" s="22"/>
      <c r="J2300" s="22">
        <v>183339.58</v>
      </c>
      <c r="K2300" s="15">
        <f t="shared" si="4"/>
        <v>14972732.55</v>
      </c>
      <c r="L2300" s="45"/>
      <c r="M2300" s="6"/>
    </row>
    <row r="2301" ht="15.75" customHeight="1">
      <c r="A2301" s="115">
        <v>46017.0</v>
      </c>
      <c r="B2301" s="50"/>
      <c r="C2301" s="31" t="s">
        <v>1112</v>
      </c>
      <c r="D2301" s="32" t="s">
        <v>99</v>
      </c>
      <c r="E2301" s="32" t="s">
        <v>2534</v>
      </c>
      <c r="F2301" s="161">
        <v>46016.0</v>
      </c>
      <c r="G2301" s="53">
        <v>8832373.59</v>
      </c>
      <c r="H2301" s="14">
        <f t="shared" si="9"/>
        <v>1854798.454</v>
      </c>
      <c r="I2301" s="22"/>
      <c r="J2301" s="14"/>
      <c r="K2301" s="15">
        <f t="shared" si="4"/>
        <v>10687172.04</v>
      </c>
      <c r="L2301" s="45"/>
      <c r="M2301" s="6"/>
    </row>
    <row r="2302" ht="15.75" customHeight="1">
      <c r="A2302" s="115">
        <v>46017.0</v>
      </c>
      <c r="B2302" s="50"/>
      <c r="C2302" s="31" t="s">
        <v>1112</v>
      </c>
      <c r="D2302" s="32" t="s">
        <v>99</v>
      </c>
      <c r="E2302" s="32" t="s">
        <v>2535</v>
      </c>
      <c r="F2302" s="161">
        <v>46016.0</v>
      </c>
      <c r="G2302" s="53">
        <v>1.293373723E7</v>
      </c>
      <c r="H2302" s="14">
        <f t="shared" si="9"/>
        <v>2716084.818</v>
      </c>
      <c r="I2302" s="22"/>
      <c r="J2302" s="14"/>
      <c r="K2302" s="15">
        <f t="shared" si="4"/>
        <v>15649822.05</v>
      </c>
      <c r="L2302" s="45"/>
      <c r="M2302" s="6"/>
    </row>
    <row r="2303" ht="15.75" customHeight="1">
      <c r="A2303" s="115">
        <v>46017.0</v>
      </c>
      <c r="B2303" s="50"/>
      <c r="C2303" s="31" t="s">
        <v>1112</v>
      </c>
      <c r="D2303" s="32" t="s">
        <v>99</v>
      </c>
      <c r="E2303" s="32" t="s">
        <v>2536</v>
      </c>
      <c r="F2303" s="161">
        <v>46016.0</v>
      </c>
      <c r="G2303" s="53">
        <v>9927372.29</v>
      </c>
      <c r="H2303" s="14">
        <f t="shared" si="9"/>
        <v>2084748.181</v>
      </c>
      <c r="I2303" s="22"/>
      <c r="J2303" s="14"/>
      <c r="K2303" s="15">
        <f t="shared" si="4"/>
        <v>12012120.47</v>
      </c>
      <c r="L2303" s="45"/>
      <c r="M2303" s="6"/>
    </row>
    <row r="2304" ht="15.75" customHeight="1">
      <c r="A2304" s="115">
        <v>46017.0</v>
      </c>
      <c r="B2304" s="50"/>
      <c r="C2304" s="31" t="s">
        <v>1725</v>
      </c>
      <c r="D2304" s="32" t="s">
        <v>99</v>
      </c>
      <c r="E2304" s="31" t="s">
        <v>2537</v>
      </c>
      <c r="F2304" s="161">
        <v>46016.0</v>
      </c>
      <c r="G2304" s="53">
        <v>2.056754872E7</v>
      </c>
      <c r="H2304" s="14">
        <f t="shared" si="9"/>
        <v>4319185.231</v>
      </c>
      <c r="I2304" s="22">
        <v>617026.46</v>
      </c>
      <c r="J2304" s="22">
        <v>1028377.44</v>
      </c>
      <c r="K2304" s="15">
        <f t="shared" si="4"/>
        <v>26532137.85</v>
      </c>
      <c r="L2304" s="45"/>
      <c r="M2304" s="24">
        <v>46020.0</v>
      </c>
    </row>
    <row r="2305" ht="15.75" customHeight="1">
      <c r="A2305" s="115">
        <v>46017.0</v>
      </c>
      <c r="B2305" s="50"/>
      <c r="C2305" s="31" t="s">
        <v>1725</v>
      </c>
      <c r="D2305" s="32" t="s">
        <v>99</v>
      </c>
      <c r="E2305" s="31" t="s">
        <v>2538</v>
      </c>
      <c r="F2305" s="161">
        <v>46016.0</v>
      </c>
      <c r="G2305" s="53">
        <v>1.944483218E7</v>
      </c>
      <c r="H2305" s="14">
        <f t="shared" si="9"/>
        <v>4083414.758</v>
      </c>
      <c r="I2305" s="22">
        <v>583344.97</v>
      </c>
      <c r="J2305" s="22">
        <v>972241.61</v>
      </c>
      <c r="K2305" s="15">
        <f t="shared" si="4"/>
        <v>25083833.52</v>
      </c>
      <c r="L2305" s="45"/>
      <c r="M2305" s="24">
        <v>46020.0</v>
      </c>
    </row>
    <row r="2306" ht="15.75" customHeight="1">
      <c r="A2306" s="115">
        <v>46017.0</v>
      </c>
      <c r="B2306" s="50"/>
      <c r="C2306" s="31" t="s">
        <v>1721</v>
      </c>
      <c r="D2306" s="32" t="s">
        <v>99</v>
      </c>
      <c r="E2306" s="31" t="s">
        <v>2539</v>
      </c>
      <c r="F2306" s="161">
        <v>46016.0</v>
      </c>
      <c r="G2306" s="53">
        <v>1.287373652E7</v>
      </c>
      <c r="H2306" s="14">
        <f t="shared" si="9"/>
        <v>2703484.669</v>
      </c>
      <c r="I2306" s="22">
        <v>386212.1</v>
      </c>
      <c r="J2306" s="22">
        <v>193106.05</v>
      </c>
      <c r="K2306" s="15">
        <f t="shared" si="4"/>
        <v>16156539.34</v>
      </c>
      <c r="L2306" s="45"/>
      <c r="M2306" s="24">
        <v>46385.0</v>
      </c>
    </row>
    <row r="2307" ht="15.75" customHeight="1">
      <c r="A2307" s="115">
        <v>46017.0</v>
      </c>
      <c r="B2307" s="50"/>
      <c r="C2307" s="31" t="s">
        <v>1721</v>
      </c>
      <c r="D2307" s="32" t="s">
        <v>99</v>
      </c>
      <c r="E2307" s="31" t="s">
        <v>2540</v>
      </c>
      <c r="F2307" s="161">
        <v>46016.0</v>
      </c>
      <c r="G2307" s="53">
        <v>1.714606449E7</v>
      </c>
      <c r="H2307" s="14">
        <f t="shared" si="9"/>
        <v>3600673.543</v>
      </c>
      <c r="I2307" s="22">
        <v>514381.93</v>
      </c>
      <c r="J2307" s="22">
        <v>257190.97</v>
      </c>
      <c r="K2307" s="15">
        <f t="shared" si="4"/>
        <v>21518310.93</v>
      </c>
      <c r="L2307" s="45"/>
      <c r="M2307" s="24">
        <v>46385.0</v>
      </c>
    </row>
    <row r="2308" ht="15.75" customHeight="1">
      <c r="A2308" s="115">
        <v>46017.0</v>
      </c>
      <c r="B2308" s="50"/>
      <c r="C2308" s="31" t="s">
        <v>1486</v>
      </c>
      <c r="D2308" s="32" t="s">
        <v>99</v>
      </c>
      <c r="E2308" s="31" t="s">
        <v>2541</v>
      </c>
      <c r="F2308" s="161">
        <v>46016.0</v>
      </c>
      <c r="G2308" s="53">
        <v>1.626353272E7</v>
      </c>
      <c r="H2308" s="14">
        <f t="shared" si="9"/>
        <v>3415341.871</v>
      </c>
      <c r="I2308" s="22">
        <v>487905.98</v>
      </c>
      <c r="J2308" s="22">
        <v>569223.65</v>
      </c>
      <c r="K2308" s="15">
        <f t="shared" si="4"/>
        <v>20736004.22</v>
      </c>
      <c r="L2308" s="45"/>
      <c r="M2308" s="6"/>
    </row>
    <row r="2309" ht="15.75" customHeight="1">
      <c r="A2309" s="115">
        <v>46017.0</v>
      </c>
      <c r="B2309" s="50"/>
      <c r="C2309" s="31" t="s">
        <v>1486</v>
      </c>
      <c r="D2309" s="32" t="s">
        <v>99</v>
      </c>
      <c r="E2309" s="31" t="s">
        <v>2542</v>
      </c>
      <c r="F2309" s="161">
        <v>46016.0</v>
      </c>
      <c r="G2309" s="53">
        <v>1.373830859E7</v>
      </c>
      <c r="H2309" s="14">
        <f t="shared" si="9"/>
        <v>2885044.804</v>
      </c>
      <c r="I2309" s="22">
        <v>412149.26</v>
      </c>
      <c r="J2309" s="22">
        <v>480840.8</v>
      </c>
      <c r="K2309" s="15">
        <f t="shared" si="4"/>
        <v>17516343.45</v>
      </c>
      <c r="L2309" s="45"/>
      <c r="M2309" s="6"/>
    </row>
    <row r="2310" ht="15.75" customHeight="1">
      <c r="A2310" s="115">
        <v>46017.0</v>
      </c>
      <c r="B2310" s="50"/>
      <c r="C2310" s="31" t="s">
        <v>373</v>
      </c>
      <c r="D2310" s="32" t="s">
        <v>99</v>
      </c>
      <c r="E2310" s="31" t="s">
        <v>2543</v>
      </c>
      <c r="F2310" s="161">
        <v>46016.0</v>
      </c>
      <c r="G2310" s="53">
        <v>1.999368023E7</v>
      </c>
      <c r="H2310" s="14">
        <f t="shared" si="9"/>
        <v>4198672.848</v>
      </c>
      <c r="I2310" s="22">
        <v>599810.41</v>
      </c>
      <c r="J2310" s="22">
        <v>999684.01</v>
      </c>
      <c r="K2310" s="15">
        <f t="shared" si="4"/>
        <v>25791847.5</v>
      </c>
      <c r="L2310" s="45"/>
      <c r="M2310" s="6"/>
    </row>
    <row r="2311" ht="15.75" customHeight="1">
      <c r="A2311" s="115">
        <v>46017.0</v>
      </c>
      <c r="B2311" s="50"/>
      <c r="C2311" s="31" t="s">
        <v>2544</v>
      </c>
      <c r="D2311" s="32" t="s">
        <v>99</v>
      </c>
      <c r="E2311" s="31" t="s">
        <v>2545</v>
      </c>
      <c r="F2311" s="161">
        <v>46016.0</v>
      </c>
      <c r="G2311" s="53">
        <v>1.600378216E7</v>
      </c>
      <c r="H2311" s="14">
        <f t="shared" si="9"/>
        <v>3360794.254</v>
      </c>
      <c r="I2311" s="22">
        <v>480113.46</v>
      </c>
      <c r="J2311" s="22">
        <v>800189.11</v>
      </c>
      <c r="K2311" s="15">
        <f t="shared" si="4"/>
        <v>20644878.98</v>
      </c>
      <c r="L2311" s="45"/>
      <c r="M2311" s="24">
        <v>46043.0</v>
      </c>
    </row>
    <row r="2312" ht="15.75" customHeight="1">
      <c r="A2312" s="115">
        <v>46017.0</v>
      </c>
      <c r="B2312" s="50"/>
      <c r="C2312" s="31" t="s">
        <v>2546</v>
      </c>
      <c r="D2312" s="32" t="s">
        <v>15</v>
      </c>
      <c r="E2312" s="31" t="s">
        <v>2547</v>
      </c>
      <c r="F2312" s="161">
        <v>46016.0</v>
      </c>
      <c r="G2312" s="53">
        <v>3589352.16</v>
      </c>
      <c r="H2312" s="14">
        <f t="shared" si="9"/>
        <v>753763.9536</v>
      </c>
      <c r="I2312" s="22"/>
      <c r="J2312" s="22">
        <v>39482.87</v>
      </c>
      <c r="K2312" s="15">
        <f t="shared" si="4"/>
        <v>4382598.984</v>
      </c>
      <c r="L2312" s="45"/>
      <c r="M2312" s="24">
        <v>46030.0</v>
      </c>
    </row>
    <row r="2313" ht="15.75" customHeight="1">
      <c r="A2313" s="115">
        <v>46017.0</v>
      </c>
      <c r="B2313" s="50"/>
      <c r="C2313" s="31" t="s">
        <v>2546</v>
      </c>
      <c r="D2313" s="32" t="s">
        <v>15</v>
      </c>
      <c r="E2313" s="31" t="s">
        <v>2548</v>
      </c>
      <c r="F2313" s="161">
        <v>46016.0</v>
      </c>
      <c r="G2313" s="53">
        <v>6832561.05</v>
      </c>
      <c r="H2313" s="14">
        <f t="shared" si="9"/>
        <v>1434837.821</v>
      </c>
      <c r="I2313" s="22"/>
      <c r="J2313" s="22">
        <v>75158.17</v>
      </c>
      <c r="K2313" s="15">
        <f t="shared" si="4"/>
        <v>8342557.041</v>
      </c>
      <c r="L2313" s="45"/>
      <c r="M2313" s="24">
        <v>46030.0</v>
      </c>
    </row>
    <row r="2314" ht="15.75" customHeight="1">
      <c r="A2314" s="166">
        <v>46020.0</v>
      </c>
      <c r="B2314" s="167"/>
      <c r="C2314" s="168" t="s">
        <v>635</v>
      </c>
      <c r="D2314" s="169" t="s">
        <v>15</v>
      </c>
      <c r="E2314" s="168" t="s">
        <v>2549</v>
      </c>
      <c r="F2314" s="170">
        <v>46016.0</v>
      </c>
      <c r="G2314" s="171">
        <v>1.263635215E7</v>
      </c>
      <c r="H2314" s="172">
        <f t="shared" si="9"/>
        <v>2653633.952</v>
      </c>
      <c r="I2314" s="173">
        <v>379090.56</v>
      </c>
      <c r="J2314" s="172"/>
      <c r="K2314" s="174">
        <f t="shared" si="4"/>
        <v>15669076.66</v>
      </c>
      <c r="L2314" s="175"/>
      <c r="M2314" s="176"/>
    </row>
    <row r="2315" ht="15.75" customHeight="1">
      <c r="A2315" s="166">
        <v>46020.0</v>
      </c>
      <c r="B2315" s="167"/>
      <c r="C2315" s="168" t="s">
        <v>635</v>
      </c>
      <c r="D2315" s="169" t="s">
        <v>15</v>
      </c>
      <c r="E2315" s="168" t="s">
        <v>2550</v>
      </c>
      <c r="F2315" s="170">
        <v>46016.0</v>
      </c>
      <c r="G2315" s="171">
        <v>1.662652539E7</v>
      </c>
      <c r="H2315" s="172">
        <f t="shared" si="9"/>
        <v>3491570.332</v>
      </c>
      <c r="I2315" s="173">
        <v>498795.76</v>
      </c>
      <c r="J2315" s="172"/>
      <c r="K2315" s="174">
        <f t="shared" si="4"/>
        <v>20616891.48</v>
      </c>
      <c r="L2315" s="175"/>
      <c r="M2315" s="176"/>
    </row>
    <row r="2316" ht="15.75" customHeight="1">
      <c r="A2316" s="183">
        <v>46020.0</v>
      </c>
      <c r="B2316" s="184"/>
      <c r="C2316" s="185" t="s">
        <v>635</v>
      </c>
      <c r="D2316" s="186" t="s">
        <v>15</v>
      </c>
      <c r="E2316" s="185" t="s">
        <v>2551</v>
      </c>
      <c r="F2316" s="187">
        <v>46016.0</v>
      </c>
      <c r="G2316" s="188">
        <v>1182736.53</v>
      </c>
      <c r="H2316" s="189">
        <f t="shared" si="9"/>
        <v>248374.6713</v>
      </c>
      <c r="I2316" s="190">
        <v>35482.1</v>
      </c>
      <c r="J2316" s="189"/>
      <c r="K2316" s="191">
        <f t="shared" si="4"/>
        <v>1466593.301</v>
      </c>
      <c r="L2316" s="192"/>
      <c r="M2316" s="193"/>
    </row>
    <row r="2317" ht="15.75" customHeight="1">
      <c r="A2317" s="166">
        <v>46020.0</v>
      </c>
      <c r="B2317" s="167"/>
      <c r="C2317" s="168" t="s">
        <v>635</v>
      </c>
      <c r="D2317" s="169" t="s">
        <v>15</v>
      </c>
      <c r="E2317" s="168" t="s">
        <v>2552</v>
      </c>
      <c r="F2317" s="170">
        <v>46016.0</v>
      </c>
      <c r="G2317" s="171">
        <v>8922832.29</v>
      </c>
      <c r="H2317" s="172">
        <f t="shared" si="9"/>
        <v>1873794.781</v>
      </c>
      <c r="I2317" s="173">
        <v>267684.97</v>
      </c>
      <c r="J2317" s="172"/>
      <c r="K2317" s="174">
        <f t="shared" si="4"/>
        <v>11064312.04</v>
      </c>
      <c r="L2317" s="175"/>
      <c r="M2317" s="176"/>
    </row>
    <row r="2318" ht="15.75" customHeight="1">
      <c r="A2318" s="183">
        <v>46020.0</v>
      </c>
      <c r="B2318" s="184"/>
      <c r="C2318" s="185" t="s">
        <v>635</v>
      </c>
      <c r="D2318" s="186" t="s">
        <v>15</v>
      </c>
      <c r="E2318" s="185" t="s">
        <v>2553</v>
      </c>
      <c r="F2318" s="187">
        <v>46016.0</v>
      </c>
      <c r="G2318" s="188">
        <v>1.882726231E7</v>
      </c>
      <c r="H2318" s="189">
        <f t="shared" si="9"/>
        <v>3953725.085</v>
      </c>
      <c r="I2318" s="190">
        <v>564817.87</v>
      </c>
      <c r="J2318" s="189"/>
      <c r="K2318" s="191">
        <f t="shared" si="4"/>
        <v>23345805.27</v>
      </c>
      <c r="L2318" s="192"/>
      <c r="M2318" s="193"/>
    </row>
    <row r="2319" ht="15.75" customHeight="1">
      <c r="A2319" s="166">
        <v>46020.0</v>
      </c>
      <c r="B2319" s="167"/>
      <c r="C2319" s="168" t="s">
        <v>635</v>
      </c>
      <c r="D2319" s="169" t="s">
        <v>15</v>
      </c>
      <c r="E2319" s="168" t="s">
        <v>2554</v>
      </c>
      <c r="F2319" s="170">
        <v>46016.0</v>
      </c>
      <c r="G2319" s="171">
        <v>1.552124226E7</v>
      </c>
      <c r="H2319" s="172">
        <f t="shared" si="9"/>
        <v>3259460.875</v>
      </c>
      <c r="I2319" s="173">
        <v>465637.27</v>
      </c>
      <c r="J2319" s="172"/>
      <c r="K2319" s="174">
        <f t="shared" si="4"/>
        <v>19246340.4</v>
      </c>
      <c r="L2319" s="175"/>
      <c r="M2319" s="176"/>
    </row>
    <row r="2320" ht="15.75" customHeight="1">
      <c r="A2320" s="166">
        <v>46020.0</v>
      </c>
      <c r="B2320" s="167"/>
      <c r="C2320" s="168" t="s">
        <v>635</v>
      </c>
      <c r="D2320" s="169" t="s">
        <v>15</v>
      </c>
      <c r="E2320" s="168" t="s">
        <v>2555</v>
      </c>
      <c r="F2320" s="170">
        <v>46016.0</v>
      </c>
      <c r="G2320" s="171">
        <v>1.442423285E7</v>
      </c>
      <c r="H2320" s="172">
        <f t="shared" si="9"/>
        <v>3029088.899</v>
      </c>
      <c r="I2320" s="173">
        <v>432726.99</v>
      </c>
      <c r="J2320" s="172"/>
      <c r="K2320" s="174">
        <f t="shared" si="4"/>
        <v>17886048.74</v>
      </c>
      <c r="L2320" s="175"/>
      <c r="M2320" s="176"/>
    </row>
    <row r="2321" ht="15.75" customHeight="1">
      <c r="A2321" s="166">
        <v>46020.0</v>
      </c>
      <c r="B2321" s="167"/>
      <c r="C2321" s="168" t="s">
        <v>635</v>
      </c>
      <c r="D2321" s="169" t="s">
        <v>15</v>
      </c>
      <c r="E2321" s="168" t="s">
        <v>2556</v>
      </c>
      <c r="F2321" s="170">
        <v>46016.0</v>
      </c>
      <c r="G2321" s="171">
        <v>2.337732184E7</v>
      </c>
      <c r="H2321" s="172">
        <f t="shared" si="9"/>
        <v>4909237.586</v>
      </c>
      <c r="I2321" s="173">
        <v>701319.66</v>
      </c>
      <c r="J2321" s="172"/>
      <c r="K2321" s="174">
        <f t="shared" si="4"/>
        <v>28987879.09</v>
      </c>
      <c r="L2321" s="175"/>
      <c r="M2321" s="176"/>
    </row>
    <row r="2322" ht="15.75" customHeight="1">
      <c r="A2322" s="166">
        <v>46020.0</v>
      </c>
      <c r="B2322" s="167"/>
      <c r="C2322" s="168" t="s">
        <v>635</v>
      </c>
      <c r="D2322" s="169" t="s">
        <v>15</v>
      </c>
      <c r="E2322" s="168" t="s">
        <v>2557</v>
      </c>
      <c r="F2322" s="170">
        <v>46016.0</v>
      </c>
      <c r="G2322" s="171">
        <v>2.625242251E7</v>
      </c>
      <c r="H2322" s="172">
        <f t="shared" si="9"/>
        <v>5513008.727</v>
      </c>
      <c r="I2322" s="173">
        <v>787572.68</v>
      </c>
      <c r="J2322" s="172"/>
      <c r="K2322" s="174">
        <f t="shared" si="4"/>
        <v>32553003.92</v>
      </c>
      <c r="L2322" s="175"/>
      <c r="M2322" s="176"/>
    </row>
    <row r="2323" ht="15.75" customHeight="1">
      <c r="A2323" s="166">
        <v>46020.0</v>
      </c>
      <c r="B2323" s="167"/>
      <c r="C2323" s="168" t="s">
        <v>635</v>
      </c>
      <c r="D2323" s="169" t="s">
        <v>15</v>
      </c>
      <c r="E2323" s="168" t="s">
        <v>2558</v>
      </c>
      <c r="F2323" s="170">
        <v>46016.0</v>
      </c>
      <c r="G2323" s="171">
        <v>1.677266349E7</v>
      </c>
      <c r="H2323" s="172">
        <f t="shared" si="9"/>
        <v>3522259.333</v>
      </c>
      <c r="I2323" s="173">
        <v>503179.9</v>
      </c>
      <c r="J2323" s="172"/>
      <c r="K2323" s="174">
        <f t="shared" si="4"/>
        <v>20798102.72</v>
      </c>
      <c r="L2323" s="175"/>
      <c r="M2323" s="176"/>
    </row>
    <row r="2324" ht="15.75" customHeight="1">
      <c r="A2324" s="166">
        <v>46020.0</v>
      </c>
      <c r="B2324" s="167"/>
      <c r="C2324" s="168" t="s">
        <v>635</v>
      </c>
      <c r="D2324" s="169" t="s">
        <v>15</v>
      </c>
      <c r="E2324" s="168" t="s">
        <v>2559</v>
      </c>
      <c r="F2324" s="170">
        <v>46016.0</v>
      </c>
      <c r="G2324" s="171">
        <v>2.817162236E7</v>
      </c>
      <c r="H2324" s="172">
        <f t="shared" si="9"/>
        <v>5916040.696</v>
      </c>
      <c r="I2324" s="173">
        <v>845148.67</v>
      </c>
      <c r="J2324" s="172"/>
      <c r="K2324" s="174">
        <f t="shared" si="4"/>
        <v>34932811.73</v>
      </c>
      <c r="L2324" s="175"/>
      <c r="M2324" s="176"/>
    </row>
    <row r="2325" ht="15.75" customHeight="1">
      <c r="A2325" s="166">
        <v>46020.0</v>
      </c>
      <c r="B2325" s="167"/>
      <c r="C2325" s="168" t="s">
        <v>635</v>
      </c>
      <c r="D2325" s="169" t="s">
        <v>15</v>
      </c>
      <c r="E2325" s="168" t="s">
        <v>2560</v>
      </c>
      <c r="F2325" s="170">
        <v>46016.0</v>
      </c>
      <c r="G2325" s="171">
        <v>1.772625365E7</v>
      </c>
      <c r="H2325" s="172">
        <f t="shared" si="9"/>
        <v>3722513.267</v>
      </c>
      <c r="I2325" s="173">
        <v>531787.61</v>
      </c>
      <c r="J2325" s="172"/>
      <c r="K2325" s="174">
        <f t="shared" si="4"/>
        <v>21980554.53</v>
      </c>
      <c r="L2325" s="175"/>
      <c r="M2325" s="176"/>
    </row>
    <row r="2326" ht="15.75" customHeight="1">
      <c r="A2326" s="115">
        <v>46020.0</v>
      </c>
      <c r="B2326" s="50"/>
      <c r="C2326" s="31" t="s">
        <v>2546</v>
      </c>
      <c r="D2326" s="32" t="s">
        <v>15</v>
      </c>
      <c r="E2326" s="31" t="s">
        <v>2561</v>
      </c>
      <c r="F2326" s="161">
        <v>46016.0</v>
      </c>
      <c r="G2326" s="53">
        <v>6223471.52</v>
      </c>
      <c r="H2326" s="14">
        <f t="shared" si="9"/>
        <v>1306929.019</v>
      </c>
      <c r="I2326" s="22"/>
      <c r="J2326" s="22">
        <v>68458.19</v>
      </c>
      <c r="K2326" s="15">
        <f t="shared" si="4"/>
        <v>7598858.729</v>
      </c>
      <c r="L2326" s="45"/>
      <c r="M2326" s="24">
        <v>46030.0</v>
      </c>
    </row>
    <row r="2327" ht="15.75" customHeight="1">
      <c r="A2327" s="115">
        <v>46020.0</v>
      </c>
      <c r="B2327" s="50"/>
      <c r="C2327" s="31" t="s">
        <v>2546</v>
      </c>
      <c r="D2327" s="32" t="s">
        <v>15</v>
      </c>
      <c r="E2327" s="31" t="s">
        <v>2562</v>
      </c>
      <c r="F2327" s="161">
        <v>46016.0</v>
      </c>
      <c r="G2327" s="53">
        <v>7129461.52</v>
      </c>
      <c r="H2327" s="14">
        <f t="shared" si="9"/>
        <v>1497186.919</v>
      </c>
      <c r="I2327" s="22"/>
      <c r="J2327" s="22">
        <v>78424.08</v>
      </c>
      <c r="K2327" s="15">
        <f t="shared" si="4"/>
        <v>8705072.519</v>
      </c>
      <c r="L2327" s="45"/>
      <c r="M2327" s="24">
        <v>46030.0</v>
      </c>
    </row>
    <row r="2328" ht="15.75" customHeight="1">
      <c r="A2328" s="115">
        <v>46020.0</v>
      </c>
      <c r="B2328" s="50"/>
      <c r="C2328" s="31" t="s">
        <v>2563</v>
      </c>
      <c r="D2328" s="32" t="s">
        <v>15</v>
      </c>
      <c r="E2328" s="31" t="s">
        <v>2564</v>
      </c>
      <c r="F2328" s="161">
        <v>46016.0</v>
      </c>
      <c r="G2328" s="53">
        <v>9570902.51</v>
      </c>
      <c r="H2328" s="14">
        <f t="shared" si="9"/>
        <v>2009889.527</v>
      </c>
      <c r="I2328" s="22"/>
      <c r="J2328" s="14"/>
      <c r="K2328" s="15">
        <f t="shared" si="4"/>
        <v>11580792.04</v>
      </c>
      <c r="L2328" s="45"/>
      <c r="M2328" s="6"/>
    </row>
    <row r="2329" ht="15.75" customHeight="1">
      <c r="A2329" s="115">
        <v>46020.0</v>
      </c>
      <c r="B2329" s="50"/>
      <c r="C2329" s="31" t="s">
        <v>2563</v>
      </c>
      <c r="D2329" s="32" t="s">
        <v>15</v>
      </c>
      <c r="E2329" s="31" t="s">
        <v>2565</v>
      </c>
      <c r="F2329" s="161">
        <v>46016.0</v>
      </c>
      <c r="G2329" s="53">
        <v>3572025.03</v>
      </c>
      <c r="H2329" s="14">
        <f t="shared" si="9"/>
        <v>750125.2563</v>
      </c>
      <c r="I2329" s="22"/>
      <c r="J2329" s="14"/>
      <c r="K2329" s="15">
        <f t="shared" si="4"/>
        <v>4322150.286</v>
      </c>
      <c r="L2329" s="45"/>
      <c r="M2329" s="6"/>
    </row>
    <row r="2330" ht="15.75" customHeight="1">
      <c r="A2330" s="115">
        <v>46020.0</v>
      </c>
      <c r="B2330" s="50"/>
      <c r="C2330" s="31" t="s">
        <v>2563</v>
      </c>
      <c r="D2330" s="32" t="s">
        <v>15</v>
      </c>
      <c r="E2330" s="31" t="s">
        <v>2566</v>
      </c>
      <c r="F2330" s="161">
        <v>46016.0</v>
      </c>
      <c r="G2330" s="53">
        <v>2.613580852E7</v>
      </c>
      <c r="H2330" s="14">
        <f t="shared" si="9"/>
        <v>5488519.789</v>
      </c>
      <c r="I2330" s="22"/>
      <c r="J2330" s="14"/>
      <c r="K2330" s="15">
        <f t="shared" si="4"/>
        <v>31624328.31</v>
      </c>
      <c r="L2330" s="45"/>
      <c r="M2330" s="6"/>
    </row>
    <row r="2331" ht="15.75" customHeight="1">
      <c r="A2331" s="115">
        <v>46020.0</v>
      </c>
      <c r="B2331" s="50"/>
      <c r="C2331" s="31" t="s">
        <v>397</v>
      </c>
      <c r="D2331" s="32" t="s">
        <v>15</v>
      </c>
      <c r="E2331" s="31" t="s">
        <v>2567</v>
      </c>
      <c r="F2331" s="161">
        <v>46016.0</v>
      </c>
      <c r="G2331" s="53">
        <v>4505472.16</v>
      </c>
      <c r="H2331" s="14">
        <f t="shared" si="9"/>
        <v>946149.1536</v>
      </c>
      <c r="I2331" s="22">
        <v>135164.16</v>
      </c>
      <c r="J2331" s="22">
        <v>22527.36</v>
      </c>
      <c r="K2331" s="15">
        <f t="shared" si="4"/>
        <v>5609312.834</v>
      </c>
      <c r="L2331" s="45"/>
      <c r="M2331" s="24">
        <v>46042.0</v>
      </c>
    </row>
    <row r="2332" ht="15.75" customHeight="1">
      <c r="A2332" s="115">
        <v>46020.0</v>
      </c>
      <c r="B2332" s="50"/>
      <c r="C2332" s="31" t="s">
        <v>2568</v>
      </c>
      <c r="D2332" s="32" t="s">
        <v>15</v>
      </c>
      <c r="E2332" s="31" t="s">
        <v>2569</v>
      </c>
      <c r="F2332" s="161">
        <v>46016.0</v>
      </c>
      <c r="G2332" s="53">
        <v>8851602.51</v>
      </c>
      <c r="H2332" s="14">
        <f t="shared" si="9"/>
        <v>1858836.527</v>
      </c>
      <c r="I2332" s="22"/>
      <c r="J2332" s="14"/>
      <c r="K2332" s="15">
        <f t="shared" si="4"/>
        <v>10710439.04</v>
      </c>
      <c r="L2332" s="45"/>
      <c r="M2332" s="6"/>
    </row>
    <row r="2333" ht="15.75" customHeight="1">
      <c r="A2333" s="115">
        <v>46020.0</v>
      </c>
      <c r="B2333" s="50"/>
      <c r="C2333" s="31" t="s">
        <v>2568</v>
      </c>
      <c r="D2333" s="32" t="s">
        <v>15</v>
      </c>
      <c r="E2333" s="31" t="s">
        <v>2570</v>
      </c>
      <c r="F2333" s="161">
        <v>46016.0</v>
      </c>
      <c r="G2333" s="53">
        <v>3498708.13</v>
      </c>
      <c r="H2333" s="14">
        <f t="shared" si="9"/>
        <v>734728.7073</v>
      </c>
      <c r="I2333" s="22"/>
      <c r="J2333" s="14"/>
      <c r="K2333" s="15">
        <f t="shared" si="4"/>
        <v>4233436.837</v>
      </c>
      <c r="L2333" s="45"/>
      <c r="M2333" s="6"/>
    </row>
    <row r="2334" ht="15.75" customHeight="1">
      <c r="A2334" s="115">
        <v>46020.0</v>
      </c>
      <c r="B2334" s="50"/>
      <c r="C2334" s="31" t="s">
        <v>2568</v>
      </c>
      <c r="D2334" s="32" t="s">
        <v>15</v>
      </c>
      <c r="E2334" s="31" t="s">
        <v>2571</v>
      </c>
      <c r="F2334" s="161">
        <v>46016.0</v>
      </c>
      <c r="G2334" s="53">
        <v>2.147790816E7</v>
      </c>
      <c r="H2334" s="14">
        <f t="shared" si="9"/>
        <v>4510360.714</v>
      </c>
      <c r="I2334" s="22"/>
      <c r="J2334" s="14"/>
      <c r="K2334" s="15">
        <f t="shared" si="4"/>
        <v>25988268.87</v>
      </c>
      <c r="L2334" s="45"/>
      <c r="M2334" s="6"/>
    </row>
    <row r="2335" ht="15.75" customHeight="1">
      <c r="A2335" s="115">
        <v>46020.0</v>
      </c>
      <c r="B2335" s="50"/>
      <c r="C2335" s="31" t="s">
        <v>2572</v>
      </c>
      <c r="D2335" s="32" t="s">
        <v>15</v>
      </c>
      <c r="E2335" s="31" t="s">
        <v>2573</v>
      </c>
      <c r="F2335" s="161">
        <v>46016.0</v>
      </c>
      <c r="G2335" s="53">
        <v>8903708.45</v>
      </c>
      <c r="H2335" s="14">
        <f t="shared" si="9"/>
        <v>1869778.775</v>
      </c>
      <c r="I2335" s="22"/>
      <c r="J2335" s="14"/>
      <c r="K2335" s="15">
        <f t="shared" si="4"/>
        <v>10773487.22</v>
      </c>
      <c r="L2335" s="45"/>
      <c r="M2335" s="6"/>
    </row>
    <row r="2336" ht="15.75" customHeight="1">
      <c r="A2336" s="115">
        <v>46020.0</v>
      </c>
      <c r="B2336" s="50"/>
      <c r="C2336" s="31" t="s">
        <v>2572</v>
      </c>
      <c r="D2336" s="32" t="s">
        <v>15</v>
      </c>
      <c r="E2336" s="31" t="s">
        <v>2574</v>
      </c>
      <c r="F2336" s="161">
        <v>46016.0</v>
      </c>
      <c r="G2336" s="53">
        <v>2.311575246E7</v>
      </c>
      <c r="H2336" s="14">
        <f t="shared" si="9"/>
        <v>4854308.017</v>
      </c>
      <c r="I2336" s="22"/>
      <c r="J2336" s="14"/>
      <c r="K2336" s="15">
        <f t="shared" si="4"/>
        <v>27970060.48</v>
      </c>
      <c r="L2336" s="45"/>
      <c r="M2336" s="6"/>
    </row>
    <row r="2337" ht="15.75" customHeight="1">
      <c r="A2337" s="115">
        <v>46020.0</v>
      </c>
      <c r="B2337" s="50"/>
      <c r="C2337" s="31" t="s">
        <v>2572</v>
      </c>
      <c r="D2337" s="32" t="s">
        <v>15</v>
      </c>
      <c r="E2337" s="31" t="s">
        <v>2575</v>
      </c>
      <c r="F2337" s="161">
        <v>46016.0</v>
      </c>
      <c r="G2337" s="53">
        <v>3499652.65</v>
      </c>
      <c r="H2337" s="14">
        <f t="shared" si="9"/>
        <v>734927.0565</v>
      </c>
      <c r="I2337" s="22"/>
      <c r="J2337" s="14"/>
      <c r="K2337" s="15">
        <f t="shared" si="4"/>
        <v>4234579.707</v>
      </c>
      <c r="L2337" s="45"/>
      <c r="M2337" s="6"/>
    </row>
    <row r="2338" ht="15.75" customHeight="1">
      <c r="A2338" s="115">
        <v>46020.0</v>
      </c>
      <c r="B2338" s="50"/>
      <c r="C2338" s="31" t="s">
        <v>2576</v>
      </c>
      <c r="D2338" s="32" t="s">
        <v>15</v>
      </c>
      <c r="E2338" s="31" t="s">
        <v>2577</v>
      </c>
      <c r="F2338" s="161">
        <v>46016.0</v>
      </c>
      <c r="G2338" s="53">
        <v>1.800126219E7</v>
      </c>
      <c r="H2338" s="14">
        <f t="shared" si="9"/>
        <v>3780265.06</v>
      </c>
      <c r="I2338" s="22"/>
      <c r="J2338" s="14"/>
      <c r="K2338" s="15">
        <f t="shared" si="4"/>
        <v>21781527.25</v>
      </c>
      <c r="L2338" s="45"/>
      <c r="M2338" s="6"/>
    </row>
    <row r="2339" ht="15.75" customHeight="1">
      <c r="A2339" s="177">
        <v>46021.0</v>
      </c>
      <c r="B2339" s="56"/>
      <c r="C2339" s="57" t="s">
        <v>210</v>
      </c>
      <c r="D2339" s="58" t="s">
        <v>15</v>
      </c>
      <c r="E2339" s="57" t="s">
        <v>2578</v>
      </c>
      <c r="F2339" s="178">
        <v>46016.0</v>
      </c>
      <c r="G2339" s="65">
        <v>7726263.85</v>
      </c>
      <c r="H2339" s="9">
        <f t="shared" si="9"/>
        <v>1622515.409</v>
      </c>
      <c r="I2339" s="44"/>
      <c r="J2339" s="60"/>
      <c r="K2339" s="10">
        <f t="shared" si="4"/>
        <v>9348779.259</v>
      </c>
      <c r="L2339" s="61"/>
      <c r="M2339" s="62"/>
    </row>
    <row r="2340" ht="15.75" customHeight="1">
      <c r="A2340" s="177">
        <v>46021.0</v>
      </c>
      <c r="B2340" s="56"/>
      <c r="C2340" s="57" t="s">
        <v>210</v>
      </c>
      <c r="D2340" s="58" t="s">
        <v>15</v>
      </c>
      <c r="E2340" s="57" t="s">
        <v>2579</v>
      </c>
      <c r="F2340" s="178">
        <v>46016.0</v>
      </c>
      <c r="G2340" s="65">
        <v>5838374.15</v>
      </c>
      <c r="H2340" s="9">
        <f t="shared" si="9"/>
        <v>1226058.572</v>
      </c>
      <c r="I2340" s="44"/>
      <c r="J2340" s="60"/>
      <c r="K2340" s="10">
        <f t="shared" si="4"/>
        <v>7064432.722</v>
      </c>
      <c r="L2340" s="61"/>
      <c r="M2340" s="62"/>
    </row>
    <row r="2341" ht="15.75" customHeight="1">
      <c r="A2341" s="177">
        <v>46021.0</v>
      </c>
      <c r="B2341" s="56"/>
      <c r="C2341" s="57" t="s">
        <v>210</v>
      </c>
      <c r="D2341" s="58" t="s">
        <v>15</v>
      </c>
      <c r="E2341" s="57" t="s">
        <v>2580</v>
      </c>
      <c r="F2341" s="178">
        <v>46016.0</v>
      </c>
      <c r="G2341" s="65">
        <v>3727263.26</v>
      </c>
      <c r="H2341" s="9">
        <f t="shared" si="9"/>
        <v>782725.2846</v>
      </c>
      <c r="I2341" s="44"/>
      <c r="J2341" s="60"/>
      <c r="K2341" s="10">
        <f t="shared" si="4"/>
        <v>4509988.545</v>
      </c>
      <c r="L2341" s="61"/>
      <c r="M2341" s="62"/>
    </row>
    <row r="2342" ht="15.75" customHeight="1">
      <c r="A2342" s="177">
        <v>46021.0</v>
      </c>
      <c r="B2342" s="56"/>
      <c r="C2342" s="57" t="s">
        <v>210</v>
      </c>
      <c r="D2342" s="58" t="s">
        <v>15</v>
      </c>
      <c r="E2342" s="57" t="s">
        <v>2581</v>
      </c>
      <c r="F2342" s="178">
        <v>46016.0</v>
      </c>
      <c r="G2342" s="65">
        <v>5584747.08</v>
      </c>
      <c r="H2342" s="9">
        <f t="shared" si="9"/>
        <v>1172796.887</v>
      </c>
      <c r="I2342" s="44">
        <v>167542.41</v>
      </c>
      <c r="J2342" s="60"/>
      <c r="K2342" s="10">
        <f t="shared" si="4"/>
        <v>6925086.377</v>
      </c>
      <c r="L2342" s="61"/>
      <c r="M2342" s="62"/>
    </row>
    <row r="2343" ht="15.75" customHeight="1">
      <c r="A2343" s="177">
        <v>46021.0</v>
      </c>
      <c r="B2343" s="56"/>
      <c r="C2343" s="57" t="s">
        <v>210</v>
      </c>
      <c r="D2343" s="58" t="s">
        <v>15</v>
      </c>
      <c r="E2343" s="57" t="s">
        <v>2582</v>
      </c>
      <c r="F2343" s="178">
        <v>46016.0</v>
      </c>
      <c r="G2343" s="65">
        <v>1.562652352E7</v>
      </c>
      <c r="H2343" s="9">
        <f t="shared" si="9"/>
        <v>3281569.939</v>
      </c>
      <c r="I2343" s="44">
        <v>468795.71</v>
      </c>
      <c r="J2343" s="60"/>
      <c r="K2343" s="10">
        <f t="shared" si="4"/>
        <v>19376889.17</v>
      </c>
      <c r="L2343" s="61"/>
      <c r="M2343" s="62"/>
    </row>
    <row r="2344" ht="15.75" customHeight="1">
      <c r="A2344" s="177">
        <v>46021.0</v>
      </c>
      <c r="B2344" s="56"/>
      <c r="C2344" s="57" t="s">
        <v>210</v>
      </c>
      <c r="D2344" s="58" t="s">
        <v>15</v>
      </c>
      <c r="E2344" s="57" t="s">
        <v>2583</v>
      </c>
      <c r="F2344" s="178">
        <v>46016.0</v>
      </c>
      <c r="G2344" s="65">
        <v>4844732.13</v>
      </c>
      <c r="H2344" s="9">
        <f t="shared" si="9"/>
        <v>1017393.747</v>
      </c>
      <c r="I2344" s="44"/>
      <c r="J2344" s="60"/>
      <c r="K2344" s="10">
        <f t="shared" si="4"/>
        <v>5862125.877</v>
      </c>
      <c r="L2344" s="61"/>
      <c r="M2344" s="62"/>
    </row>
    <row r="2345" ht="15.75" customHeight="1">
      <c r="A2345" s="177">
        <v>46021.0</v>
      </c>
      <c r="B2345" s="56"/>
      <c r="C2345" s="57" t="s">
        <v>210</v>
      </c>
      <c r="D2345" s="58" t="s">
        <v>15</v>
      </c>
      <c r="E2345" s="57" t="s">
        <v>2584</v>
      </c>
      <c r="F2345" s="178">
        <v>46016.0</v>
      </c>
      <c r="G2345" s="65">
        <v>1.725253365E7</v>
      </c>
      <c r="H2345" s="9">
        <f t="shared" si="9"/>
        <v>3623032.067</v>
      </c>
      <c r="I2345" s="44">
        <v>517576.01</v>
      </c>
      <c r="J2345" s="60"/>
      <c r="K2345" s="10">
        <f t="shared" si="4"/>
        <v>21393141.73</v>
      </c>
      <c r="L2345" s="61"/>
      <c r="M2345" s="62"/>
    </row>
    <row r="2346" ht="15.75" customHeight="1">
      <c r="A2346" s="177">
        <v>46021.0</v>
      </c>
      <c r="B2346" s="56"/>
      <c r="C2346" s="57" t="s">
        <v>210</v>
      </c>
      <c r="D2346" s="58" t="s">
        <v>15</v>
      </c>
      <c r="E2346" s="57" t="s">
        <v>2585</v>
      </c>
      <c r="F2346" s="178">
        <v>46016.0</v>
      </c>
      <c r="G2346" s="65">
        <v>7727263.41</v>
      </c>
      <c r="H2346" s="9">
        <f t="shared" si="9"/>
        <v>1622725.316</v>
      </c>
      <c r="I2346" s="44"/>
      <c r="J2346" s="60"/>
      <c r="K2346" s="10">
        <f t="shared" si="4"/>
        <v>9349988.726</v>
      </c>
      <c r="L2346" s="61"/>
      <c r="M2346" s="62"/>
    </row>
    <row r="2347" ht="15.75" customHeight="1">
      <c r="A2347" s="115">
        <v>46021.0</v>
      </c>
      <c r="B2347" s="50"/>
      <c r="C2347" s="31" t="s">
        <v>268</v>
      </c>
      <c r="D2347" s="32" t="s">
        <v>15</v>
      </c>
      <c r="E2347" s="31" t="s">
        <v>2586</v>
      </c>
      <c r="F2347" s="161">
        <v>46016.0</v>
      </c>
      <c r="G2347" s="53">
        <v>1.112383371E7</v>
      </c>
      <c r="H2347" s="14">
        <f t="shared" si="9"/>
        <v>2336005.079</v>
      </c>
      <c r="I2347" s="22">
        <v>333715.01</v>
      </c>
      <c r="J2347" s="14"/>
      <c r="K2347" s="15">
        <f t="shared" si="4"/>
        <v>13793553.8</v>
      </c>
      <c r="L2347" s="45"/>
      <c r="M2347" s="6"/>
    </row>
    <row r="2348" ht="15.75" customHeight="1">
      <c r="A2348" s="115">
        <v>46021.0</v>
      </c>
      <c r="B2348" s="50"/>
      <c r="C2348" s="31" t="s">
        <v>268</v>
      </c>
      <c r="D2348" s="32" t="s">
        <v>15</v>
      </c>
      <c r="E2348" s="31" t="s">
        <v>2587</v>
      </c>
      <c r="F2348" s="161">
        <v>46016.0</v>
      </c>
      <c r="G2348" s="53">
        <v>1.399283726E7</v>
      </c>
      <c r="H2348" s="14">
        <f t="shared" si="9"/>
        <v>2938495.825</v>
      </c>
      <c r="I2348" s="22">
        <v>419785.12</v>
      </c>
      <c r="J2348" s="14"/>
      <c r="K2348" s="15">
        <f t="shared" si="4"/>
        <v>17351118.2</v>
      </c>
      <c r="L2348" s="45"/>
      <c r="M2348" s="6"/>
    </row>
    <row r="2349" ht="15.75" customHeight="1">
      <c r="A2349" s="115">
        <v>46021.0</v>
      </c>
      <c r="B2349" s="50"/>
      <c r="C2349" s="31" t="s">
        <v>268</v>
      </c>
      <c r="D2349" s="32" t="s">
        <v>15</v>
      </c>
      <c r="E2349" s="31" t="s">
        <v>2588</v>
      </c>
      <c r="F2349" s="161">
        <v>46016.0</v>
      </c>
      <c r="G2349" s="53">
        <v>1.122337418E7</v>
      </c>
      <c r="H2349" s="14">
        <f t="shared" si="9"/>
        <v>2356908.578</v>
      </c>
      <c r="I2349" s="22"/>
      <c r="J2349" s="14"/>
      <c r="K2349" s="15">
        <f t="shared" si="4"/>
        <v>13580282.76</v>
      </c>
      <c r="L2349" s="45"/>
      <c r="M2349" s="6"/>
    </row>
    <row r="2350" ht="15.75" customHeight="1">
      <c r="A2350" s="115">
        <v>46021.0</v>
      </c>
      <c r="B2350" s="50"/>
      <c r="C2350" s="31" t="s">
        <v>268</v>
      </c>
      <c r="D2350" s="32" t="s">
        <v>15</v>
      </c>
      <c r="E2350" s="31" t="s">
        <v>2589</v>
      </c>
      <c r="F2350" s="161">
        <v>46016.0</v>
      </c>
      <c r="G2350" s="53">
        <v>2.827337316E7</v>
      </c>
      <c r="H2350" s="14">
        <f t="shared" si="9"/>
        <v>5937408.364</v>
      </c>
      <c r="I2350" s="22">
        <v>848201.19</v>
      </c>
      <c r="J2350" s="14"/>
      <c r="K2350" s="15">
        <f t="shared" si="4"/>
        <v>35058982.71</v>
      </c>
      <c r="L2350" s="45"/>
      <c r="M2350" s="6"/>
    </row>
    <row r="2351" ht="15.75" customHeight="1">
      <c r="A2351" s="115">
        <v>46021.0</v>
      </c>
      <c r="B2351" s="50"/>
      <c r="C2351" s="31" t="s">
        <v>268</v>
      </c>
      <c r="D2351" s="32" t="s">
        <v>15</v>
      </c>
      <c r="E2351" s="31" t="s">
        <v>2590</v>
      </c>
      <c r="F2351" s="161">
        <v>46016.0</v>
      </c>
      <c r="G2351" s="53">
        <v>3.726113316E7</v>
      </c>
      <c r="H2351" s="14">
        <f t="shared" si="9"/>
        <v>7824837.964</v>
      </c>
      <c r="I2351" s="22">
        <v>1117833.99</v>
      </c>
      <c r="J2351" s="14"/>
      <c r="K2351" s="15">
        <f t="shared" si="4"/>
        <v>46203805.11</v>
      </c>
      <c r="L2351" s="45"/>
      <c r="M2351" s="6"/>
    </row>
    <row r="2352" ht="15.75" customHeight="1">
      <c r="A2352" s="115">
        <v>46021.0</v>
      </c>
      <c r="B2352" s="50"/>
      <c r="C2352" s="31" t="s">
        <v>268</v>
      </c>
      <c r="D2352" s="32" t="s">
        <v>15</v>
      </c>
      <c r="E2352" s="31" t="s">
        <v>2591</v>
      </c>
      <c r="F2352" s="161">
        <v>46016.0</v>
      </c>
      <c r="G2352" s="53">
        <v>5883722.19</v>
      </c>
      <c r="H2352" s="14">
        <f t="shared" si="9"/>
        <v>1235581.66</v>
      </c>
      <c r="I2352" s="22"/>
      <c r="J2352" s="14"/>
      <c r="K2352" s="15">
        <f t="shared" si="4"/>
        <v>7119303.85</v>
      </c>
      <c r="L2352" s="45"/>
      <c r="M2352" s="6"/>
    </row>
    <row r="2353" ht="15.75" customHeight="1">
      <c r="A2353" s="115">
        <v>46021.0</v>
      </c>
      <c r="B2353" s="50"/>
      <c r="C2353" s="31" t="s">
        <v>268</v>
      </c>
      <c r="D2353" s="32" t="s">
        <v>15</v>
      </c>
      <c r="E2353" s="31" t="s">
        <v>2592</v>
      </c>
      <c r="F2353" s="161">
        <v>46016.0</v>
      </c>
      <c r="G2353" s="53">
        <v>1.522354342E7</v>
      </c>
      <c r="H2353" s="14">
        <f t="shared" si="9"/>
        <v>3196944.118</v>
      </c>
      <c r="I2353" s="22">
        <v>456706.3</v>
      </c>
      <c r="J2353" s="14"/>
      <c r="K2353" s="15">
        <f t="shared" si="4"/>
        <v>18877193.84</v>
      </c>
      <c r="L2353" s="45"/>
      <c r="M2353" s="6"/>
    </row>
    <row r="2354" ht="15.75" customHeight="1">
      <c r="A2354" s="115">
        <v>46021.0</v>
      </c>
      <c r="B2354" s="50"/>
      <c r="C2354" s="31" t="s">
        <v>268</v>
      </c>
      <c r="D2354" s="32" t="s">
        <v>15</v>
      </c>
      <c r="E2354" s="31" t="s">
        <v>2593</v>
      </c>
      <c r="F2354" s="161">
        <v>46016.0</v>
      </c>
      <c r="G2354" s="53">
        <v>4334447.19</v>
      </c>
      <c r="H2354" s="14">
        <f t="shared" si="9"/>
        <v>910233.9099</v>
      </c>
      <c r="I2354" s="22"/>
      <c r="J2354" s="14"/>
      <c r="K2354" s="15">
        <f t="shared" si="4"/>
        <v>5244681.1</v>
      </c>
      <c r="L2354" s="45"/>
      <c r="M2354" s="6"/>
    </row>
    <row r="2355" ht="15.75" customHeight="1">
      <c r="A2355" s="115">
        <v>46021.0</v>
      </c>
      <c r="B2355" s="50"/>
      <c r="C2355" s="31" t="s">
        <v>268</v>
      </c>
      <c r="D2355" s="32" t="s">
        <v>15</v>
      </c>
      <c r="E2355" s="31" t="s">
        <v>2594</v>
      </c>
      <c r="F2355" s="161">
        <v>46016.0</v>
      </c>
      <c r="G2355" s="53">
        <v>5882276.16</v>
      </c>
      <c r="H2355" s="14">
        <f t="shared" si="9"/>
        <v>1235277.994</v>
      </c>
      <c r="I2355" s="22"/>
      <c r="J2355" s="14"/>
      <c r="K2355" s="15">
        <f t="shared" si="4"/>
        <v>7117554.154</v>
      </c>
      <c r="L2355" s="45"/>
      <c r="M2355" s="6"/>
    </row>
    <row r="2356" ht="15.75" customHeight="1">
      <c r="A2356" s="115">
        <v>46021.0</v>
      </c>
      <c r="B2356" s="50"/>
      <c r="C2356" s="31" t="s">
        <v>268</v>
      </c>
      <c r="D2356" s="32" t="s">
        <v>15</v>
      </c>
      <c r="E2356" s="31" t="s">
        <v>2595</v>
      </c>
      <c r="F2356" s="161">
        <v>46016.0</v>
      </c>
      <c r="G2356" s="53">
        <v>4332633.19</v>
      </c>
      <c r="H2356" s="14">
        <f t="shared" si="9"/>
        <v>909852.9699</v>
      </c>
      <c r="I2356" s="22">
        <v>129979.0</v>
      </c>
      <c r="J2356" s="14"/>
      <c r="K2356" s="15">
        <f t="shared" si="4"/>
        <v>5372465.16</v>
      </c>
      <c r="L2356" s="45"/>
      <c r="M2356" s="6"/>
    </row>
    <row r="2357" ht="15.75" customHeight="1">
      <c r="A2357" s="115">
        <v>46021.0</v>
      </c>
      <c r="B2357" s="50"/>
      <c r="C2357" s="31" t="s">
        <v>268</v>
      </c>
      <c r="D2357" s="32" t="s">
        <v>15</v>
      </c>
      <c r="E2357" s="31" t="s">
        <v>2596</v>
      </c>
      <c r="F2357" s="161">
        <v>46016.0</v>
      </c>
      <c r="G2357" s="53">
        <v>2.772635619E7</v>
      </c>
      <c r="H2357" s="14">
        <f t="shared" si="9"/>
        <v>5822534.8</v>
      </c>
      <c r="I2357" s="22">
        <v>831790.69</v>
      </c>
      <c r="J2357" s="14"/>
      <c r="K2357" s="15">
        <f t="shared" si="4"/>
        <v>34380681.68</v>
      </c>
      <c r="L2357" s="45"/>
      <c r="M2357" s="6"/>
    </row>
    <row r="2358" ht="15.75" customHeight="1">
      <c r="A2358" s="115">
        <v>46021.0</v>
      </c>
      <c r="B2358" s="50"/>
      <c r="C2358" s="31" t="s">
        <v>2597</v>
      </c>
      <c r="D2358" s="32" t="s">
        <v>15</v>
      </c>
      <c r="E2358" s="31" t="s">
        <v>2598</v>
      </c>
      <c r="F2358" s="161">
        <v>46016.0</v>
      </c>
      <c r="G2358" s="53">
        <v>2.100022316E7</v>
      </c>
      <c r="H2358" s="14">
        <f t="shared" si="9"/>
        <v>4410046.864</v>
      </c>
      <c r="I2358" s="22">
        <v>630006.69</v>
      </c>
      <c r="J2358" s="22">
        <v>273002.9</v>
      </c>
      <c r="K2358" s="15">
        <f t="shared" si="4"/>
        <v>26313279.61</v>
      </c>
      <c r="L2358" s="45"/>
      <c r="M2358" s="6"/>
    </row>
    <row r="2359" ht="15.75" customHeight="1">
      <c r="A2359" s="115">
        <v>46021.0</v>
      </c>
      <c r="B2359" s="50"/>
      <c r="C2359" s="31" t="s">
        <v>2597</v>
      </c>
      <c r="D2359" s="32" t="s">
        <v>15</v>
      </c>
      <c r="E2359" s="31" t="s">
        <v>2599</v>
      </c>
      <c r="F2359" s="161">
        <v>46016.0</v>
      </c>
      <c r="G2359" s="53">
        <v>1.222337316E7</v>
      </c>
      <c r="H2359" s="14">
        <f t="shared" si="9"/>
        <v>2566908.364</v>
      </c>
      <c r="I2359" s="22">
        <v>366701.19</v>
      </c>
      <c r="J2359" s="22">
        <v>158903.85</v>
      </c>
      <c r="K2359" s="15">
        <f t="shared" si="4"/>
        <v>15315886.56</v>
      </c>
      <c r="L2359" s="45"/>
      <c r="M2359" s="6"/>
    </row>
    <row r="2360" ht="15.75" customHeight="1">
      <c r="A2360" s="115">
        <v>46021.0</v>
      </c>
      <c r="B2360" s="50"/>
      <c r="C2360" s="31" t="s">
        <v>2597</v>
      </c>
      <c r="D2360" s="32" t="s">
        <v>15</v>
      </c>
      <c r="E2360" s="31" t="s">
        <v>2600</v>
      </c>
      <c r="F2360" s="161">
        <v>46016.0</v>
      </c>
      <c r="G2360" s="53">
        <v>1.333822619E7</v>
      </c>
      <c r="H2360" s="14">
        <f t="shared" si="9"/>
        <v>2801027.5</v>
      </c>
      <c r="I2360" s="22">
        <v>400146.79</v>
      </c>
      <c r="J2360" s="22">
        <v>173396.94</v>
      </c>
      <c r="K2360" s="15">
        <f t="shared" si="4"/>
        <v>16712797.42</v>
      </c>
      <c r="L2360" s="45"/>
      <c r="M2360" s="6"/>
    </row>
    <row r="2361" ht="15.75" customHeight="1">
      <c r="A2361" s="115">
        <v>46021.0</v>
      </c>
      <c r="B2361" s="50"/>
      <c r="C2361" s="31" t="s">
        <v>2601</v>
      </c>
      <c r="D2361" s="32" t="s">
        <v>15</v>
      </c>
      <c r="E2361" s="31" t="s">
        <v>2602</v>
      </c>
      <c r="F2361" s="161">
        <v>46016.0</v>
      </c>
      <c r="G2361" s="53">
        <v>1.922233342E7</v>
      </c>
      <c r="H2361" s="14">
        <f t="shared" si="9"/>
        <v>4036690.018</v>
      </c>
      <c r="I2361" s="22"/>
      <c r="J2361" s="14"/>
      <c r="K2361" s="15">
        <f t="shared" si="4"/>
        <v>23259023.44</v>
      </c>
      <c r="L2361" s="45"/>
      <c r="M2361" s="6"/>
    </row>
    <row r="2362" ht="15.75" customHeight="1">
      <c r="A2362" s="115">
        <v>46021.0</v>
      </c>
      <c r="B2362" s="50"/>
      <c r="C2362" s="31" t="s">
        <v>2601</v>
      </c>
      <c r="D2362" s="32" t="s">
        <v>15</v>
      </c>
      <c r="E2362" s="31" t="s">
        <v>2603</v>
      </c>
      <c r="F2362" s="161">
        <v>46016.0</v>
      </c>
      <c r="G2362" s="53">
        <v>1.772626219E7</v>
      </c>
      <c r="H2362" s="14">
        <f t="shared" si="9"/>
        <v>3722515.06</v>
      </c>
      <c r="I2362" s="22"/>
      <c r="J2362" s="14"/>
      <c r="K2362" s="15">
        <f t="shared" si="4"/>
        <v>21448777.25</v>
      </c>
      <c r="L2362" s="45"/>
      <c r="M2362" s="6"/>
    </row>
    <row r="2363" ht="15.75" customHeight="1">
      <c r="A2363" s="115">
        <v>46021.0</v>
      </c>
      <c r="B2363" s="50"/>
      <c r="C2363" s="31" t="s">
        <v>2601</v>
      </c>
      <c r="D2363" s="32" t="s">
        <v>15</v>
      </c>
      <c r="E2363" s="31" t="s">
        <v>2604</v>
      </c>
      <c r="F2363" s="161">
        <v>46016.0</v>
      </c>
      <c r="G2363" s="53">
        <v>1.823363319E7</v>
      </c>
      <c r="H2363" s="14">
        <f t="shared" si="9"/>
        <v>3829062.97</v>
      </c>
      <c r="I2363" s="22"/>
      <c r="J2363" s="14"/>
      <c r="K2363" s="15">
        <f t="shared" si="4"/>
        <v>22062696.16</v>
      </c>
      <c r="L2363" s="45"/>
      <c r="M2363" s="6"/>
    </row>
    <row r="2364" ht="15.75" customHeight="1">
      <c r="A2364" s="115">
        <v>46021.0</v>
      </c>
      <c r="B2364" s="50"/>
      <c r="C2364" s="31" t="s">
        <v>2601</v>
      </c>
      <c r="D2364" s="32" t="s">
        <v>15</v>
      </c>
      <c r="E2364" s="31" t="s">
        <v>2605</v>
      </c>
      <c r="F2364" s="161">
        <v>46016.0</v>
      </c>
      <c r="G2364" s="53">
        <v>1.525243408E7</v>
      </c>
      <c r="H2364" s="14">
        <f t="shared" si="9"/>
        <v>3203011.157</v>
      </c>
      <c r="I2364" s="22"/>
      <c r="J2364" s="14"/>
      <c r="K2364" s="15">
        <f t="shared" si="4"/>
        <v>18455445.24</v>
      </c>
      <c r="L2364" s="45"/>
      <c r="M2364" s="6"/>
    </row>
    <row r="2365" ht="15.75" customHeight="1">
      <c r="A2365" s="115">
        <v>46021.0</v>
      </c>
      <c r="B2365" s="50"/>
      <c r="C2365" s="31" t="s">
        <v>2546</v>
      </c>
      <c r="D2365" s="32" t="s">
        <v>15</v>
      </c>
      <c r="E2365" s="31" t="s">
        <v>2606</v>
      </c>
      <c r="F2365" s="161">
        <v>46016.0</v>
      </c>
      <c r="G2365" s="53">
        <v>8042550.16</v>
      </c>
      <c r="H2365" s="14">
        <f t="shared" si="9"/>
        <v>1688935.534</v>
      </c>
      <c r="I2365" s="22"/>
      <c r="J2365" s="22">
        <v>88468.05</v>
      </c>
      <c r="K2365" s="15">
        <f t="shared" si="4"/>
        <v>9819953.744</v>
      </c>
      <c r="L2365" s="45"/>
      <c r="M2365" s="24">
        <v>46030.0</v>
      </c>
    </row>
    <row r="2366" ht="15.75" customHeight="1">
      <c r="A2366" s="115">
        <v>46021.0</v>
      </c>
      <c r="B2366" s="50"/>
      <c r="C2366" s="31" t="s">
        <v>2546</v>
      </c>
      <c r="D2366" s="32" t="s">
        <v>15</v>
      </c>
      <c r="E2366" s="31" t="s">
        <v>2607</v>
      </c>
      <c r="F2366" s="161">
        <v>46016.0</v>
      </c>
      <c r="G2366" s="53">
        <v>6191821.29</v>
      </c>
      <c r="H2366" s="14">
        <f t="shared" si="9"/>
        <v>1300282.471</v>
      </c>
      <c r="I2366" s="22"/>
      <c r="J2366" s="22">
        <v>68110.03</v>
      </c>
      <c r="K2366" s="15">
        <f t="shared" si="4"/>
        <v>7560213.791</v>
      </c>
      <c r="L2366" s="45"/>
      <c r="M2366" s="24">
        <v>46030.0</v>
      </c>
    </row>
    <row r="2367" ht="15.75" customHeight="1">
      <c r="A2367" s="115">
        <v>46021.0</v>
      </c>
      <c r="B2367" s="50"/>
      <c r="C2367" s="31" t="s">
        <v>268</v>
      </c>
      <c r="D2367" s="32" t="s">
        <v>15</v>
      </c>
      <c r="E2367" s="31" t="s">
        <v>2608</v>
      </c>
      <c r="F2367" s="161">
        <v>46016.0</v>
      </c>
      <c r="G2367" s="53">
        <v>1.332323715E7</v>
      </c>
      <c r="H2367" s="14">
        <f t="shared" si="9"/>
        <v>2797879.802</v>
      </c>
      <c r="I2367" s="22">
        <v>399697.11</v>
      </c>
      <c r="J2367" s="14"/>
      <c r="K2367" s="15">
        <f t="shared" si="4"/>
        <v>16520814.06</v>
      </c>
      <c r="L2367" s="45"/>
      <c r="M2367" s="6"/>
    </row>
    <row r="2368" ht="15.75" customHeight="1">
      <c r="A2368" s="115">
        <v>46021.0</v>
      </c>
      <c r="B2368" s="50"/>
      <c r="C2368" s="31" t="s">
        <v>268</v>
      </c>
      <c r="D2368" s="32" t="s">
        <v>15</v>
      </c>
      <c r="E2368" s="31" t="s">
        <v>2609</v>
      </c>
      <c r="F2368" s="161">
        <v>46016.0</v>
      </c>
      <c r="G2368" s="53">
        <v>1.822376342E7</v>
      </c>
      <c r="H2368" s="14">
        <f t="shared" si="9"/>
        <v>3826990.318</v>
      </c>
      <c r="I2368" s="22">
        <v>546712.9</v>
      </c>
      <c r="J2368" s="14"/>
      <c r="K2368" s="15">
        <f t="shared" si="4"/>
        <v>22597466.64</v>
      </c>
      <c r="L2368" s="45"/>
      <c r="M2368" s="6"/>
    </row>
    <row r="2369" ht="15.75" customHeight="1">
      <c r="A2369" s="177">
        <v>46022.0</v>
      </c>
      <c r="B2369" s="56"/>
      <c r="C2369" s="57" t="s">
        <v>969</v>
      </c>
      <c r="D2369" s="58" t="s">
        <v>15</v>
      </c>
      <c r="E2369" s="58" t="s">
        <v>2610</v>
      </c>
      <c r="F2369" s="178">
        <v>46016.0</v>
      </c>
      <c r="G2369" s="65">
        <v>2691911.97</v>
      </c>
      <c r="H2369" s="9">
        <f t="shared" si="9"/>
        <v>565301.5137</v>
      </c>
      <c r="I2369" s="44">
        <v>80757.36</v>
      </c>
      <c r="J2369" s="60"/>
      <c r="K2369" s="10">
        <f t="shared" si="4"/>
        <v>3337970.844</v>
      </c>
      <c r="L2369" s="61"/>
      <c r="M2369" s="62"/>
    </row>
    <row r="2370" ht="15.75" customHeight="1">
      <c r="A2370" s="115">
        <v>46022.0</v>
      </c>
      <c r="B2370" s="50"/>
      <c r="C2370" s="31" t="s">
        <v>807</v>
      </c>
      <c r="D2370" s="32" t="s">
        <v>15</v>
      </c>
      <c r="E2370" s="32" t="s">
        <v>2611</v>
      </c>
      <c r="F2370" s="161">
        <v>46016.0</v>
      </c>
      <c r="G2370" s="53">
        <v>4764570.3</v>
      </c>
      <c r="H2370" s="14">
        <f t="shared" si="9"/>
        <v>1000559.763</v>
      </c>
      <c r="I2370" s="22">
        <v>142937.11</v>
      </c>
      <c r="J2370" s="14"/>
      <c r="K2370" s="15">
        <f t="shared" si="4"/>
        <v>5908067.173</v>
      </c>
      <c r="L2370" s="45"/>
      <c r="M2370" s="24">
        <v>46031.0</v>
      </c>
    </row>
    <row r="2371" ht="15.75" customHeight="1">
      <c r="A2371" s="177">
        <v>46022.0</v>
      </c>
      <c r="B2371" s="56"/>
      <c r="C2371" s="57" t="s">
        <v>969</v>
      </c>
      <c r="D2371" s="58" t="s">
        <v>15</v>
      </c>
      <c r="E2371" s="58" t="s">
        <v>2612</v>
      </c>
      <c r="F2371" s="178">
        <v>46016.0</v>
      </c>
      <c r="G2371" s="65">
        <v>1783732.11</v>
      </c>
      <c r="H2371" s="9">
        <f t="shared" si="9"/>
        <v>374583.7431</v>
      </c>
      <c r="I2371" s="44">
        <v>53511.96</v>
      </c>
      <c r="J2371" s="60"/>
      <c r="K2371" s="10">
        <f t="shared" si="4"/>
        <v>2211827.813</v>
      </c>
      <c r="L2371" s="61"/>
      <c r="M2371" s="62"/>
    </row>
    <row r="2372" ht="15.75" customHeight="1">
      <c r="A2372" s="115">
        <v>46022.0</v>
      </c>
      <c r="B2372" s="50"/>
      <c r="C2372" s="31" t="s">
        <v>2613</v>
      </c>
      <c r="D2372" s="32" t="s">
        <v>15</v>
      </c>
      <c r="E2372" s="32" t="s">
        <v>2614</v>
      </c>
      <c r="F2372" s="161">
        <v>46016.0</v>
      </c>
      <c r="G2372" s="53">
        <v>2.490145491E7</v>
      </c>
      <c r="H2372" s="14">
        <f t="shared" si="9"/>
        <v>5229305.531</v>
      </c>
      <c r="I2372" s="22">
        <v>747043.65</v>
      </c>
      <c r="J2372" s="14"/>
      <c r="K2372" s="15">
        <f t="shared" si="4"/>
        <v>30877804.09</v>
      </c>
      <c r="L2372" s="45"/>
      <c r="M2372" s="24">
        <v>46038.0</v>
      </c>
    </row>
    <row r="2373" ht="15.75" customHeight="1">
      <c r="A2373" s="115">
        <v>46022.0</v>
      </c>
      <c r="B2373" s="50"/>
      <c r="C2373" s="31" t="s">
        <v>969</v>
      </c>
      <c r="D2373" s="32" t="s">
        <v>15</v>
      </c>
      <c r="E2373" s="32" t="s">
        <v>2615</v>
      </c>
      <c r="F2373" s="161">
        <v>46016.0</v>
      </c>
      <c r="G2373" s="53">
        <v>3222837.0</v>
      </c>
      <c r="H2373" s="14">
        <f t="shared" si="9"/>
        <v>676795.77</v>
      </c>
      <c r="I2373" s="22">
        <v>96685.11</v>
      </c>
      <c r="J2373" s="14"/>
      <c r="K2373" s="15">
        <f t="shared" si="4"/>
        <v>3996317.88</v>
      </c>
      <c r="L2373" s="45"/>
      <c r="M2373" s="6"/>
    </row>
    <row r="2374" ht="15.75" customHeight="1">
      <c r="A2374" s="177">
        <v>46022.0</v>
      </c>
      <c r="B2374" s="56"/>
      <c r="C2374" s="57" t="s">
        <v>2616</v>
      </c>
      <c r="D2374" s="58" t="s">
        <v>15</v>
      </c>
      <c r="E2374" s="58" t="s">
        <v>2617</v>
      </c>
      <c r="F2374" s="178">
        <v>46016.0</v>
      </c>
      <c r="G2374" s="65">
        <v>8569800.0</v>
      </c>
      <c r="H2374" s="9">
        <f t="shared" si="9"/>
        <v>1799658</v>
      </c>
      <c r="I2374" s="44">
        <v>407065.5</v>
      </c>
      <c r="J2374" s="60"/>
      <c r="K2374" s="10">
        <f t="shared" si="4"/>
        <v>10776523.5</v>
      </c>
      <c r="L2374" s="61"/>
      <c r="M2374" s="62"/>
    </row>
    <row r="2375" ht="15.75" customHeight="1">
      <c r="A2375" s="115">
        <v>46022.0</v>
      </c>
      <c r="B2375" s="50"/>
      <c r="C2375" s="31" t="s">
        <v>2618</v>
      </c>
      <c r="D2375" s="32" t="s">
        <v>15</v>
      </c>
      <c r="E2375" s="32" t="s">
        <v>2619</v>
      </c>
      <c r="F2375" s="161">
        <v>46016.0</v>
      </c>
      <c r="G2375" s="53">
        <v>8536582.07</v>
      </c>
      <c r="H2375" s="14">
        <f t="shared" si="9"/>
        <v>1792682.235</v>
      </c>
      <c r="I2375" s="22">
        <v>256097.46</v>
      </c>
      <c r="J2375" s="14"/>
      <c r="K2375" s="15">
        <f t="shared" si="4"/>
        <v>10585361.76</v>
      </c>
      <c r="L2375" s="45"/>
      <c r="M2375" s="6"/>
    </row>
    <row r="2376" ht="15.75" customHeight="1">
      <c r="A2376" s="162">
        <v>46024.0</v>
      </c>
      <c r="B2376" s="50"/>
      <c r="C2376" s="31" t="s">
        <v>171</v>
      </c>
      <c r="D2376" s="32" t="s">
        <v>99</v>
      </c>
      <c r="E2376" s="31" t="s">
        <v>2620</v>
      </c>
      <c r="F2376" s="161">
        <v>46048.0</v>
      </c>
      <c r="G2376" s="53">
        <v>1.123373252E7</v>
      </c>
      <c r="H2376" s="14">
        <f t="shared" si="9"/>
        <v>2359083.829</v>
      </c>
      <c r="I2376" s="22"/>
      <c r="J2376" s="14"/>
      <c r="K2376" s="15">
        <f t="shared" si="4"/>
        <v>13592816.35</v>
      </c>
      <c r="L2376" s="45"/>
      <c r="M2376" s="6"/>
    </row>
    <row r="2377" ht="15.75" customHeight="1">
      <c r="A2377" s="162">
        <v>46024.0</v>
      </c>
      <c r="B2377" s="50"/>
      <c r="C2377" s="31" t="s">
        <v>171</v>
      </c>
      <c r="D2377" s="32" t="s">
        <v>99</v>
      </c>
      <c r="E2377" s="31" t="s">
        <v>2621</v>
      </c>
      <c r="F2377" s="161">
        <v>46048.0</v>
      </c>
      <c r="G2377" s="53">
        <v>8363652.18</v>
      </c>
      <c r="H2377" s="14">
        <f t="shared" si="9"/>
        <v>1756366.958</v>
      </c>
      <c r="I2377" s="22"/>
      <c r="J2377" s="14"/>
      <c r="K2377" s="15">
        <f t="shared" si="4"/>
        <v>10120019.14</v>
      </c>
      <c r="L2377" s="45"/>
      <c r="M2377" s="6"/>
    </row>
    <row r="2378" ht="15.75" customHeight="1">
      <c r="A2378" s="162">
        <v>46024.0</v>
      </c>
      <c r="B2378" s="50"/>
      <c r="C2378" s="31" t="s">
        <v>171</v>
      </c>
      <c r="D2378" s="32" t="s">
        <v>99</v>
      </c>
      <c r="E2378" s="31" t="s">
        <v>2622</v>
      </c>
      <c r="F2378" s="161">
        <v>46048.0</v>
      </c>
      <c r="G2378" s="53">
        <v>8882736.17</v>
      </c>
      <c r="H2378" s="14">
        <f t="shared" si="9"/>
        <v>1865374.596</v>
      </c>
      <c r="I2378" s="22"/>
      <c r="J2378" s="14"/>
      <c r="K2378" s="15">
        <f t="shared" si="4"/>
        <v>10748110.77</v>
      </c>
      <c r="L2378" s="45"/>
      <c r="M2378" s="6"/>
    </row>
    <row r="2379" ht="15.75" customHeight="1">
      <c r="A2379" s="162">
        <v>46024.0</v>
      </c>
      <c r="B2379" s="50"/>
      <c r="C2379" s="31" t="s">
        <v>171</v>
      </c>
      <c r="D2379" s="32" t="s">
        <v>15</v>
      </c>
      <c r="E2379" s="31" t="s">
        <v>2623</v>
      </c>
      <c r="F2379" s="161">
        <v>46048.0</v>
      </c>
      <c r="G2379" s="53">
        <v>1.337262329E7</v>
      </c>
      <c r="H2379" s="14">
        <f t="shared" si="9"/>
        <v>2808250.891</v>
      </c>
      <c r="I2379" s="22"/>
      <c r="J2379" s="14"/>
      <c r="K2379" s="15">
        <f t="shared" si="4"/>
        <v>16180874.18</v>
      </c>
      <c r="L2379" s="45"/>
      <c r="M2379" s="6"/>
    </row>
    <row r="2380" ht="15.75" customHeight="1">
      <c r="A2380" s="162">
        <v>46024.0</v>
      </c>
      <c r="B2380" s="50"/>
      <c r="C2380" s="31" t="s">
        <v>171</v>
      </c>
      <c r="D2380" s="32" t="s">
        <v>99</v>
      </c>
      <c r="E2380" s="31" t="s">
        <v>2624</v>
      </c>
      <c r="F2380" s="161">
        <v>46048.0</v>
      </c>
      <c r="G2380" s="53">
        <v>1.662525362E7</v>
      </c>
      <c r="H2380" s="14">
        <f t="shared" si="9"/>
        <v>3491303.26</v>
      </c>
      <c r="I2380" s="22"/>
      <c r="J2380" s="14"/>
      <c r="K2380" s="15">
        <f t="shared" si="4"/>
        <v>20116556.88</v>
      </c>
      <c r="L2380" s="45"/>
      <c r="M2380" s="6"/>
    </row>
    <row r="2381" ht="15.75" customHeight="1">
      <c r="A2381" s="162">
        <v>46024.0</v>
      </c>
      <c r="B2381" s="50"/>
      <c r="C2381" s="31" t="s">
        <v>171</v>
      </c>
      <c r="D2381" s="32" t="s">
        <v>15</v>
      </c>
      <c r="E2381" s="31" t="s">
        <v>2625</v>
      </c>
      <c r="F2381" s="161">
        <v>46048.0</v>
      </c>
      <c r="G2381" s="53">
        <v>9233373.25</v>
      </c>
      <c r="H2381" s="14">
        <f t="shared" si="9"/>
        <v>1939008.383</v>
      </c>
      <c r="I2381" s="22"/>
      <c r="J2381" s="14"/>
      <c r="K2381" s="15">
        <f t="shared" si="4"/>
        <v>11172381.63</v>
      </c>
      <c r="L2381" s="45"/>
      <c r="M2381" s="6"/>
    </row>
    <row r="2382" ht="15.75" customHeight="1">
      <c r="A2382" s="162">
        <v>46024.0</v>
      </c>
      <c r="B2382" s="50"/>
      <c r="C2382" s="31" t="s">
        <v>171</v>
      </c>
      <c r="D2382" s="32" t="s">
        <v>15</v>
      </c>
      <c r="E2382" s="31" t="s">
        <v>2626</v>
      </c>
      <c r="F2382" s="161">
        <v>46048.0</v>
      </c>
      <c r="G2382" s="53">
        <v>9112332.28</v>
      </c>
      <c r="H2382" s="14">
        <f t="shared" si="9"/>
        <v>1913589.779</v>
      </c>
      <c r="I2382" s="22"/>
      <c r="J2382" s="14"/>
      <c r="K2382" s="15">
        <f t="shared" si="4"/>
        <v>11025922.06</v>
      </c>
      <c r="L2382" s="45"/>
      <c r="M2382" s="6"/>
    </row>
    <row r="2383" ht="15.75" customHeight="1">
      <c r="A2383" s="162">
        <v>46024.0</v>
      </c>
      <c r="B2383" s="50"/>
      <c r="C2383" s="31" t="s">
        <v>171</v>
      </c>
      <c r="D2383" s="32" t="s">
        <v>15</v>
      </c>
      <c r="E2383" s="31" t="s">
        <v>2627</v>
      </c>
      <c r="F2383" s="161">
        <v>46048.0</v>
      </c>
      <c r="G2383" s="53">
        <v>1.372726385E7</v>
      </c>
      <c r="H2383" s="14">
        <f t="shared" si="9"/>
        <v>2882725.409</v>
      </c>
      <c r="I2383" s="22"/>
      <c r="J2383" s="14"/>
      <c r="K2383" s="15">
        <f t="shared" si="4"/>
        <v>16609989.26</v>
      </c>
      <c r="L2383" s="45"/>
      <c r="M2383" s="6"/>
    </row>
    <row r="2384" ht="15.75" customHeight="1">
      <c r="A2384" s="162">
        <v>46024.0</v>
      </c>
      <c r="B2384" s="50"/>
      <c r="C2384" s="31" t="s">
        <v>2221</v>
      </c>
      <c r="D2384" s="32" t="s">
        <v>99</v>
      </c>
      <c r="E2384" s="31" t="s">
        <v>2628</v>
      </c>
      <c r="F2384" s="161">
        <v>46048.0</v>
      </c>
      <c r="G2384" s="53">
        <v>1.399923752E7</v>
      </c>
      <c r="H2384" s="14">
        <f t="shared" si="9"/>
        <v>2939839.879</v>
      </c>
      <c r="I2384" s="22">
        <v>419977.13</v>
      </c>
      <c r="J2384" s="14"/>
      <c r="K2384" s="15">
        <f t="shared" si="4"/>
        <v>17359054.53</v>
      </c>
      <c r="L2384" s="45"/>
      <c r="M2384" s="24">
        <v>46027.0</v>
      </c>
    </row>
    <row r="2385" ht="15.75" customHeight="1">
      <c r="A2385" s="162">
        <v>46024.0</v>
      </c>
      <c r="B2385" s="50"/>
      <c r="C2385" s="31" t="s">
        <v>2221</v>
      </c>
      <c r="D2385" s="32" t="s">
        <v>99</v>
      </c>
      <c r="E2385" s="31" t="s">
        <v>2629</v>
      </c>
      <c r="F2385" s="161">
        <v>46048.0</v>
      </c>
      <c r="G2385" s="53">
        <v>1.000152094E7</v>
      </c>
      <c r="H2385" s="14">
        <f t="shared" si="9"/>
        <v>2100319.397</v>
      </c>
      <c r="I2385" s="22">
        <v>300045.63</v>
      </c>
      <c r="J2385" s="14"/>
      <c r="K2385" s="15">
        <f t="shared" si="4"/>
        <v>12401885.97</v>
      </c>
      <c r="L2385" s="45"/>
      <c r="M2385" s="24">
        <v>46027.0</v>
      </c>
    </row>
    <row r="2386" ht="15.75" customHeight="1">
      <c r="A2386" s="162">
        <v>46024.0</v>
      </c>
      <c r="B2386" s="50"/>
      <c r="C2386" s="31" t="s">
        <v>2221</v>
      </c>
      <c r="D2386" s="32" t="s">
        <v>99</v>
      </c>
      <c r="E2386" s="31" t="s">
        <v>2630</v>
      </c>
      <c r="F2386" s="161">
        <v>46048.0</v>
      </c>
      <c r="G2386" s="53">
        <v>7882733.26</v>
      </c>
      <c r="H2386" s="14">
        <f t="shared" si="9"/>
        <v>1655373.985</v>
      </c>
      <c r="I2386" s="22">
        <v>236482.0</v>
      </c>
      <c r="J2386" s="14"/>
      <c r="K2386" s="15">
        <f t="shared" si="4"/>
        <v>9774589.245</v>
      </c>
      <c r="L2386" s="45"/>
      <c r="M2386" s="24">
        <v>46027.0</v>
      </c>
    </row>
    <row r="2387" ht="15.75" customHeight="1">
      <c r="A2387" s="162">
        <v>46024.0</v>
      </c>
      <c r="B2387" s="50"/>
      <c r="C2387" s="31" t="s">
        <v>2221</v>
      </c>
      <c r="D2387" s="32" t="s">
        <v>99</v>
      </c>
      <c r="E2387" s="31" t="s">
        <v>2631</v>
      </c>
      <c r="F2387" s="161">
        <v>46048.0</v>
      </c>
      <c r="G2387" s="53">
        <v>1.066468216E7</v>
      </c>
      <c r="H2387" s="14">
        <f t="shared" si="9"/>
        <v>2239583.254</v>
      </c>
      <c r="I2387" s="22">
        <v>319940.46</v>
      </c>
      <c r="J2387" s="14"/>
      <c r="K2387" s="15">
        <f t="shared" si="4"/>
        <v>13224205.87</v>
      </c>
      <c r="L2387" s="45"/>
      <c r="M2387" s="24">
        <v>46027.0</v>
      </c>
    </row>
    <row r="2388" ht="15.75" customHeight="1">
      <c r="A2388" s="162">
        <v>46024.0</v>
      </c>
      <c r="B2388" s="50"/>
      <c r="C2388" s="31" t="s">
        <v>2221</v>
      </c>
      <c r="D2388" s="32" t="s">
        <v>99</v>
      </c>
      <c r="E2388" s="31" t="s">
        <v>2632</v>
      </c>
      <c r="F2388" s="161">
        <v>46048.0</v>
      </c>
      <c r="G2388" s="53">
        <v>6636322.19</v>
      </c>
      <c r="H2388" s="14">
        <f t="shared" si="9"/>
        <v>1393627.66</v>
      </c>
      <c r="I2388" s="22">
        <v>199089.67</v>
      </c>
      <c r="J2388" s="14"/>
      <c r="K2388" s="15">
        <f t="shared" si="4"/>
        <v>8229039.52</v>
      </c>
      <c r="L2388" s="45"/>
      <c r="M2388" s="24">
        <v>46027.0</v>
      </c>
    </row>
    <row r="2389" ht="15.75" customHeight="1">
      <c r="A2389" s="164">
        <v>46024.0</v>
      </c>
      <c r="B2389" s="56"/>
      <c r="C2389" s="57" t="s">
        <v>969</v>
      </c>
      <c r="D2389" s="120" t="s">
        <v>2633</v>
      </c>
      <c r="E2389" s="58" t="s">
        <v>2634</v>
      </c>
      <c r="F2389" s="178">
        <v>46016.0</v>
      </c>
      <c r="G2389" s="65">
        <v>2.45216E7</v>
      </c>
      <c r="H2389" s="9">
        <f t="shared" si="9"/>
        <v>5149536</v>
      </c>
      <c r="I2389" s="44"/>
      <c r="J2389" s="60"/>
      <c r="K2389" s="10">
        <f t="shared" si="4"/>
        <v>29671136</v>
      </c>
      <c r="L2389" s="61"/>
      <c r="M2389" s="62"/>
    </row>
    <row r="2390" ht="15.75" customHeight="1">
      <c r="A2390" s="162">
        <v>46028.0</v>
      </c>
      <c r="B2390" s="50"/>
      <c r="C2390" s="31" t="s">
        <v>1112</v>
      </c>
      <c r="D2390" s="32" t="s">
        <v>15</v>
      </c>
      <c r="E2390" s="31" t="s">
        <v>2635</v>
      </c>
      <c r="F2390" s="161">
        <v>46048.0</v>
      </c>
      <c r="G2390" s="53">
        <v>1.999354285E7</v>
      </c>
      <c r="H2390" s="14">
        <f t="shared" si="9"/>
        <v>4198643.999</v>
      </c>
      <c r="I2390" s="22"/>
      <c r="J2390" s="14"/>
      <c r="K2390" s="15">
        <f t="shared" si="4"/>
        <v>24192186.85</v>
      </c>
      <c r="L2390" s="45"/>
      <c r="M2390" s="24">
        <v>46043.0</v>
      </c>
    </row>
    <row r="2391" ht="15.75" customHeight="1">
      <c r="A2391" s="162">
        <v>46028.0</v>
      </c>
      <c r="B2391" s="50"/>
      <c r="C2391" s="31" t="s">
        <v>1112</v>
      </c>
      <c r="D2391" s="32" t="s">
        <v>99</v>
      </c>
      <c r="E2391" s="32" t="s">
        <v>2636</v>
      </c>
      <c r="F2391" s="161">
        <v>46048.0</v>
      </c>
      <c r="G2391" s="53">
        <v>1.998924513E7</v>
      </c>
      <c r="H2391" s="14">
        <f t="shared" si="9"/>
        <v>4197741.477</v>
      </c>
      <c r="I2391" s="22"/>
      <c r="J2391" s="14"/>
      <c r="K2391" s="15">
        <f t="shared" si="4"/>
        <v>24186986.61</v>
      </c>
      <c r="L2391" s="45"/>
      <c r="M2391" s="24">
        <v>46043.0</v>
      </c>
    </row>
    <row r="2392" ht="15.75" customHeight="1">
      <c r="A2392" s="162">
        <v>46028.0</v>
      </c>
      <c r="B2392" s="50"/>
      <c r="C2392" s="31" t="s">
        <v>1842</v>
      </c>
      <c r="D2392" s="32" t="s">
        <v>15</v>
      </c>
      <c r="E2392" s="31" t="s">
        <v>2637</v>
      </c>
      <c r="F2392" s="161">
        <v>46048.0</v>
      </c>
      <c r="G2392" s="53">
        <v>2.270835216E7</v>
      </c>
      <c r="H2392" s="14">
        <f t="shared" si="9"/>
        <v>4768753.954</v>
      </c>
      <c r="I2392" s="22"/>
      <c r="J2392" s="14"/>
      <c r="K2392" s="15">
        <f t="shared" si="4"/>
        <v>27477106.11</v>
      </c>
      <c r="L2392" s="45"/>
      <c r="M2392" s="24">
        <v>46035.0</v>
      </c>
    </row>
    <row r="2393" ht="15.75" customHeight="1">
      <c r="A2393" s="162">
        <v>46029.0</v>
      </c>
      <c r="B2393" s="50"/>
      <c r="C2393" s="31" t="s">
        <v>1136</v>
      </c>
      <c r="D2393" s="32" t="s">
        <v>15</v>
      </c>
      <c r="E2393" s="31" t="s">
        <v>2638</v>
      </c>
      <c r="F2393" s="161">
        <v>46048.0</v>
      </c>
      <c r="G2393" s="53">
        <v>3.448076116E7</v>
      </c>
      <c r="H2393" s="14">
        <f t="shared" si="9"/>
        <v>7240959.844</v>
      </c>
      <c r="I2393" s="22">
        <v>1034422.83</v>
      </c>
      <c r="J2393" s="22">
        <v>862019.03</v>
      </c>
      <c r="K2393" s="15">
        <f t="shared" si="4"/>
        <v>43618162.86</v>
      </c>
      <c r="L2393" s="45"/>
      <c r="M2393" s="6"/>
    </row>
    <row r="2394" ht="15.75" customHeight="1">
      <c r="A2394" s="162">
        <v>46029.0</v>
      </c>
      <c r="B2394" s="50"/>
      <c r="C2394" s="31" t="s">
        <v>1136</v>
      </c>
      <c r="D2394" s="32" t="s">
        <v>15</v>
      </c>
      <c r="E2394" s="31" t="s">
        <v>2639</v>
      </c>
      <c r="F2394" s="161">
        <v>46048.0</v>
      </c>
      <c r="G2394" s="53">
        <v>3.489515188E7</v>
      </c>
      <c r="H2394" s="14">
        <f t="shared" si="9"/>
        <v>7327981.895</v>
      </c>
      <c r="I2394" s="22">
        <v>1046854.56</v>
      </c>
      <c r="J2394" s="22">
        <v>872378.8</v>
      </c>
      <c r="K2394" s="15">
        <f t="shared" si="4"/>
        <v>44142367.13</v>
      </c>
      <c r="L2394" s="45"/>
      <c r="M2394" s="6"/>
    </row>
    <row r="2395" ht="15.75" customHeight="1">
      <c r="A2395" s="162">
        <v>46029.0</v>
      </c>
      <c r="B2395" s="50"/>
      <c r="C2395" s="31" t="s">
        <v>1136</v>
      </c>
      <c r="D2395" s="32" t="s">
        <v>15</v>
      </c>
      <c r="E2395" s="31" t="s">
        <v>2640</v>
      </c>
      <c r="F2395" s="161">
        <v>46048.0</v>
      </c>
      <c r="G2395" s="53">
        <v>3.422176696E7</v>
      </c>
      <c r="H2395" s="14">
        <f t="shared" si="9"/>
        <v>7186571.062</v>
      </c>
      <c r="I2395" s="22">
        <v>1026653.01</v>
      </c>
      <c r="J2395" s="22">
        <v>855544.17</v>
      </c>
      <c r="K2395" s="15">
        <f t="shared" si="4"/>
        <v>43290535.2</v>
      </c>
      <c r="L2395" s="45"/>
      <c r="M2395" s="6"/>
    </row>
    <row r="2396" ht="15.75" customHeight="1">
      <c r="A2396" s="162">
        <v>46029.0</v>
      </c>
      <c r="B2396" s="50"/>
      <c r="C2396" s="31" t="s">
        <v>1136</v>
      </c>
      <c r="D2396" s="32" t="s">
        <v>99</v>
      </c>
      <c r="E2396" s="31" t="s">
        <v>2641</v>
      </c>
      <c r="F2396" s="161">
        <v>46048.0</v>
      </c>
      <c r="G2396" s="53">
        <v>3.441444825E7</v>
      </c>
      <c r="H2396" s="14">
        <f t="shared" si="9"/>
        <v>7227034.133</v>
      </c>
      <c r="I2396" s="22">
        <v>1032433.45</v>
      </c>
      <c r="J2396" s="22">
        <v>860361.21</v>
      </c>
      <c r="K2396" s="15">
        <f t="shared" si="4"/>
        <v>43534277.04</v>
      </c>
      <c r="L2396" s="45"/>
      <c r="M2396" s="6"/>
    </row>
    <row r="2397" ht="15.75" customHeight="1">
      <c r="A2397" s="162">
        <v>46029.0</v>
      </c>
      <c r="B2397" s="50"/>
      <c r="C2397" s="31" t="s">
        <v>1136</v>
      </c>
      <c r="D2397" s="32" t="s">
        <v>99</v>
      </c>
      <c r="E2397" s="31" t="s">
        <v>2642</v>
      </c>
      <c r="F2397" s="161">
        <v>46048.0</v>
      </c>
      <c r="G2397" s="53">
        <v>3.458695175E7</v>
      </c>
      <c r="H2397" s="14">
        <f t="shared" si="9"/>
        <v>7263259.868</v>
      </c>
      <c r="I2397" s="22">
        <v>1037608.55</v>
      </c>
      <c r="J2397" s="22">
        <v>864673.79</v>
      </c>
      <c r="K2397" s="15">
        <f t="shared" si="4"/>
        <v>43752493.96</v>
      </c>
      <c r="L2397" s="45"/>
      <c r="M2397" s="6"/>
    </row>
    <row r="2398" ht="15.75" customHeight="1">
      <c r="A2398" s="162">
        <v>46029.0</v>
      </c>
      <c r="B2398" s="50"/>
      <c r="C2398" s="31" t="s">
        <v>168</v>
      </c>
      <c r="D2398" s="32" t="s">
        <v>99</v>
      </c>
      <c r="E2398" s="31" t="s">
        <v>2643</v>
      </c>
      <c r="F2398" s="161">
        <v>46048.0</v>
      </c>
      <c r="G2398" s="53">
        <v>9309352.51</v>
      </c>
      <c r="H2398" s="14">
        <f t="shared" si="9"/>
        <v>1954964.027</v>
      </c>
      <c r="I2398" s="22">
        <v>279280.58</v>
      </c>
      <c r="J2398" s="14"/>
      <c r="K2398" s="15">
        <f t="shared" si="4"/>
        <v>11543597.12</v>
      </c>
      <c r="L2398" s="45"/>
      <c r="M2398" s="24">
        <v>46031.0</v>
      </c>
    </row>
    <row r="2399" ht="15.75" customHeight="1">
      <c r="A2399" s="162">
        <v>46029.0</v>
      </c>
      <c r="B2399" s="50"/>
      <c r="C2399" s="31" t="s">
        <v>16</v>
      </c>
      <c r="D2399" s="32" t="s">
        <v>99</v>
      </c>
      <c r="E2399" s="31" t="s">
        <v>2644</v>
      </c>
      <c r="F2399" s="161">
        <v>46048.0</v>
      </c>
      <c r="G2399" s="53">
        <v>1.031126052E7</v>
      </c>
      <c r="H2399" s="14">
        <f t="shared" si="9"/>
        <v>2165364.709</v>
      </c>
      <c r="I2399" s="22">
        <v>309337.82</v>
      </c>
      <c r="J2399" s="14"/>
      <c r="K2399" s="15">
        <f t="shared" si="4"/>
        <v>12785963.05</v>
      </c>
      <c r="L2399" s="45"/>
      <c r="M2399" s="24">
        <v>46031.0</v>
      </c>
    </row>
    <row r="2400" ht="15.75" customHeight="1">
      <c r="A2400" s="162">
        <v>46029.0</v>
      </c>
      <c r="B2400" s="50"/>
      <c r="C2400" s="31" t="s">
        <v>1858</v>
      </c>
      <c r="D2400" s="32" t="s">
        <v>99</v>
      </c>
      <c r="E2400" s="31" t="s">
        <v>2645</v>
      </c>
      <c r="F2400" s="161">
        <v>46048.0</v>
      </c>
      <c r="G2400" s="53">
        <v>5236314.16</v>
      </c>
      <c r="H2400" s="14">
        <f t="shared" si="9"/>
        <v>1099625.974</v>
      </c>
      <c r="I2400" s="22">
        <v>157089.42</v>
      </c>
      <c r="J2400" s="22">
        <v>20945.26</v>
      </c>
      <c r="K2400" s="15">
        <f t="shared" si="4"/>
        <v>6513974.814</v>
      </c>
      <c r="L2400" s="45"/>
      <c r="M2400" s="24">
        <v>46041.0</v>
      </c>
    </row>
    <row r="2401" ht="15.75" customHeight="1">
      <c r="A2401" s="162">
        <v>46029.0</v>
      </c>
      <c r="B2401" s="50"/>
      <c r="C2401" s="31" t="s">
        <v>1858</v>
      </c>
      <c r="D2401" s="32" t="s">
        <v>99</v>
      </c>
      <c r="E2401" s="31" t="s">
        <v>2646</v>
      </c>
      <c r="F2401" s="161">
        <v>46048.0</v>
      </c>
      <c r="G2401" s="53">
        <v>6548199.75</v>
      </c>
      <c r="H2401" s="14">
        <f t="shared" si="9"/>
        <v>1375121.948</v>
      </c>
      <c r="I2401" s="22">
        <v>196445.99</v>
      </c>
      <c r="J2401" s="22">
        <v>26192.8</v>
      </c>
      <c r="K2401" s="15">
        <f t="shared" si="4"/>
        <v>8145960.488</v>
      </c>
      <c r="L2401" s="45"/>
      <c r="M2401" s="24">
        <v>46042.0</v>
      </c>
    </row>
    <row r="2402" ht="15.75" customHeight="1">
      <c r="A2402" s="162">
        <v>46029.0</v>
      </c>
      <c r="B2402" s="50"/>
      <c r="C2402" s="31" t="s">
        <v>1858</v>
      </c>
      <c r="D2402" s="32" t="s">
        <v>15</v>
      </c>
      <c r="E2402" s="31" t="s">
        <v>2647</v>
      </c>
      <c r="F2402" s="161">
        <v>46048.0</v>
      </c>
      <c r="G2402" s="53">
        <v>2.50386006E7</v>
      </c>
      <c r="H2402" s="14">
        <f t="shared" si="9"/>
        <v>5258106.126</v>
      </c>
      <c r="I2402" s="22">
        <v>751158.02</v>
      </c>
      <c r="J2402" s="22">
        <v>100154.4</v>
      </c>
      <c r="K2402" s="15">
        <f t="shared" si="4"/>
        <v>31148019.15</v>
      </c>
      <c r="L2402" s="45"/>
      <c r="M2402" s="24">
        <v>46036.0</v>
      </c>
    </row>
    <row r="2403" ht="15.75" customHeight="1">
      <c r="A2403" s="162">
        <v>46029.0</v>
      </c>
      <c r="B2403" s="50"/>
      <c r="C2403" s="31" t="s">
        <v>1861</v>
      </c>
      <c r="D2403" s="32" t="s">
        <v>99</v>
      </c>
      <c r="E2403" s="31" t="s">
        <v>2648</v>
      </c>
      <c r="F2403" s="161">
        <v>46048.0</v>
      </c>
      <c r="G2403" s="53">
        <v>2.120718618E7</v>
      </c>
      <c r="H2403" s="14">
        <f t="shared" si="9"/>
        <v>4453509.098</v>
      </c>
      <c r="I2403" s="22">
        <v>636215.59</v>
      </c>
      <c r="J2403" s="22">
        <v>424143.72</v>
      </c>
      <c r="K2403" s="15">
        <f t="shared" si="4"/>
        <v>26721054.59</v>
      </c>
      <c r="L2403" s="45"/>
      <c r="M2403" s="19" t="s">
        <v>2649</v>
      </c>
    </row>
    <row r="2404" ht="15.75" customHeight="1">
      <c r="A2404" s="162">
        <v>46029.0</v>
      </c>
      <c r="B2404" s="50"/>
      <c r="C2404" s="31" t="s">
        <v>1861</v>
      </c>
      <c r="D2404" s="32" t="s">
        <v>99</v>
      </c>
      <c r="E2404" s="31" t="s">
        <v>2650</v>
      </c>
      <c r="F2404" s="161">
        <v>46048.0</v>
      </c>
      <c r="G2404" s="53">
        <v>2.4882663E7</v>
      </c>
      <c r="H2404" s="14">
        <f t="shared" si="9"/>
        <v>5225359.23</v>
      </c>
      <c r="I2404" s="22">
        <v>746479.89</v>
      </c>
      <c r="J2404" s="22">
        <v>497653.26</v>
      </c>
      <c r="K2404" s="15">
        <f t="shared" si="4"/>
        <v>31352155.38</v>
      </c>
      <c r="L2404" s="45"/>
      <c r="M2404" s="19" t="s">
        <v>2649</v>
      </c>
    </row>
    <row r="2405" ht="15.75" customHeight="1">
      <c r="A2405" s="162">
        <v>46029.0</v>
      </c>
      <c r="B2405" s="50"/>
      <c r="C2405" s="31" t="s">
        <v>1861</v>
      </c>
      <c r="D2405" s="32" t="s">
        <v>15</v>
      </c>
      <c r="E2405" s="31" t="s">
        <v>2651</v>
      </c>
      <c r="F2405" s="161">
        <v>46048.0</v>
      </c>
      <c r="G2405" s="53">
        <v>2.36273175E7</v>
      </c>
      <c r="H2405" s="14">
        <f t="shared" si="9"/>
        <v>4961736.675</v>
      </c>
      <c r="I2405" s="22">
        <v>708819.53</v>
      </c>
      <c r="J2405" s="22">
        <v>472546.35</v>
      </c>
      <c r="K2405" s="15">
        <f t="shared" si="4"/>
        <v>29770420.06</v>
      </c>
      <c r="L2405" s="45"/>
      <c r="M2405" s="19" t="s">
        <v>2652</v>
      </c>
    </row>
    <row r="2406" ht="15.75" customHeight="1">
      <c r="A2406" s="162">
        <v>46029.0</v>
      </c>
      <c r="B2406" s="50"/>
      <c r="C2406" s="31" t="s">
        <v>1854</v>
      </c>
      <c r="D2406" s="32" t="s">
        <v>15</v>
      </c>
      <c r="E2406" s="31" t="s">
        <v>2653</v>
      </c>
      <c r="F2406" s="161">
        <v>46048.0</v>
      </c>
      <c r="G2406" s="53">
        <v>2.48718085E7</v>
      </c>
      <c r="H2406" s="14">
        <f t="shared" si="9"/>
        <v>5223079.785</v>
      </c>
      <c r="I2406" s="22">
        <v>746154.26</v>
      </c>
      <c r="J2406" s="22">
        <v>1492308.51</v>
      </c>
      <c r="K2406" s="15">
        <f t="shared" si="4"/>
        <v>32333351.06</v>
      </c>
      <c r="L2406" s="45"/>
      <c r="M2406" s="24">
        <v>46036.0</v>
      </c>
    </row>
    <row r="2407" ht="15.75" customHeight="1">
      <c r="A2407" s="162">
        <v>46029.0</v>
      </c>
      <c r="B2407" s="50"/>
      <c r="C2407" s="31" t="s">
        <v>1854</v>
      </c>
      <c r="D2407" s="32" t="s">
        <v>15</v>
      </c>
      <c r="E2407" s="31" t="s">
        <v>2654</v>
      </c>
      <c r="F2407" s="161">
        <v>46048.0</v>
      </c>
      <c r="G2407" s="53">
        <v>2.2610735E7</v>
      </c>
      <c r="H2407" s="14">
        <f t="shared" si="9"/>
        <v>4748254.35</v>
      </c>
      <c r="I2407" s="22">
        <v>678322.05</v>
      </c>
      <c r="J2407" s="22">
        <v>1356644.1</v>
      </c>
      <c r="K2407" s="15">
        <f t="shared" si="4"/>
        <v>29393955.5</v>
      </c>
      <c r="L2407" s="45"/>
      <c r="M2407" s="24">
        <v>46036.0</v>
      </c>
    </row>
    <row r="2408" ht="15.75" customHeight="1">
      <c r="A2408" s="162">
        <v>46029.0</v>
      </c>
      <c r="B2408" s="50"/>
      <c r="C2408" s="31" t="s">
        <v>1854</v>
      </c>
      <c r="D2408" s="32" t="s">
        <v>15</v>
      </c>
      <c r="E2408" s="31" t="s">
        <v>2655</v>
      </c>
      <c r="F2408" s="161">
        <v>46048.0</v>
      </c>
      <c r="G2408" s="53">
        <v>6020226.0</v>
      </c>
      <c r="H2408" s="14">
        <f t="shared" si="9"/>
        <v>1264247.46</v>
      </c>
      <c r="I2408" s="22">
        <v>180606.78</v>
      </c>
      <c r="J2408" s="22">
        <v>361213.56</v>
      </c>
      <c r="K2408" s="15">
        <f t="shared" si="4"/>
        <v>7826293.8</v>
      </c>
      <c r="L2408" s="45"/>
      <c r="M2408" s="24">
        <v>46036.0</v>
      </c>
    </row>
    <row r="2409" ht="15.75" customHeight="1">
      <c r="A2409" s="162">
        <v>46029.0</v>
      </c>
      <c r="B2409" s="50"/>
      <c r="C2409" s="31" t="s">
        <v>1854</v>
      </c>
      <c r="D2409" s="32" t="s">
        <v>99</v>
      </c>
      <c r="E2409" s="31" t="s">
        <v>2656</v>
      </c>
      <c r="F2409" s="161">
        <v>46048.0</v>
      </c>
      <c r="G2409" s="53">
        <v>2.227646475E7</v>
      </c>
      <c r="H2409" s="14">
        <f t="shared" si="9"/>
        <v>4678057.598</v>
      </c>
      <c r="I2409" s="22">
        <v>668293.94</v>
      </c>
      <c r="J2409" s="22">
        <v>1336587.89</v>
      </c>
      <c r="K2409" s="15">
        <f t="shared" si="4"/>
        <v>28959404.18</v>
      </c>
      <c r="L2409" s="45"/>
      <c r="M2409" s="19" t="s">
        <v>2649</v>
      </c>
    </row>
    <row r="2410" ht="15.75" customHeight="1">
      <c r="A2410" s="162">
        <v>46029.0</v>
      </c>
      <c r="B2410" s="50"/>
      <c r="C2410" s="31" t="s">
        <v>1854</v>
      </c>
      <c r="D2410" s="32" t="s">
        <v>99</v>
      </c>
      <c r="E2410" s="31" t="s">
        <v>2657</v>
      </c>
      <c r="F2410" s="161">
        <v>46048.0</v>
      </c>
      <c r="G2410" s="53">
        <v>2.326652985E7</v>
      </c>
      <c r="H2410" s="14">
        <f t="shared" si="9"/>
        <v>4885971.269</v>
      </c>
      <c r="I2410" s="22">
        <v>697995.9</v>
      </c>
      <c r="J2410" s="22">
        <v>1395991.79</v>
      </c>
      <c r="K2410" s="15">
        <f t="shared" si="4"/>
        <v>30246488.81</v>
      </c>
      <c r="L2410" s="45"/>
      <c r="M2410" s="19" t="s">
        <v>2649</v>
      </c>
    </row>
    <row r="2411" ht="15.75" customHeight="1">
      <c r="A2411" s="162">
        <v>46030.0</v>
      </c>
      <c r="B2411" s="50"/>
      <c r="C2411" s="31" t="s">
        <v>1842</v>
      </c>
      <c r="D2411" s="32" t="s">
        <v>99</v>
      </c>
      <c r="E2411" s="31" t="s">
        <v>2658</v>
      </c>
      <c r="F2411" s="161">
        <v>46048.0</v>
      </c>
      <c r="G2411" s="53">
        <v>2.782457513E7</v>
      </c>
      <c r="H2411" s="14">
        <f t="shared" si="9"/>
        <v>5843160.777</v>
      </c>
      <c r="I2411" s="22"/>
      <c r="J2411" s="14"/>
      <c r="K2411" s="15">
        <f t="shared" si="4"/>
        <v>33667735.91</v>
      </c>
      <c r="L2411" s="45"/>
      <c r="M2411" s="24">
        <v>46035.0</v>
      </c>
    </row>
    <row r="2412" ht="15.75" customHeight="1">
      <c r="A2412" s="162">
        <v>46031.0</v>
      </c>
      <c r="B2412" s="50"/>
      <c r="C2412" s="31" t="s">
        <v>247</v>
      </c>
      <c r="D2412" s="32" t="s">
        <v>15</v>
      </c>
      <c r="E2412" s="31" t="s">
        <v>2659</v>
      </c>
      <c r="F2412" s="161">
        <v>46048.0</v>
      </c>
      <c r="G2412" s="53">
        <v>9873461.02</v>
      </c>
      <c r="H2412" s="14">
        <f t="shared" si="9"/>
        <v>2073426.814</v>
      </c>
      <c r="I2412" s="22"/>
      <c r="J2412" s="14"/>
      <c r="K2412" s="15">
        <f t="shared" si="4"/>
        <v>11946887.83</v>
      </c>
      <c r="L2412" s="45"/>
      <c r="M2412" s="24">
        <v>46036.0</v>
      </c>
    </row>
    <row r="2413" ht="15.75" customHeight="1">
      <c r="A2413" s="162">
        <v>46031.0</v>
      </c>
      <c r="B2413" s="50"/>
      <c r="C2413" s="31" t="s">
        <v>247</v>
      </c>
      <c r="D2413" s="32" t="s">
        <v>15</v>
      </c>
      <c r="E2413" s="31" t="s">
        <v>2660</v>
      </c>
      <c r="F2413" s="161">
        <v>46048.0</v>
      </c>
      <c r="G2413" s="53">
        <v>1.014257505E7</v>
      </c>
      <c r="H2413" s="14">
        <f t="shared" si="9"/>
        <v>2129940.761</v>
      </c>
      <c r="I2413" s="22"/>
      <c r="J2413" s="14"/>
      <c r="K2413" s="15">
        <f t="shared" si="4"/>
        <v>12272515.81</v>
      </c>
      <c r="L2413" s="45"/>
      <c r="M2413" s="24">
        <v>46036.0</v>
      </c>
    </row>
    <row r="2414" ht="15.75" customHeight="1">
      <c r="A2414" s="162">
        <v>46034.0</v>
      </c>
      <c r="B2414" s="50"/>
      <c r="C2414" s="31" t="s">
        <v>1183</v>
      </c>
      <c r="D2414" s="32" t="s">
        <v>15</v>
      </c>
      <c r="E2414" s="31" t="s">
        <v>2661</v>
      </c>
      <c r="F2414" s="161">
        <v>46048.0</v>
      </c>
      <c r="G2414" s="53">
        <v>1.354982365E7</v>
      </c>
      <c r="H2414" s="14">
        <f t="shared" si="9"/>
        <v>2845462.967</v>
      </c>
      <c r="I2414" s="22">
        <v>406494.71</v>
      </c>
      <c r="J2414" s="14"/>
      <c r="K2414" s="15">
        <f t="shared" si="4"/>
        <v>16801781.33</v>
      </c>
      <c r="L2414" s="45"/>
      <c r="M2414" s="24">
        <v>46037.0</v>
      </c>
    </row>
    <row r="2415" ht="15.75" customHeight="1">
      <c r="A2415" s="162">
        <v>46034.0</v>
      </c>
      <c r="B2415" s="50"/>
      <c r="C2415" s="31" t="s">
        <v>1183</v>
      </c>
      <c r="D2415" s="32" t="s">
        <v>15</v>
      </c>
      <c r="E2415" s="31" t="s">
        <v>2662</v>
      </c>
      <c r="F2415" s="161">
        <v>46048.0</v>
      </c>
      <c r="G2415" s="53">
        <v>1.188273729E7</v>
      </c>
      <c r="H2415" s="14">
        <f t="shared" si="9"/>
        <v>2495374.831</v>
      </c>
      <c r="I2415" s="22">
        <v>356482.12</v>
      </c>
      <c r="J2415" s="14"/>
      <c r="K2415" s="15">
        <f t="shared" si="4"/>
        <v>14734594.24</v>
      </c>
      <c r="L2415" s="45"/>
      <c r="M2415" s="24">
        <v>46037.0</v>
      </c>
    </row>
    <row r="2416" ht="15.75" customHeight="1">
      <c r="A2416" s="162">
        <v>46034.0</v>
      </c>
      <c r="B2416" s="50"/>
      <c r="C2416" s="31" t="s">
        <v>1183</v>
      </c>
      <c r="D2416" s="32" t="s">
        <v>15</v>
      </c>
      <c r="E2416" s="31" t="s">
        <v>2663</v>
      </c>
      <c r="F2416" s="161">
        <v>46048.0</v>
      </c>
      <c r="G2416" s="53">
        <v>7777363.49</v>
      </c>
      <c r="H2416" s="14">
        <f t="shared" si="9"/>
        <v>1633246.333</v>
      </c>
      <c r="I2416" s="22">
        <v>233320.9</v>
      </c>
      <c r="J2416" s="14"/>
      <c r="K2416" s="15">
        <f t="shared" si="4"/>
        <v>9643930.723</v>
      </c>
      <c r="L2416" s="45"/>
      <c r="M2416" s="24">
        <v>46037.0</v>
      </c>
    </row>
    <row r="2417" ht="15.75" customHeight="1">
      <c r="A2417" s="162">
        <v>46034.0</v>
      </c>
      <c r="B2417" s="50"/>
      <c r="C2417" s="31" t="s">
        <v>1183</v>
      </c>
      <c r="D2417" s="32" t="s">
        <v>15</v>
      </c>
      <c r="E2417" s="31" t="s">
        <v>2664</v>
      </c>
      <c r="F2417" s="161">
        <v>46048.0</v>
      </c>
      <c r="G2417" s="53">
        <v>7843252.19</v>
      </c>
      <c r="H2417" s="14">
        <f t="shared" si="9"/>
        <v>1647082.96</v>
      </c>
      <c r="I2417" s="22">
        <v>235297.57</v>
      </c>
      <c r="J2417" s="14"/>
      <c r="K2417" s="15">
        <f t="shared" si="4"/>
        <v>9725632.72</v>
      </c>
      <c r="L2417" s="45"/>
      <c r="M2417" s="24">
        <v>46037.0</v>
      </c>
    </row>
    <row r="2418" ht="15.75" customHeight="1">
      <c r="A2418" s="162">
        <v>46034.0</v>
      </c>
      <c r="B2418" s="50"/>
      <c r="C2418" s="31" t="s">
        <v>1183</v>
      </c>
      <c r="D2418" s="32" t="s">
        <v>15</v>
      </c>
      <c r="E2418" s="31" t="s">
        <v>2665</v>
      </c>
      <c r="F2418" s="161">
        <v>46048.0</v>
      </c>
      <c r="G2418" s="53">
        <v>1.000833859E7</v>
      </c>
      <c r="H2418" s="14">
        <f t="shared" si="9"/>
        <v>2101751.104</v>
      </c>
      <c r="I2418" s="22">
        <v>300250.16</v>
      </c>
      <c r="J2418" s="14"/>
      <c r="K2418" s="15">
        <f t="shared" si="4"/>
        <v>12410339.85</v>
      </c>
      <c r="L2418" s="45"/>
      <c r="M2418" s="24">
        <v>46037.0</v>
      </c>
    </row>
    <row r="2419" ht="15.75" customHeight="1">
      <c r="A2419" s="162">
        <v>46034.0</v>
      </c>
      <c r="B2419" s="50"/>
      <c r="C2419" s="31" t="s">
        <v>1183</v>
      </c>
      <c r="D2419" s="32" t="s">
        <v>15</v>
      </c>
      <c r="E2419" s="31" t="s">
        <v>2666</v>
      </c>
      <c r="F2419" s="161">
        <v>46048.0</v>
      </c>
      <c r="G2419" s="53">
        <v>6807207.59</v>
      </c>
      <c r="H2419" s="14">
        <f t="shared" si="9"/>
        <v>1429513.594</v>
      </c>
      <c r="I2419" s="22">
        <v>204216.23</v>
      </c>
      <c r="J2419" s="14"/>
      <c r="K2419" s="15">
        <f t="shared" si="4"/>
        <v>8440937.414</v>
      </c>
      <c r="L2419" s="45"/>
      <c r="M2419" s="24">
        <v>46037.0</v>
      </c>
    </row>
    <row r="2420" ht="15.75" customHeight="1">
      <c r="A2420" s="162">
        <v>46035.0</v>
      </c>
      <c r="B2420" s="50"/>
      <c r="C2420" s="31" t="s">
        <v>1136</v>
      </c>
      <c r="D2420" s="32" t="s">
        <v>99</v>
      </c>
      <c r="E2420" s="31" t="s">
        <v>2667</v>
      </c>
      <c r="F2420" s="161">
        <v>46048.0</v>
      </c>
      <c r="G2420" s="53">
        <v>3.94343001E7</v>
      </c>
      <c r="H2420" s="14">
        <f t="shared" si="9"/>
        <v>8281203.021</v>
      </c>
      <c r="I2420" s="22">
        <v>1183029.0</v>
      </c>
      <c r="J2420" s="22">
        <v>985857.5</v>
      </c>
      <c r="K2420" s="15">
        <f t="shared" si="4"/>
        <v>49884389.62</v>
      </c>
      <c r="L2420" s="45"/>
      <c r="M2420" s="6"/>
    </row>
    <row r="2421" ht="15.75" customHeight="1">
      <c r="A2421" s="162">
        <v>46035.0</v>
      </c>
      <c r="B2421" s="50"/>
      <c r="C2421" s="31" t="s">
        <v>1136</v>
      </c>
      <c r="D2421" s="32" t="s">
        <v>15</v>
      </c>
      <c r="E2421" s="31" t="s">
        <v>2668</v>
      </c>
      <c r="F2421" s="161">
        <v>46048.0</v>
      </c>
      <c r="G2421" s="53">
        <v>3.947071608E7</v>
      </c>
      <c r="H2421" s="14">
        <f t="shared" si="9"/>
        <v>8288850.377</v>
      </c>
      <c r="I2421" s="22">
        <v>1184121.48</v>
      </c>
      <c r="J2421" s="22">
        <v>986767.9</v>
      </c>
      <c r="K2421" s="15">
        <f t="shared" si="4"/>
        <v>49930455.84</v>
      </c>
      <c r="L2421" s="45"/>
      <c r="M2421" s="6"/>
    </row>
    <row r="2422" ht="15.75" customHeight="1">
      <c r="A2422" s="162">
        <v>46035.0</v>
      </c>
      <c r="B2422" s="50"/>
      <c r="C2422" s="31" t="s">
        <v>567</v>
      </c>
      <c r="D2422" s="32" t="s">
        <v>15</v>
      </c>
      <c r="E2422" s="31" t="s">
        <v>2669</v>
      </c>
      <c r="F2422" s="161">
        <v>46048.0</v>
      </c>
      <c r="G2422" s="53">
        <v>2.112336219E7</v>
      </c>
      <c r="H2422" s="14">
        <f t="shared" si="9"/>
        <v>4435906.06</v>
      </c>
      <c r="I2422" s="22"/>
      <c r="J2422" s="14"/>
      <c r="K2422" s="15">
        <f t="shared" si="4"/>
        <v>25559268.25</v>
      </c>
      <c r="L2422" s="45"/>
      <c r="M2422" s="6"/>
    </row>
    <row r="2423" ht="15.75" customHeight="1">
      <c r="A2423" s="162">
        <v>46035.0</v>
      </c>
      <c r="B2423" s="50"/>
      <c r="C2423" s="31" t="s">
        <v>567</v>
      </c>
      <c r="D2423" s="32" t="s">
        <v>15</v>
      </c>
      <c r="E2423" s="31" t="s">
        <v>2670</v>
      </c>
      <c r="F2423" s="161">
        <v>46048.0</v>
      </c>
      <c r="G2423" s="53">
        <v>1.882233282E7</v>
      </c>
      <c r="H2423" s="14">
        <f t="shared" si="9"/>
        <v>3952689.892</v>
      </c>
      <c r="I2423" s="22"/>
      <c r="J2423" s="14"/>
      <c r="K2423" s="15">
        <f t="shared" si="4"/>
        <v>22775022.71</v>
      </c>
      <c r="L2423" s="45"/>
      <c r="M2423" s="6"/>
    </row>
    <row r="2424" ht="15.75" customHeight="1">
      <c r="A2424" s="162">
        <v>46035.0</v>
      </c>
      <c r="B2424" s="50"/>
      <c r="C2424" s="31" t="s">
        <v>567</v>
      </c>
      <c r="D2424" s="32" t="s">
        <v>15</v>
      </c>
      <c r="E2424" s="31" t="s">
        <v>2671</v>
      </c>
      <c r="F2424" s="161">
        <v>46048.0</v>
      </c>
      <c r="G2424" s="53">
        <v>2.033362332E7</v>
      </c>
      <c r="H2424" s="14">
        <f t="shared" si="9"/>
        <v>4270060.897</v>
      </c>
      <c r="I2424" s="22"/>
      <c r="J2424" s="14"/>
      <c r="K2424" s="15">
        <f t="shared" si="4"/>
        <v>24603684.22</v>
      </c>
      <c r="L2424" s="45"/>
      <c r="M2424" s="6"/>
    </row>
    <row r="2425" ht="15.75" customHeight="1">
      <c r="A2425" s="162">
        <v>46035.0</v>
      </c>
      <c r="B2425" s="50"/>
      <c r="C2425" s="31" t="s">
        <v>567</v>
      </c>
      <c r="D2425" s="32" t="s">
        <v>99</v>
      </c>
      <c r="E2425" s="31" t="s">
        <v>2672</v>
      </c>
      <c r="F2425" s="161">
        <v>46048.0</v>
      </c>
      <c r="G2425" s="53">
        <v>2.433352259E7</v>
      </c>
      <c r="H2425" s="14">
        <f t="shared" si="9"/>
        <v>5110039.744</v>
      </c>
      <c r="I2425" s="22"/>
      <c r="J2425" s="14"/>
      <c r="K2425" s="15">
        <f t="shared" si="4"/>
        <v>29443562.33</v>
      </c>
      <c r="L2425" s="45"/>
      <c r="M2425" s="6"/>
    </row>
    <row r="2426" ht="15.75" customHeight="1">
      <c r="A2426" s="162">
        <v>46035.0</v>
      </c>
      <c r="B2426" s="50"/>
      <c r="C2426" s="31" t="s">
        <v>567</v>
      </c>
      <c r="D2426" s="32" t="s">
        <v>99</v>
      </c>
      <c r="E2426" s="31" t="s">
        <v>2673</v>
      </c>
      <c r="F2426" s="161">
        <v>46048.0</v>
      </c>
      <c r="G2426" s="53">
        <v>3.172226326E7</v>
      </c>
      <c r="H2426" s="14">
        <f t="shared" si="9"/>
        <v>6661675.285</v>
      </c>
      <c r="I2426" s="22"/>
      <c r="J2426" s="14"/>
      <c r="K2426" s="15">
        <f t="shared" si="4"/>
        <v>38383938.54</v>
      </c>
      <c r="L2426" s="45"/>
      <c r="M2426" s="6"/>
    </row>
    <row r="2427" ht="15.75" customHeight="1">
      <c r="A2427" s="162">
        <v>46035.0</v>
      </c>
      <c r="B2427" s="50"/>
      <c r="C2427" s="31" t="s">
        <v>567</v>
      </c>
      <c r="D2427" s="32" t="s">
        <v>99</v>
      </c>
      <c r="E2427" s="31" t="s">
        <v>2674</v>
      </c>
      <c r="F2427" s="161">
        <v>46048.0</v>
      </c>
      <c r="G2427" s="53">
        <v>1.733362685E7</v>
      </c>
      <c r="H2427" s="14">
        <f t="shared" si="9"/>
        <v>3640061.639</v>
      </c>
      <c r="I2427" s="22"/>
      <c r="J2427" s="14"/>
      <c r="K2427" s="15">
        <f t="shared" si="4"/>
        <v>20973688.49</v>
      </c>
      <c r="L2427" s="45"/>
      <c r="M2427" s="6"/>
    </row>
    <row r="2428" ht="15.75" customHeight="1">
      <c r="A2428" s="162">
        <v>46035.0</v>
      </c>
      <c r="B2428" s="50"/>
      <c r="C2428" s="31" t="s">
        <v>567</v>
      </c>
      <c r="D2428" s="32" t="s">
        <v>99</v>
      </c>
      <c r="E2428" s="31" t="s">
        <v>2675</v>
      </c>
      <c r="F2428" s="161">
        <v>46048.0</v>
      </c>
      <c r="G2428" s="53">
        <v>8833726.85</v>
      </c>
      <c r="H2428" s="14">
        <f t="shared" si="9"/>
        <v>1855082.639</v>
      </c>
      <c r="I2428" s="22"/>
      <c r="J2428" s="14"/>
      <c r="K2428" s="15">
        <f t="shared" si="4"/>
        <v>10688809.49</v>
      </c>
      <c r="L2428" s="45"/>
      <c r="M2428" s="6"/>
    </row>
    <row r="2429" ht="15.75" customHeight="1">
      <c r="A2429" s="162">
        <v>46035.0</v>
      </c>
      <c r="B2429" s="50"/>
      <c r="C2429" s="31" t="s">
        <v>567</v>
      </c>
      <c r="D2429" s="32" t="s">
        <v>99</v>
      </c>
      <c r="E2429" s="31" t="s">
        <v>2676</v>
      </c>
      <c r="F2429" s="161">
        <v>46048.0</v>
      </c>
      <c r="G2429" s="53">
        <v>1.822323271E7</v>
      </c>
      <c r="H2429" s="14">
        <f t="shared" si="9"/>
        <v>3826878.869</v>
      </c>
      <c r="I2429" s="22"/>
      <c r="J2429" s="14"/>
      <c r="K2429" s="15">
        <f t="shared" si="4"/>
        <v>22050111.58</v>
      </c>
      <c r="L2429" s="45"/>
      <c r="M2429" s="6"/>
    </row>
    <row r="2430" ht="15.75" customHeight="1">
      <c r="A2430" s="162">
        <v>46035.0</v>
      </c>
      <c r="B2430" s="50"/>
      <c r="C2430" s="31" t="s">
        <v>211</v>
      </c>
      <c r="D2430" s="32" t="s">
        <v>99</v>
      </c>
      <c r="E2430" s="31" t="s">
        <v>2677</v>
      </c>
      <c r="F2430" s="161">
        <v>46048.0</v>
      </c>
      <c r="G2430" s="53">
        <f>3872350/1.21</f>
        <v>3200289.256</v>
      </c>
      <c r="H2430" s="14">
        <f t="shared" si="9"/>
        <v>672060.7438</v>
      </c>
      <c r="I2430" s="22"/>
      <c r="J2430" s="14"/>
      <c r="K2430" s="15">
        <f t="shared" si="4"/>
        <v>3872350</v>
      </c>
      <c r="L2430" s="45"/>
      <c r="M2430" s="6"/>
    </row>
    <row r="2431" ht="15.75" customHeight="1">
      <c r="A2431" s="162">
        <v>46035.0</v>
      </c>
      <c r="B2431" s="50"/>
      <c r="C2431" s="31" t="s">
        <v>211</v>
      </c>
      <c r="D2431" s="32" t="s">
        <v>99</v>
      </c>
      <c r="E2431" s="31" t="s">
        <v>2678</v>
      </c>
      <c r="F2431" s="161">
        <v>46048.0</v>
      </c>
      <c r="G2431" s="53">
        <f>2514580/1.21</f>
        <v>2078165.289</v>
      </c>
      <c r="H2431" s="14">
        <f t="shared" si="9"/>
        <v>436414.7107</v>
      </c>
      <c r="I2431" s="22"/>
      <c r="J2431" s="14"/>
      <c r="K2431" s="15">
        <f t="shared" si="4"/>
        <v>2514580</v>
      </c>
      <c r="L2431" s="45"/>
      <c r="M2431" s="6"/>
    </row>
    <row r="2432" ht="15.75" customHeight="1">
      <c r="A2432" s="164">
        <v>46036.0</v>
      </c>
      <c r="B2432" s="56"/>
      <c r="C2432" s="120" t="s">
        <v>2054</v>
      </c>
      <c r="D2432" s="58" t="s">
        <v>2679</v>
      </c>
      <c r="E2432" s="58" t="s">
        <v>2680</v>
      </c>
      <c r="F2432" s="178">
        <v>46381.0</v>
      </c>
      <c r="G2432" s="65">
        <v>1.5E7</v>
      </c>
      <c r="H2432" s="9">
        <f t="shared" si="9"/>
        <v>3150000</v>
      </c>
      <c r="I2432" s="44"/>
      <c r="J2432" s="44">
        <v>600000.0</v>
      </c>
      <c r="K2432" s="10">
        <f t="shared" si="4"/>
        <v>18750000</v>
      </c>
      <c r="L2432" s="61"/>
      <c r="M2432" s="62"/>
      <c r="Z2432" s="143" t="s">
        <v>2681</v>
      </c>
    </row>
    <row r="2433" ht="15.75" customHeight="1">
      <c r="A2433" s="162">
        <v>46037.0</v>
      </c>
      <c r="B2433" s="50"/>
      <c r="C2433" s="31" t="s">
        <v>1283</v>
      </c>
      <c r="D2433" s="32" t="s">
        <v>99</v>
      </c>
      <c r="E2433" s="31" t="s">
        <v>2682</v>
      </c>
      <c r="F2433" s="161">
        <v>46048.0</v>
      </c>
      <c r="G2433" s="53">
        <v>3041322.71</v>
      </c>
      <c r="H2433" s="14">
        <f t="shared" si="9"/>
        <v>638677.7691</v>
      </c>
      <c r="I2433" s="22">
        <v>91239.68</v>
      </c>
      <c r="J2433" s="22">
        <v>15206.61</v>
      </c>
      <c r="K2433" s="15">
        <f t="shared" si="4"/>
        <v>3786446.769</v>
      </c>
      <c r="L2433" s="45"/>
      <c r="M2433" s="24">
        <v>46045.0</v>
      </c>
    </row>
    <row r="2434" ht="15.75" customHeight="1">
      <c r="A2434" s="162">
        <v>46037.0</v>
      </c>
      <c r="B2434" s="50"/>
      <c r="C2434" s="31" t="s">
        <v>1283</v>
      </c>
      <c r="D2434" s="32" t="s">
        <v>15</v>
      </c>
      <c r="E2434" s="31" t="s">
        <v>2683</v>
      </c>
      <c r="F2434" s="161">
        <v>46048.0</v>
      </c>
      <c r="G2434" s="53">
        <v>4561983.42</v>
      </c>
      <c r="H2434" s="14">
        <f t="shared" si="9"/>
        <v>958016.5182</v>
      </c>
      <c r="I2434" s="22">
        <v>136859.5</v>
      </c>
      <c r="J2434" s="22">
        <v>22809.92</v>
      </c>
      <c r="K2434" s="15">
        <f t="shared" si="4"/>
        <v>5679669.358</v>
      </c>
      <c r="L2434" s="45"/>
      <c r="M2434" s="24">
        <v>46044.0</v>
      </c>
    </row>
    <row r="2435" ht="15.75" customHeight="1">
      <c r="A2435" s="162">
        <v>46037.0</v>
      </c>
      <c r="B2435" s="50"/>
      <c r="C2435" s="31" t="s">
        <v>146</v>
      </c>
      <c r="D2435" s="32" t="s">
        <v>99</v>
      </c>
      <c r="E2435" s="31" t="s">
        <v>2684</v>
      </c>
      <c r="F2435" s="161">
        <v>46048.0</v>
      </c>
      <c r="G2435" s="53">
        <v>1.183456152E7</v>
      </c>
      <c r="H2435" s="14">
        <f t="shared" si="9"/>
        <v>2485257.919</v>
      </c>
      <c r="I2435" s="22"/>
      <c r="J2435" s="14"/>
      <c r="K2435" s="15">
        <f t="shared" si="4"/>
        <v>14319819.44</v>
      </c>
      <c r="L2435" s="45"/>
      <c r="M2435" s="24">
        <v>46038.0</v>
      </c>
    </row>
    <row r="2436" ht="15.75" customHeight="1">
      <c r="A2436" s="162">
        <v>46037.0</v>
      </c>
      <c r="B2436" s="50"/>
      <c r="C2436" s="31" t="s">
        <v>146</v>
      </c>
      <c r="D2436" s="32" t="s">
        <v>99</v>
      </c>
      <c r="E2436" s="31" t="s">
        <v>2685</v>
      </c>
      <c r="F2436" s="161">
        <v>46048.0</v>
      </c>
      <c r="G2436" s="53">
        <v>1.206988052E7</v>
      </c>
      <c r="H2436" s="14">
        <f t="shared" si="9"/>
        <v>2534674.909</v>
      </c>
      <c r="I2436" s="22"/>
      <c r="J2436" s="14"/>
      <c r="K2436" s="15">
        <f t="shared" si="4"/>
        <v>14604555.43</v>
      </c>
      <c r="L2436" s="45"/>
      <c r="M2436" s="24">
        <v>46038.0</v>
      </c>
    </row>
    <row r="2437" ht="15.75" customHeight="1">
      <c r="A2437" s="162">
        <v>46037.0</v>
      </c>
      <c r="B2437" s="50"/>
      <c r="C2437" s="31" t="s">
        <v>1275</v>
      </c>
      <c r="D2437" s="32" t="s">
        <v>99</v>
      </c>
      <c r="E2437" s="31" t="s">
        <v>2686</v>
      </c>
      <c r="F2437" s="161">
        <v>46048.0</v>
      </c>
      <c r="G2437" s="53">
        <v>2578512.23</v>
      </c>
      <c r="H2437" s="14">
        <f t="shared" si="9"/>
        <v>541487.5683</v>
      </c>
      <c r="I2437" s="22">
        <v>77355.37</v>
      </c>
      <c r="J2437" s="14"/>
      <c r="K2437" s="15">
        <f t="shared" si="4"/>
        <v>3197355.168</v>
      </c>
      <c r="L2437" s="45"/>
      <c r="M2437" s="24">
        <v>46045.0</v>
      </c>
    </row>
    <row r="2438" ht="15.75" customHeight="1">
      <c r="A2438" s="162">
        <v>46037.0</v>
      </c>
      <c r="B2438" s="50"/>
      <c r="C2438" s="31" t="s">
        <v>1275</v>
      </c>
      <c r="D2438" s="32" t="s">
        <v>15</v>
      </c>
      <c r="E2438" s="31" t="s">
        <v>2687</v>
      </c>
      <c r="F2438" s="161">
        <v>46048.0</v>
      </c>
      <c r="G2438" s="53">
        <v>3867769.65</v>
      </c>
      <c r="H2438" s="14">
        <f t="shared" si="9"/>
        <v>812231.6265</v>
      </c>
      <c r="I2438" s="22">
        <v>116033.09</v>
      </c>
      <c r="J2438" s="14"/>
      <c r="K2438" s="15">
        <f t="shared" si="4"/>
        <v>4796034.367</v>
      </c>
      <c r="L2438" s="45"/>
      <c r="M2438" s="24">
        <v>46044.0</v>
      </c>
    </row>
    <row r="2439" ht="15.75" customHeight="1">
      <c r="A2439" s="162">
        <v>46037.0</v>
      </c>
      <c r="B2439" s="50"/>
      <c r="C2439" s="31" t="s">
        <v>1277</v>
      </c>
      <c r="D2439" s="32" t="s">
        <v>99</v>
      </c>
      <c r="E2439" s="31" t="s">
        <v>2688</v>
      </c>
      <c r="F2439" s="161">
        <v>46048.0</v>
      </c>
      <c r="G2439" s="53">
        <v>3074382.08</v>
      </c>
      <c r="H2439" s="14">
        <f t="shared" si="9"/>
        <v>645620.2368</v>
      </c>
      <c r="I2439" s="22">
        <v>92231.46</v>
      </c>
      <c r="J2439" s="14"/>
      <c r="K2439" s="15">
        <f t="shared" si="4"/>
        <v>3812233.777</v>
      </c>
      <c r="L2439" s="45"/>
      <c r="M2439" s="24">
        <v>46045.0</v>
      </c>
    </row>
    <row r="2440" ht="15.75" customHeight="1">
      <c r="A2440" s="162">
        <v>46037.0</v>
      </c>
      <c r="B2440" s="50"/>
      <c r="C2440" s="31" t="s">
        <v>1277</v>
      </c>
      <c r="D2440" s="32" t="s">
        <v>15</v>
      </c>
      <c r="E2440" s="31" t="s">
        <v>2689</v>
      </c>
      <c r="F2440" s="161">
        <v>46048.0</v>
      </c>
      <c r="G2440" s="53">
        <v>4611571.23</v>
      </c>
      <c r="H2440" s="14">
        <f t="shared" si="9"/>
        <v>968429.9583</v>
      </c>
      <c r="I2440" s="22">
        <v>138347.14</v>
      </c>
      <c r="J2440" s="14"/>
      <c r="K2440" s="15">
        <f t="shared" si="4"/>
        <v>5718348.328</v>
      </c>
      <c r="L2440" s="45"/>
      <c r="M2440" s="24">
        <v>46044.0</v>
      </c>
    </row>
    <row r="2441" ht="15.75" customHeight="1">
      <c r="A2441" s="162">
        <v>46037.0</v>
      </c>
      <c r="B2441" s="50"/>
      <c r="C2441" s="31" t="s">
        <v>1279</v>
      </c>
      <c r="D2441" s="32" t="s">
        <v>99</v>
      </c>
      <c r="E2441" s="31" t="s">
        <v>2690</v>
      </c>
      <c r="F2441" s="161">
        <v>46048.0</v>
      </c>
      <c r="G2441" s="53">
        <v>5123967.29</v>
      </c>
      <c r="H2441" s="14">
        <f t="shared" si="9"/>
        <v>1076033.131</v>
      </c>
      <c r="I2441" s="22">
        <v>153719.02</v>
      </c>
      <c r="J2441" s="14"/>
      <c r="K2441" s="15">
        <f t="shared" si="4"/>
        <v>6353719.441</v>
      </c>
      <c r="L2441" s="45"/>
      <c r="M2441" s="24">
        <v>46045.0</v>
      </c>
    </row>
    <row r="2442" ht="15.75" customHeight="1">
      <c r="A2442" s="162">
        <v>46037.0</v>
      </c>
      <c r="B2442" s="50"/>
      <c r="C2442" s="31" t="s">
        <v>1279</v>
      </c>
      <c r="D2442" s="32" t="s">
        <v>15</v>
      </c>
      <c r="E2442" s="31" t="s">
        <v>2691</v>
      </c>
      <c r="F2442" s="161">
        <v>46048.0</v>
      </c>
      <c r="G2442" s="53">
        <v>7685952.04</v>
      </c>
      <c r="H2442" s="14">
        <f t="shared" si="9"/>
        <v>1614049.928</v>
      </c>
      <c r="I2442" s="22">
        <v>230578.56</v>
      </c>
      <c r="J2442" s="14"/>
      <c r="K2442" s="15">
        <f t="shared" si="4"/>
        <v>9530580.528</v>
      </c>
      <c r="L2442" s="45"/>
      <c r="M2442" s="24">
        <v>46044.0</v>
      </c>
    </row>
    <row r="2443" ht="15.75" customHeight="1">
      <c r="A2443" s="162">
        <v>46037.0</v>
      </c>
      <c r="B2443" s="50"/>
      <c r="C2443" s="31" t="s">
        <v>1281</v>
      </c>
      <c r="D2443" s="32" t="s">
        <v>99</v>
      </c>
      <c r="E2443" s="31" t="s">
        <v>2692</v>
      </c>
      <c r="F2443" s="161">
        <v>46048.0</v>
      </c>
      <c r="G2443" s="53">
        <v>2115702.08</v>
      </c>
      <c r="H2443" s="14">
        <f t="shared" si="9"/>
        <v>444297.4368</v>
      </c>
      <c r="I2443" s="22">
        <v>63471.06</v>
      </c>
      <c r="J2443" s="14"/>
      <c r="K2443" s="15">
        <f t="shared" si="4"/>
        <v>2623470.577</v>
      </c>
      <c r="L2443" s="45"/>
      <c r="M2443" s="24">
        <v>46045.0</v>
      </c>
    </row>
    <row r="2444" ht="15.75" customHeight="1">
      <c r="A2444" s="162">
        <v>46037.0</v>
      </c>
      <c r="B2444" s="50"/>
      <c r="C2444" s="31" t="s">
        <v>1281</v>
      </c>
      <c r="D2444" s="32" t="s">
        <v>15</v>
      </c>
      <c r="E2444" s="31" t="s">
        <v>2693</v>
      </c>
      <c r="F2444" s="161">
        <v>46048.0</v>
      </c>
      <c r="G2444" s="53">
        <v>3173554.29</v>
      </c>
      <c r="H2444" s="14">
        <f t="shared" si="9"/>
        <v>666446.4009</v>
      </c>
      <c r="I2444" s="22">
        <v>95206.63</v>
      </c>
      <c r="J2444" s="14"/>
      <c r="K2444" s="15">
        <f t="shared" si="4"/>
        <v>3935207.321</v>
      </c>
      <c r="L2444" s="45"/>
      <c r="M2444" s="24">
        <v>46044.0</v>
      </c>
    </row>
    <row r="2445" ht="15.75" customHeight="1">
      <c r="A2445" s="162">
        <v>46037.0</v>
      </c>
      <c r="B2445" s="50"/>
      <c r="C2445" s="31" t="s">
        <v>1312</v>
      </c>
      <c r="D2445" s="32" t="s">
        <v>99</v>
      </c>
      <c r="E2445" s="31" t="s">
        <v>2694</v>
      </c>
      <c r="F2445" s="161">
        <v>46048.0</v>
      </c>
      <c r="G2445" s="53">
        <v>2578512.85</v>
      </c>
      <c r="H2445" s="14">
        <f t="shared" si="9"/>
        <v>541487.6985</v>
      </c>
      <c r="I2445" s="22">
        <v>77355.39</v>
      </c>
      <c r="J2445" s="14"/>
      <c r="K2445" s="15">
        <f t="shared" si="4"/>
        <v>3197355.939</v>
      </c>
      <c r="L2445" s="45"/>
      <c r="M2445" s="24">
        <v>46045.0</v>
      </c>
    </row>
    <row r="2446" ht="15.75" customHeight="1">
      <c r="A2446" s="162">
        <v>46037.0</v>
      </c>
      <c r="B2446" s="50"/>
      <c r="C2446" s="31" t="s">
        <v>1312</v>
      </c>
      <c r="D2446" s="32" t="s">
        <v>15</v>
      </c>
      <c r="E2446" s="31" t="s">
        <v>2695</v>
      </c>
      <c r="F2446" s="161">
        <v>46048.0</v>
      </c>
      <c r="G2446" s="53">
        <v>3867769.58</v>
      </c>
      <c r="H2446" s="14">
        <f t="shared" si="9"/>
        <v>812231.6118</v>
      </c>
      <c r="I2446" s="22">
        <v>116033.09</v>
      </c>
      <c r="J2446" s="14"/>
      <c r="K2446" s="15">
        <f t="shared" si="4"/>
        <v>4796034.282</v>
      </c>
      <c r="L2446" s="45"/>
      <c r="M2446" s="24">
        <v>46044.0</v>
      </c>
    </row>
    <row r="2447" ht="15.75" customHeight="1">
      <c r="A2447" s="162">
        <v>46037.0</v>
      </c>
      <c r="B2447" s="50"/>
      <c r="C2447" s="31" t="s">
        <v>64</v>
      </c>
      <c r="D2447" s="32" t="s">
        <v>99</v>
      </c>
      <c r="E2447" s="31" t="s">
        <v>2696</v>
      </c>
      <c r="F2447" s="161">
        <v>46048.0</v>
      </c>
      <c r="G2447" s="53">
        <v>1.051458065E7</v>
      </c>
      <c r="H2447" s="14">
        <f t="shared" si="9"/>
        <v>2208061.937</v>
      </c>
      <c r="I2447" s="22">
        <v>315437.42</v>
      </c>
      <c r="J2447" s="14"/>
      <c r="K2447" s="15">
        <f t="shared" si="4"/>
        <v>13038080.01</v>
      </c>
      <c r="L2447" s="45"/>
      <c r="M2447" s="24">
        <v>46086.0</v>
      </c>
    </row>
    <row r="2448" ht="15.75" customHeight="1">
      <c r="A2448" s="162">
        <v>46037.0</v>
      </c>
      <c r="B2448" s="50"/>
      <c r="C2448" s="31" t="s">
        <v>64</v>
      </c>
      <c r="D2448" s="32" t="s">
        <v>15</v>
      </c>
      <c r="E2448" s="31" t="s">
        <v>2697</v>
      </c>
      <c r="F2448" s="161">
        <v>46048.0</v>
      </c>
      <c r="G2448" s="53">
        <v>1.250946085E7</v>
      </c>
      <c r="H2448" s="14">
        <f t="shared" si="9"/>
        <v>2626986.779</v>
      </c>
      <c r="I2448" s="22"/>
      <c r="J2448" s="14"/>
      <c r="K2448" s="15">
        <f t="shared" si="4"/>
        <v>15136447.63</v>
      </c>
      <c r="L2448" s="45"/>
      <c r="M2448" s="6"/>
    </row>
    <row r="2449" ht="15.75" customHeight="1">
      <c r="A2449" s="162">
        <v>46037.0</v>
      </c>
      <c r="B2449" s="50"/>
      <c r="C2449" s="31" t="s">
        <v>1719</v>
      </c>
      <c r="D2449" s="32" t="s">
        <v>99</v>
      </c>
      <c r="E2449" s="31" t="s">
        <v>2698</v>
      </c>
      <c r="F2449" s="161">
        <v>46048.0</v>
      </c>
      <c r="G2449" s="53">
        <v>2.013145218E7</v>
      </c>
      <c r="H2449" s="14">
        <f t="shared" si="9"/>
        <v>4227604.958</v>
      </c>
      <c r="I2449" s="22">
        <v>603943.57</v>
      </c>
      <c r="J2449" s="22">
        <v>322103.23</v>
      </c>
      <c r="K2449" s="15">
        <f t="shared" si="4"/>
        <v>25285103.94</v>
      </c>
      <c r="L2449" s="45"/>
      <c r="M2449" s="24">
        <v>46042.0</v>
      </c>
    </row>
    <row r="2450" ht="15.75" customHeight="1">
      <c r="A2450" s="162">
        <v>46041.0</v>
      </c>
      <c r="B2450" s="50"/>
      <c r="C2450" s="31" t="s">
        <v>1842</v>
      </c>
      <c r="D2450" s="32" t="s">
        <v>15</v>
      </c>
      <c r="E2450" s="31" t="s">
        <v>2699</v>
      </c>
      <c r="F2450" s="161">
        <v>46048.0</v>
      </c>
      <c r="G2450" s="53">
        <v>2.314257259E7</v>
      </c>
      <c r="H2450" s="14">
        <f t="shared" si="9"/>
        <v>4859940.244</v>
      </c>
      <c r="I2450" s="22"/>
      <c r="J2450" s="14"/>
      <c r="K2450" s="15">
        <f t="shared" si="4"/>
        <v>28002512.83</v>
      </c>
      <c r="L2450" s="45"/>
      <c r="M2450" s="6"/>
    </row>
    <row r="2451" ht="15.75" customHeight="1">
      <c r="A2451" s="162">
        <v>46041.0</v>
      </c>
      <c r="B2451" s="50"/>
      <c r="C2451" s="31" t="s">
        <v>2318</v>
      </c>
      <c r="D2451" s="32" t="s">
        <v>99</v>
      </c>
      <c r="E2451" s="31" t="s">
        <v>2700</v>
      </c>
      <c r="F2451" s="161">
        <v>46048.0</v>
      </c>
      <c r="G2451" s="53">
        <v>1.00107738E7</v>
      </c>
      <c r="H2451" s="14">
        <f t="shared" si="9"/>
        <v>2102262.498</v>
      </c>
      <c r="I2451" s="22">
        <v>300323.21</v>
      </c>
      <c r="J2451" s="22">
        <v>500538.69</v>
      </c>
      <c r="K2451" s="15">
        <f t="shared" si="4"/>
        <v>12913898.2</v>
      </c>
      <c r="L2451" s="45"/>
      <c r="M2451" s="6"/>
    </row>
    <row r="2452" ht="15.75" customHeight="1">
      <c r="A2452" s="162">
        <v>46041.0</v>
      </c>
      <c r="B2452" s="50"/>
      <c r="C2452" s="31" t="s">
        <v>2318</v>
      </c>
      <c r="D2452" s="32" t="s">
        <v>99</v>
      </c>
      <c r="E2452" s="31" t="s">
        <v>2701</v>
      </c>
      <c r="F2452" s="161">
        <v>46048.0</v>
      </c>
      <c r="G2452" s="53">
        <v>9973010.25</v>
      </c>
      <c r="H2452" s="14">
        <f t="shared" si="9"/>
        <v>2094332.153</v>
      </c>
      <c r="I2452" s="22">
        <v>299190.31</v>
      </c>
      <c r="J2452" s="22">
        <v>498650.51</v>
      </c>
      <c r="K2452" s="15">
        <f t="shared" si="4"/>
        <v>12865183.22</v>
      </c>
      <c r="L2452" s="45"/>
      <c r="M2452" s="6"/>
    </row>
    <row r="2453" ht="15.75" customHeight="1">
      <c r="A2453" s="162">
        <v>46041.0</v>
      </c>
      <c r="B2453" s="50"/>
      <c r="C2453" s="31" t="s">
        <v>2318</v>
      </c>
      <c r="D2453" s="32" t="s">
        <v>99</v>
      </c>
      <c r="E2453" s="31" t="s">
        <v>2702</v>
      </c>
      <c r="F2453" s="161">
        <v>46048.0</v>
      </c>
      <c r="G2453" s="53">
        <v>1.003480515E7</v>
      </c>
      <c r="H2453" s="14">
        <f t="shared" si="9"/>
        <v>2107309.082</v>
      </c>
      <c r="I2453" s="22">
        <v>301044.15</v>
      </c>
      <c r="J2453" s="22">
        <v>501740.26</v>
      </c>
      <c r="K2453" s="15">
        <f t="shared" si="4"/>
        <v>12944898.64</v>
      </c>
      <c r="L2453" s="45"/>
      <c r="M2453" s="6"/>
    </row>
    <row r="2454" ht="15.75" customHeight="1">
      <c r="A2454" s="162">
        <v>46041.0</v>
      </c>
      <c r="B2454" s="50"/>
      <c r="C2454" s="31" t="s">
        <v>2318</v>
      </c>
      <c r="D2454" s="32" t="s">
        <v>99</v>
      </c>
      <c r="E2454" s="31" t="s">
        <v>2703</v>
      </c>
      <c r="F2454" s="161">
        <v>46048.0</v>
      </c>
      <c r="G2454" s="53">
        <v>1.00588365E7</v>
      </c>
      <c r="H2454" s="14">
        <f t="shared" si="9"/>
        <v>2112355.665</v>
      </c>
      <c r="I2454" s="22">
        <v>301765.1</v>
      </c>
      <c r="J2454" s="22">
        <v>502941.83</v>
      </c>
      <c r="K2454" s="15">
        <f t="shared" si="4"/>
        <v>12975899.1</v>
      </c>
      <c r="L2454" s="45"/>
      <c r="M2454" s="6"/>
    </row>
    <row r="2455" ht="15.75" customHeight="1">
      <c r="A2455" s="162">
        <v>46041.0</v>
      </c>
      <c r="B2455" s="50"/>
      <c r="C2455" s="31" t="s">
        <v>2318</v>
      </c>
      <c r="D2455" s="32" t="s">
        <v>99</v>
      </c>
      <c r="E2455" s="31" t="s">
        <v>2704</v>
      </c>
      <c r="F2455" s="161">
        <v>46048.0</v>
      </c>
      <c r="G2455" s="53">
        <v>9935246.7</v>
      </c>
      <c r="H2455" s="14">
        <f t="shared" si="9"/>
        <v>2086401.807</v>
      </c>
      <c r="I2455" s="22">
        <v>298057.4</v>
      </c>
      <c r="J2455" s="22">
        <v>496762.34</v>
      </c>
      <c r="K2455" s="15">
        <f t="shared" si="4"/>
        <v>12816468.25</v>
      </c>
      <c r="L2455" s="45"/>
      <c r="M2455" s="6"/>
    </row>
    <row r="2456" ht="15.75" customHeight="1">
      <c r="A2456" s="162">
        <v>46041.0</v>
      </c>
      <c r="B2456" s="50"/>
      <c r="C2456" s="31" t="s">
        <v>2318</v>
      </c>
      <c r="D2456" s="32" t="s">
        <v>15</v>
      </c>
      <c r="E2456" s="31" t="s">
        <v>2705</v>
      </c>
      <c r="F2456" s="161">
        <v>46048.0</v>
      </c>
      <c r="G2456" s="53">
        <v>1.00107738E7</v>
      </c>
      <c r="H2456" s="14">
        <f t="shared" si="9"/>
        <v>2102262.498</v>
      </c>
      <c r="I2456" s="22">
        <v>300323.21</v>
      </c>
      <c r="J2456" s="22">
        <v>500538.69</v>
      </c>
      <c r="K2456" s="15">
        <f t="shared" si="4"/>
        <v>12913898.2</v>
      </c>
      <c r="L2456" s="45"/>
      <c r="M2456" s="6"/>
    </row>
    <row r="2457" ht="15.75" customHeight="1">
      <c r="A2457" s="162">
        <v>46041.0</v>
      </c>
      <c r="B2457" s="50"/>
      <c r="C2457" s="31" t="s">
        <v>2318</v>
      </c>
      <c r="D2457" s="32" t="s">
        <v>15</v>
      </c>
      <c r="E2457" s="31" t="s">
        <v>2706</v>
      </c>
      <c r="F2457" s="161">
        <v>46048.0</v>
      </c>
      <c r="G2457" s="53">
        <v>9973010.25</v>
      </c>
      <c r="H2457" s="14">
        <f t="shared" si="9"/>
        <v>2094332.153</v>
      </c>
      <c r="I2457" s="22">
        <v>299190.31</v>
      </c>
      <c r="J2457" s="22">
        <v>498650.51</v>
      </c>
      <c r="K2457" s="15">
        <f t="shared" si="4"/>
        <v>12865183.22</v>
      </c>
      <c r="L2457" s="45"/>
      <c r="M2457" s="6"/>
    </row>
    <row r="2458" ht="15.75" customHeight="1">
      <c r="A2458" s="162">
        <v>46041.0</v>
      </c>
      <c r="B2458" s="50"/>
      <c r="C2458" s="31" t="s">
        <v>2318</v>
      </c>
      <c r="D2458" s="32" t="s">
        <v>15</v>
      </c>
      <c r="E2458" s="31" t="s">
        <v>2707</v>
      </c>
      <c r="F2458" s="161">
        <v>46048.0</v>
      </c>
      <c r="G2458" s="53">
        <v>1.003480515E7</v>
      </c>
      <c r="H2458" s="14">
        <f t="shared" si="9"/>
        <v>2107309.082</v>
      </c>
      <c r="I2458" s="22">
        <v>301044.15</v>
      </c>
      <c r="J2458" s="22">
        <v>501740.26</v>
      </c>
      <c r="K2458" s="15">
        <f t="shared" si="4"/>
        <v>12944898.64</v>
      </c>
      <c r="L2458" s="45"/>
      <c r="M2458" s="6"/>
    </row>
    <row r="2459" ht="15.75" customHeight="1">
      <c r="A2459" s="162">
        <v>46041.0</v>
      </c>
      <c r="B2459" s="50"/>
      <c r="C2459" s="31" t="s">
        <v>2318</v>
      </c>
      <c r="D2459" s="32" t="s">
        <v>15</v>
      </c>
      <c r="E2459" s="31" t="s">
        <v>2708</v>
      </c>
      <c r="F2459" s="161">
        <v>46048.0</v>
      </c>
      <c r="G2459" s="53">
        <v>1.00588365E7</v>
      </c>
      <c r="H2459" s="14">
        <f t="shared" si="9"/>
        <v>2112355.665</v>
      </c>
      <c r="I2459" s="22">
        <v>301765.1</v>
      </c>
      <c r="J2459" s="22">
        <v>502941.83</v>
      </c>
      <c r="K2459" s="15">
        <f t="shared" si="4"/>
        <v>12975899.1</v>
      </c>
      <c r="L2459" s="45"/>
      <c r="M2459" s="6"/>
    </row>
    <row r="2460" ht="15.75" customHeight="1">
      <c r="A2460" s="162">
        <v>46041.0</v>
      </c>
      <c r="B2460" s="50"/>
      <c r="C2460" s="31" t="s">
        <v>2318</v>
      </c>
      <c r="D2460" s="32" t="s">
        <v>15</v>
      </c>
      <c r="E2460" s="31" t="s">
        <v>2709</v>
      </c>
      <c r="F2460" s="161">
        <v>46048.0</v>
      </c>
      <c r="G2460" s="53">
        <v>9935246.7</v>
      </c>
      <c r="H2460" s="14">
        <f t="shared" si="9"/>
        <v>2086401.807</v>
      </c>
      <c r="I2460" s="22">
        <v>298057.4</v>
      </c>
      <c r="J2460" s="22">
        <v>496762.34</v>
      </c>
      <c r="K2460" s="15">
        <f t="shared" si="4"/>
        <v>12816468.25</v>
      </c>
      <c r="L2460" s="45"/>
      <c r="M2460" s="6"/>
    </row>
    <row r="2461" ht="15.75" customHeight="1">
      <c r="A2461" s="162">
        <v>46041.0</v>
      </c>
      <c r="B2461" s="50"/>
      <c r="C2461" s="31" t="s">
        <v>2318</v>
      </c>
      <c r="D2461" s="31" t="s">
        <v>77</v>
      </c>
      <c r="E2461" s="31" t="s">
        <v>2710</v>
      </c>
      <c r="F2461" s="161">
        <v>46048.0</v>
      </c>
      <c r="G2461" s="53">
        <v>1.198333465E7</v>
      </c>
      <c r="H2461" s="14">
        <f t="shared" si="9"/>
        <v>2516500.277</v>
      </c>
      <c r="I2461" s="22"/>
      <c r="J2461" s="14"/>
      <c r="K2461" s="15">
        <f t="shared" si="4"/>
        <v>14499834.93</v>
      </c>
      <c r="L2461" s="45"/>
      <c r="M2461" s="6"/>
    </row>
    <row r="2462" ht="15.75" customHeight="1">
      <c r="A2462" s="162">
        <v>46041.0</v>
      </c>
      <c r="B2462" s="50"/>
      <c r="C2462" s="31" t="s">
        <v>2318</v>
      </c>
      <c r="D2462" s="31" t="s">
        <v>77</v>
      </c>
      <c r="E2462" s="31" t="s">
        <v>2711</v>
      </c>
      <c r="F2462" s="161">
        <v>46048.0</v>
      </c>
      <c r="G2462" s="53">
        <v>1.251883431E7</v>
      </c>
      <c r="H2462" s="14">
        <f t="shared" si="9"/>
        <v>2628955.205</v>
      </c>
      <c r="I2462" s="22"/>
      <c r="J2462" s="14"/>
      <c r="K2462" s="15">
        <f t="shared" si="4"/>
        <v>15147789.52</v>
      </c>
      <c r="L2462" s="45"/>
      <c r="M2462" s="6"/>
    </row>
    <row r="2463" ht="15.75" customHeight="1">
      <c r="A2463" s="162">
        <v>46041.0</v>
      </c>
      <c r="B2463" s="50"/>
      <c r="C2463" s="31" t="s">
        <v>2318</v>
      </c>
      <c r="D2463" s="31" t="s">
        <v>77</v>
      </c>
      <c r="E2463" s="31" t="s">
        <v>2712</v>
      </c>
      <c r="F2463" s="161">
        <v>46048.0</v>
      </c>
      <c r="G2463" s="53">
        <v>1.318192117E7</v>
      </c>
      <c r="H2463" s="14">
        <f t="shared" si="9"/>
        <v>2768203.446</v>
      </c>
      <c r="I2463" s="22"/>
      <c r="J2463" s="14"/>
      <c r="K2463" s="15">
        <f t="shared" si="4"/>
        <v>15950124.62</v>
      </c>
      <c r="L2463" s="45"/>
      <c r="M2463" s="6"/>
    </row>
    <row r="2464" ht="15.75" customHeight="1">
      <c r="A2464" s="162">
        <v>46041.0</v>
      </c>
      <c r="B2464" s="50"/>
      <c r="C2464" s="31" t="s">
        <v>2318</v>
      </c>
      <c r="D2464" s="31" t="s">
        <v>77</v>
      </c>
      <c r="E2464" s="31" t="s">
        <v>2713</v>
      </c>
      <c r="F2464" s="161">
        <v>46048.0</v>
      </c>
      <c r="G2464" s="53">
        <v>1.232618559E7</v>
      </c>
      <c r="H2464" s="14">
        <f t="shared" si="9"/>
        <v>2588498.974</v>
      </c>
      <c r="I2464" s="22"/>
      <c r="J2464" s="14"/>
      <c r="K2464" s="15">
        <f t="shared" si="4"/>
        <v>14914684.56</v>
      </c>
      <c r="L2464" s="45"/>
      <c r="M2464" s="6"/>
    </row>
    <row r="2465" ht="15.75" customHeight="1">
      <c r="A2465" s="162">
        <v>46042.0</v>
      </c>
      <c r="B2465" s="50"/>
      <c r="C2465" s="31" t="s">
        <v>2318</v>
      </c>
      <c r="D2465" s="31" t="s">
        <v>2714</v>
      </c>
      <c r="E2465" s="31" t="s">
        <v>2715</v>
      </c>
      <c r="F2465" s="161">
        <v>46048.0</v>
      </c>
      <c r="G2465" s="53">
        <v>1.21283201E7</v>
      </c>
      <c r="H2465" s="14">
        <f t="shared" si="9"/>
        <v>2546947.221</v>
      </c>
      <c r="I2465" s="22"/>
      <c r="J2465" s="14"/>
      <c r="K2465" s="15">
        <f t="shared" si="4"/>
        <v>14675267.32</v>
      </c>
      <c r="L2465" s="45"/>
      <c r="M2465" s="6"/>
    </row>
    <row r="2466" ht="15.75" customHeight="1">
      <c r="A2466" s="162">
        <v>46042.0</v>
      </c>
      <c r="B2466" s="50"/>
      <c r="C2466" s="31" t="s">
        <v>2318</v>
      </c>
      <c r="D2466" s="31" t="s">
        <v>2714</v>
      </c>
      <c r="E2466" s="31" t="s">
        <v>2716</v>
      </c>
      <c r="F2466" s="161">
        <v>46048.0</v>
      </c>
      <c r="G2466" s="53">
        <v>1.287583812E7</v>
      </c>
      <c r="H2466" s="14">
        <f t="shared" si="9"/>
        <v>2703926.005</v>
      </c>
      <c r="I2466" s="22"/>
      <c r="J2466" s="14"/>
      <c r="K2466" s="15">
        <f t="shared" si="4"/>
        <v>15579764.13</v>
      </c>
      <c r="L2466" s="45"/>
      <c r="M2466" s="6"/>
    </row>
    <row r="2467" ht="15.75" customHeight="1">
      <c r="A2467" s="162">
        <v>46042.0</v>
      </c>
      <c r="B2467" s="50"/>
      <c r="C2467" s="31" t="s">
        <v>410</v>
      </c>
      <c r="D2467" s="32" t="s">
        <v>99</v>
      </c>
      <c r="E2467" s="31" t="s">
        <v>2717</v>
      </c>
      <c r="F2467" s="161">
        <v>46048.0</v>
      </c>
      <c r="G2467" s="53">
        <v>5992472.18</v>
      </c>
      <c r="H2467" s="14">
        <f t="shared" si="9"/>
        <v>1258419.158</v>
      </c>
      <c r="I2467" s="22"/>
      <c r="J2467" s="14"/>
      <c r="K2467" s="15">
        <f t="shared" si="4"/>
        <v>7250891.338</v>
      </c>
      <c r="L2467" s="45"/>
      <c r="M2467" s="6"/>
    </row>
    <row r="2468" ht="15.75" customHeight="1">
      <c r="A2468" s="162">
        <v>46042.0</v>
      </c>
      <c r="B2468" s="50"/>
      <c r="C2468" s="31" t="s">
        <v>410</v>
      </c>
      <c r="D2468" s="32" t="s">
        <v>15</v>
      </c>
      <c r="E2468" s="31" t="s">
        <v>2718</v>
      </c>
      <c r="F2468" s="161">
        <v>46048.0</v>
      </c>
      <c r="G2468" s="53">
        <v>4011350.85</v>
      </c>
      <c r="H2468" s="14">
        <f t="shared" si="9"/>
        <v>842383.6785</v>
      </c>
      <c r="I2468" s="22"/>
      <c r="J2468" s="14"/>
      <c r="K2468" s="15">
        <f t="shared" si="4"/>
        <v>4853734.529</v>
      </c>
      <c r="L2468" s="45"/>
      <c r="M2468" s="6"/>
    </row>
    <row r="2469" ht="15.75" customHeight="1">
      <c r="A2469" s="162">
        <v>46042.0</v>
      </c>
      <c r="B2469" s="50"/>
      <c r="C2469" s="31" t="s">
        <v>159</v>
      </c>
      <c r="D2469" s="32" t="s">
        <v>15</v>
      </c>
      <c r="E2469" s="31" t="s">
        <v>2719</v>
      </c>
      <c r="F2469" s="161">
        <v>46048.0</v>
      </c>
      <c r="G2469" s="53">
        <v>1.000824219E7</v>
      </c>
      <c r="H2469" s="14">
        <f t="shared" si="9"/>
        <v>2101730.86</v>
      </c>
      <c r="I2469" s="22">
        <v>300247.27</v>
      </c>
      <c r="J2469" s="22">
        <v>120098.91</v>
      </c>
      <c r="K2469" s="15">
        <f t="shared" si="4"/>
        <v>12530319.23</v>
      </c>
      <c r="L2469" s="45"/>
      <c r="M2469" s="6"/>
    </row>
    <row r="2470" ht="15.75" customHeight="1">
      <c r="A2470" s="162">
        <v>46042.0</v>
      </c>
      <c r="B2470" s="50"/>
      <c r="C2470" s="31" t="s">
        <v>159</v>
      </c>
      <c r="D2470" s="32" t="s">
        <v>99</v>
      </c>
      <c r="E2470" s="31" t="s">
        <v>2720</v>
      </c>
      <c r="F2470" s="161">
        <v>46048.0</v>
      </c>
      <c r="G2470" s="53">
        <v>1.001188142E7</v>
      </c>
      <c r="H2470" s="14">
        <f t="shared" si="9"/>
        <v>2102495.098</v>
      </c>
      <c r="I2470" s="22">
        <v>300356.44</v>
      </c>
      <c r="J2470" s="22">
        <v>120142.58</v>
      </c>
      <c r="K2470" s="15">
        <f t="shared" si="4"/>
        <v>12534875.54</v>
      </c>
      <c r="L2470" s="45"/>
      <c r="M2470" s="6"/>
    </row>
    <row r="2471" ht="15.75" customHeight="1">
      <c r="A2471" s="162">
        <v>46042.0</v>
      </c>
      <c r="B2471" s="50"/>
      <c r="C2471" s="31" t="s">
        <v>417</v>
      </c>
      <c r="D2471" s="32" t="s">
        <v>15</v>
      </c>
      <c r="E2471" s="31" t="s">
        <v>2721</v>
      </c>
      <c r="F2471" s="161">
        <v>46048.0</v>
      </c>
      <c r="G2471" s="53">
        <v>3009495.92</v>
      </c>
      <c r="H2471" s="14">
        <f t="shared" si="9"/>
        <v>631994.1432</v>
      </c>
      <c r="I2471" s="22"/>
      <c r="J2471" s="14"/>
      <c r="K2471" s="15">
        <f t="shared" si="4"/>
        <v>3641490.063</v>
      </c>
      <c r="L2471" s="45"/>
      <c r="M2471" s="24">
        <v>46044.0</v>
      </c>
    </row>
    <row r="2472" ht="15.75" customHeight="1">
      <c r="A2472" s="162">
        <v>46042.0</v>
      </c>
      <c r="B2472" s="50"/>
      <c r="C2472" s="31" t="s">
        <v>417</v>
      </c>
      <c r="D2472" s="32" t="s">
        <v>15</v>
      </c>
      <c r="E2472" s="31" t="s">
        <v>2722</v>
      </c>
      <c r="F2472" s="161">
        <v>46048.0</v>
      </c>
      <c r="G2472" s="53">
        <v>7004582.19</v>
      </c>
      <c r="H2472" s="14">
        <f t="shared" si="9"/>
        <v>1470962.26</v>
      </c>
      <c r="I2472" s="22">
        <v>210137.47</v>
      </c>
      <c r="J2472" s="14"/>
      <c r="K2472" s="15">
        <f t="shared" si="4"/>
        <v>8685681.92</v>
      </c>
      <c r="L2472" s="45"/>
      <c r="M2472" s="24">
        <v>46044.0</v>
      </c>
    </row>
    <row r="2473" ht="15.75" customHeight="1">
      <c r="A2473" s="162">
        <v>46042.0</v>
      </c>
      <c r="B2473" s="50"/>
      <c r="C2473" s="31" t="s">
        <v>417</v>
      </c>
      <c r="D2473" s="32" t="s">
        <v>99</v>
      </c>
      <c r="E2473" s="31" t="s">
        <v>2723</v>
      </c>
      <c r="F2473" s="161">
        <v>46048.0</v>
      </c>
      <c r="G2473" s="53">
        <v>1.751143015E7</v>
      </c>
      <c r="H2473" s="14">
        <f t="shared" si="9"/>
        <v>3677400.332</v>
      </c>
      <c r="I2473" s="22">
        <v>525342.9</v>
      </c>
      <c r="J2473" s="14"/>
      <c r="K2473" s="15">
        <f t="shared" si="4"/>
        <v>21714173.38</v>
      </c>
      <c r="L2473" s="45"/>
      <c r="M2473" s="24">
        <v>46044.0</v>
      </c>
    </row>
    <row r="2474" ht="15.75" customHeight="1">
      <c r="A2474" s="162">
        <v>46042.0</v>
      </c>
      <c r="B2474" s="50"/>
      <c r="C2474" s="31" t="s">
        <v>417</v>
      </c>
      <c r="D2474" s="32" t="s">
        <v>99</v>
      </c>
      <c r="E2474" s="32" t="s">
        <v>2724</v>
      </c>
      <c r="F2474" s="161">
        <v>46048.0</v>
      </c>
      <c r="G2474" s="53">
        <v>7497322.16</v>
      </c>
      <c r="H2474" s="14">
        <f t="shared" si="9"/>
        <v>1574437.654</v>
      </c>
      <c r="I2474" s="22"/>
      <c r="J2474" s="14"/>
      <c r="K2474" s="15">
        <f t="shared" si="4"/>
        <v>9071759.814</v>
      </c>
      <c r="L2474" s="45"/>
      <c r="M2474" s="24">
        <v>46044.0</v>
      </c>
    </row>
    <row r="2475" ht="15.75" customHeight="1">
      <c r="A2475" s="162">
        <v>46042.0</v>
      </c>
      <c r="B2475" s="50"/>
      <c r="C2475" s="31" t="s">
        <v>2495</v>
      </c>
      <c r="D2475" s="32" t="s">
        <v>99</v>
      </c>
      <c r="E2475" s="31" t="s">
        <v>2725</v>
      </c>
      <c r="F2475" s="161">
        <v>46048.0</v>
      </c>
      <c r="G2475" s="53">
        <v>2.409059892E7</v>
      </c>
      <c r="H2475" s="14">
        <f t="shared" si="9"/>
        <v>5059025.773</v>
      </c>
      <c r="I2475" s="22">
        <v>722717.97</v>
      </c>
      <c r="J2475" s="14"/>
      <c r="K2475" s="15">
        <f t="shared" si="4"/>
        <v>29872342.66</v>
      </c>
      <c r="L2475" s="45"/>
      <c r="M2475" s="6"/>
    </row>
    <row r="2476" ht="15.75" customHeight="1">
      <c r="A2476" s="162">
        <v>46042.0</v>
      </c>
      <c r="B2476" s="50"/>
      <c r="C2476" s="31" t="s">
        <v>2495</v>
      </c>
      <c r="D2476" s="32" t="s">
        <v>99</v>
      </c>
      <c r="E2476" s="31" t="s">
        <v>2726</v>
      </c>
      <c r="F2476" s="161">
        <v>46048.0</v>
      </c>
      <c r="G2476" s="53">
        <v>3.592162549E7</v>
      </c>
      <c r="H2476" s="14">
        <f t="shared" si="9"/>
        <v>7543541.353</v>
      </c>
      <c r="I2476" s="22">
        <v>1077648.76</v>
      </c>
      <c r="J2476" s="14"/>
      <c r="K2476" s="15">
        <f t="shared" si="4"/>
        <v>44542815.6</v>
      </c>
      <c r="L2476" s="45"/>
      <c r="M2476" s="6"/>
    </row>
    <row r="2477" ht="15.75" customHeight="1">
      <c r="A2477" s="162">
        <v>46043.0</v>
      </c>
      <c r="B2477" s="50"/>
      <c r="C2477" s="31" t="s">
        <v>2495</v>
      </c>
      <c r="D2477" s="32" t="s">
        <v>99</v>
      </c>
      <c r="E2477" s="31" t="s">
        <v>2727</v>
      </c>
      <c r="F2477" s="161">
        <v>46048.0</v>
      </c>
      <c r="G2477" s="53">
        <v>6001222.84</v>
      </c>
      <c r="H2477" s="14">
        <f t="shared" si="9"/>
        <v>1260256.796</v>
      </c>
      <c r="I2477" s="22">
        <v>180036.69</v>
      </c>
      <c r="J2477" s="14"/>
      <c r="K2477" s="15">
        <f t="shared" si="4"/>
        <v>7441516.326</v>
      </c>
      <c r="L2477" s="45"/>
      <c r="M2477" s="24">
        <v>46045.0</v>
      </c>
    </row>
    <row r="2478" ht="15.75" customHeight="1">
      <c r="A2478" s="162">
        <v>46043.0</v>
      </c>
      <c r="B2478" s="50"/>
      <c r="C2478" s="31" t="s">
        <v>2221</v>
      </c>
      <c r="D2478" s="32" t="s">
        <v>99</v>
      </c>
      <c r="E2478" s="31" t="s">
        <v>2728</v>
      </c>
      <c r="F2478" s="161">
        <v>46048.0</v>
      </c>
      <c r="G2478" s="53">
        <v>9189578.23</v>
      </c>
      <c r="H2478" s="14">
        <f t="shared" si="9"/>
        <v>1929811.428</v>
      </c>
      <c r="I2478" s="22">
        <v>275687.35</v>
      </c>
      <c r="J2478" s="14"/>
      <c r="K2478" s="15">
        <f t="shared" si="4"/>
        <v>11395077.01</v>
      </c>
      <c r="L2478" s="45"/>
      <c r="M2478" s="24">
        <v>46044.0</v>
      </c>
    </row>
    <row r="2479" ht="15.75" customHeight="1">
      <c r="A2479" s="162">
        <v>46043.0</v>
      </c>
      <c r="B2479" s="50"/>
      <c r="C2479" s="31" t="s">
        <v>2221</v>
      </c>
      <c r="D2479" s="32" t="s">
        <v>99</v>
      </c>
      <c r="E2479" s="31" t="s">
        <v>2729</v>
      </c>
      <c r="F2479" s="161">
        <v>46048.0</v>
      </c>
      <c r="G2479" s="53">
        <v>8333632.22</v>
      </c>
      <c r="H2479" s="14">
        <f t="shared" si="9"/>
        <v>1750062.766</v>
      </c>
      <c r="I2479" s="22">
        <v>250008.97</v>
      </c>
      <c r="J2479" s="14"/>
      <c r="K2479" s="15">
        <f t="shared" si="4"/>
        <v>10333703.96</v>
      </c>
      <c r="L2479" s="45"/>
      <c r="M2479" s="24">
        <v>46044.0</v>
      </c>
    </row>
    <row r="2480" ht="15.75" customHeight="1">
      <c r="A2480" s="162">
        <v>46043.0</v>
      </c>
      <c r="B2480" s="50"/>
      <c r="C2480" s="31" t="s">
        <v>2221</v>
      </c>
      <c r="D2480" s="32" t="s">
        <v>99</v>
      </c>
      <c r="E2480" s="31" t="s">
        <v>2730</v>
      </c>
      <c r="F2480" s="161">
        <v>46048.0</v>
      </c>
      <c r="G2480" s="53">
        <v>8035288.95</v>
      </c>
      <c r="H2480" s="14">
        <f t="shared" si="9"/>
        <v>1687410.68</v>
      </c>
      <c r="I2480" s="22">
        <v>241058.67</v>
      </c>
      <c r="J2480" s="14"/>
      <c r="K2480" s="15">
        <f t="shared" si="4"/>
        <v>9963758.3</v>
      </c>
      <c r="L2480" s="45"/>
      <c r="M2480" s="24">
        <v>46044.0</v>
      </c>
    </row>
    <row r="2481" ht="15.75" customHeight="1">
      <c r="A2481" s="162">
        <v>46043.0</v>
      </c>
      <c r="B2481" s="50"/>
      <c r="C2481" s="31" t="s">
        <v>2221</v>
      </c>
      <c r="D2481" s="32" t="s">
        <v>99</v>
      </c>
      <c r="E2481" s="31" t="s">
        <v>2731</v>
      </c>
      <c r="F2481" s="161">
        <v>46048.0</v>
      </c>
      <c r="G2481" s="53">
        <v>5533523.85</v>
      </c>
      <c r="H2481" s="14">
        <f t="shared" si="9"/>
        <v>1162040.009</v>
      </c>
      <c r="I2481" s="22">
        <v>166005.72</v>
      </c>
      <c r="J2481" s="14"/>
      <c r="K2481" s="15">
        <f t="shared" si="4"/>
        <v>6861569.579</v>
      </c>
      <c r="L2481" s="45"/>
      <c r="M2481" s="24">
        <v>46044.0</v>
      </c>
    </row>
    <row r="2482" ht="15.75" customHeight="1">
      <c r="A2482" s="162">
        <v>46043.0</v>
      </c>
      <c r="B2482" s="50"/>
      <c r="C2482" s="31" t="s">
        <v>2221</v>
      </c>
      <c r="D2482" s="32" t="s">
        <v>99</v>
      </c>
      <c r="E2482" s="31" t="s">
        <v>2732</v>
      </c>
      <c r="F2482" s="161">
        <v>46048.0</v>
      </c>
      <c r="G2482" s="53">
        <v>8332722.18</v>
      </c>
      <c r="H2482" s="14">
        <f t="shared" si="9"/>
        <v>1749871.658</v>
      </c>
      <c r="I2482" s="22">
        <v>249981.67</v>
      </c>
      <c r="J2482" s="14"/>
      <c r="K2482" s="15">
        <f t="shared" si="4"/>
        <v>10332575.51</v>
      </c>
      <c r="L2482" s="45"/>
      <c r="M2482" s="24">
        <v>46044.0</v>
      </c>
    </row>
    <row r="2483" ht="15.75" customHeight="1">
      <c r="A2483" s="162">
        <v>46043.0</v>
      </c>
      <c r="B2483" s="50"/>
      <c r="C2483" s="31" t="s">
        <v>2221</v>
      </c>
      <c r="D2483" s="32" t="s">
        <v>99</v>
      </c>
      <c r="E2483" s="31" t="s">
        <v>2733</v>
      </c>
      <c r="F2483" s="161">
        <v>46048.0</v>
      </c>
      <c r="G2483" s="53">
        <v>1.223336251E7</v>
      </c>
      <c r="H2483" s="14">
        <f t="shared" si="9"/>
        <v>2569006.127</v>
      </c>
      <c r="I2483" s="22">
        <v>367000.88</v>
      </c>
      <c r="J2483" s="14"/>
      <c r="K2483" s="15">
        <f t="shared" si="4"/>
        <v>15169369.52</v>
      </c>
      <c r="L2483" s="45"/>
      <c r="M2483" s="24">
        <v>46044.0</v>
      </c>
    </row>
    <row r="2484" ht="15.75" customHeight="1">
      <c r="A2484" s="162">
        <v>46043.0</v>
      </c>
      <c r="B2484" s="50"/>
      <c r="C2484" s="31" t="s">
        <v>2221</v>
      </c>
      <c r="D2484" s="32" t="s">
        <v>99</v>
      </c>
      <c r="E2484" s="31" t="s">
        <v>2734</v>
      </c>
      <c r="F2484" s="161">
        <v>46048.0</v>
      </c>
      <c r="G2484" s="53">
        <v>8273623.51</v>
      </c>
      <c r="H2484" s="14">
        <f t="shared" si="9"/>
        <v>1737460.937</v>
      </c>
      <c r="I2484" s="22">
        <v>248208.71</v>
      </c>
      <c r="J2484" s="14"/>
      <c r="K2484" s="15">
        <f t="shared" si="4"/>
        <v>10259293.16</v>
      </c>
      <c r="L2484" s="45"/>
      <c r="M2484" s="24">
        <v>46044.0</v>
      </c>
    </row>
    <row r="2485" ht="15.75" customHeight="1">
      <c r="A2485" s="162">
        <v>46043.0</v>
      </c>
      <c r="B2485" s="50"/>
      <c r="C2485" s="31" t="s">
        <v>2221</v>
      </c>
      <c r="D2485" s="32" t="s">
        <v>15</v>
      </c>
      <c r="E2485" s="31" t="s">
        <v>2735</v>
      </c>
      <c r="F2485" s="161">
        <v>46048.0</v>
      </c>
      <c r="G2485" s="53">
        <v>1.153946282E7</v>
      </c>
      <c r="H2485" s="14">
        <f t="shared" si="9"/>
        <v>2423287.192</v>
      </c>
      <c r="I2485" s="22">
        <v>346183.88</v>
      </c>
      <c r="J2485" s="14"/>
      <c r="K2485" s="15">
        <f t="shared" si="4"/>
        <v>14308933.89</v>
      </c>
      <c r="L2485" s="45"/>
      <c r="M2485" s="24">
        <v>46050.0</v>
      </c>
    </row>
    <row r="2486" ht="15.75" customHeight="1">
      <c r="A2486" s="162">
        <v>46043.0</v>
      </c>
      <c r="B2486" s="50"/>
      <c r="C2486" s="31" t="s">
        <v>2221</v>
      </c>
      <c r="D2486" s="32" t="s">
        <v>15</v>
      </c>
      <c r="E2486" s="31" t="s">
        <v>2736</v>
      </c>
      <c r="F2486" s="161">
        <v>46048.0</v>
      </c>
      <c r="G2486" s="53">
        <v>8464782.16</v>
      </c>
      <c r="H2486" s="14">
        <f t="shared" si="9"/>
        <v>1777604.254</v>
      </c>
      <c r="I2486" s="22">
        <v>253943.46</v>
      </c>
      <c r="J2486" s="14"/>
      <c r="K2486" s="15">
        <f t="shared" si="4"/>
        <v>10496329.87</v>
      </c>
      <c r="L2486" s="45"/>
      <c r="M2486" s="24">
        <v>46050.0</v>
      </c>
    </row>
    <row r="2487" ht="15.75" customHeight="1">
      <c r="A2487" s="162">
        <v>46044.0</v>
      </c>
      <c r="B2487" s="50"/>
      <c r="C2487" s="31" t="s">
        <v>423</v>
      </c>
      <c r="D2487" s="32" t="s">
        <v>99</v>
      </c>
      <c r="E2487" s="31" t="s">
        <v>2737</v>
      </c>
      <c r="F2487" s="161">
        <v>46048.0</v>
      </c>
      <c r="G2487" s="53">
        <v>3001256.99</v>
      </c>
      <c r="H2487" s="14">
        <f t="shared" si="9"/>
        <v>630263.9679</v>
      </c>
      <c r="I2487" s="22">
        <v>90037.71</v>
      </c>
      <c r="J2487" s="22">
        <v>33013.83</v>
      </c>
      <c r="K2487" s="15">
        <f t="shared" si="4"/>
        <v>3754572.498</v>
      </c>
      <c r="L2487" s="45"/>
      <c r="M2487" s="6"/>
    </row>
    <row r="2488" ht="15.75" customHeight="1">
      <c r="A2488" s="162">
        <v>46044.0</v>
      </c>
      <c r="B2488" s="50"/>
      <c r="C2488" s="31" t="s">
        <v>423</v>
      </c>
      <c r="D2488" s="32" t="s">
        <v>99</v>
      </c>
      <c r="E2488" s="31" t="s">
        <v>2738</v>
      </c>
      <c r="F2488" s="161">
        <v>46048.0</v>
      </c>
      <c r="G2488" s="53">
        <v>3001410.42</v>
      </c>
      <c r="H2488" s="14">
        <f t="shared" si="9"/>
        <v>630296.1882</v>
      </c>
      <c r="I2488" s="22">
        <v>90042.31</v>
      </c>
      <c r="J2488" s="22">
        <v>33015.51</v>
      </c>
      <c r="K2488" s="15">
        <f t="shared" si="4"/>
        <v>3754764.428</v>
      </c>
      <c r="L2488" s="45"/>
      <c r="M2488" s="6"/>
    </row>
    <row r="2489" ht="15.75" customHeight="1">
      <c r="A2489" s="162">
        <v>46044.0</v>
      </c>
      <c r="B2489" s="50"/>
      <c r="C2489" s="31" t="s">
        <v>423</v>
      </c>
      <c r="D2489" s="32" t="s">
        <v>15</v>
      </c>
      <c r="E2489" s="31" t="s">
        <v>2739</v>
      </c>
      <c r="F2489" s="161">
        <v>46048.0</v>
      </c>
      <c r="G2489" s="53">
        <v>3002701.02</v>
      </c>
      <c r="H2489" s="14">
        <f t="shared" si="9"/>
        <v>630567.2142</v>
      </c>
      <c r="I2489" s="22">
        <v>90081.03</v>
      </c>
      <c r="J2489" s="22">
        <v>33029.71</v>
      </c>
      <c r="K2489" s="15">
        <f t="shared" si="4"/>
        <v>3756378.974</v>
      </c>
      <c r="L2489" s="45"/>
      <c r="M2489" s="6"/>
    </row>
    <row r="2490" ht="15.75" customHeight="1">
      <c r="A2490" s="162">
        <v>46044.0</v>
      </c>
      <c r="B2490" s="50"/>
      <c r="C2490" s="31" t="s">
        <v>423</v>
      </c>
      <c r="D2490" s="32" t="s">
        <v>15</v>
      </c>
      <c r="E2490" s="31" t="s">
        <v>2740</v>
      </c>
      <c r="F2490" s="161">
        <v>46048.0</v>
      </c>
      <c r="G2490" s="53">
        <v>3000540.64</v>
      </c>
      <c r="H2490" s="14">
        <f t="shared" si="9"/>
        <v>630113.5344</v>
      </c>
      <c r="I2490" s="22">
        <v>90016.22</v>
      </c>
      <c r="J2490" s="22">
        <v>33005.95</v>
      </c>
      <c r="K2490" s="15">
        <f t="shared" si="4"/>
        <v>3753676.344</v>
      </c>
      <c r="L2490" s="45"/>
      <c r="M2490" s="6"/>
    </row>
    <row r="2491" ht="15.75" customHeight="1">
      <c r="A2491" s="162">
        <v>46045.0</v>
      </c>
      <c r="B2491" s="50"/>
      <c r="C2491" s="31" t="s">
        <v>2318</v>
      </c>
      <c r="D2491" s="31" t="s">
        <v>77</v>
      </c>
      <c r="E2491" s="31" t="s">
        <v>2741</v>
      </c>
      <c r="F2491" s="161">
        <v>46048.0</v>
      </c>
      <c r="G2491" s="53">
        <v>1.2005E7</v>
      </c>
      <c r="H2491" s="14">
        <f t="shared" si="9"/>
        <v>2521050</v>
      </c>
      <c r="I2491" s="22"/>
      <c r="J2491" s="14"/>
      <c r="K2491" s="15">
        <f t="shared" si="4"/>
        <v>14526050</v>
      </c>
      <c r="L2491" s="45"/>
      <c r="M2491" s="6"/>
    </row>
    <row r="2492" ht="15.75" customHeight="1">
      <c r="A2492" s="162">
        <v>46045.0</v>
      </c>
      <c r="B2492" s="50"/>
      <c r="C2492" s="31" t="s">
        <v>2318</v>
      </c>
      <c r="D2492" s="31" t="s">
        <v>77</v>
      </c>
      <c r="E2492" s="31" t="s">
        <v>2742</v>
      </c>
      <c r="F2492" s="161">
        <v>46048.0</v>
      </c>
      <c r="G2492" s="53">
        <v>1.11475E7</v>
      </c>
      <c r="H2492" s="14">
        <f t="shared" si="9"/>
        <v>2340975</v>
      </c>
      <c r="I2492" s="22"/>
      <c r="J2492" s="14"/>
      <c r="K2492" s="15">
        <f t="shared" si="4"/>
        <v>13488475</v>
      </c>
      <c r="L2492" s="45"/>
      <c r="M2492" s="6"/>
    </row>
    <row r="2493" ht="15.75" customHeight="1">
      <c r="A2493" s="162">
        <v>46045.0</v>
      </c>
      <c r="B2493" s="50"/>
      <c r="C2493" s="31" t="s">
        <v>2318</v>
      </c>
      <c r="D2493" s="31" t="s">
        <v>77</v>
      </c>
      <c r="E2493" s="31" t="s">
        <v>2743</v>
      </c>
      <c r="F2493" s="161">
        <v>46048.0</v>
      </c>
      <c r="G2493" s="53">
        <v>1.140475E7</v>
      </c>
      <c r="H2493" s="14">
        <f t="shared" si="9"/>
        <v>2394997.5</v>
      </c>
      <c r="I2493" s="22"/>
      <c r="J2493" s="14"/>
      <c r="K2493" s="15">
        <f t="shared" si="4"/>
        <v>13799747.5</v>
      </c>
      <c r="L2493" s="45"/>
      <c r="M2493" s="6"/>
    </row>
    <row r="2494" ht="15.75" customHeight="1">
      <c r="A2494" s="162">
        <v>46045.0</v>
      </c>
      <c r="B2494" s="50"/>
      <c r="C2494" s="31" t="s">
        <v>2318</v>
      </c>
      <c r="D2494" s="31" t="s">
        <v>77</v>
      </c>
      <c r="E2494" s="31" t="s">
        <v>2744</v>
      </c>
      <c r="F2494" s="161">
        <v>46048.0</v>
      </c>
      <c r="G2494" s="53">
        <v>1.24166E7</v>
      </c>
      <c r="H2494" s="14">
        <f t="shared" si="9"/>
        <v>2607486</v>
      </c>
      <c r="I2494" s="22"/>
      <c r="J2494" s="14"/>
      <c r="K2494" s="15">
        <f t="shared" si="4"/>
        <v>15024086</v>
      </c>
      <c r="L2494" s="45"/>
      <c r="M2494" s="6"/>
    </row>
    <row r="2495" ht="15.75" customHeight="1">
      <c r="A2495" s="162">
        <v>46045.0</v>
      </c>
      <c r="B2495" s="50"/>
      <c r="C2495" s="31" t="s">
        <v>2318</v>
      </c>
      <c r="D2495" s="31" t="s">
        <v>77</v>
      </c>
      <c r="E2495" s="31" t="s">
        <v>2745</v>
      </c>
      <c r="F2495" s="161">
        <v>46048.0</v>
      </c>
      <c r="G2495" s="53">
        <v>1.05644E7</v>
      </c>
      <c r="H2495" s="14">
        <f t="shared" si="9"/>
        <v>2218524</v>
      </c>
      <c r="I2495" s="22"/>
      <c r="J2495" s="14"/>
      <c r="K2495" s="15">
        <f t="shared" si="4"/>
        <v>12782924</v>
      </c>
      <c r="L2495" s="45"/>
      <c r="M2495" s="6"/>
    </row>
    <row r="2496" ht="15.75" customHeight="1">
      <c r="A2496" s="162">
        <v>46045.0</v>
      </c>
      <c r="B2496" s="50"/>
      <c r="C2496" s="31" t="s">
        <v>2318</v>
      </c>
      <c r="D2496" s="31" t="s">
        <v>77</v>
      </c>
      <c r="E2496" s="31" t="s">
        <v>2746</v>
      </c>
      <c r="F2496" s="161">
        <v>46048.0</v>
      </c>
      <c r="G2496" s="53">
        <v>1.776597861E7</v>
      </c>
      <c r="H2496" s="14">
        <f t="shared" si="9"/>
        <v>3730855.508</v>
      </c>
      <c r="I2496" s="22"/>
      <c r="J2496" s="14"/>
      <c r="K2496" s="15">
        <f t="shared" si="4"/>
        <v>21496834.12</v>
      </c>
      <c r="L2496" s="45"/>
      <c r="M2496" s="6"/>
    </row>
    <row r="2497" ht="15.75" customHeight="1">
      <c r="A2497" s="162">
        <v>46045.0</v>
      </c>
      <c r="B2497" s="50"/>
      <c r="C2497" s="31" t="s">
        <v>2318</v>
      </c>
      <c r="D2497" s="31" t="s">
        <v>77</v>
      </c>
      <c r="E2497" s="31" t="s">
        <v>2747</v>
      </c>
      <c r="F2497" s="161">
        <v>46048.0</v>
      </c>
      <c r="G2497" s="53">
        <v>1.3034E7</v>
      </c>
      <c r="H2497" s="14">
        <f t="shared" si="9"/>
        <v>2737140</v>
      </c>
      <c r="I2497" s="22"/>
      <c r="J2497" s="14"/>
      <c r="K2497" s="15">
        <f t="shared" si="4"/>
        <v>15771140</v>
      </c>
      <c r="L2497" s="45"/>
      <c r="M2497" s="6"/>
    </row>
    <row r="2498" ht="15.75" customHeight="1">
      <c r="A2498" s="162">
        <v>46045.0</v>
      </c>
      <c r="B2498" s="50"/>
      <c r="C2498" s="31" t="s">
        <v>2318</v>
      </c>
      <c r="D2498" s="31" t="s">
        <v>77</v>
      </c>
      <c r="E2498" s="31" t="s">
        <v>2748</v>
      </c>
      <c r="F2498" s="161">
        <v>46048.0</v>
      </c>
      <c r="G2498" s="53">
        <v>1.1662E7</v>
      </c>
      <c r="H2498" s="14">
        <f t="shared" si="9"/>
        <v>2449020</v>
      </c>
      <c r="I2498" s="22"/>
      <c r="J2498" s="14"/>
      <c r="K2498" s="15">
        <f t="shared" si="4"/>
        <v>14111020</v>
      </c>
      <c r="L2498" s="45"/>
      <c r="M2498" s="6"/>
    </row>
    <row r="2499" ht="15.75" customHeight="1">
      <c r="A2499" s="162">
        <v>46045.0</v>
      </c>
      <c r="B2499" s="50"/>
      <c r="C2499" s="31" t="s">
        <v>2318</v>
      </c>
      <c r="D2499" s="31" t="s">
        <v>2714</v>
      </c>
      <c r="E2499" s="31" t="s">
        <v>2749</v>
      </c>
      <c r="F2499" s="161">
        <v>46048.0</v>
      </c>
      <c r="G2499" s="53">
        <v>1.499939E7</v>
      </c>
      <c r="H2499" s="14">
        <f t="shared" si="9"/>
        <v>3149871.9</v>
      </c>
      <c r="I2499" s="22"/>
      <c r="J2499" s="14"/>
      <c r="K2499" s="15">
        <f t="shared" si="4"/>
        <v>18149261.9</v>
      </c>
      <c r="L2499" s="45"/>
      <c r="M2499" s="6"/>
    </row>
    <row r="2500" ht="15.75" customHeight="1">
      <c r="A2500" s="162">
        <v>46045.0</v>
      </c>
      <c r="B2500" s="50"/>
      <c r="C2500" s="31" t="s">
        <v>2318</v>
      </c>
      <c r="D2500" s="31" t="s">
        <v>2714</v>
      </c>
      <c r="E2500" s="31" t="s">
        <v>2750</v>
      </c>
      <c r="F2500" s="161">
        <v>46048.0</v>
      </c>
      <c r="G2500" s="53">
        <v>1.000188E7</v>
      </c>
      <c r="H2500" s="14">
        <f t="shared" si="9"/>
        <v>2100394.8</v>
      </c>
      <c r="I2500" s="22"/>
      <c r="J2500" s="14"/>
      <c r="K2500" s="15">
        <f t="shared" si="4"/>
        <v>12102274.8</v>
      </c>
      <c r="L2500" s="45"/>
      <c r="M2500" s="6"/>
    </row>
    <row r="2501" ht="15.75" customHeight="1">
      <c r="A2501" s="162">
        <v>46045.0</v>
      </c>
      <c r="B2501" s="50"/>
      <c r="C2501" s="31" t="s">
        <v>2318</v>
      </c>
      <c r="D2501" s="32" t="s">
        <v>1872</v>
      </c>
      <c r="E2501" s="31">
        <v>2.00571069E8</v>
      </c>
      <c r="F2501" s="161">
        <v>46048.0</v>
      </c>
      <c r="G2501" s="53">
        <v>2.4696E7</v>
      </c>
      <c r="H2501" s="14">
        <f t="shared" si="9"/>
        <v>5186160</v>
      </c>
      <c r="I2501" s="22">
        <v>740880.0</v>
      </c>
      <c r="J2501" s="22">
        <v>740880.0</v>
      </c>
      <c r="K2501" s="15">
        <f t="shared" si="4"/>
        <v>31363920</v>
      </c>
      <c r="L2501" s="45"/>
      <c r="M2501" s="6"/>
    </row>
    <row r="2502" ht="15.75" customHeight="1">
      <c r="A2502" s="162">
        <v>46045.0</v>
      </c>
      <c r="B2502" s="50"/>
      <c r="C2502" s="31" t="s">
        <v>1189</v>
      </c>
      <c r="D2502" s="32" t="s">
        <v>99</v>
      </c>
      <c r="E2502" s="31" t="s">
        <v>2751</v>
      </c>
      <c r="F2502" s="161">
        <v>46048.0</v>
      </c>
      <c r="G2502" s="53">
        <v>1.500482694E7</v>
      </c>
      <c r="H2502" s="14">
        <f t="shared" si="9"/>
        <v>3151013.657</v>
      </c>
      <c r="I2502" s="22">
        <v>450144.81</v>
      </c>
      <c r="J2502" s="14"/>
      <c r="K2502" s="15">
        <f t="shared" si="4"/>
        <v>18605985.41</v>
      </c>
      <c r="L2502" s="45"/>
      <c r="M2502" s="6"/>
    </row>
    <row r="2503" ht="15.75" customHeight="1">
      <c r="A2503" s="162">
        <v>46048.0</v>
      </c>
      <c r="B2503" s="50"/>
      <c r="C2503" s="31" t="s">
        <v>2318</v>
      </c>
      <c r="D2503" s="32" t="s">
        <v>1872</v>
      </c>
      <c r="E2503" s="32">
        <v>2.00571403E8</v>
      </c>
      <c r="F2503" s="161">
        <v>46048.0</v>
      </c>
      <c r="G2503" s="53">
        <v>2.4696E7</v>
      </c>
      <c r="H2503" s="14">
        <f t="shared" si="9"/>
        <v>5186160</v>
      </c>
      <c r="I2503" s="22">
        <v>740880.0</v>
      </c>
      <c r="J2503" s="22">
        <v>740880.0</v>
      </c>
      <c r="K2503" s="15">
        <f t="shared" si="4"/>
        <v>31363920</v>
      </c>
      <c r="L2503" s="45"/>
      <c r="M2503" s="6"/>
    </row>
    <row r="2504" ht="15.75" customHeight="1">
      <c r="A2504" s="162">
        <v>46049.0</v>
      </c>
      <c r="B2504" s="50"/>
      <c r="C2504" s="31" t="s">
        <v>441</v>
      </c>
      <c r="D2504" s="32" t="s">
        <v>99</v>
      </c>
      <c r="E2504" s="31" t="s">
        <v>2752</v>
      </c>
      <c r="F2504" s="161">
        <v>46048.0</v>
      </c>
      <c r="G2504" s="53">
        <v>1.302446041E7</v>
      </c>
      <c r="H2504" s="14">
        <f t="shared" si="9"/>
        <v>2735136.686</v>
      </c>
      <c r="I2504" s="22">
        <v>390733.81</v>
      </c>
      <c r="J2504" s="22">
        <v>91171.22</v>
      </c>
      <c r="K2504" s="15">
        <f t="shared" si="4"/>
        <v>16241502.13</v>
      </c>
      <c r="L2504" s="45"/>
      <c r="M2504" s="24">
        <v>46059.0</v>
      </c>
    </row>
    <row r="2505" ht="15.75" customHeight="1">
      <c r="A2505" s="162">
        <v>46049.0</v>
      </c>
      <c r="B2505" s="50"/>
      <c r="C2505" s="31" t="s">
        <v>2753</v>
      </c>
      <c r="D2505" s="32" t="s">
        <v>99</v>
      </c>
      <c r="E2505" s="31" t="s">
        <v>2754</v>
      </c>
      <c r="F2505" s="161">
        <v>46048.0</v>
      </c>
      <c r="G2505" s="53">
        <v>3624572.16</v>
      </c>
      <c r="H2505" s="14">
        <f t="shared" si="9"/>
        <v>761160.1536</v>
      </c>
      <c r="I2505" s="22"/>
      <c r="J2505" s="14"/>
      <c r="K2505" s="15">
        <f t="shared" si="4"/>
        <v>4385732.314</v>
      </c>
      <c r="L2505" s="45"/>
      <c r="M2505" s="6"/>
    </row>
    <row r="2506" ht="15.75" customHeight="1">
      <c r="A2506" s="162">
        <v>46049.0</v>
      </c>
      <c r="B2506" s="50"/>
      <c r="C2506" s="31" t="s">
        <v>2753</v>
      </c>
      <c r="D2506" s="32" t="s">
        <v>99</v>
      </c>
      <c r="E2506" s="31" t="s">
        <v>2755</v>
      </c>
      <c r="F2506" s="161">
        <v>46048.0</v>
      </c>
      <c r="G2506" s="53">
        <v>5255891.23</v>
      </c>
      <c r="H2506" s="14">
        <f t="shared" si="9"/>
        <v>1103737.158</v>
      </c>
      <c r="I2506" s="22"/>
      <c r="J2506" s="14"/>
      <c r="K2506" s="15">
        <f t="shared" si="4"/>
        <v>6359628.388</v>
      </c>
      <c r="L2506" s="45"/>
      <c r="M2506" s="6"/>
    </row>
    <row r="2507" ht="15.75" customHeight="1">
      <c r="A2507" s="162">
        <v>46049.0</v>
      </c>
      <c r="B2507" s="50"/>
      <c r="C2507" s="31" t="s">
        <v>2753</v>
      </c>
      <c r="D2507" s="32" t="s">
        <v>99</v>
      </c>
      <c r="E2507" s="31" t="s">
        <v>2756</v>
      </c>
      <c r="F2507" s="161">
        <v>46048.0</v>
      </c>
      <c r="G2507" s="53">
        <v>6142682.11</v>
      </c>
      <c r="H2507" s="14">
        <f t="shared" si="9"/>
        <v>1289963.243</v>
      </c>
      <c r="I2507" s="22"/>
      <c r="J2507" s="14"/>
      <c r="K2507" s="15">
        <f t="shared" si="4"/>
        <v>7432645.353</v>
      </c>
      <c r="L2507" s="45"/>
      <c r="M2507" s="6"/>
    </row>
    <row r="2508" ht="15.75" customHeight="1">
      <c r="A2508" s="162">
        <v>46050.0</v>
      </c>
      <c r="B2508" s="50"/>
      <c r="C2508" s="31" t="s">
        <v>2221</v>
      </c>
      <c r="D2508" s="32" t="s">
        <v>99</v>
      </c>
      <c r="E2508" s="31" t="s">
        <v>2757</v>
      </c>
      <c r="F2508" s="161">
        <v>46048.0</v>
      </c>
      <c r="G2508" s="53">
        <v>7575320.15</v>
      </c>
      <c r="H2508" s="14">
        <f t="shared" si="9"/>
        <v>1590817.232</v>
      </c>
      <c r="I2508" s="22">
        <v>227259.6</v>
      </c>
      <c r="J2508" s="14"/>
      <c r="K2508" s="15">
        <f t="shared" si="4"/>
        <v>9393396.982</v>
      </c>
      <c r="L2508" s="45"/>
      <c r="M2508" s="24">
        <v>46051.0</v>
      </c>
    </row>
    <row r="2509" ht="15.75" customHeight="1">
      <c r="A2509" s="162">
        <v>46050.0</v>
      </c>
      <c r="B2509" s="50"/>
      <c r="C2509" s="31" t="s">
        <v>2221</v>
      </c>
      <c r="D2509" s="32" t="s">
        <v>99</v>
      </c>
      <c r="E2509" s="31" t="s">
        <v>2758</v>
      </c>
      <c r="F2509" s="161">
        <v>46048.0</v>
      </c>
      <c r="G2509" s="53">
        <v>8532460.26</v>
      </c>
      <c r="H2509" s="14">
        <f t="shared" si="9"/>
        <v>1791816.655</v>
      </c>
      <c r="I2509" s="22">
        <v>255973.81</v>
      </c>
      <c r="J2509" s="14"/>
      <c r="K2509" s="15">
        <f t="shared" si="4"/>
        <v>10580250.72</v>
      </c>
      <c r="L2509" s="45"/>
      <c r="M2509" s="24">
        <v>46051.0</v>
      </c>
    </row>
    <row r="2510" ht="15.75" customHeight="1">
      <c r="A2510" s="162">
        <v>46050.0</v>
      </c>
      <c r="B2510" s="50"/>
      <c r="C2510" s="31" t="s">
        <v>2221</v>
      </c>
      <c r="D2510" s="32" t="s">
        <v>99</v>
      </c>
      <c r="E2510" s="31" t="s">
        <v>2759</v>
      </c>
      <c r="F2510" s="161">
        <v>46048.0</v>
      </c>
      <c r="G2510" s="53">
        <v>6333633.18</v>
      </c>
      <c r="H2510" s="14">
        <f t="shared" si="9"/>
        <v>1330062.968</v>
      </c>
      <c r="I2510" s="22">
        <v>190009.0</v>
      </c>
      <c r="J2510" s="14"/>
      <c r="K2510" s="15">
        <f t="shared" si="4"/>
        <v>7853705.148</v>
      </c>
      <c r="L2510" s="45"/>
      <c r="M2510" s="24">
        <v>46051.0</v>
      </c>
    </row>
    <row r="2511" ht="15.75" customHeight="1">
      <c r="A2511" s="162">
        <v>46050.0</v>
      </c>
      <c r="B2511" s="50"/>
      <c r="C2511" s="31" t="s">
        <v>2221</v>
      </c>
      <c r="D2511" s="32" t="s">
        <v>99</v>
      </c>
      <c r="E2511" s="31" t="s">
        <v>2760</v>
      </c>
      <c r="F2511" s="161">
        <v>46048.0</v>
      </c>
      <c r="G2511" s="53">
        <v>7614717.08</v>
      </c>
      <c r="H2511" s="14">
        <f t="shared" si="9"/>
        <v>1599090.587</v>
      </c>
      <c r="I2511" s="22">
        <v>228441.51</v>
      </c>
      <c r="J2511" s="14"/>
      <c r="K2511" s="15">
        <f t="shared" si="4"/>
        <v>9442249.177</v>
      </c>
      <c r="L2511" s="45"/>
      <c r="M2511" s="24">
        <v>46051.0</v>
      </c>
    </row>
    <row r="2512" ht="15.75" customHeight="1">
      <c r="A2512" s="162">
        <v>46050.0</v>
      </c>
      <c r="B2512" s="50"/>
      <c r="C2512" s="31" t="s">
        <v>2221</v>
      </c>
      <c r="D2512" s="32" t="s">
        <v>15</v>
      </c>
      <c r="E2512" s="31" t="s">
        <v>2761</v>
      </c>
      <c r="F2512" s="161">
        <v>46048.0</v>
      </c>
      <c r="G2512" s="53">
        <v>8190108.45</v>
      </c>
      <c r="H2512" s="14">
        <f t="shared" si="9"/>
        <v>1719922.775</v>
      </c>
      <c r="I2512" s="22">
        <v>245703.25</v>
      </c>
      <c r="J2512" s="14"/>
      <c r="K2512" s="15">
        <f t="shared" si="4"/>
        <v>10155734.47</v>
      </c>
      <c r="L2512" s="45"/>
      <c r="M2512" s="24">
        <v>46050.0</v>
      </c>
    </row>
    <row r="2513" ht="15.75" customHeight="1">
      <c r="A2513" s="162">
        <v>46050.0</v>
      </c>
      <c r="B2513" s="50"/>
      <c r="C2513" s="31" t="s">
        <v>2221</v>
      </c>
      <c r="D2513" s="32" t="s">
        <v>15</v>
      </c>
      <c r="E2513" s="31" t="s">
        <v>2762</v>
      </c>
      <c r="F2513" s="161">
        <v>46048.0</v>
      </c>
      <c r="G2513" s="53">
        <v>8633352.29</v>
      </c>
      <c r="H2513" s="14">
        <f t="shared" si="9"/>
        <v>1813003.981</v>
      </c>
      <c r="I2513" s="22">
        <v>259000.57</v>
      </c>
      <c r="J2513" s="14"/>
      <c r="K2513" s="15">
        <f t="shared" si="4"/>
        <v>10705356.84</v>
      </c>
      <c r="L2513" s="45"/>
      <c r="M2513" s="24">
        <v>46050.0</v>
      </c>
    </row>
    <row r="2514" ht="15.75" customHeight="1">
      <c r="A2514" s="162">
        <v>46050.0</v>
      </c>
      <c r="B2514" s="50"/>
      <c r="C2514" s="31" t="s">
        <v>2221</v>
      </c>
      <c r="D2514" s="32" t="s">
        <v>15</v>
      </c>
      <c r="E2514" s="31" t="s">
        <v>2763</v>
      </c>
      <c r="F2514" s="161">
        <v>46048.0</v>
      </c>
      <c r="G2514" s="53">
        <v>7223332.59</v>
      </c>
      <c r="H2514" s="14">
        <f t="shared" si="9"/>
        <v>1516899.844</v>
      </c>
      <c r="I2514" s="22">
        <v>216699.98</v>
      </c>
      <c r="J2514" s="14"/>
      <c r="K2514" s="15">
        <f t="shared" si="4"/>
        <v>8956932.414</v>
      </c>
      <c r="L2514" s="45"/>
      <c r="M2514" s="24">
        <v>46050.0</v>
      </c>
    </row>
    <row r="2515" ht="15.75" customHeight="1">
      <c r="A2515" s="162">
        <v>46050.0</v>
      </c>
      <c r="B2515" s="50"/>
      <c r="C2515" s="31" t="s">
        <v>2221</v>
      </c>
      <c r="D2515" s="32" t="s">
        <v>15</v>
      </c>
      <c r="E2515" s="31" t="s">
        <v>2764</v>
      </c>
      <c r="F2515" s="161">
        <v>46048.0</v>
      </c>
      <c r="G2515" s="53">
        <v>5965118.42</v>
      </c>
      <c r="H2515" s="14">
        <f t="shared" si="9"/>
        <v>1252674.868</v>
      </c>
      <c r="I2515" s="22">
        <v>178953.55</v>
      </c>
      <c r="J2515" s="14"/>
      <c r="K2515" s="15">
        <f t="shared" si="4"/>
        <v>7396746.838</v>
      </c>
      <c r="L2515" s="45"/>
      <c r="M2515" s="6"/>
    </row>
    <row r="2516" ht="15.75" customHeight="1">
      <c r="A2516" s="162">
        <v>46050.0</v>
      </c>
      <c r="B2516" s="50"/>
      <c r="C2516" s="31" t="s">
        <v>111</v>
      </c>
      <c r="D2516" s="32" t="s">
        <v>15</v>
      </c>
      <c r="E2516" s="31" t="s">
        <v>2765</v>
      </c>
      <c r="F2516" s="161">
        <v>46048.0</v>
      </c>
      <c r="G2516" s="53">
        <v>1.748924241E7</v>
      </c>
      <c r="H2516" s="14">
        <f t="shared" si="9"/>
        <v>3672740.906</v>
      </c>
      <c r="I2516" s="22"/>
      <c r="J2516" s="14"/>
      <c r="K2516" s="15">
        <f t="shared" si="4"/>
        <v>21161983.32</v>
      </c>
      <c r="L2516" s="45"/>
      <c r="M2516" s="6"/>
    </row>
    <row r="2517" ht="15.75" customHeight="1">
      <c r="A2517" s="162">
        <v>46050.0</v>
      </c>
      <c r="B2517" s="50"/>
      <c r="C2517" s="31" t="s">
        <v>111</v>
      </c>
      <c r="D2517" s="32" t="s">
        <v>15</v>
      </c>
      <c r="E2517" s="31" t="s">
        <v>2766</v>
      </c>
      <c r="F2517" s="161">
        <v>46048.0</v>
      </c>
      <c r="G2517" s="53">
        <v>1.253257516E7</v>
      </c>
      <c r="H2517" s="14">
        <f t="shared" si="9"/>
        <v>2631840.784</v>
      </c>
      <c r="I2517" s="22"/>
      <c r="J2517" s="14"/>
      <c r="K2517" s="15">
        <f t="shared" si="4"/>
        <v>15164415.94</v>
      </c>
      <c r="L2517" s="45"/>
      <c r="M2517" s="6"/>
    </row>
    <row r="2518" ht="15.75" customHeight="1">
      <c r="A2518" s="162">
        <v>46050.0</v>
      </c>
      <c r="B2518" s="50"/>
      <c r="C2518" s="31" t="s">
        <v>111</v>
      </c>
      <c r="D2518" s="32" t="s">
        <v>99</v>
      </c>
      <c r="E2518" s="31" t="s">
        <v>2767</v>
      </c>
      <c r="F2518" s="161">
        <v>46048.0</v>
      </c>
      <c r="G2518" s="53">
        <v>7354281.59</v>
      </c>
      <c r="H2518" s="14">
        <f t="shared" si="9"/>
        <v>1544399.134</v>
      </c>
      <c r="I2518" s="22"/>
      <c r="J2518" s="14"/>
      <c r="K2518" s="15">
        <f t="shared" si="4"/>
        <v>8898680.724</v>
      </c>
      <c r="L2518" s="45"/>
      <c r="M2518" s="6"/>
    </row>
    <row r="2519" ht="15.75" customHeight="1">
      <c r="A2519" s="162">
        <v>46050.0</v>
      </c>
      <c r="B2519" s="50"/>
      <c r="C2519" s="31" t="s">
        <v>111</v>
      </c>
      <c r="D2519" s="32" t="s">
        <v>99</v>
      </c>
      <c r="E2519" s="31" t="s">
        <v>2768</v>
      </c>
      <c r="F2519" s="161">
        <v>46048.0</v>
      </c>
      <c r="G2519" s="53">
        <v>1.374588125E7</v>
      </c>
      <c r="H2519" s="14">
        <f t="shared" si="9"/>
        <v>2886635.063</v>
      </c>
      <c r="I2519" s="22"/>
      <c r="J2519" s="14"/>
      <c r="K2519" s="15">
        <f t="shared" si="4"/>
        <v>16632516.31</v>
      </c>
      <c r="L2519" s="45"/>
      <c r="M2519" s="6"/>
    </row>
    <row r="2520" ht="15.75" customHeight="1">
      <c r="A2520" s="162">
        <v>46050.0</v>
      </c>
      <c r="B2520" s="50"/>
      <c r="C2520" s="31" t="s">
        <v>111</v>
      </c>
      <c r="D2520" s="32" t="s">
        <v>99</v>
      </c>
      <c r="E2520" s="31" t="s">
        <v>2769</v>
      </c>
      <c r="F2520" s="161">
        <v>46048.0</v>
      </c>
      <c r="G2520" s="53">
        <v>8915471.15</v>
      </c>
      <c r="H2520" s="14">
        <f t="shared" si="9"/>
        <v>1872248.942</v>
      </c>
      <c r="I2520" s="22">
        <v>267464.13</v>
      </c>
      <c r="J2520" s="14"/>
      <c r="K2520" s="15">
        <f t="shared" si="4"/>
        <v>11055184.22</v>
      </c>
      <c r="L2520" s="45"/>
      <c r="M2520" s="6"/>
    </row>
    <row r="2521" ht="15.75" customHeight="1">
      <c r="A2521" s="162">
        <v>46050.0</v>
      </c>
      <c r="B2521" s="50"/>
      <c r="C2521" s="144" t="s">
        <v>2770</v>
      </c>
      <c r="D2521" s="32" t="s">
        <v>15</v>
      </c>
      <c r="E2521" s="31" t="s">
        <v>2771</v>
      </c>
      <c r="F2521" s="161">
        <v>46048.0</v>
      </c>
      <c r="G2521" s="53">
        <v>1.008701209E7</v>
      </c>
      <c r="H2521" s="14">
        <f t="shared" si="9"/>
        <v>2118272.539</v>
      </c>
      <c r="I2521" s="22"/>
      <c r="J2521" s="14"/>
      <c r="K2521" s="15">
        <f t="shared" si="4"/>
        <v>12205284.63</v>
      </c>
      <c r="L2521" s="45"/>
      <c r="M2521" s="6"/>
    </row>
    <row r="2522" ht="15.75" customHeight="1">
      <c r="A2522" s="162">
        <v>46050.0</v>
      </c>
      <c r="B2522" s="50"/>
      <c r="C2522" s="32" t="s">
        <v>53</v>
      </c>
      <c r="D2522" s="32" t="s">
        <v>15</v>
      </c>
      <c r="E2522" s="31" t="s">
        <v>2772</v>
      </c>
      <c r="F2522" s="161">
        <v>46048.0</v>
      </c>
      <c r="G2522" s="53">
        <v>8978362.15</v>
      </c>
      <c r="H2522" s="14">
        <f t="shared" si="9"/>
        <v>1885456.052</v>
      </c>
      <c r="I2522" s="22"/>
      <c r="J2522" s="14"/>
      <c r="K2522" s="15">
        <f t="shared" si="4"/>
        <v>10863818.2</v>
      </c>
      <c r="L2522" s="45"/>
      <c r="M2522" s="6"/>
    </row>
    <row r="2523" ht="15.75" customHeight="1">
      <c r="A2523" s="162">
        <v>46050.0</v>
      </c>
      <c r="B2523" s="50"/>
      <c r="C2523" s="32" t="s">
        <v>53</v>
      </c>
      <c r="D2523" s="32" t="s">
        <v>15</v>
      </c>
      <c r="E2523" s="31" t="s">
        <v>2773</v>
      </c>
      <c r="F2523" s="161">
        <v>46048.0</v>
      </c>
      <c r="G2523" s="53">
        <v>9024580.82</v>
      </c>
      <c r="H2523" s="14">
        <f t="shared" si="9"/>
        <v>1895161.972</v>
      </c>
      <c r="I2523" s="22"/>
      <c r="J2523" s="14"/>
      <c r="K2523" s="15">
        <f t="shared" si="4"/>
        <v>10919742.79</v>
      </c>
      <c r="L2523" s="45"/>
      <c r="M2523" s="6"/>
    </row>
    <row r="2524" ht="15.75" customHeight="1">
      <c r="A2524" s="162">
        <v>46050.0</v>
      </c>
      <c r="B2524" s="50"/>
      <c r="C2524" s="31" t="s">
        <v>2346</v>
      </c>
      <c r="D2524" s="32" t="s">
        <v>99</v>
      </c>
      <c r="E2524" s="32" t="s">
        <v>2774</v>
      </c>
      <c r="F2524" s="161">
        <v>46048.0</v>
      </c>
      <c r="G2524" s="53">
        <v>1.133363308E7</v>
      </c>
      <c r="H2524" s="14">
        <f t="shared" si="9"/>
        <v>2380062.947</v>
      </c>
      <c r="I2524" s="22">
        <v>340008.99</v>
      </c>
      <c r="J2524" s="22">
        <v>170004.5</v>
      </c>
      <c r="K2524" s="15">
        <f t="shared" si="4"/>
        <v>14223709.52</v>
      </c>
      <c r="L2524" s="45"/>
      <c r="M2524" s="6"/>
    </row>
    <row r="2525" ht="15.75" customHeight="1">
      <c r="A2525" s="162">
        <v>46050.0</v>
      </c>
      <c r="B2525" s="50"/>
      <c r="C2525" s="31" t="s">
        <v>2346</v>
      </c>
      <c r="D2525" s="32" t="s">
        <v>99</v>
      </c>
      <c r="E2525" s="32" t="s">
        <v>2775</v>
      </c>
      <c r="F2525" s="161">
        <v>46048.0</v>
      </c>
      <c r="G2525" s="53">
        <v>1.228337808E7</v>
      </c>
      <c r="H2525" s="14">
        <f t="shared" si="9"/>
        <v>2579509.397</v>
      </c>
      <c r="I2525" s="22">
        <v>368501.34</v>
      </c>
      <c r="J2525" s="22">
        <v>184250.67</v>
      </c>
      <c r="K2525" s="15">
        <f t="shared" si="4"/>
        <v>15415639.49</v>
      </c>
      <c r="L2525" s="45"/>
      <c r="M2525" s="6"/>
    </row>
    <row r="2526" ht="15.75" customHeight="1">
      <c r="A2526" s="162">
        <v>46050.0</v>
      </c>
      <c r="B2526" s="50"/>
      <c r="C2526" s="31" t="s">
        <v>2346</v>
      </c>
      <c r="D2526" s="32" t="s">
        <v>99</v>
      </c>
      <c r="E2526" s="32" t="s">
        <v>2776</v>
      </c>
      <c r="F2526" s="161">
        <v>46048.0</v>
      </c>
      <c r="G2526" s="53">
        <v>4433334.81</v>
      </c>
      <c r="H2526" s="14">
        <f t="shared" si="9"/>
        <v>931000.3101</v>
      </c>
      <c r="I2526" s="22">
        <v>133000.04</v>
      </c>
      <c r="J2526" s="22">
        <v>66500.02</v>
      </c>
      <c r="K2526" s="15">
        <f t="shared" si="4"/>
        <v>5563835.18</v>
      </c>
      <c r="L2526" s="45"/>
      <c r="M2526" s="6"/>
    </row>
    <row r="2527" ht="15.75" customHeight="1">
      <c r="A2527" s="162">
        <v>46050.0</v>
      </c>
      <c r="B2527" s="50"/>
      <c r="C2527" s="31" t="s">
        <v>2346</v>
      </c>
      <c r="D2527" s="32" t="s">
        <v>99</v>
      </c>
      <c r="E2527" s="32" t="s">
        <v>2777</v>
      </c>
      <c r="F2527" s="161">
        <v>46048.0</v>
      </c>
      <c r="G2527" s="53">
        <v>1.233334671E7</v>
      </c>
      <c r="H2527" s="14">
        <f t="shared" si="9"/>
        <v>2590002.809</v>
      </c>
      <c r="I2527" s="22">
        <v>370000.4</v>
      </c>
      <c r="J2527" s="22">
        <v>185000.2</v>
      </c>
      <c r="K2527" s="15">
        <f t="shared" si="4"/>
        <v>15478350.12</v>
      </c>
      <c r="L2527" s="45"/>
      <c r="M2527" s="6"/>
    </row>
    <row r="2528" ht="15.75" customHeight="1">
      <c r="A2528" s="162">
        <v>46050.0</v>
      </c>
      <c r="B2528" s="50"/>
      <c r="C2528" s="31" t="s">
        <v>2346</v>
      </c>
      <c r="D2528" s="32" t="s">
        <v>99</v>
      </c>
      <c r="E2528" s="32" t="s">
        <v>2778</v>
      </c>
      <c r="F2528" s="161">
        <v>46048.0</v>
      </c>
      <c r="G2528" s="53">
        <v>1.012333202E7</v>
      </c>
      <c r="H2528" s="14">
        <f t="shared" si="9"/>
        <v>2125899.724</v>
      </c>
      <c r="I2528" s="22"/>
      <c r="J2528" s="22">
        <v>151849.98</v>
      </c>
      <c r="K2528" s="15">
        <f t="shared" si="4"/>
        <v>12401081.72</v>
      </c>
      <c r="L2528" s="45"/>
      <c r="M2528" s="6"/>
    </row>
    <row r="2529" ht="15.75" customHeight="1">
      <c r="A2529" s="162">
        <v>46050.0</v>
      </c>
      <c r="B2529" s="50"/>
      <c r="C2529" s="31" t="s">
        <v>2346</v>
      </c>
      <c r="D2529" s="32" t="s">
        <v>15</v>
      </c>
      <c r="E2529" s="31" t="s">
        <v>2779</v>
      </c>
      <c r="F2529" s="161">
        <v>46048.0</v>
      </c>
      <c r="G2529" s="53">
        <v>2.733736307E7</v>
      </c>
      <c r="H2529" s="14">
        <f t="shared" si="9"/>
        <v>5740846.245</v>
      </c>
      <c r="I2529" s="22">
        <v>820120.89</v>
      </c>
      <c r="J2529" s="22">
        <v>410060.45</v>
      </c>
      <c r="K2529" s="15">
        <f t="shared" si="4"/>
        <v>34308390.65</v>
      </c>
      <c r="L2529" s="45"/>
      <c r="M2529" s="6"/>
    </row>
    <row r="2530" ht="15.75" customHeight="1">
      <c r="A2530" s="162">
        <v>46050.0</v>
      </c>
      <c r="B2530" s="50"/>
      <c r="C2530" s="31" t="s">
        <v>2346</v>
      </c>
      <c r="D2530" s="32" t="s">
        <v>15</v>
      </c>
      <c r="E2530" s="31" t="s">
        <v>2780</v>
      </c>
      <c r="F2530" s="161">
        <v>46048.0</v>
      </c>
      <c r="G2530" s="53">
        <v>2.233363381E7</v>
      </c>
      <c r="H2530" s="14">
        <f t="shared" si="9"/>
        <v>4690063.1</v>
      </c>
      <c r="I2530" s="22">
        <v>670009.01</v>
      </c>
      <c r="J2530" s="22">
        <v>335004.51</v>
      </c>
      <c r="K2530" s="15">
        <f t="shared" si="4"/>
        <v>28028710.43</v>
      </c>
      <c r="L2530" s="45"/>
      <c r="M2530" s="6"/>
    </row>
    <row r="2531" ht="15.75" customHeight="1">
      <c r="A2531" s="162">
        <v>46050.0</v>
      </c>
      <c r="B2531" s="50"/>
      <c r="C2531" s="31" t="s">
        <v>2346</v>
      </c>
      <c r="D2531" s="32" t="s">
        <v>15</v>
      </c>
      <c r="E2531" s="31" t="s">
        <v>2781</v>
      </c>
      <c r="F2531" s="161">
        <v>46048.0</v>
      </c>
      <c r="G2531" s="53">
        <v>1.881373318E7</v>
      </c>
      <c r="H2531" s="14">
        <f t="shared" si="9"/>
        <v>3950883.968</v>
      </c>
      <c r="I2531" s="22">
        <v>564412.0</v>
      </c>
      <c r="J2531" s="22">
        <v>282206.0</v>
      </c>
      <c r="K2531" s="15">
        <f t="shared" si="4"/>
        <v>23611235.15</v>
      </c>
      <c r="L2531" s="45"/>
      <c r="M2531" s="6"/>
    </row>
    <row r="2532" ht="15.75" customHeight="1">
      <c r="A2532" s="162">
        <v>46050.0</v>
      </c>
      <c r="B2532" s="50"/>
      <c r="C2532" s="31" t="s">
        <v>2346</v>
      </c>
      <c r="D2532" s="32" t="s">
        <v>15</v>
      </c>
      <c r="E2532" s="31" t="s">
        <v>2782</v>
      </c>
      <c r="F2532" s="161">
        <v>46048.0</v>
      </c>
      <c r="G2532" s="53">
        <v>1.222373208E7</v>
      </c>
      <c r="H2532" s="14">
        <f t="shared" si="9"/>
        <v>2566983.737</v>
      </c>
      <c r="I2532" s="22">
        <v>366711.96</v>
      </c>
      <c r="J2532" s="22">
        <v>183355.98</v>
      </c>
      <c r="K2532" s="15">
        <f t="shared" si="4"/>
        <v>15340783.76</v>
      </c>
      <c r="L2532" s="45"/>
      <c r="M2532" s="6"/>
    </row>
    <row r="2533" ht="15.75" customHeight="1">
      <c r="A2533" s="162">
        <v>46050.0</v>
      </c>
      <c r="B2533" s="50"/>
      <c r="C2533" s="31" t="s">
        <v>2346</v>
      </c>
      <c r="D2533" s="32" t="s">
        <v>15</v>
      </c>
      <c r="E2533" s="31" t="s">
        <v>2783</v>
      </c>
      <c r="F2533" s="161">
        <v>46048.0</v>
      </c>
      <c r="G2533" s="53">
        <v>7127113.71</v>
      </c>
      <c r="H2533" s="14">
        <f t="shared" si="9"/>
        <v>1496693.879</v>
      </c>
      <c r="I2533" s="22">
        <v>213813.41</v>
      </c>
      <c r="J2533" s="22">
        <v>106906.71</v>
      </c>
      <c r="K2533" s="15">
        <f t="shared" si="4"/>
        <v>8944527.709</v>
      </c>
      <c r="L2533" s="45"/>
      <c r="M2533" s="6"/>
    </row>
    <row r="2534" ht="15.75" customHeight="1">
      <c r="A2534" s="162">
        <v>46050.0</v>
      </c>
      <c r="B2534" s="50"/>
      <c r="C2534" s="31" t="s">
        <v>2346</v>
      </c>
      <c r="D2534" s="32" t="s">
        <v>15</v>
      </c>
      <c r="E2534" s="31" t="s">
        <v>2784</v>
      </c>
      <c r="F2534" s="161">
        <v>46048.0</v>
      </c>
      <c r="G2534" s="53">
        <v>5523733.84</v>
      </c>
      <c r="H2534" s="14">
        <f t="shared" si="9"/>
        <v>1159984.106</v>
      </c>
      <c r="I2534" s="22">
        <v>165712.02</v>
      </c>
      <c r="J2534" s="22">
        <v>82856.01</v>
      </c>
      <c r="K2534" s="15">
        <f t="shared" si="4"/>
        <v>6932285.976</v>
      </c>
      <c r="L2534" s="45"/>
      <c r="M2534" s="6"/>
    </row>
    <row r="2535" ht="15.75" customHeight="1">
      <c r="A2535" s="162">
        <v>46050.0</v>
      </c>
      <c r="B2535" s="50"/>
      <c r="C2535" s="31" t="s">
        <v>2346</v>
      </c>
      <c r="D2535" s="32" t="s">
        <v>15</v>
      </c>
      <c r="E2535" s="31" t="s">
        <v>2785</v>
      </c>
      <c r="F2535" s="161">
        <v>46048.0</v>
      </c>
      <c r="G2535" s="53">
        <v>1.023332411E7</v>
      </c>
      <c r="H2535" s="14">
        <f t="shared" si="9"/>
        <v>2148998.063</v>
      </c>
      <c r="I2535" s="22">
        <v>306999.72</v>
      </c>
      <c r="J2535" s="22">
        <v>153499.86</v>
      </c>
      <c r="K2535" s="15">
        <f t="shared" si="4"/>
        <v>12842821.75</v>
      </c>
      <c r="L2535" s="45"/>
      <c r="M2535" s="6"/>
    </row>
    <row r="2536" ht="15.75" customHeight="1">
      <c r="A2536" s="162">
        <v>46050.0</v>
      </c>
      <c r="B2536" s="50"/>
      <c r="C2536" s="31" t="s">
        <v>2346</v>
      </c>
      <c r="D2536" s="32" t="s">
        <v>15</v>
      </c>
      <c r="E2536" s="31" t="s">
        <v>2786</v>
      </c>
      <c r="F2536" s="161">
        <v>46048.0</v>
      </c>
      <c r="G2536" s="53">
        <v>4422243.41</v>
      </c>
      <c r="H2536" s="14">
        <f t="shared" si="9"/>
        <v>928671.1161</v>
      </c>
      <c r="I2536" s="22"/>
      <c r="J2536" s="14"/>
      <c r="K2536" s="15">
        <f t="shared" si="4"/>
        <v>5350914.526</v>
      </c>
      <c r="L2536" s="45"/>
      <c r="M2536" s="6"/>
    </row>
    <row r="2537" ht="15.75" customHeight="1">
      <c r="A2537" s="162">
        <v>46050.0</v>
      </c>
      <c r="B2537" s="50"/>
      <c r="C2537" s="31" t="s">
        <v>2346</v>
      </c>
      <c r="D2537" s="32" t="s">
        <v>15</v>
      </c>
      <c r="E2537" s="31" t="s">
        <v>2787</v>
      </c>
      <c r="F2537" s="161">
        <v>46048.0</v>
      </c>
      <c r="G2537" s="53">
        <v>5533352.08</v>
      </c>
      <c r="H2537" s="14">
        <f t="shared" si="9"/>
        <v>1162003.937</v>
      </c>
      <c r="I2537" s="22"/>
      <c r="J2537" s="22">
        <v>83000.28</v>
      </c>
      <c r="K2537" s="15">
        <f t="shared" si="4"/>
        <v>6778356.297</v>
      </c>
      <c r="L2537" s="45"/>
      <c r="M2537" s="6"/>
    </row>
    <row r="2538" ht="15.75" customHeight="1">
      <c r="A2538" s="162">
        <v>46050.0</v>
      </c>
      <c r="B2538" s="50"/>
      <c r="C2538" s="31" t="s">
        <v>2346</v>
      </c>
      <c r="D2538" s="32" t="s">
        <v>15</v>
      </c>
      <c r="E2538" s="31" t="s">
        <v>2788</v>
      </c>
      <c r="F2538" s="161">
        <v>46048.0</v>
      </c>
      <c r="G2538" s="53">
        <v>1.332262509E7</v>
      </c>
      <c r="H2538" s="14">
        <f t="shared" si="9"/>
        <v>2797751.269</v>
      </c>
      <c r="I2538" s="22"/>
      <c r="J2538" s="22">
        <v>199839.38</v>
      </c>
      <c r="K2538" s="15">
        <f t="shared" si="4"/>
        <v>16320215.74</v>
      </c>
      <c r="L2538" s="45"/>
      <c r="M2538" s="6"/>
    </row>
    <row r="2539" ht="15.75" customHeight="1">
      <c r="A2539" s="162">
        <v>46050.0</v>
      </c>
      <c r="B2539" s="50"/>
      <c r="C2539" s="31" t="s">
        <v>2346</v>
      </c>
      <c r="D2539" s="32" t="s">
        <v>15</v>
      </c>
      <c r="E2539" s="31" t="s">
        <v>2789</v>
      </c>
      <c r="F2539" s="161">
        <v>46048.0</v>
      </c>
      <c r="G2539" s="53">
        <v>7711225.12</v>
      </c>
      <c r="H2539" s="14">
        <f t="shared" si="9"/>
        <v>1619357.275</v>
      </c>
      <c r="I2539" s="22"/>
      <c r="J2539" s="22">
        <v>115668.38</v>
      </c>
      <c r="K2539" s="15">
        <f t="shared" si="4"/>
        <v>9446250.775</v>
      </c>
      <c r="L2539" s="45"/>
      <c r="M2539" s="6"/>
    </row>
    <row r="2540" ht="15.75" customHeight="1">
      <c r="A2540" s="162">
        <v>46050.0</v>
      </c>
      <c r="B2540" s="50"/>
      <c r="C2540" s="31" t="s">
        <v>2346</v>
      </c>
      <c r="D2540" s="32" t="s">
        <v>15</v>
      </c>
      <c r="E2540" s="31" t="s">
        <v>2790</v>
      </c>
      <c r="F2540" s="161">
        <v>46048.0</v>
      </c>
      <c r="G2540" s="53">
        <v>1.663353508E7</v>
      </c>
      <c r="H2540" s="14">
        <f t="shared" si="9"/>
        <v>3493042.367</v>
      </c>
      <c r="I2540" s="22">
        <v>499006.05</v>
      </c>
      <c r="J2540" s="22">
        <v>249503.03</v>
      </c>
      <c r="K2540" s="15">
        <f t="shared" si="4"/>
        <v>20875086.53</v>
      </c>
      <c r="L2540" s="45"/>
      <c r="M2540" s="6"/>
    </row>
    <row r="2541" ht="15.75" customHeight="1">
      <c r="A2541" s="162">
        <v>46051.0</v>
      </c>
      <c r="B2541" s="50"/>
      <c r="C2541" s="31" t="s">
        <v>2318</v>
      </c>
      <c r="D2541" s="32" t="s">
        <v>2791</v>
      </c>
      <c r="E2541" s="31" t="s">
        <v>2792</v>
      </c>
      <c r="F2541" s="161">
        <v>46048.0</v>
      </c>
      <c r="G2541" s="53">
        <v>1.029E7</v>
      </c>
      <c r="H2541" s="14">
        <f t="shared" si="9"/>
        <v>2160900</v>
      </c>
      <c r="I2541" s="22"/>
      <c r="J2541" s="14"/>
      <c r="K2541" s="15">
        <f t="shared" si="4"/>
        <v>12450900</v>
      </c>
      <c r="L2541" s="45"/>
      <c r="M2541" s="6"/>
    </row>
    <row r="2542" ht="15.75" customHeight="1">
      <c r="A2542" s="162">
        <v>46051.0</v>
      </c>
      <c r="B2542" s="50"/>
      <c r="C2542" s="31" t="s">
        <v>2318</v>
      </c>
      <c r="D2542" s="32" t="s">
        <v>2791</v>
      </c>
      <c r="E2542" s="31" t="s">
        <v>2793</v>
      </c>
      <c r="F2542" s="161">
        <v>46048.0</v>
      </c>
      <c r="G2542" s="54">
        <v>1.372E7</v>
      </c>
      <c r="H2542" s="14">
        <f t="shared" si="9"/>
        <v>2881200</v>
      </c>
      <c r="I2542" s="22"/>
      <c r="J2542" s="14"/>
      <c r="K2542" s="15">
        <f t="shared" si="4"/>
        <v>16601200</v>
      </c>
      <c r="L2542" s="45"/>
      <c r="M2542" s="6"/>
    </row>
    <row r="2543" ht="15.75" customHeight="1">
      <c r="A2543" s="162">
        <v>46051.0</v>
      </c>
      <c r="B2543" s="50"/>
      <c r="C2543" s="31" t="s">
        <v>2318</v>
      </c>
      <c r="D2543" s="32" t="s">
        <v>2791</v>
      </c>
      <c r="E2543" s="31" t="s">
        <v>2794</v>
      </c>
      <c r="F2543" s="161">
        <v>46048.0</v>
      </c>
      <c r="G2543" s="54">
        <v>5992210.0</v>
      </c>
      <c r="H2543" s="14">
        <f t="shared" si="9"/>
        <v>1258364.1</v>
      </c>
      <c r="I2543" s="22"/>
      <c r="J2543" s="14"/>
      <c r="K2543" s="15">
        <f t="shared" si="4"/>
        <v>7250574.1</v>
      </c>
      <c r="L2543" s="45"/>
      <c r="M2543" s="6"/>
    </row>
    <row r="2544" ht="15.75" customHeight="1">
      <c r="A2544" s="162">
        <v>46051.0</v>
      </c>
      <c r="B2544" s="50"/>
      <c r="C2544" s="31" t="s">
        <v>497</v>
      </c>
      <c r="D2544" s="32" t="s">
        <v>15</v>
      </c>
      <c r="E2544" s="31" t="s">
        <v>2795</v>
      </c>
      <c r="F2544" s="161">
        <v>46048.0</v>
      </c>
      <c r="G2544" s="54">
        <v>6011362.19</v>
      </c>
      <c r="H2544" s="14">
        <f t="shared" si="9"/>
        <v>1262386.06</v>
      </c>
      <c r="I2544" s="22"/>
      <c r="J2544" s="14"/>
      <c r="K2544" s="15">
        <f t="shared" si="4"/>
        <v>7273748.25</v>
      </c>
      <c r="L2544" s="45"/>
      <c r="M2544" s="24">
        <v>46056.0</v>
      </c>
    </row>
    <row r="2545" ht="15.75" customHeight="1">
      <c r="A2545" s="162">
        <v>46051.0</v>
      </c>
      <c r="B2545" s="50"/>
      <c r="C2545" s="31" t="s">
        <v>299</v>
      </c>
      <c r="D2545" s="32" t="s">
        <v>15</v>
      </c>
      <c r="E2545" s="31" t="s">
        <v>2796</v>
      </c>
      <c r="F2545" s="161">
        <v>46048.0</v>
      </c>
      <c r="G2545" s="54">
        <v>3773336.18</v>
      </c>
      <c r="H2545" s="14">
        <f t="shared" si="9"/>
        <v>792400.5978</v>
      </c>
      <c r="I2545" s="22"/>
      <c r="J2545" s="22">
        <v>33960.03</v>
      </c>
      <c r="K2545" s="15">
        <f t="shared" si="4"/>
        <v>4599696.808</v>
      </c>
      <c r="L2545" s="45"/>
      <c r="M2545" s="24">
        <v>46063.0</v>
      </c>
    </row>
    <row r="2546" ht="15.75" customHeight="1">
      <c r="A2546" s="162">
        <v>46051.0</v>
      </c>
      <c r="B2546" s="50"/>
      <c r="C2546" s="31" t="s">
        <v>299</v>
      </c>
      <c r="D2546" s="32" t="s">
        <v>15</v>
      </c>
      <c r="E2546" s="31" t="s">
        <v>2797</v>
      </c>
      <c r="F2546" s="161">
        <v>46048.0</v>
      </c>
      <c r="G2546" s="54">
        <v>7722132.18</v>
      </c>
      <c r="H2546" s="14">
        <f t="shared" si="9"/>
        <v>1621647.758</v>
      </c>
      <c r="I2546" s="22"/>
      <c r="J2546" s="22">
        <v>69499.19</v>
      </c>
      <c r="K2546" s="15">
        <f t="shared" si="4"/>
        <v>9413279.128</v>
      </c>
      <c r="L2546" s="45"/>
      <c r="M2546" s="24">
        <v>46063.0</v>
      </c>
    </row>
    <row r="2547" ht="15.75" customHeight="1">
      <c r="A2547" s="162">
        <v>46051.0</v>
      </c>
      <c r="B2547" s="50"/>
      <c r="C2547" s="31" t="s">
        <v>299</v>
      </c>
      <c r="D2547" s="32" t="s">
        <v>15</v>
      </c>
      <c r="E2547" s="31" t="s">
        <v>2798</v>
      </c>
      <c r="F2547" s="161">
        <v>46048.0</v>
      </c>
      <c r="G2547" s="54">
        <v>5533533.07</v>
      </c>
      <c r="H2547" s="14">
        <f t="shared" si="9"/>
        <v>1162041.945</v>
      </c>
      <c r="I2547" s="22"/>
      <c r="J2547" s="22">
        <v>49801.8</v>
      </c>
      <c r="K2547" s="15">
        <f t="shared" si="4"/>
        <v>6745376.815</v>
      </c>
      <c r="L2547" s="45"/>
      <c r="M2547" s="24">
        <v>46063.0</v>
      </c>
    </row>
    <row r="2548" ht="15.75" customHeight="1">
      <c r="A2548" s="162">
        <v>46051.0</v>
      </c>
      <c r="B2548" s="50"/>
      <c r="C2548" s="31" t="s">
        <v>299</v>
      </c>
      <c r="D2548" s="32" t="s">
        <v>15</v>
      </c>
      <c r="E2548" s="31" t="s">
        <v>2799</v>
      </c>
      <c r="F2548" s="161">
        <v>46048.0</v>
      </c>
      <c r="G2548" s="54">
        <v>1.133363308E7</v>
      </c>
      <c r="H2548" s="14">
        <f t="shared" si="9"/>
        <v>2380062.947</v>
      </c>
      <c r="I2548" s="22">
        <v>340008.99</v>
      </c>
      <c r="J2548" s="22">
        <v>102002.7</v>
      </c>
      <c r="K2548" s="15">
        <f t="shared" si="4"/>
        <v>14155707.72</v>
      </c>
      <c r="L2548" s="45"/>
      <c r="M2548" s="24">
        <v>46063.0</v>
      </c>
    </row>
    <row r="2549" ht="15.75" customHeight="1">
      <c r="A2549" s="162">
        <v>46051.0</v>
      </c>
      <c r="B2549" s="50"/>
      <c r="C2549" s="31" t="s">
        <v>299</v>
      </c>
      <c r="D2549" s="32" t="s">
        <v>15</v>
      </c>
      <c r="E2549" s="31" t="s">
        <v>2800</v>
      </c>
      <c r="F2549" s="161">
        <v>46048.0</v>
      </c>
      <c r="G2549" s="54">
        <v>3383372.08</v>
      </c>
      <c r="H2549" s="14">
        <f t="shared" si="9"/>
        <v>710508.1368</v>
      </c>
      <c r="I2549" s="22"/>
      <c r="J2549" s="14"/>
      <c r="K2549" s="15">
        <f t="shared" si="4"/>
        <v>4093880.217</v>
      </c>
      <c r="L2549" s="45"/>
      <c r="M2549" s="24">
        <v>46063.0</v>
      </c>
    </row>
    <row r="2550" ht="15.75" customHeight="1">
      <c r="A2550" s="162">
        <v>46051.0</v>
      </c>
      <c r="B2550" s="50"/>
      <c r="C2550" s="31" t="s">
        <v>221</v>
      </c>
      <c r="D2550" s="32" t="s">
        <v>15</v>
      </c>
      <c r="E2550" s="31" t="s">
        <v>2801</v>
      </c>
      <c r="F2550" s="161">
        <v>46048.0</v>
      </c>
      <c r="G2550" s="54">
        <v>9991052.59</v>
      </c>
      <c r="H2550" s="14">
        <f t="shared" si="9"/>
        <v>2098121.044</v>
      </c>
      <c r="I2550" s="22"/>
      <c r="J2550" s="22">
        <v>499552.63</v>
      </c>
      <c r="K2550" s="15">
        <f t="shared" si="4"/>
        <v>12588726.26</v>
      </c>
      <c r="L2550" s="45"/>
      <c r="M2550" s="6"/>
    </row>
    <row r="2551" ht="15.75" customHeight="1">
      <c r="A2551" s="162">
        <v>46051.0</v>
      </c>
      <c r="B2551" s="50"/>
      <c r="C2551" s="31" t="s">
        <v>221</v>
      </c>
      <c r="D2551" s="32" t="s">
        <v>15</v>
      </c>
      <c r="E2551" s="31" t="s">
        <v>2802</v>
      </c>
      <c r="F2551" s="161">
        <v>46048.0</v>
      </c>
      <c r="G2551" s="54">
        <v>2.331245129E7</v>
      </c>
      <c r="H2551" s="14">
        <f t="shared" si="9"/>
        <v>4895614.771</v>
      </c>
      <c r="I2551" s="22"/>
      <c r="J2551" s="22">
        <v>1165622.56</v>
      </c>
      <c r="K2551" s="15">
        <f t="shared" si="4"/>
        <v>29373688.62</v>
      </c>
      <c r="L2551" s="45"/>
      <c r="M2551" s="6"/>
    </row>
    <row r="2552" ht="15.75" customHeight="1">
      <c r="A2552" s="164">
        <v>46051.0</v>
      </c>
      <c r="B2552" s="56"/>
      <c r="C2552" s="57" t="s">
        <v>216</v>
      </c>
      <c r="D2552" s="58" t="s">
        <v>15</v>
      </c>
      <c r="E2552" s="57" t="s">
        <v>2803</v>
      </c>
      <c r="F2552" s="178">
        <v>46048.0</v>
      </c>
      <c r="G2552" s="155">
        <v>9990512.15</v>
      </c>
      <c r="H2552" s="9">
        <f t="shared" si="9"/>
        <v>2098007.552</v>
      </c>
      <c r="I2552" s="44"/>
      <c r="J2552" s="44">
        <v>129876.66</v>
      </c>
      <c r="K2552" s="10">
        <f t="shared" si="4"/>
        <v>12218396.36</v>
      </c>
      <c r="L2552" s="61"/>
      <c r="M2552" s="62"/>
    </row>
    <row r="2553" ht="15.75" customHeight="1">
      <c r="A2553" s="164">
        <v>46051.0</v>
      </c>
      <c r="B2553" s="56"/>
      <c r="C2553" s="57" t="s">
        <v>216</v>
      </c>
      <c r="D2553" s="58" t="s">
        <v>15</v>
      </c>
      <c r="E2553" s="57" t="s">
        <v>2804</v>
      </c>
      <c r="F2553" s="178">
        <v>46048.0</v>
      </c>
      <c r="G2553" s="155">
        <v>2.331119085E7</v>
      </c>
      <c r="H2553" s="9">
        <f t="shared" si="9"/>
        <v>4895350.079</v>
      </c>
      <c r="I2553" s="44"/>
      <c r="J2553" s="44">
        <v>303045.48</v>
      </c>
      <c r="K2553" s="10">
        <f t="shared" si="4"/>
        <v>28509586.41</v>
      </c>
      <c r="L2553" s="61"/>
      <c r="M2553" s="62"/>
    </row>
    <row r="2554" ht="15.75" customHeight="1">
      <c r="A2554" s="162">
        <v>46051.0</v>
      </c>
      <c r="B2554" s="50"/>
      <c r="C2554" s="31" t="s">
        <v>22</v>
      </c>
      <c r="D2554" s="32" t="s">
        <v>15</v>
      </c>
      <c r="E2554" s="31" t="s">
        <v>2805</v>
      </c>
      <c r="F2554" s="161">
        <v>46048.0</v>
      </c>
      <c r="G2554" s="54">
        <v>2.338786108E7</v>
      </c>
      <c r="H2554" s="14">
        <f t="shared" si="9"/>
        <v>4911450.827</v>
      </c>
      <c r="I2554" s="22"/>
      <c r="J2554" s="22">
        <v>116939.31</v>
      </c>
      <c r="K2554" s="15">
        <f t="shared" si="4"/>
        <v>28416251.22</v>
      </c>
      <c r="L2554" s="45"/>
      <c r="M2554" s="6"/>
    </row>
    <row r="2555" ht="15.75" customHeight="1">
      <c r="A2555" s="162">
        <v>46051.0</v>
      </c>
      <c r="B2555" s="50"/>
      <c r="C2555" s="31" t="s">
        <v>22</v>
      </c>
      <c r="D2555" s="32" t="s">
        <v>15</v>
      </c>
      <c r="E2555" s="31" t="s">
        <v>2806</v>
      </c>
      <c r="F2555" s="161">
        <v>46048.0</v>
      </c>
      <c r="G2555" s="54">
        <v>1.002336918E7</v>
      </c>
      <c r="H2555" s="14">
        <f t="shared" si="9"/>
        <v>2104907.528</v>
      </c>
      <c r="I2555" s="22"/>
      <c r="J2555" s="22">
        <v>50116.85</v>
      </c>
      <c r="K2555" s="15">
        <f t="shared" si="4"/>
        <v>12178393.56</v>
      </c>
      <c r="L2555" s="45"/>
      <c r="M2555" s="6"/>
    </row>
    <row r="2556" ht="15.75" customHeight="1">
      <c r="A2556" s="194">
        <v>46052.0</v>
      </c>
      <c r="B2556" s="195"/>
      <c r="C2556" s="196" t="s">
        <v>635</v>
      </c>
      <c r="D2556" s="197" t="s">
        <v>99</v>
      </c>
      <c r="E2556" s="196" t="s">
        <v>2807</v>
      </c>
      <c r="F2556" s="198">
        <v>46048.0</v>
      </c>
      <c r="G2556" s="199">
        <v>1.823362342E7</v>
      </c>
      <c r="H2556" s="200">
        <f t="shared" si="9"/>
        <v>3829060.918</v>
      </c>
      <c r="I2556" s="201">
        <v>547008.7</v>
      </c>
      <c r="J2556" s="200"/>
      <c r="K2556" s="202">
        <f t="shared" si="4"/>
        <v>22609693.04</v>
      </c>
      <c r="L2556" s="203"/>
      <c r="M2556" s="204">
        <v>46108.0</v>
      </c>
    </row>
    <row r="2557" ht="15.75" customHeight="1">
      <c r="A2557" s="194">
        <v>46052.0</v>
      </c>
      <c r="B2557" s="195"/>
      <c r="C2557" s="196" t="s">
        <v>635</v>
      </c>
      <c r="D2557" s="197" t="s">
        <v>99</v>
      </c>
      <c r="E2557" s="196" t="s">
        <v>2808</v>
      </c>
      <c r="F2557" s="198">
        <v>46048.0</v>
      </c>
      <c r="G2557" s="199">
        <v>1.223362375E7</v>
      </c>
      <c r="H2557" s="200">
        <f t="shared" si="9"/>
        <v>2569060.988</v>
      </c>
      <c r="I2557" s="201">
        <v>367008.71</v>
      </c>
      <c r="J2557" s="200"/>
      <c r="K2557" s="202">
        <f t="shared" si="4"/>
        <v>15169693.45</v>
      </c>
      <c r="L2557" s="203"/>
      <c r="M2557" s="204">
        <v>46108.0</v>
      </c>
    </row>
    <row r="2558" ht="15.75" customHeight="1">
      <c r="A2558" s="194">
        <v>46052.0</v>
      </c>
      <c r="B2558" s="195"/>
      <c r="C2558" s="196" t="s">
        <v>635</v>
      </c>
      <c r="D2558" s="197" t="s">
        <v>99</v>
      </c>
      <c r="E2558" s="196" t="s">
        <v>2809</v>
      </c>
      <c r="F2558" s="198">
        <v>46048.0</v>
      </c>
      <c r="G2558" s="199">
        <v>1.002338649E7</v>
      </c>
      <c r="H2558" s="200">
        <f t="shared" si="9"/>
        <v>2104911.163</v>
      </c>
      <c r="I2558" s="201">
        <v>300701.59</v>
      </c>
      <c r="J2558" s="200"/>
      <c r="K2558" s="202">
        <f t="shared" si="4"/>
        <v>12428999.24</v>
      </c>
      <c r="L2558" s="203"/>
      <c r="M2558" s="204">
        <v>46108.0</v>
      </c>
    </row>
    <row r="2559" ht="15.75" customHeight="1">
      <c r="A2559" s="194">
        <v>46052.0</v>
      </c>
      <c r="B2559" s="195"/>
      <c r="C2559" s="196" t="s">
        <v>635</v>
      </c>
      <c r="D2559" s="197" t="s">
        <v>15</v>
      </c>
      <c r="E2559" s="196" t="s">
        <v>2810</v>
      </c>
      <c r="F2559" s="198">
        <v>46048.0</v>
      </c>
      <c r="G2559" s="199">
        <v>1.233226356E7</v>
      </c>
      <c r="H2559" s="200">
        <f t="shared" si="9"/>
        <v>2589775.348</v>
      </c>
      <c r="I2559" s="201">
        <v>369967.91</v>
      </c>
      <c r="J2559" s="200"/>
      <c r="K2559" s="202">
        <f t="shared" si="4"/>
        <v>15292006.82</v>
      </c>
      <c r="L2559" s="203"/>
      <c r="M2559" s="205" t="s">
        <v>2811</v>
      </c>
    </row>
    <row r="2560" ht="15.75" customHeight="1">
      <c r="A2560" s="194">
        <v>46052.0</v>
      </c>
      <c r="B2560" s="195"/>
      <c r="C2560" s="196" t="s">
        <v>635</v>
      </c>
      <c r="D2560" s="197" t="s">
        <v>15</v>
      </c>
      <c r="E2560" s="196" t="s">
        <v>2812</v>
      </c>
      <c r="F2560" s="198">
        <v>46048.0</v>
      </c>
      <c r="G2560" s="199">
        <v>8923443.59</v>
      </c>
      <c r="H2560" s="200">
        <f t="shared" si="9"/>
        <v>1873923.154</v>
      </c>
      <c r="I2560" s="201">
        <v>267703.31</v>
      </c>
      <c r="J2560" s="200"/>
      <c r="K2560" s="202">
        <f t="shared" si="4"/>
        <v>11065070.05</v>
      </c>
      <c r="L2560" s="203"/>
      <c r="M2560" s="205" t="s">
        <v>2811</v>
      </c>
    </row>
    <row r="2561" ht="15.75" customHeight="1">
      <c r="A2561" s="194">
        <v>46052.0</v>
      </c>
      <c r="B2561" s="195"/>
      <c r="C2561" s="196" t="s">
        <v>635</v>
      </c>
      <c r="D2561" s="197" t="s">
        <v>15</v>
      </c>
      <c r="E2561" s="196" t="s">
        <v>2813</v>
      </c>
      <c r="F2561" s="198">
        <v>46048.0</v>
      </c>
      <c r="G2561" s="199">
        <v>1.183443159E7</v>
      </c>
      <c r="H2561" s="200">
        <f t="shared" si="9"/>
        <v>2485230.634</v>
      </c>
      <c r="I2561" s="201">
        <v>355032.95</v>
      </c>
      <c r="J2561" s="201"/>
      <c r="K2561" s="202">
        <f t="shared" si="4"/>
        <v>14674695.17</v>
      </c>
      <c r="L2561" s="203"/>
      <c r="M2561" s="205" t="s">
        <v>2811</v>
      </c>
    </row>
    <row r="2562" ht="15.75" customHeight="1">
      <c r="A2562" s="194">
        <v>46052.0</v>
      </c>
      <c r="B2562" s="195"/>
      <c r="C2562" s="196" t="s">
        <v>635</v>
      </c>
      <c r="D2562" s="197" t="s">
        <v>15</v>
      </c>
      <c r="E2562" s="196" t="s">
        <v>2814</v>
      </c>
      <c r="F2562" s="198">
        <v>46048.0</v>
      </c>
      <c r="G2562" s="199">
        <v>1.512222359E7</v>
      </c>
      <c r="H2562" s="200">
        <f t="shared" si="9"/>
        <v>3175666.954</v>
      </c>
      <c r="I2562" s="201">
        <v>453666.71</v>
      </c>
      <c r="J2562" s="201"/>
      <c r="K2562" s="202">
        <f t="shared" si="4"/>
        <v>18751557.25</v>
      </c>
      <c r="L2562" s="203"/>
      <c r="M2562" s="205" t="s">
        <v>2811</v>
      </c>
    </row>
    <row r="2563" ht="15.75" customHeight="1">
      <c r="A2563" s="194">
        <v>46052.0</v>
      </c>
      <c r="B2563" s="195"/>
      <c r="C2563" s="196" t="s">
        <v>635</v>
      </c>
      <c r="D2563" s="197" t="s">
        <v>15</v>
      </c>
      <c r="E2563" s="196" t="s">
        <v>2815</v>
      </c>
      <c r="F2563" s="198">
        <v>46048.0</v>
      </c>
      <c r="G2563" s="199">
        <v>6644346.29</v>
      </c>
      <c r="H2563" s="200">
        <f t="shared" si="9"/>
        <v>1395312.721</v>
      </c>
      <c r="I2563" s="201">
        <v>199330.39</v>
      </c>
      <c r="J2563" s="201"/>
      <c r="K2563" s="202">
        <f t="shared" si="4"/>
        <v>8238989.401</v>
      </c>
      <c r="L2563" s="203"/>
      <c r="M2563" s="205" t="s">
        <v>2811</v>
      </c>
    </row>
    <row r="2564" ht="15.75" customHeight="1">
      <c r="A2564" s="194">
        <v>46052.0</v>
      </c>
      <c r="B2564" s="195"/>
      <c r="C2564" s="196" t="s">
        <v>635</v>
      </c>
      <c r="D2564" s="197" t="s">
        <v>15</v>
      </c>
      <c r="E2564" s="196" t="s">
        <v>2816</v>
      </c>
      <c r="F2564" s="198">
        <v>46048.0</v>
      </c>
      <c r="G2564" s="199">
        <v>1.733352249E7</v>
      </c>
      <c r="H2564" s="200">
        <f t="shared" si="9"/>
        <v>3640039.723</v>
      </c>
      <c r="I2564" s="201">
        <v>520005.67</v>
      </c>
      <c r="J2564" s="201"/>
      <c r="K2564" s="202">
        <f t="shared" si="4"/>
        <v>21493567.88</v>
      </c>
      <c r="L2564" s="203"/>
      <c r="M2564" s="205" t="s">
        <v>2811</v>
      </c>
    </row>
    <row r="2565" ht="15.75" customHeight="1">
      <c r="A2565" s="194">
        <v>46052.0</v>
      </c>
      <c r="B2565" s="195"/>
      <c r="C2565" s="196" t="s">
        <v>635</v>
      </c>
      <c r="D2565" s="197" t="s">
        <v>15</v>
      </c>
      <c r="E2565" s="196" t="s">
        <v>2817</v>
      </c>
      <c r="F2565" s="198">
        <v>46048.0</v>
      </c>
      <c r="G2565" s="199">
        <v>1.244743621E7</v>
      </c>
      <c r="H2565" s="200">
        <f t="shared" si="9"/>
        <v>2613961.604</v>
      </c>
      <c r="I2565" s="201">
        <v>373423.09</v>
      </c>
      <c r="J2565" s="201"/>
      <c r="K2565" s="202">
        <f t="shared" si="4"/>
        <v>15434820.9</v>
      </c>
      <c r="L2565" s="203"/>
      <c r="M2565" s="205" t="s">
        <v>2811</v>
      </c>
    </row>
    <row r="2566" ht="15.75" customHeight="1">
      <c r="A2566" s="194">
        <v>46052.0</v>
      </c>
      <c r="B2566" s="195"/>
      <c r="C2566" s="196" t="s">
        <v>635</v>
      </c>
      <c r="D2566" s="197" t="s">
        <v>15</v>
      </c>
      <c r="E2566" s="196" t="s">
        <v>2818</v>
      </c>
      <c r="F2566" s="198">
        <v>46048.0</v>
      </c>
      <c r="G2566" s="199">
        <v>2.123332494E7</v>
      </c>
      <c r="H2566" s="200">
        <f t="shared" si="9"/>
        <v>4458998.237</v>
      </c>
      <c r="I2566" s="201">
        <v>636999.75</v>
      </c>
      <c r="J2566" s="201"/>
      <c r="K2566" s="202">
        <f t="shared" si="4"/>
        <v>26329322.93</v>
      </c>
      <c r="L2566" s="203"/>
      <c r="M2566" s="205" t="s">
        <v>2811</v>
      </c>
    </row>
    <row r="2567" ht="15.75" customHeight="1">
      <c r="A2567" s="194">
        <v>46052.0</v>
      </c>
      <c r="B2567" s="195"/>
      <c r="C2567" s="196" t="s">
        <v>635</v>
      </c>
      <c r="D2567" s="197" t="s">
        <v>15</v>
      </c>
      <c r="E2567" s="196" t="s">
        <v>2819</v>
      </c>
      <c r="F2567" s="198">
        <v>46048.0</v>
      </c>
      <c r="G2567" s="199">
        <v>2.433262514E7</v>
      </c>
      <c r="H2567" s="200">
        <f t="shared" si="9"/>
        <v>5109851.279</v>
      </c>
      <c r="I2567" s="201">
        <v>729978.75</v>
      </c>
      <c r="J2567" s="201"/>
      <c r="K2567" s="202">
        <f t="shared" si="4"/>
        <v>30172455.17</v>
      </c>
      <c r="L2567" s="203"/>
      <c r="M2567" s="205" t="s">
        <v>2811</v>
      </c>
    </row>
    <row r="2568" ht="15.75" customHeight="1">
      <c r="A2568" s="194">
        <v>46052.0</v>
      </c>
      <c r="B2568" s="195"/>
      <c r="C2568" s="196" t="s">
        <v>635</v>
      </c>
      <c r="D2568" s="197" t="s">
        <v>15</v>
      </c>
      <c r="E2568" s="196" t="s">
        <v>2820</v>
      </c>
      <c r="F2568" s="198">
        <v>46048.0</v>
      </c>
      <c r="G2568" s="199">
        <v>2.844346342E7</v>
      </c>
      <c r="H2568" s="200">
        <f t="shared" si="9"/>
        <v>5973127.318</v>
      </c>
      <c r="I2568" s="201">
        <v>853303.9</v>
      </c>
      <c r="J2568" s="201"/>
      <c r="K2568" s="202">
        <f t="shared" si="4"/>
        <v>35269894.64</v>
      </c>
      <c r="L2568" s="203"/>
      <c r="M2568" s="205" t="s">
        <v>2811</v>
      </c>
    </row>
    <row r="2569" ht="15.75" customHeight="1">
      <c r="A2569" s="164">
        <v>46052.0</v>
      </c>
      <c r="B2569" s="56"/>
      <c r="C2569" s="57" t="s">
        <v>231</v>
      </c>
      <c r="D2569" s="58" t="s">
        <v>15</v>
      </c>
      <c r="E2569" s="57" t="s">
        <v>2821</v>
      </c>
      <c r="F2569" s="178">
        <v>46048.0</v>
      </c>
      <c r="G2569" s="155">
        <v>2205362.16</v>
      </c>
      <c r="H2569" s="9">
        <f t="shared" si="9"/>
        <v>463126.0536</v>
      </c>
      <c r="I2569" s="44">
        <v>66160.86</v>
      </c>
      <c r="J2569" s="44">
        <v>6616.09</v>
      </c>
      <c r="K2569" s="10">
        <f t="shared" si="4"/>
        <v>2741265.164</v>
      </c>
      <c r="L2569" s="61"/>
      <c r="M2569" s="62"/>
    </row>
    <row r="2570" ht="15.75" customHeight="1">
      <c r="A2570" s="162">
        <v>46052.0</v>
      </c>
      <c r="B2570" s="50"/>
      <c r="C2570" s="31" t="s">
        <v>231</v>
      </c>
      <c r="D2570" s="32" t="s">
        <v>99</v>
      </c>
      <c r="E2570" s="31" t="s">
        <v>2822</v>
      </c>
      <c r="F2570" s="161">
        <v>46048.0</v>
      </c>
      <c r="G2570" s="54">
        <v>2264250.85</v>
      </c>
      <c r="H2570" s="14">
        <f t="shared" si="9"/>
        <v>475492.6785</v>
      </c>
      <c r="I2570" s="22">
        <v>67927.53</v>
      </c>
      <c r="J2570" s="22">
        <v>6792.75</v>
      </c>
      <c r="K2570" s="15">
        <f t="shared" si="4"/>
        <v>2814463.809</v>
      </c>
      <c r="L2570" s="45"/>
      <c r="M2570" s="6"/>
    </row>
    <row r="2571" ht="15.75" customHeight="1">
      <c r="A2571" s="162">
        <v>46052.0</v>
      </c>
      <c r="B2571" s="50"/>
      <c r="C2571" s="31" t="s">
        <v>1577</v>
      </c>
      <c r="D2571" s="32" t="s">
        <v>15</v>
      </c>
      <c r="E2571" s="31" t="s">
        <v>2823</v>
      </c>
      <c r="F2571" s="161">
        <v>46048.0</v>
      </c>
      <c r="G2571" s="54">
        <v>5000761.14</v>
      </c>
      <c r="H2571" s="14">
        <f t="shared" si="9"/>
        <v>1050159.839</v>
      </c>
      <c r="I2571" s="22">
        <v>150022.83</v>
      </c>
      <c r="J2571" s="22"/>
      <c r="K2571" s="15">
        <f t="shared" si="4"/>
        <v>6200943.809</v>
      </c>
      <c r="L2571" s="45"/>
      <c r="M2571" s="24">
        <v>46055.0</v>
      </c>
    </row>
    <row r="2572" ht="15.75" customHeight="1">
      <c r="A2572" s="162">
        <v>46052.0</v>
      </c>
      <c r="B2572" s="50"/>
      <c r="C2572" s="31" t="s">
        <v>1577</v>
      </c>
      <c r="D2572" s="32" t="s">
        <v>15</v>
      </c>
      <c r="E2572" s="31" t="s">
        <v>2824</v>
      </c>
      <c r="F2572" s="161">
        <v>46048.0</v>
      </c>
      <c r="G2572" s="54">
        <v>2000516.23</v>
      </c>
      <c r="H2572" s="14">
        <f t="shared" si="9"/>
        <v>420108.4083</v>
      </c>
      <c r="I2572" s="22">
        <v>60015.49</v>
      </c>
      <c r="J2572" s="22"/>
      <c r="K2572" s="15">
        <f t="shared" si="4"/>
        <v>2480640.128</v>
      </c>
      <c r="L2572" s="45"/>
      <c r="M2572" s="24">
        <v>46055.0</v>
      </c>
    </row>
    <row r="2573" ht="15.75" customHeight="1">
      <c r="A2573" s="162">
        <v>46052.0</v>
      </c>
      <c r="B2573" s="50"/>
      <c r="C2573" s="31" t="s">
        <v>2318</v>
      </c>
      <c r="D2573" s="31" t="s">
        <v>77</v>
      </c>
      <c r="E2573" s="31" t="s">
        <v>2825</v>
      </c>
      <c r="F2573" s="161">
        <v>46048.0</v>
      </c>
      <c r="G2573" s="54">
        <v>1.49891E7</v>
      </c>
      <c r="H2573" s="14">
        <f t="shared" si="9"/>
        <v>3147711</v>
      </c>
      <c r="I2573" s="22"/>
      <c r="J2573" s="22"/>
      <c r="K2573" s="15">
        <f t="shared" si="4"/>
        <v>18136811</v>
      </c>
      <c r="L2573" s="45"/>
      <c r="M2573" s="6"/>
    </row>
    <row r="2574" ht="15.75" customHeight="1">
      <c r="A2574" s="162">
        <v>46052.0</v>
      </c>
      <c r="B2574" s="50"/>
      <c r="C2574" s="31" t="s">
        <v>2318</v>
      </c>
      <c r="D2574" s="31" t="s">
        <v>77</v>
      </c>
      <c r="E2574" s="31" t="s">
        <v>2826</v>
      </c>
      <c r="F2574" s="161">
        <v>46048.0</v>
      </c>
      <c r="G2574" s="54">
        <v>1.41316E7</v>
      </c>
      <c r="H2574" s="14">
        <f t="shared" si="9"/>
        <v>2967636</v>
      </c>
      <c r="I2574" s="22"/>
      <c r="J2574" s="22"/>
      <c r="K2574" s="15">
        <f t="shared" si="4"/>
        <v>17099236</v>
      </c>
      <c r="L2574" s="45"/>
      <c r="M2574" s="6"/>
    </row>
    <row r="2575" ht="15.75" customHeight="1">
      <c r="A2575" s="162">
        <v>46052.0</v>
      </c>
      <c r="B2575" s="50"/>
      <c r="C2575" s="31" t="s">
        <v>2318</v>
      </c>
      <c r="D2575" s="31" t="s">
        <v>77</v>
      </c>
      <c r="E2575" s="31" t="s">
        <v>2827</v>
      </c>
      <c r="F2575" s="161">
        <v>46048.0</v>
      </c>
      <c r="G2575" s="54">
        <v>1.45775E7</v>
      </c>
      <c r="H2575" s="14">
        <f t="shared" si="9"/>
        <v>3061275</v>
      </c>
      <c r="I2575" s="22"/>
      <c r="J2575" s="22"/>
      <c r="K2575" s="15">
        <f t="shared" si="4"/>
        <v>17638775</v>
      </c>
      <c r="L2575" s="45"/>
      <c r="M2575" s="6"/>
    </row>
    <row r="2576" ht="15.75" customHeight="1">
      <c r="A2576" s="162">
        <v>46052.0</v>
      </c>
      <c r="B2576" s="50"/>
      <c r="C2576" s="31" t="s">
        <v>2318</v>
      </c>
      <c r="D2576" s="31" t="s">
        <v>77</v>
      </c>
      <c r="E2576" s="31" t="s">
        <v>2828</v>
      </c>
      <c r="F2576" s="161">
        <v>46048.0</v>
      </c>
      <c r="G2576" s="54">
        <v>1.4406E7</v>
      </c>
      <c r="H2576" s="14">
        <f t="shared" si="9"/>
        <v>3025260</v>
      </c>
      <c r="I2576" s="22"/>
      <c r="J2576" s="22"/>
      <c r="K2576" s="15">
        <f t="shared" si="4"/>
        <v>17431260</v>
      </c>
      <c r="L2576" s="45"/>
      <c r="M2576" s="6"/>
    </row>
    <row r="2577" ht="15.75" customHeight="1">
      <c r="A2577" s="162">
        <v>46052.0</v>
      </c>
      <c r="B2577" s="50"/>
      <c r="C2577" s="31" t="s">
        <v>2318</v>
      </c>
      <c r="D2577" s="31" t="s">
        <v>77</v>
      </c>
      <c r="E2577" s="31" t="s">
        <v>2829</v>
      </c>
      <c r="F2577" s="161">
        <v>46048.0</v>
      </c>
      <c r="G2577" s="54">
        <v>1.6807E7</v>
      </c>
      <c r="H2577" s="14">
        <f t="shared" si="9"/>
        <v>3529470</v>
      </c>
      <c r="I2577" s="22"/>
      <c r="J2577" s="22"/>
      <c r="K2577" s="15">
        <f t="shared" si="4"/>
        <v>20336470</v>
      </c>
      <c r="L2577" s="45"/>
      <c r="M2577" s="6"/>
    </row>
    <row r="2578" ht="15.75" customHeight="1">
      <c r="A2578" s="162">
        <v>46052.0</v>
      </c>
      <c r="B2578" s="50"/>
      <c r="C2578" s="31" t="s">
        <v>2318</v>
      </c>
      <c r="D2578" s="31" t="s">
        <v>2714</v>
      </c>
      <c r="E2578" s="31" t="s">
        <v>2830</v>
      </c>
      <c r="F2578" s="161">
        <v>46048.0</v>
      </c>
      <c r="G2578" s="54">
        <v>1.459465E7</v>
      </c>
      <c r="H2578" s="14">
        <f t="shared" si="9"/>
        <v>3064876.5</v>
      </c>
      <c r="I2578" s="22"/>
      <c r="J2578" s="22"/>
      <c r="K2578" s="15">
        <f t="shared" si="4"/>
        <v>17659526.5</v>
      </c>
      <c r="L2578" s="45"/>
      <c r="M2578" s="6"/>
    </row>
    <row r="2579" ht="15.75" customHeight="1">
      <c r="A2579" s="162">
        <v>46052.0</v>
      </c>
      <c r="B2579" s="50"/>
      <c r="C2579" s="31" t="s">
        <v>2318</v>
      </c>
      <c r="D2579" s="31" t="s">
        <v>2714</v>
      </c>
      <c r="E2579" s="31" t="s">
        <v>2831</v>
      </c>
      <c r="F2579" s="161">
        <v>46048.0</v>
      </c>
      <c r="G2579" s="54">
        <v>1.4406E7</v>
      </c>
      <c r="H2579" s="14">
        <f t="shared" si="9"/>
        <v>3025260</v>
      </c>
      <c r="I2579" s="22"/>
      <c r="J2579" s="22"/>
      <c r="K2579" s="15">
        <f t="shared" si="4"/>
        <v>17431260</v>
      </c>
      <c r="L2579" s="45"/>
      <c r="M2579" s="6"/>
    </row>
    <row r="2580" ht="15.75" customHeight="1">
      <c r="A2580" s="162">
        <v>46052.0</v>
      </c>
      <c r="B2580" s="50"/>
      <c r="C2580" s="31" t="s">
        <v>2318</v>
      </c>
      <c r="D2580" s="31" t="s">
        <v>77</v>
      </c>
      <c r="E2580" s="31" t="s">
        <v>2832</v>
      </c>
      <c r="F2580" s="161">
        <v>46048.0</v>
      </c>
      <c r="G2580" s="54">
        <v>1.40973E7</v>
      </c>
      <c r="H2580" s="14">
        <f t="shared" si="9"/>
        <v>2960433</v>
      </c>
      <c r="I2580" s="22"/>
      <c r="J2580" s="22"/>
      <c r="K2580" s="15">
        <f t="shared" si="4"/>
        <v>17057733</v>
      </c>
      <c r="L2580" s="45"/>
      <c r="M2580" s="6"/>
    </row>
    <row r="2581" ht="15.75" customHeight="1">
      <c r="A2581" s="162">
        <v>46052.0</v>
      </c>
      <c r="B2581" s="50"/>
      <c r="C2581" s="31" t="s">
        <v>2318</v>
      </c>
      <c r="D2581" s="31" t="s">
        <v>77</v>
      </c>
      <c r="E2581" s="31" t="s">
        <v>2833</v>
      </c>
      <c r="F2581" s="161">
        <v>46048.0</v>
      </c>
      <c r="G2581" s="54">
        <v>1.39944E7</v>
      </c>
      <c r="H2581" s="14">
        <f t="shared" si="9"/>
        <v>2938824</v>
      </c>
      <c r="I2581" s="22"/>
      <c r="J2581" s="22"/>
      <c r="K2581" s="15">
        <f t="shared" si="4"/>
        <v>16933224</v>
      </c>
      <c r="L2581" s="45"/>
      <c r="M2581" s="6"/>
    </row>
    <row r="2582" ht="15.75" customHeight="1">
      <c r="A2582" s="164">
        <v>46052.0</v>
      </c>
      <c r="B2582" s="56"/>
      <c r="C2582" s="57" t="s">
        <v>2374</v>
      </c>
      <c r="D2582" s="57" t="s">
        <v>2834</v>
      </c>
      <c r="E2582" s="58" t="s">
        <v>2835</v>
      </c>
      <c r="F2582" s="178">
        <v>46048.0</v>
      </c>
      <c r="G2582" s="206">
        <v>4134540.0</v>
      </c>
      <c r="H2582" s="9">
        <f t="shared" si="9"/>
        <v>868253.4</v>
      </c>
      <c r="I2582" s="44"/>
      <c r="J2582" s="44"/>
      <c r="K2582" s="10">
        <f t="shared" si="4"/>
        <v>5002793.4</v>
      </c>
      <c r="L2582" s="61"/>
      <c r="M2582" s="62"/>
    </row>
    <row r="2583" ht="15.75" customHeight="1">
      <c r="A2583" s="164">
        <v>46052.0</v>
      </c>
      <c r="B2583" s="56"/>
      <c r="C2583" s="57" t="s">
        <v>2374</v>
      </c>
      <c r="D2583" s="57" t="s">
        <v>2834</v>
      </c>
      <c r="E2583" s="58" t="s">
        <v>2836</v>
      </c>
      <c r="F2583" s="178">
        <v>46048.0</v>
      </c>
      <c r="G2583" s="206">
        <v>6023460.0</v>
      </c>
      <c r="H2583" s="9">
        <f t="shared" si="9"/>
        <v>1264926.6</v>
      </c>
      <c r="I2583" s="44"/>
      <c r="J2583" s="44"/>
      <c r="K2583" s="10">
        <f t="shared" si="4"/>
        <v>7288386.6</v>
      </c>
      <c r="L2583" s="61"/>
      <c r="M2583" s="62"/>
    </row>
    <row r="2584" ht="15.75" customHeight="1">
      <c r="A2584" s="164">
        <v>46052.0</v>
      </c>
      <c r="B2584" s="56"/>
      <c r="C2584" s="57" t="s">
        <v>2374</v>
      </c>
      <c r="D2584" s="57" t="s">
        <v>2834</v>
      </c>
      <c r="E2584" s="58" t="s">
        <v>1886</v>
      </c>
      <c r="F2584" s="178">
        <v>46048.0</v>
      </c>
      <c r="G2584" s="206">
        <v>5021490.0</v>
      </c>
      <c r="H2584" s="9">
        <f t="shared" si="9"/>
        <v>1054512.9</v>
      </c>
      <c r="I2584" s="44"/>
      <c r="J2584" s="44"/>
      <c r="K2584" s="10">
        <f t="shared" si="4"/>
        <v>6076002.9</v>
      </c>
      <c r="L2584" s="61"/>
      <c r="M2584" s="62"/>
    </row>
    <row r="2585" ht="15.75" customHeight="1">
      <c r="A2585" s="164">
        <v>46052.0</v>
      </c>
      <c r="B2585" s="56"/>
      <c r="C2585" s="57" t="s">
        <v>2374</v>
      </c>
      <c r="D2585" s="57" t="s">
        <v>2834</v>
      </c>
      <c r="E2585" s="58" t="s">
        <v>1887</v>
      </c>
      <c r="F2585" s="178">
        <v>46048.0</v>
      </c>
      <c r="G2585" s="206">
        <v>6719360.0</v>
      </c>
      <c r="H2585" s="9">
        <f t="shared" si="9"/>
        <v>1411065.6</v>
      </c>
      <c r="I2585" s="44"/>
      <c r="J2585" s="44"/>
      <c r="K2585" s="10">
        <f t="shared" si="4"/>
        <v>8130425.6</v>
      </c>
      <c r="L2585" s="61"/>
      <c r="M2585" s="62"/>
    </row>
    <row r="2586" ht="15.75" customHeight="1">
      <c r="A2586" s="164">
        <v>46052.0</v>
      </c>
      <c r="B2586" s="56"/>
      <c r="C2586" s="57" t="s">
        <v>2374</v>
      </c>
      <c r="D2586" s="57" t="s">
        <v>2834</v>
      </c>
      <c r="E2586" s="58" t="s">
        <v>1888</v>
      </c>
      <c r="F2586" s="178">
        <v>46048.0</v>
      </c>
      <c r="G2586" s="206">
        <v>6132580.0</v>
      </c>
      <c r="H2586" s="9">
        <f t="shared" si="9"/>
        <v>1287841.8</v>
      </c>
      <c r="I2586" s="44"/>
      <c r="J2586" s="44"/>
      <c r="K2586" s="10">
        <f t="shared" si="4"/>
        <v>7420421.8</v>
      </c>
      <c r="L2586" s="61"/>
      <c r="M2586" s="62"/>
    </row>
    <row r="2587" ht="15.75" customHeight="1">
      <c r="A2587" s="164">
        <v>46052.0</v>
      </c>
      <c r="B2587" s="56"/>
      <c r="C2587" s="57" t="s">
        <v>2374</v>
      </c>
      <c r="D2587" s="57" t="s">
        <v>2834</v>
      </c>
      <c r="E2587" s="58" t="s">
        <v>1890</v>
      </c>
      <c r="F2587" s="178">
        <v>46048.0</v>
      </c>
      <c r="G2587" s="206">
        <v>4121840.0</v>
      </c>
      <c r="H2587" s="9">
        <f t="shared" si="9"/>
        <v>865586.4</v>
      </c>
      <c r="I2587" s="44"/>
      <c r="J2587" s="44"/>
      <c r="K2587" s="10">
        <f t="shared" si="4"/>
        <v>4987426.4</v>
      </c>
      <c r="L2587" s="61"/>
      <c r="M2587" s="62"/>
    </row>
    <row r="2588" ht="15.75" customHeight="1">
      <c r="A2588" s="164">
        <v>46052.0</v>
      </c>
      <c r="B2588" s="56"/>
      <c r="C2588" s="57" t="s">
        <v>2837</v>
      </c>
      <c r="D2588" s="57" t="s">
        <v>2834</v>
      </c>
      <c r="E2588" s="58" t="s">
        <v>1899</v>
      </c>
      <c r="F2588" s="178">
        <v>46048.0</v>
      </c>
      <c r="G2588" s="206">
        <v>2481460.0</v>
      </c>
      <c r="H2588" s="9">
        <f t="shared" si="9"/>
        <v>521106.6</v>
      </c>
      <c r="I2588" s="44"/>
      <c r="J2588" s="44"/>
      <c r="K2588" s="10">
        <f t="shared" si="4"/>
        <v>3002566.6</v>
      </c>
      <c r="L2588" s="61"/>
      <c r="M2588" s="62"/>
    </row>
    <row r="2589" ht="15.75" customHeight="1">
      <c r="A2589" s="164">
        <v>46052.0</v>
      </c>
      <c r="B2589" s="56"/>
      <c r="C2589" s="57" t="s">
        <v>2837</v>
      </c>
      <c r="D2589" s="57" t="s">
        <v>2834</v>
      </c>
      <c r="E2589" s="58" t="s">
        <v>1900</v>
      </c>
      <c r="F2589" s="178">
        <v>46048.0</v>
      </c>
      <c r="G2589" s="206">
        <v>6549350.0</v>
      </c>
      <c r="H2589" s="9">
        <f t="shared" si="9"/>
        <v>1375363.5</v>
      </c>
      <c r="I2589" s="44"/>
      <c r="J2589" s="44"/>
      <c r="K2589" s="10">
        <f t="shared" si="4"/>
        <v>7924713.5</v>
      </c>
      <c r="L2589" s="61"/>
      <c r="M2589" s="62"/>
    </row>
    <row r="2590" ht="15.75" customHeight="1">
      <c r="A2590" s="164">
        <v>46052.0</v>
      </c>
      <c r="B2590" s="56"/>
      <c r="C2590" s="57" t="s">
        <v>2837</v>
      </c>
      <c r="D2590" s="57" t="s">
        <v>2834</v>
      </c>
      <c r="E2590" s="58" t="s">
        <v>1906</v>
      </c>
      <c r="F2590" s="178">
        <v>46048.0</v>
      </c>
      <c r="G2590" s="206">
        <v>7221490.0</v>
      </c>
      <c r="H2590" s="9">
        <f t="shared" si="9"/>
        <v>1516512.9</v>
      </c>
      <c r="I2590" s="44"/>
      <c r="J2590" s="44"/>
      <c r="K2590" s="10">
        <f t="shared" si="4"/>
        <v>8738002.9</v>
      </c>
      <c r="L2590" s="61"/>
      <c r="M2590" s="62"/>
    </row>
    <row r="2591" ht="15.75" customHeight="1">
      <c r="A2591" s="164">
        <v>46052.0</v>
      </c>
      <c r="B2591" s="56"/>
      <c r="C2591" s="57" t="s">
        <v>2837</v>
      </c>
      <c r="D2591" s="57" t="s">
        <v>2834</v>
      </c>
      <c r="E2591" s="58" t="s">
        <v>1907</v>
      </c>
      <c r="F2591" s="178">
        <v>46048.0</v>
      </c>
      <c r="G2591" s="206">
        <v>7492470.0</v>
      </c>
      <c r="H2591" s="9">
        <f t="shared" si="9"/>
        <v>1573418.7</v>
      </c>
      <c r="I2591" s="44"/>
      <c r="J2591" s="44"/>
      <c r="K2591" s="10">
        <f t="shared" si="4"/>
        <v>9065888.7</v>
      </c>
      <c r="L2591" s="61"/>
      <c r="M2591" s="62"/>
    </row>
    <row r="2592" ht="15.75" customHeight="1">
      <c r="A2592" s="164">
        <v>46052.0</v>
      </c>
      <c r="B2592" s="56"/>
      <c r="C2592" s="57" t="s">
        <v>2837</v>
      </c>
      <c r="D2592" s="57" t="s">
        <v>2834</v>
      </c>
      <c r="E2592" s="58" t="s">
        <v>2838</v>
      </c>
      <c r="F2592" s="178">
        <v>46048.0</v>
      </c>
      <c r="G2592" s="206">
        <v>5744550.0</v>
      </c>
      <c r="H2592" s="9">
        <f t="shared" si="9"/>
        <v>1206355.5</v>
      </c>
      <c r="I2592" s="44"/>
      <c r="J2592" s="44"/>
      <c r="K2592" s="10">
        <f t="shared" si="4"/>
        <v>6950905.5</v>
      </c>
      <c r="L2592" s="61"/>
      <c r="M2592" s="62"/>
    </row>
    <row r="2593" ht="15.75" customHeight="1">
      <c r="A2593" s="162">
        <v>46052.0</v>
      </c>
      <c r="B2593" s="50"/>
      <c r="C2593" s="32" t="s">
        <v>2318</v>
      </c>
      <c r="D2593" s="32" t="s">
        <v>77</v>
      </c>
      <c r="E2593" s="32" t="s">
        <v>2839</v>
      </c>
      <c r="F2593" s="161">
        <v>46048.0</v>
      </c>
      <c r="G2593" s="54">
        <v>8575000.0</v>
      </c>
      <c r="H2593" s="14">
        <f t="shared" si="9"/>
        <v>1800750</v>
      </c>
      <c r="I2593" s="22"/>
      <c r="J2593" s="22"/>
      <c r="K2593" s="15">
        <f t="shared" si="4"/>
        <v>10375750</v>
      </c>
      <c r="L2593" s="45"/>
      <c r="M2593" s="6"/>
    </row>
    <row r="2594" ht="15.75" customHeight="1">
      <c r="A2594" s="162">
        <v>46052.0</v>
      </c>
      <c r="B2594" s="50"/>
      <c r="C2594" s="32" t="s">
        <v>2318</v>
      </c>
      <c r="D2594" s="32" t="s">
        <v>77</v>
      </c>
      <c r="E2594" s="32" t="s">
        <v>2840</v>
      </c>
      <c r="F2594" s="161">
        <v>46048.0</v>
      </c>
      <c r="G2594" s="54">
        <v>1.2005E7</v>
      </c>
      <c r="H2594" s="14">
        <f t="shared" si="9"/>
        <v>2521050</v>
      </c>
      <c r="I2594" s="22"/>
      <c r="J2594" s="22"/>
      <c r="K2594" s="15">
        <f t="shared" si="4"/>
        <v>14526050</v>
      </c>
      <c r="L2594" s="45"/>
      <c r="M2594" s="6"/>
    </row>
    <row r="2595" ht="15.75" customHeight="1">
      <c r="A2595" s="162">
        <v>46052.0</v>
      </c>
      <c r="B2595" s="50"/>
      <c r="C2595" s="32" t="s">
        <v>2318</v>
      </c>
      <c r="D2595" s="32" t="s">
        <v>77</v>
      </c>
      <c r="E2595" s="32" t="s">
        <v>2841</v>
      </c>
      <c r="F2595" s="161">
        <v>46048.0</v>
      </c>
      <c r="G2595" s="54">
        <v>1.8420687E7</v>
      </c>
      <c r="H2595" s="14">
        <f t="shared" si="9"/>
        <v>3868344.27</v>
      </c>
      <c r="I2595" s="22"/>
      <c r="J2595" s="22"/>
      <c r="K2595" s="15">
        <f t="shared" si="4"/>
        <v>22289031.27</v>
      </c>
      <c r="L2595" s="45"/>
      <c r="M2595" s="6"/>
    </row>
    <row r="2596" ht="15.75" customHeight="1">
      <c r="A2596" s="162">
        <v>46053.0</v>
      </c>
      <c r="B2596" s="50"/>
      <c r="C2596" s="31" t="s">
        <v>2842</v>
      </c>
      <c r="D2596" s="32" t="s">
        <v>15</v>
      </c>
      <c r="E2596" s="31" t="s">
        <v>2843</v>
      </c>
      <c r="F2596" s="161">
        <v>46048.0</v>
      </c>
      <c r="G2596" s="54">
        <v>1.250102029E7</v>
      </c>
      <c r="H2596" s="14">
        <f t="shared" si="9"/>
        <v>2625214.261</v>
      </c>
      <c r="I2596" s="22"/>
      <c r="J2596" s="22">
        <v>218767.86</v>
      </c>
      <c r="K2596" s="15">
        <f t="shared" si="4"/>
        <v>15345002.41</v>
      </c>
      <c r="L2596" s="45"/>
      <c r="M2596" s="6"/>
    </row>
    <row r="2597" ht="15.75" customHeight="1">
      <c r="A2597" s="162">
        <v>46053.0</v>
      </c>
      <c r="B2597" s="50"/>
      <c r="C2597" s="31" t="s">
        <v>2842</v>
      </c>
      <c r="D2597" s="32" t="s">
        <v>15</v>
      </c>
      <c r="E2597" s="31" t="s">
        <v>2844</v>
      </c>
      <c r="F2597" s="161">
        <v>46048.0</v>
      </c>
      <c r="G2597" s="54">
        <v>1.249870241E7</v>
      </c>
      <c r="H2597" s="14">
        <f t="shared" si="9"/>
        <v>2624727.506</v>
      </c>
      <c r="I2597" s="22"/>
      <c r="J2597" s="22">
        <v>218727.29</v>
      </c>
      <c r="K2597" s="15">
        <f t="shared" si="4"/>
        <v>15342157.21</v>
      </c>
      <c r="L2597" s="45"/>
      <c r="M2597" s="6"/>
    </row>
    <row r="2598" ht="15.75" customHeight="1">
      <c r="A2598" s="162">
        <v>46053.0</v>
      </c>
      <c r="B2598" s="50"/>
      <c r="C2598" s="31" t="s">
        <v>22</v>
      </c>
      <c r="D2598" s="32" t="s">
        <v>15</v>
      </c>
      <c r="E2598" s="31" t="s">
        <v>2845</v>
      </c>
      <c r="F2598" s="161">
        <v>46048.0</v>
      </c>
      <c r="G2598" s="54">
        <v>1.250102308E7</v>
      </c>
      <c r="H2598" s="14">
        <f t="shared" si="9"/>
        <v>2625214.847</v>
      </c>
      <c r="I2598" s="22"/>
      <c r="J2598" s="22">
        <v>62505.12</v>
      </c>
      <c r="K2598" s="15">
        <f t="shared" si="4"/>
        <v>15188743.05</v>
      </c>
      <c r="L2598" s="45"/>
      <c r="M2598" s="6"/>
    </row>
    <row r="2599" ht="15.75" customHeight="1">
      <c r="A2599" s="162">
        <v>46053.0</v>
      </c>
      <c r="B2599" s="50"/>
      <c r="C2599" s="31" t="s">
        <v>22</v>
      </c>
      <c r="D2599" s="32" t="s">
        <v>15</v>
      </c>
      <c r="E2599" s="31" t="s">
        <v>2846</v>
      </c>
      <c r="F2599" s="161">
        <v>46048.0</v>
      </c>
      <c r="G2599" s="54">
        <v>1.249870105E7</v>
      </c>
      <c r="H2599" s="14">
        <f t="shared" si="9"/>
        <v>2624727.221</v>
      </c>
      <c r="I2599" s="22"/>
      <c r="J2599" s="22">
        <v>62493.51</v>
      </c>
      <c r="K2599" s="15">
        <f t="shared" si="4"/>
        <v>15185921.78</v>
      </c>
      <c r="L2599" s="45"/>
      <c r="M2599" s="6"/>
    </row>
    <row r="2600" ht="15.75" customHeight="1">
      <c r="A2600" s="162">
        <v>46053.0</v>
      </c>
      <c r="B2600" s="50"/>
      <c r="C2600" s="31" t="s">
        <v>216</v>
      </c>
      <c r="D2600" s="32" t="s">
        <v>15</v>
      </c>
      <c r="E2600" s="31" t="s">
        <v>2847</v>
      </c>
      <c r="F2600" s="161">
        <v>46048.0</v>
      </c>
      <c r="G2600" s="54">
        <v>1.250102211E7</v>
      </c>
      <c r="H2600" s="14">
        <f t="shared" si="9"/>
        <v>2625214.643</v>
      </c>
      <c r="I2600" s="22"/>
      <c r="J2600" s="22">
        <v>162513.29</v>
      </c>
      <c r="K2600" s="15">
        <f t="shared" si="4"/>
        <v>15288750.04</v>
      </c>
      <c r="L2600" s="45"/>
      <c r="M2600" s="6"/>
    </row>
    <row r="2601" ht="15.75" customHeight="1">
      <c r="A2601" s="162">
        <v>46053.0</v>
      </c>
      <c r="B2601" s="50"/>
      <c r="C2601" s="31" t="s">
        <v>216</v>
      </c>
      <c r="D2601" s="32" t="s">
        <v>15</v>
      </c>
      <c r="E2601" s="31" t="s">
        <v>2848</v>
      </c>
      <c r="F2601" s="161">
        <v>46048.0</v>
      </c>
      <c r="G2601" s="54">
        <v>1.249870216E7</v>
      </c>
      <c r="H2601" s="14">
        <f t="shared" si="9"/>
        <v>2624727.454</v>
      </c>
      <c r="I2601" s="22"/>
      <c r="J2601" s="22">
        <v>162483.13</v>
      </c>
      <c r="K2601" s="15">
        <f t="shared" si="4"/>
        <v>15285912.74</v>
      </c>
      <c r="L2601" s="45"/>
      <c r="M2601" s="6"/>
    </row>
    <row r="2602" ht="15.75" customHeight="1">
      <c r="A2602" s="162">
        <v>46053.0</v>
      </c>
      <c r="B2602" s="50"/>
      <c r="C2602" s="31" t="s">
        <v>221</v>
      </c>
      <c r="D2602" s="32" t="s">
        <v>15</v>
      </c>
      <c r="E2602" s="31" t="s">
        <v>2849</v>
      </c>
      <c r="F2602" s="161">
        <v>46048.0</v>
      </c>
      <c r="G2602" s="54">
        <v>1.250102125E7</v>
      </c>
      <c r="H2602" s="14">
        <f t="shared" si="9"/>
        <v>2625214.463</v>
      </c>
      <c r="I2602" s="22"/>
      <c r="J2602" s="22">
        <v>625051.06</v>
      </c>
      <c r="K2602" s="15">
        <f t="shared" si="4"/>
        <v>15751286.77</v>
      </c>
      <c r="L2602" s="45"/>
      <c r="M2602" s="6"/>
    </row>
    <row r="2603" ht="15.75" customHeight="1">
      <c r="A2603" s="162">
        <v>46053.0</v>
      </c>
      <c r="B2603" s="50"/>
      <c r="C2603" s="31" t="s">
        <v>221</v>
      </c>
      <c r="D2603" s="32" t="s">
        <v>15</v>
      </c>
      <c r="E2603" s="31" t="s">
        <v>2850</v>
      </c>
      <c r="F2603" s="161">
        <v>46048.0</v>
      </c>
      <c r="G2603" s="54">
        <v>1.249870216E7</v>
      </c>
      <c r="H2603" s="14">
        <f t="shared" si="9"/>
        <v>2624727.454</v>
      </c>
      <c r="I2603" s="22"/>
      <c r="J2603" s="22">
        <v>624935.11</v>
      </c>
      <c r="K2603" s="15">
        <f t="shared" si="4"/>
        <v>15748364.72</v>
      </c>
      <c r="L2603" s="45"/>
      <c r="M2603" s="6"/>
    </row>
    <row r="2604" ht="15.75" customHeight="1">
      <c r="A2604" s="162">
        <v>46053.0</v>
      </c>
      <c r="B2604" s="50"/>
      <c r="C2604" s="31" t="s">
        <v>2851</v>
      </c>
      <c r="D2604" s="32" t="s">
        <v>15</v>
      </c>
      <c r="E2604" s="31" t="s">
        <v>2852</v>
      </c>
      <c r="F2604" s="161">
        <v>46048.0</v>
      </c>
      <c r="G2604" s="54">
        <v>1.859051206E7</v>
      </c>
      <c r="H2604" s="14">
        <f t="shared" si="9"/>
        <v>3904007.533</v>
      </c>
      <c r="I2604" s="22"/>
      <c r="J2604" s="22"/>
      <c r="K2604" s="15">
        <f t="shared" si="4"/>
        <v>22494519.59</v>
      </c>
      <c r="L2604" s="45"/>
      <c r="M2604" s="6"/>
    </row>
    <row r="2605" ht="15.75" customHeight="1">
      <c r="A2605" s="162">
        <v>46053.0</v>
      </c>
      <c r="B2605" s="50"/>
      <c r="C2605" s="31" t="s">
        <v>2853</v>
      </c>
      <c r="D2605" s="32" t="s">
        <v>15</v>
      </c>
      <c r="E2605" s="31" t="s">
        <v>2854</v>
      </c>
      <c r="F2605" s="161">
        <v>46048.0</v>
      </c>
      <c r="G2605" s="54">
        <v>1.225335317E7</v>
      </c>
      <c r="H2605" s="14">
        <f t="shared" si="9"/>
        <v>2573204.166</v>
      </c>
      <c r="I2605" s="22">
        <v>367600.6</v>
      </c>
      <c r="J2605" s="22"/>
      <c r="K2605" s="15">
        <f t="shared" si="4"/>
        <v>15194157.94</v>
      </c>
      <c r="L2605" s="45"/>
      <c r="M2605" s="6"/>
    </row>
    <row r="2606" ht="15.75" customHeight="1">
      <c r="A2606" s="162">
        <v>46053.0</v>
      </c>
      <c r="B2606" s="50"/>
      <c r="C2606" s="31" t="s">
        <v>2853</v>
      </c>
      <c r="D2606" s="32" t="s">
        <v>15</v>
      </c>
      <c r="E2606" s="31" t="s">
        <v>2855</v>
      </c>
      <c r="F2606" s="161">
        <v>46048.0</v>
      </c>
      <c r="G2606" s="54">
        <v>4.273363205E7</v>
      </c>
      <c r="H2606" s="14">
        <f t="shared" si="9"/>
        <v>8974062.731</v>
      </c>
      <c r="I2606" s="22">
        <v>1282008.96</v>
      </c>
      <c r="J2606" s="22"/>
      <c r="K2606" s="15">
        <f t="shared" si="4"/>
        <v>52989703.74</v>
      </c>
      <c r="L2606" s="45"/>
      <c r="M2606" s="6"/>
    </row>
    <row r="2607" ht="15.75" customHeight="1">
      <c r="A2607" s="162">
        <v>46053.0</v>
      </c>
      <c r="B2607" s="50"/>
      <c r="C2607" s="31" t="s">
        <v>2856</v>
      </c>
      <c r="D2607" s="32" t="s">
        <v>15</v>
      </c>
      <c r="E2607" s="31" t="s">
        <v>2857</v>
      </c>
      <c r="F2607" s="161">
        <v>46048.0</v>
      </c>
      <c r="G2607" s="54">
        <v>883005.29</v>
      </c>
      <c r="H2607" s="14">
        <f t="shared" si="9"/>
        <v>185431.1109</v>
      </c>
      <c r="I2607" s="22">
        <v>26490.16</v>
      </c>
      <c r="J2607" s="22">
        <v>6181.04</v>
      </c>
      <c r="K2607" s="15">
        <f t="shared" si="4"/>
        <v>1101107.601</v>
      </c>
      <c r="L2607" s="45"/>
      <c r="M2607" s="6"/>
    </row>
    <row r="2608" ht="15.75" customHeight="1">
      <c r="A2608" s="164">
        <v>46053.0</v>
      </c>
      <c r="B2608" s="56"/>
      <c r="C2608" s="57" t="s">
        <v>373</v>
      </c>
      <c r="D2608" s="58" t="s">
        <v>99</v>
      </c>
      <c r="E2608" s="57" t="s">
        <v>2858</v>
      </c>
      <c r="F2608" s="178">
        <v>46048.0</v>
      </c>
      <c r="G2608" s="155">
        <v>2.000145729E7</v>
      </c>
      <c r="H2608" s="9">
        <f t="shared" si="9"/>
        <v>4200306.031</v>
      </c>
      <c r="I2608" s="44">
        <v>600043.72</v>
      </c>
      <c r="J2608" s="44">
        <v>1000072.86</v>
      </c>
      <c r="K2608" s="10">
        <f t="shared" si="4"/>
        <v>25801879.9</v>
      </c>
      <c r="L2608" s="61"/>
      <c r="M2608" s="62"/>
    </row>
    <row r="2609" ht="15.75" customHeight="1">
      <c r="A2609" s="162">
        <v>46053.0</v>
      </c>
      <c r="B2609" s="50"/>
      <c r="C2609" s="31" t="s">
        <v>2544</v>
      </c>
      <c r="D2609" s="32" t="s">
        <v>99</v>
      </c>
      <c r="E2609" s="31" t="s">
        <v>2859</v>
      </c>
      <c r="F2609" s="161">
        <v>46048.0</v>
      </c>
      <c r="G2609" s="54">
        <v>1.000132212E7</v>
      </c>
      <c r="H2609" s="14">
        <f t="shared" si="9"/>
        <v>2100277.645</v>
      </c>
      <c r="I2609" s="22">
        <v>300039.66</v>
      </c>
      <c r="J2609" s="22">
        <v>500066.11</v>
      </c>
      <c r="K2609" s="15">
        <f t="shared" si="4"/>
        <v>12901705.54</v>
      </c>
      <c r="L2609" s="45"/>
      <c r="M2609" s="6"/>
    </row>
    <row r="2610" ht="15.75" customHeight="1">
      <c r="A2610" s="162">
        <v>46053.0</v>
      </c>
      <c r="B2610" s="50"/>
      <c r="C2610" s="32" t="s">
        <v>2860</v>
      </c>
      <c r="D2610" s="32" t="s">
        <v>15</v>
      </c>
      <c r="E2610" s="32" t="s">
        <v>2861</v>
      </c>
      <c r="F2610" s="161">
        <v>46048.0</v>
      </c>
      <c r="G2610" s="54">
        <v>2.500124819E7</v>
      </c>
      <c r="H2610" s="14">
        <f t="shared" si="9"/>
        <v>5250262.12</v>
      </c>
      <c r="I2610" s="22"/>
      <c r="J2610" s="22"/>
      <c r="K2610" s="15">
        <f t="shared" si="4"/>
        <v>30251510.31</v>
      </c>
      <c r="L2610" s="45"/>
      <c r="M2610" s="6"/>
    </row>
    <row r="2611" ht="15.75" customHeight="1">
      <c r="A2611" s="162">
        <v>46053.0</v>
      </c>
      <c r="B2611" s="50"/>
      <c r="C2611" s="32" t="s">
        <v>2860</v>
      </c>
      <c r="D2611" s="32" t="s">
        <v>15</v>
      </c>
      <c r="E2611" s="32" t="s">
        <v>2862</v>
      </c>
      <c r="F2611" s="161">
        <v>46048.0</v>
      </c>
      <c r="G2611" s="54">
        <v>2.500082106E7</v>
      </c>
      <c r="H2611" s="14">
        <f t="shared" si="9"/>
        <v>5250172.423</v>
      </c>
      <c r="I2611" s="22"/>
      <c r="J2611" s="22"/>
      <c r="K2611" s="15">
        <f t="shared" si="4"/>
        <v>30250993.48</v>
      </c>
      <c r="L2611" s="45"/>
      <c r="M2611" s="6"/>
    </row>
    <row r="2612" ht="15.75" customHeight="1">
      <c r="A2612" s="164">
        <v>46055.0</v>
      </c>
      <c r="B2612" s="56"/>
      <c r="C2612" s="57" t="s">
        <v>969</v>
      </c>
      <c r="D2612" s="58" t="s">
        <v>2863</v>
      </c>
      <c r="E2612" s="58" t="s">
        <v>2864</v>
      </c>
      <c r="F2612" s="178">
        <v>46048.0</v>
      </c>
      <c r="G2612" s="206">
        <v>2.09682E7</v>
      </c>
      <c r="H2612" s="9">
        <f t="shared" si="9"/>
        <v>4403322</v>
      </c>
      <c r="I2612" s="44"/>
      <c r="J2612" s="44"/>
      <c r="K2612" s="10">
        <f t="shared" si="4"/>
        <v>25371522</v>
      </c>
      <c r="L2612" s="61"/>
      <c r="M2612" s="62"/>
    </row>
    <row r="2613" ht="15.75" customHeight="1">
      <c r="A2613" s="162">
        <v>46055.0</v>
      </c>
      <c r="B2613" s="50"/>
      <c r="C2613" s="31" t="s">
        <v>2853</v>
      </c>
      <c r="D2613" s="32" t="s">
        <v>15</v>
      </c>
      <c r="E2613" s="32" t="s">
        <v>2865</v>
      </c>
      <c r="F2613" s="161">
        <v>46048.0</v>
      </c>
      <c r="G2613" s="207">
        <v>3.0333633E7</v>
      </c>
      <c r="H2613" s="14">
        <f t="shared" si="9"/>
        <v>6370062.93</v>
      </c>
      <c r="I2613" s="22"/>
      <c r="J2613" s="22"/>
      <c r="K2613" s="15">
        <f t="shared" si="4"/>
        <v>36703695.93</v>
      </c>
      <c r="L2613" s="45"/>
      <c r="M2613" s="6"/>
    </row>
    <row r="2614" ht="15.75" customHeight="1">
      <c r="A2614" s="162">
        <v>46057.0</v>
      </c>
      <c r="B2614" s="50"/>
      <c r="C2614" s="31" t="s">
        <v>1842</v>
      </c>
      <c r="D2614" s="32" t="s">
        <v>99</v>
      </c>
      <c r="E2614" s="31" t="s">
        <v>2866</v>
      </c>
      <c r="F2614" s="161">
        <v>46079.0</v>
      </c>
      <c r="G2614" s="54">
        <v>2.787436E7</v>
      </c>
      <c r="H2614" s="14">
        <f t="shared" si="9"/>
        <v>5853615.6</v>
      </c>
      <c r="I2614" s="22"/>
      <c r="J2614" s="22">
        <v>195120.52</v>
      </c>
      <c r="K2614" s="15">
        <f t="shared" si="4"/>
        <v>33923096.12</v>
      </c>
      <c r="L2614" s="45"/>
      <c r="M2614" s="24">
        <v>46086.0</v>
      </c>
    </row>
    <row r="2615" ht="15.75" customHeight="1">
      <c r="A2615" s="162">
        <v>46057.0</v>
      </c>
      <c r="B2615" s="50"/>
      <c r="C2615" s="31" t="s">
        <v>168</v>
      </c>
      <c r="D2615" s="32" t="s">
        <v>99</v>
      </c>
      <c r="E2615" s="31" t="s">
        <v>2867</v>
      </c>
      <c r="F2615" s="161">
        <v>46079.0</v>
      </c>
      <c r="G2615" s="54">
        <v>1.255236E7</v>
      </c>
      <c r="H2615" s="14">
        <f t="shared" si="9"/>
        <v>2635995.6</v>
      </c>
      <c r="I2615" s="22">
        <v>376570.8</v>
      </c>
      <c r="J2615" s="22"/>
      <c r="K2615" s="15">
        <f t="shared" si="4"/>
        <v>15564926.4</v>
      </c>
      <c r="L2615" s="45"/>
      <c r="M2615" s="6"/>
    </row>
    <row r="2616" ht="15.75" customHeight="1">
      <c r="A2616" s="162">
        <v>46057.0</v>
      </c>
      <c r="B2616" s="50"/>
      <c r="C2616" s="31" t="s">
        <v>1842</v>
      </c>
      <c r="D2616" s="32" t="s">
        <v>15</v>
      </c>
      <c r="E2616" s="31" t="s">
        <v>2868</v>
      </c>
      <c r="F2616" s="161">
        <v>46079.0</v>
      </c>
      <c r="G2616" s="54">
        <v>2.321548E7</v>
      </c>
      <c r="H2616" s="14">
        <f t="shared" si="9"/>
        <v>4875250.8</v>
      </c>
      <c r="I2616" s="22"/>
      <c r="J2616" s="22">
        <v>162508.36</v>
      </c>
      <c r="K2616" s="15">
        <f t="shared" si="4"/>
        <v>28253239.16</v>
      </c>
      <c r="L2616" s="45"/>
      <c r="M2616" s="6"/>
    </row>
    <row r="2617" ht="15.75" customHeight="1">
      <c r="A2617" s="162">
        <v>46057.0</v>
      </c>
      <c r="B2617" s="50"/>
      <c r="C2617" s="31" t="s">
        <v>527</v>
      </c>
      <c r="D2617" s="32" t="s">
        <v>15</v>
      </c>
      <c r="E2617" s="31" t="s">
        <v>2869</v>
      </c>
      <c r="F2617" s="161">
        <v>46079.0</v>
      </c>
      <c r="G2617" s="54">
        <v>1.030632E7</v>
      </c>
      <c r="H2617" s="14">
        <f t="shared" si="9"/>
        <v>2164327.2</v>
      </c>
      <c r="I2617" s="22">
        <v>309189.6</v>
      </c>
      <c r="J2617" s="22"/>
      <c r="K2617" s="15">
        <f t="shared" si="4"/>
        <v>12779836.8</v>
      </c>
      <c r="L2617" s="45"/>
      <c r="M2617" s="24">
        <v>46058.0</v>
      </c>
    </row>
    <row r="2618" ht="15.75" customHeight="1">
      <c r="A2618" s="162">
        <v>46057.0</v>
      </c>
      <c r="B2618" s="50"/>
      <c r="C2618" s="31" t="s">
        <v>247</v>
      </c>
      <c r="D2618" s="32" t="s">
        <v>15</v>
      </c>
      <c r="E2618" s="32" t="s">
        <v>2870</v>
      </c>
      <c r="F2618" s="161">
        <v>46048.0</v>
      </c>
      <c r="G2618" s="207">
        <v>1.187236E7</v>
      </c>
      <c r="H2618" s="14">
        <f t="shared" si="9"/>
        <v>2493195.6</v>
      </c>
      <c r="I2618" s="22"/>
      <c r="J2618" s="22"/>
      <c r="K2618" s="15">
        <f t="shared" si="4"/>
        <v>14365555.6</v>
      </c>
      <c r="L2618" s="45"/>
      <c r="M2618" s="6"/>
    </row>
    <row r="2619" ht="15.75" customHeight="1">
      <c r="A2619" s="162">
        <v>46057.0</v>
      </c>
      <c r="B2619" s="50"/>
      <c r="C2619" s="31" t="s">
        <v>247</v>
      </c>
      <c r="D2619" s="32" t="s">
        <v>15</v>
      </c>
      <c r="E2619" s="32" t="s">
        <v>2871</v>
      </c>
      <c r="F2619" s="161">
        <v>46048.0</v>
      </c>
      <c r="G2619" s="207">
        <v>1.313689E7</v>
      </c>
      <c r="H2619" s="14">
        <f t="shared" si="9"/>
        <v>2758746.9</v>
      </c>
      <c r="I2619" s="22"/>
      <c r="J2619" s="22"/>
      <c r="K2619" s="15">
        <f t="shared" si="4"/>
        <v>15895636.9</v>
      </c>
      <c r="L2619" s="45"/>
      <c r="M2619" s="6"/>
    </row>
    <row r="2620" ht="15.75" customHeight="1">
      <c r="A2620" s="162">
        <v>46057.0</v>
      </c>
      <c r="B2620" s="50"/>
      <c r="C2620" s="31" t="s">
        <v>2872</v>
      </c>
      <c r="D2620" s="32" t="s">
        <v>15</v>
      </c>
      <c r="E2620" s="32" t="s">
        <v>2873</v>
      </c>
      <c r="F2620" s="161">
        <v>46048.0</v>
      </c>
      <c r="G2620" s="207">
        <v>1.1664962E7</v>
      </c>
      <c r="H2620" s="14">
        <f t="shared" si="9"/>
        <v>2449642.02</v>
      </c>
      <c r="I2620" s="22"/>
      <c r="J2620" s="22">
        <v>186639.39</v>
      </c>
      <c r="K2620" s="15">
        <f t="shared" si="4"/>
        <v>14301243.41</v>
      </c>
      <c r="L2620" s="45"/>
      <c r="M2620" s="6"/>
    </row>
    <row r="2621" ht="15.75" customHeight="1">
      <c r="A2621" s="162">
        <v>46057.0</v>
      </c>
      <c r="B2621" s="50"/>
      <c r="C2621" s="31" t="s">
        <v>2874</v>
      </c>
      <c r="D2621" s="32" t="s">
        <v>15</v>
      </c>
      <c r="E2621" s="32" t="s">
        <v>2875</v>
      </c>
      <c r="F2621" s="161">
        <v>46048.0</v>
      </c>
      <c r="G2621" s="207">
        <v>1.422397E7</v>
      </c>
      <c r="H2621" s="14">
        <f t="shared" si="9"/>
        <v>2987033.7</v>
      </c>
      <c r="I2621" s="22"/>
      <c r="J2621" s="22">
        <v>355599.25</v>
      </c>
      <c r="K2621" s="15">
        <f t="shared" si="4"/>
        <v>17566602.95</v>
      </c>
      <c r="L2621" s="45"/>
      <c r="M2621" s="6"/>
    </row>
    <row r="2622" ht="15.75" customHeight="1">
      <c r="A2622" s="162">
        <v>46057.0</v>
      </c>
      <c r="B2622" s="50"/>
      <c r="C2622" s="31" t="s">
        <v>2874</v>
      </c>
      <c r="D2622" s="32" t="s">
        <v>15</v>
      </c>
      <c r="E2622" s="32" t="s">
        <v>2876</v>
      </c>
      <c r="F2622" s="161">
        <v>46048.0</v>
      </c>
      <c r="G2622" s="207">
        <v>1.0881927E7</v>
      </c>
      <c r="H2622" s="14">
        <f t="shared" si="9"/>
        <v>2285204.67</v>
      </c>
      <c r="I2622" s="22"/>
      <c r="J2622" s="22">
        <v>272048.18</v>
      </c>
      <c r="K2622" s="15">
        <f t="shared" si="4"/>
        <v>13439179.85</v>
      </c>
      <c r="L2622" s="45"/>
      <c r="M2622" s="6"/>
    </row>
    <row r="2623" ht="15.75" customHeight="1">
      <c r="A2623" s="162">
        <v>46057.0</v>
      </c>
      <c r="B2623" s="50"/>
      <c r="C2623" s="31" t="s">
        <v>2877</v>
      </c>
      <c r="D2623" s="32" t="s">
        <v>15</v>
      </c>
      <c r="E2623" s="32" t="s">
        <v>2878</v>
      </c>
      <c r="F2623" s="161">
        <v>46048.0</v>
      </c>
      <c r="G2623" s="207">
        <v>1.2337236E7</v>
      </c>
      <c r="H2623" s="14">
        <f t="shared" si="9"/>
        <v>2590819.56</v>
      </c>
      <c r="I2623" s="22"/>
      <c r="J2623" s="22">
        <v>616861.8</v>
      </c>
      <c r="K2623" s="15">
        <f t="shared" si="4"/>
        <v>15544917.36</v>
      </c>
      <c r="L2623" s="45"/>
      <c r="M2623" s="6"/>
    </row>
    <row r="2624" ht="15.75" customHeight="1">
      <c r="A2624" s="162">
        <v>46057.0</v>
      </c>
      <c r="B2624" s="50"/>
      <c r="C2624" s="31" t="s">
        <v>2877</v>
      </c>
      <c r="D2624" s="32" t="s">
        <v>15</v>
      </c>
      <c r="E2624" s="32" t="s">
        <v>2879</v>
      </c>
      <c r="F2624" s="161">
        <v>46048.0</v>
      </c>
      <c r="G2624" s="207">
        <v>1.3322633E7</v>
      </c>
      <c r="H2624" s="14">
        <f t="shared" si="9"/>
        <v>2797752.93</v>
      </c>
      <c r="I2624" s="22"/>
      <c r="J2624" s="22">
        <v>666131.65</v>
      </c>
      <c r="K2624" s="15">
        <f t="shared" si="4"/>
        <v>16786517.58</v>
      </c>
      <c r="L2624" s="45"/>
      <c r="M2624" s="6"/>
    </row>
    <row r="2625" ht="15.75" customHeight="1">
      <c r="A2625" s="162">
        <v>46057.0</v>
      </c>
      <c r="B2625" s="50"/>
      <c r="C2625" s="31" t="s">
        <v>2842</v>
      </c>
      <c r="D2625" s="32" t="s">
        <v>15</v>
      </c>
      <c r="E2625" s="32" t="s">
        <v>2880</v>
      </c>
      <c r="F2625" s="161">
        <v>46048.0</v>
      </c>
      <c r="G2625" s="207">
        <v>1.6223522E7</v>
      </c>
      <c r="H2625" s="14">
        <f t="shared" si="9"/>
        <v>3406939.62</v>
      </c>
      <c r="I2625" s="22"/>
      <c r="J2625" s="22">
        <v>405588.05</v>
      </c>
      <c r="K2625" s="15">
        <f t="shared" si="4"/>
        <v>20036049.67</v>
      </c>
      <c r="L2625" s="45"/>
      <c r="M2625" s="6"/>
    </row>
    <row r="2626" ht="15.75" customHeight="1">
      <c r="A2626" s="162">
        <v>46057.0</v>
      </c>
      <c r="B2626" s="50"/>
      <c r="C2626" s="31" t="s">
        <v>2842</v>
      </c>
      <c r="D2626" s="32" t="s">
        <v>15</v>
      </c>
      <c r="E2626" s="32" t="s">
        <v>1070</v>
      </c>
      <c r="F2626" s="161">
        <v>46048.0</v>
      </c>
      <c r="G2626" s="207">
        <v>9332252.0</v>
      </c>
      <c r="H2626" s="14">
        <f t="shared" si="9"/>
        <v>1959772.92</v>
      </c>
      <c r="I2626" s="22"/>
      <c r="J2626" s="22">
        <v>233306.3</v>
      </c>
      <c r="K2626" s="15">
        <f t="shared" si="4"/>
        <v>11525331.22</v>
      </c>
      <c r="L2626" s="45"/>
      <c r="M2626" s="6"/>
    </row>
    <row r="2627" ht="15.75" customHeight="1">
      <c r="A2627" s="162">
        <v>46057.0</v>
      </c>
      <c r="B2627" s="50"/>
      <c r="C2627" s="31" t="s">
        <v>2872</v>
      </c>
      <c r="D2627" s="32" t="s">
        <v>15</v>
      </c>
      <c r="E2627" s="32" t="s">
        <v>1072</v>
      </c>
      <c r="F2627" s="161">
        <v>46048.0</v>
      </c>
      <c r="G2627" s="207">
        <v>1.333385E7</v>
      </c>
      <c r="H2627" s="14">
        <f t="shared" si="9"/>
        <v>2800108.5</v>
      </c>
      <c r="I2627" s="22"/>
      <c r="J2627" s="22">
        <v>213341.6</v>
      </c>
      <c r="K2627" s="15">
        <f t="shared" si="4"/>
        <v>16347300.1</v>
      </c>
      <c r="L2627" s="45"/>
      <c r="M2627" s="6"/>
    </row>
    <row r="2628" ht="15.75" customHeight="1">
      <c r="A2628" s="162">
        <v>46058.0</v>
      </c>
      <c r="B2628" s="50"/>
      <c r="C2628" s="31" t="s">
        <v>2881</v>
      </c>
      <c r="D2628" s="32" t="s">
        <v>15</v>
      </c>
      <c r="E2628" s="32" t="s">
        <v>2882</v>
      </c>
      <c r="F2628" s="161">
        <v>46048.0</v>
      </c>
      <c r="G2628" s="207">
        <v>4698340.0</v>
      </c>
      <c r="H2628" s="14">
        <f t="shared" si="9"/>
        <v>986651.4</v>
      </c>
      <c r="I2628" s="22">
        <v>140950.2</v>
      </c>
      <c r="J2628" s="22"/>
      <c r="K2628" s="15">
        <f t="shared" si="4"/>
        <v>5825941.6</v>
      </c>
      <c r="L2628" s="45"/>
      <c r="M2628" s="6"/>
    </row>
    <row r="2629" ht="15.75" customHeight="1">
      <c r="A2629" s="162">
        <v>46058.0</v>
      </c>
      <c r="B2629" s="50"/>
      <c r="C2629" s="31" t="s">
        <v>2881</v>
      </c>
      <c r="D2629" s="32" t="s">
        <v>15</v>
      </c>
      <c r="E2629" s="32" t="s">
        <v>2883</v>
      </c>
      <c r="F2629" s="161">
        <v>46048.0</v>
      </c>
      <c r="G2629" s="207">
        <v>5879970.0</v>
      </c>
      <c r="H2629" s="14">
        <f t="shared" si="9"/>
        <v>1234793.7</v>
      </c>
      <c r="I2629" s="22">
        <v>176399.1</v>
      </c>
      <c r="J2629" s="22"/>
      <c r="K2629" s="15">
        <f t="shared" si="4"/>
        <v>7291162.8</v>
      </c>
      <c r="L2629" s="45"/>
      <c r="M2629" s="6"/>
    </row>
    <row r="2630" ht="15.75" customHeight="1">
      <c r="A2630" s="162">
        <v>46058.0</v>
      </c>
      <c r="B2630" s="50"/>
      <c r="C2630" s="31" t="s">
        <v>2881</v>
      </c>
      <c r="D2630" s="32" t="s">
        <v>15</v>
      </c>
      <c r="E2630" s="32" t="s">
        <v>2884</v>
      </c>
      <c r="F2630" s="161">
        <v>46048.0</v>
      </c>
      <c r="G2630" s="207">
        <v>4124460.0</v>
      </c>
      <c r="H2630" s="14">
        <f t="shared" si="9"/>
        <v>866136.6</v>
      </c>
      <c r="I2630" s="22">
        <v>123733.8</v>
      </c>
      <c r="J2630" s="22"/>
      <c r="K2630" s="15">
        <f t="shared" si="4"/>
        <v>5114330.4</v>
      </c>
      <c r="L2630" s="45"/>
      <c r="M2630" s="6"/>
    </row>
    <row r="2631" ht="15.75" customHeight="1">
      <c r="A2631" s="162">
        <v>46058.0</v>
      </c>
      <c r="B2631" s="50"/>
      <c r="C2631" s="31" t="s">
        <v>2881</v>
      </c>
      <c r="D2631" s="32" t="s">
        <v>15</v>
      </c>
      <c r="E2631" s="32" t="s">
        <v>2885</v>
      </c>
      <c r="F2631" s="161">
        <v>46048.0</v>
      </c>
      <c r="G2631" s="207">
        <v>5322929.62</v>
      </c>
      <c r="H2631" s="14">
        <f t="shared" si="9"/>
        <v>1117815.22</v>
      </c>
      <c r="I2631" s="22">
        <v>359563.53</v>
      </c>
      <c r="J2631" s="22"/>
      <c r="K2631" s="15">
        <f t="shared" si="4"/>
        <v>6800308.37</v>
      </c>
      <c r="L2631" s="45"/>
      <c r="M2631" s="6"/>
    </row>
    <row r="2632" ht="15.75" customHeight="1">
      <c r="A2632" s="164">
        <v>46058.0</v>
      </c>
      <c r="B2632" s="56"/>
      <c r="C2632" s="57" t="s">
        <v>2886</v>
      </c>
      <c r="D2632" s="57" t="s">
        <v>2834</v>
      </c>
      <c r="E2632" s="58" t="s">
        <v>2887</v>
      </c>
      <c r="F2632" s="178">
        <v>46079.0</v>
      </c>
      <c r="G2632" s="206">
        <v>3005360.0</v>
      </c>
      <c r="H2632" s="9">
        <f t="shared" si="9"/>
        <v>631125.6</v>
      </c>
      <c r="I2632" s="44"/>
      <c r="J2632" s="44"/>
      <c r="K2632" s="10">
        <f t="shared" si="4"/>
        <v>3636485.6</v>
      </c>
      <c r="L2632" s="61"/>
      <c r="M2632" s="62"/>
    </row>
    <row r="2633" ht="15.75" customHeight="1">
      <c r="A2633" s="164">
        <v>46058.0</v>
      </c>
      <c r="B2633" s="56"/>
      <c r="C2633" s="57" t="s">
        <v>2374</v>
      </c>
      <c r="D2633" s="57" t="s">
        <v>2834</v>
      </c>
      <c r="E2633" s="58" t="s">
        <v>2888</v>
      </c>
      <c r="F2633" s="178">
        <v>46079.0</v>
      </c>
      <c r="G2633" s="206">
        <v>2482350.0</v>
      </c>
      <c r="H2633" s="9">
        <f t="shared" si="9"/>
        <v>521293.5</v>
      </c>
      <c r="I2633" s="44"/>
      <c r="J2633" s="44"/>
      <c r="K2633" s="10">
        <f t="shared" si="4"/>
        <v>3003643.5</v>
      </c>
      <c r="L2633" s="61"/>
      <c r="M2633" s="62"/>
    </row>
    <row r="2634" ht="15.75" customHeight="1">
      <c r="A2634" s="164">
        <v>46058.0</v>
      </c>
      <c r="B2634" s="56"/>
      <c r="C2634" s="57" t="s">
        <v>2374</v>
      </c>
      <c r="D2634" s="57" t="s">
        <v>2834</v>
      </c>
      <c r="E2634" s="58" t="s">
        <v>2889</v>
      </c>
      <c r="F2634" s="178">
        <v>46079.0</v>
      </c>
      <c r="G2634" s="206">
        <v>2484590.0</v>
      </c>
      <c r="H2634" s="9">
        <f t="shared" si="9"/>
        <v>521763.9</v>
      </c>
      <c r="I2634" s="44"/>
      <c r="J2634" s="44"/>
      <c r="K2634" s="10">
        <f t="shared" si="4"/>
        <v>3006353.9</v>
      </c>
      <c r="L2634" s="61"/>
      <c r="M2634" s="62"/>
    </row>
    <row r="2635" ht="15.75" customHeight="1">
      <c r="A2635" s="164">
        <v>46058.0</v>
      </c>
      <c r="B2635" s="56"/>
      <c r="C2635" s="57" t="s">
        <v>2837</v>
      </c>
      <c r="D2635" s="57" t="s">
        <v>2834</v>
      </c>
      <c r="E2635" s="58" t="s">
        <v>2890</v>
      </c>
      <c r="F2635" s="178">
        <v>46079.0</v>
      </c>
      <c r="G2635" s="206">
        <v>2303380.0</v>
      </c>
      <c r="H2635" s="9">
        <f t="shared" si="9"/>
        <v>483709.8</v>
      </c>
      <c r="I2635" s="44"/>
      <c r="J2635" s="44"/>
      <c r="K2635" s="10">
        <f t="shared" si="4"/>
        <v>2787089.8</v>
      </c>
      <c r="L2635" s="61"/>
      <c r="M2635" s="62"/>
    </row>
    <row r="2636" ht="15.75" customHeight="1">
      <c r="A2636" s="162">
        <v>46058.0</v>
      </c>
      <c r="B2636" s="50"/>
      <c r="C2636" s="31" t="s">
        <v>1577</v>
      </c>
      <c r="D2636" s="32" t="s">
        <v>15</v>
      </c>
      <c r="E2636" s="32" t="s">
        <v>2891</v>
      </c>
      <c r="F2636" s="161">
        <v>46048.0</v>
      </c>
      <c r="G2636" s="207">
        <v>2000516.23</v>
      </c>
      <c r="H2636" s="14">
        <f t="shared" si="9"/>
        <v>420108.4083</v>
      </c>
      <c r="I2636" s="22"/>
      <c r="J2636" s="22"/>
      <c r="K2636" s="15">
        <f t="shared" si="4"/>
        <v>2420624.638</v>
      </c>
      <c r="L2636" s="45"/>
      <c r="M2636" s="6"/>
    </row>
    <row r="2637" ht="15.75" customHeight="1">
      <c r="A2637" s="162">
        <v>46059.0</v>
      </c>
      <c r="B2637" s="50"/>
      <c r="C2637" s="31" t="s">
        <v>1858</v>
      </c>
      <c r="D2637" s="32" t="s">
        <v>15</v>
      </c>
      <c r="E2637" s="31" t="s">
        <v>2892</v>
      </c>
      <c r="F2637" s="161">
        <v>46079.0</v>
      </c>
      <c r="G2637" s="54">
        <v>2.7306964E7</v>
      </c>
      <c r="H2637" s="14">
        <f t="shared" si="9"/>
        <v>5734462.44</v>
      </c>
      <c r="I2637" s="22">
        <v>819208.92</v>
      </c>
      <c r="J2637" s="22">
        <v>109227.86</v>
      </c>
      <c r="K2637" s="15">
        <f t="shared" si="4"/>
        <v>33969863.22</v>
      </c>
      <c r="L2637" s="45"/>
      <c r="M2637" s="24">
        <v>46065.0</v>
      </c>
    </row>
    <row r="2638" ht="15.75" customHeight="1">
      <c r="A2638" s="162">
        <v>46059.0</v>
      </c>
      <c r="B2638" s="50"/>
      <c r="C2638" s="31" t="s">
        <v>1861</v>
      </c>
      <c r="D2638" s="32" t="s">
        <v>15</v>
      </c>
      <c r="E2638" s="31" t="s">
        <v>2893</v>
      </c>
      <c r="F2638" s="161">
        <v>46079.0</v>
      </c>
      <c r="G2638" s="54">
        <v>1.9655725E7</v>
      </c>
      <c r="H2638" s="14">
        <f t="shared" si="9"/>
        <v>4127702.25</v>
      </c>
      <c r="I2638" s="22">
        <v>589671.75</v>
      </c>
      <c r="J2638" s="22">
        <v>393114.5</v>
      </c>
      <c r="K2638" s="15">
        <f t="shared" si="4"/>
        <v>24766213.5</v>
      </c>
      <c r="L2638" s="45"/>
      <c r="M2638" s="24">
        <v>46071.0</v>
      </c>
    </row>
    <row r="2639" ht="15.75" customHeight="1">
      <c r="A2639" s="162">
        <v>46059.0</v>
      </c>
      <c r="B2639" s="50"/>
      <c r="C2639" s="31" t="s">
        <v>1854</v>
      </c>
      <c r="D2639" s="32" t="s">
        <v>15</v>
      </c>
      <c r="E2639" s="31" t="s">
        <v>2894</v>
      </c>
      <c r="F2639" s="161">
        <v>46079.0</v>
      </c>
      <c r="G2639" s="54">
        <v>6841479.0</v>
      </c>
      <c r="H2639" s="14">
        <f t="shared" si="9"/>
        <v>1436710.59</v>
      </c>
      <c r="I2639" s="22">
        <v>205244.37</v>
      </c>
      <c r="J2639" s="22">
        <v>410488.74</v>
      </c>
      <c r="K2639" s="15">
        <f t="shared" si="4"/>
        <v>8893922.7</v>
      </c>
      <c r="L2639" s="45"/>
      <c r="M2639" s="19" t="s">
        <v>2895</v>
      </c>
    </row>
    <row r="2640" ht="15.75" customHeight="1">
      <c r="A2640" s="162">
        <v>46059.0</v>
      </c>
      <c r="B2640" s="50"/>
      <c r="C2640" s="31" t="s">
        <v>1854</v>
      </c>
      <c r="D2640" s="32" t="s">
        <v>15</v>
      </c>
      <c r="E2640" s="31" t="s">
        <v>2896</v>
      </c>
      <c r="F2640" s="161">
        <v>46079.0</v>
      </c>
      <c r="G2640" s="54">
        <v>5.7542381E7</v>
      </c>
      <c r="H2640" s="14">
        <f t="shared" si="9"/>
        <v>12083900.01</v>
      </c>
      <c r="I2640" s="22">
        <v>1726271.43</v>
      </c>
      <c r="J2640" s="22">
        <v>3452542.86</v>
      </c>
      <c r="K2640" s="15">
        <f t="shared" si="4"/>
        <v>74805095.3</v>
      </c>
      <c r="L2640" s="45"/>
      <c r="M2640" s="19" t="s">
        <v>2895</v>
      </c>
    </row>
    <row r="2641" ht="15.75" customHeight="1">
      <c r="A2641" s="164">
        <v>46059.0</v>
      </c>
      <c r="B2641" s="56"/>
      <c r="C2641" s="57" t="s">
        <v>1112</v>
      </c>
      <c r="D2641" s="58" t="s">
        <v>15</v>
      </c>
      <c r="E2641" s="57" t="s">
        <v>2897</v>
      </c>
      <c r="F2641" s="178">
        <v>46079.0</v>
      </c>
      <c r="G2641" s="155">
        <v>1.5675112E7</v>
      </c>
      <c r="H2641" s="9">
        <f t="shared" si="9"/>
        <v>3291773.52</v>
      </c>
      <c r="I2641" s="44"/>
      <c r="J2641" s="44"/>
      <c r="K2641" s="10">
        <f t="shared" si="4"/>
        <v>18966885.52</v>
      </c>
      <c r="L2641" s="61"/>
      <c r="M2641" s="62"/>
    </row>
    <row r="2642" ht="15.75" customHeight="1">
      <c r="A2642" s="162">
        <v>46059.0</v>
      </c>
      <c r="B2642" s="50"/>
      <c r="C2642" s="31" t="s">
        <v>1112</v>
      </c>
      <c r="D2642" s="32" t="s">
        <v>15</v>
      </c>
      <c r="E2642" s="31" t="s">
        <v>2898</v>
      </c>
      <c r="F2642" s="161">
        <v>46079.0</v>
      </c>
      <c r="G2642" s="54">
        <v>1.4328302E7</v>
      </c>
      <c r="H2642" s="14">
        <f t="shared" si="9"/>
        <v>3008943.42</v>
      </c>
      <c r="I2642" s="22"/>
      <c r="J2642" s="22"/>
      <c r="K2642" s="15">
        <f t="shared" si="4"/>
        <v>17337245.42</v>
      </c>
      <c r="L2642" s="45"/>
      <c r="M2642" s="6"/>
    </row>
    <row r="2643" ht="15.75" customHeight="1">
      <c r="A2643" s="162">
        <v>46059.0</v>
      </c>
      <c r="B2643" s="50"/>
      <c r="C2643" s="31" t="s">
        <v>1861</v>
      </c>
      <c r="D2643" s="32" t="s">
        <v>99</v>
      </c>
      <c r="E2643" s="31" t="s">
        <v>2899</v>
      </c>
      <c r="F2643" s="161">
        <v>46079.0</v>
      </c>
      <c r="G2643" s="54">
        <v>2.1153598E7</v>
      </c>
      <c r="H2643" s="14">
        <f t="shared" si="9"/>
        <v>4442255.58</v>
      </c>
      <c r="I2643" s="22">
        <v>634607.94</v>
      </c>
      <c r="J2643" s="22">
        <v>423071.96</v>
      </c>
      <c r="K2643" s="15">
        <f t="shared" si="4"/>
        <v>26653533.48</v>
      </c>
      <c r="L2643" s="45"/>
      <c r="M2643" s="24">
        <v>46071.0</v>
      </c>
    </row>
    <row r="2644" ht="15.75" customHeight="1">
      <c r="A2644" s="162">
        <v>46059.0</v>
      </c>
      <c r="B2644" s="50"/>
      <c r="C2644" s="31" t="s">
        <v>1861</v>
      </c>
      <c r="D2644" s="32" t="s">
        <v>99</v>
      </c>
      <c r="E2644" s="31" t="s">
        <v>2900</v>
      </c>
      <c r="F2644" s="161">
        <v>46079.0</v>
      </c>
      <c r="G2644" s="54">
        <v>2.3039984E7</v>
      </c>
      <c r="H2644" s="14">
        <f t="shared" si="9"/>
        <v>4838396.64</v>
      </c>
      <c r="I2644" s="22">
        <v>691199.52</v>
      </c>
      <c r="J2644" s="22">
        <v>460799.68</v>
      </c>
      <c r="K2644" s="15">
        <f t="shared" si="4"/>
        <v>29030379.84</v>
      </c>
      <c r="L2644" s="45"/>
      <c r="M2644" s="24">
        <v>46071.0</v>
      </c>
    </row>
    <row r="2645" ht="15.75" customHeight="1">
      <c r="A2645" s="162">
        <v>46059.0</v>
      </c>
      <c r="B2645" s="50"/>
      <c r="C2645" s="31" t="s">
        <v>1854</v>
      </c>
      <c r="D2645" s="32" t="s">
        <v>99</v>
      </c>
      <c r="E2645" s="31" t="s">
        <v>2901</v>
      </c>
      <c r="F2645" s="161">
        <v>46079.0</v>
      </c>
      <c r="G2645" s="54">
        <v>5.8955998E7</v>
      </c>
      <c r="H2645" s="14">
        <f t="shared" si="9"/>
        <v>12380759.58</v>
      </c>
      <c r="I2645" s="22">
        <v>1768679.94</v>
      </c>
      <c r="J2645" s="22">
        <v>3537359.88</v>
      </c>
      <c r="K2645" s="15">
        <f t="shared" si="4"/>
        <v>76642797.4</v>
      </c>
      <c r="L2645" s="45"/>
      <c r="M2645" s="19" t="s">
        <v>2895</v>
      </c>
    </row>
    <row r="2646" ht="15.75" customHeight="1">
      <c r="A2646" s="162">
        <v>46059.0</v>
      </c>
      <c r="B2646" s="50"/>
      <c r="C2646" s="31" t="s">
        <v>1858</v>
      </c>
      <c r="D2646" s="32" t="s">
        <v>99</v>
      </c>
      <c r="E2646" s="31" t="s">
        <v>2902</v>
      </c>
      <c r="F2646" s="161">
        <v>46079.0</v>
      </c>
      <c r="G2646" s="54">
        <v>8126937.0</v>
      </c>
      <c r="H2646" s="14">
        <f t="shared" si="9"/>
        <v>1706656.77</v>
      </c>
      <c r="I2646" s="22">
        <v>243808.11</v>
      </c>
      <c r="J2646" s="22">
        <v>32507.75</v>
      </c>
      <c r="K2646" s="15">
        <f t="shared" si="4"/>
        <v>10109909.63</v>
      </c>
      <c r="L2646" s="45"/>
      <c r="M2646" s="24">
        <v>46065.0</v>
      </c>
    </row>
    <row r="2647" ht="15.75" customHeight="1">
      <c r="A2647" s="162">
        <v>46059.0</v>
      </c>
      <c r="B2647" s="50"/>
      <c r="C2647" s="31" t="s">
        <v>1858</v>
      </c>
      <c r="D2647" s="32" t="s">
        <v>99</v>
      </c>
      <c r="E2647" s="31" t="s">
        <v>2903</v>
      </c>
      <c r="F2647" s="161">
        <v>46079.0</v>
      </c>
      <c r="G2647" s="54">
        <v>5779983.0</v>
      </c>
      <c r="H2647" s="14">
        <f t="shared" si="9"/>
        <v>1213796.43</v>
      </c>
      <c r="I2647" s="22">
        <v>173399.49</v>
      </c>
      <c r="J2647" s="22">
        <v>23119.93</v>
      </c>
      <c r="K2647" s="15">
        <f t="shared" si="4"/>
        <v>7190298.85</v>
      </c>
      <c r="L2647" s="45"/>
      <c r="M2647" s="24">
        <v>46065.0</v>
      </c>
    </row>
    <row r="2648" ht="15.75" customHeight="1">
      <c r="A2648" s="162">
        <v>46059.0</v>
      </c>
      <c r="B2648" s="50"/>
      <c r="C2648" s="31" t="s">
        <v>1112</v>
      </c>
      <c r="D2648" s="32" t="s">
        <v>99</v>
      </c>
      <c r="E2648" s="32" t="s">
        <v>2904</v>
      </c>
      <c r="F2648" s="161">
        <v>46079.0</v>
      </c>
      <c r="G2648" s="54">
        <v>1.5749578E7</v>
      </c>
      <c r="H2648" s="14">
        <f t="shared" si="9"/>
        <v>3307411.38</v>
      </c>
      <c r="I2648" s="22"/>
      <c r="J2648" s="22"/>
      <c r="K2648" s="15">
        <f t="shared" si="4"/>
        <v>19056989.38</v>
      </c>
      <c r="L2648" s="45"/>
      <c r="M2648" s="6"/>
    </row>
    <row r="2649" ht="15.75" customHeight="1">
      <c r="A2649" s="162">
        <v>46059.0</v>
      </c>
      <c r="B2649" s="50"/>
      <c r="C2649" s="31" t="s">
        <v>1112</v>
      </c>
      <c r="D2649" s="32" t="s">
        <v>99</v>
      </c>
      <c r="E2649" s="32" t="s">
        <v>2905</v>
      </c>
      <c r="F2649" s="161">
        <v>46079.0</v>
      </c>
      <c r="G2649" s="54">
        <v>1.4266823E7</v>
      </c>
      <c r="H2649" s="14">
        <f t="shared" si="9"/>
        <v>2996032.83</v>
      </c>
      <c r="I2649" s="22"/>
      <c r="J2649" s="22"/>
      <c r="K2649" s="15">
        <f t="shared" si="4"/>
        <v>17262855.83</v>
      </c>
      <c r="L2649" s="45"/>
      <c r="M2649" s="6"/>
    </row>
    <row r="2650" ht="15.75" customHeight="1">
      <c r="A2650" s="162">
        <v>46059.0</v>
      </c>
      <c r="B2650" s="50"/>
      <c r="C2650" s="31" t="s">
        <v>211</v>
      </c>
      <c r="D2650" s="32" t="s">
        <v>99</v>
      </c>
      <c r="E2650" s="31" t="s">
        <v>2906</v>
      </c>
      <c r="F2650" s="161">
        <v>46079.0</v>
      </c>
      <c r="G2650" s="54">
        <f>3872287.98/1.21</f>
        <v>3200238</v>
      </c>
      <c r="H2650" s="14">
        <f t="shared" si="9"/>
        <v>672049.98</v>
      </c>
      <c r="I2650" s="22"/>
      <c r="J2650" s="22"/>
      <c r="K2650" s="15">
        <f t="shared" si="4"/>
        <v>3872287.98</v>
      </c>
      <c r="L2650" s="45"/>
      <c r="M2650" s="6"/>
    </row>
    <row r="2651" ht="15.75" customHeight="1">
      <c r="A2651" s="162">
        <v>46059.0</v>
      </c>
      <c r="B2651" s="50"/>
      <c r="C2651" s="31" t="s">
        <v>211</v>
      </c>
      <c r="D2651" s="32" t="s">
        <v>99</v>
      </c>
      <c r="E2651" s="31" t="s">
        <v>2907</v>
      </c>
      <c r="F2651" s="161">
        <v>46079.0</v>
      </c>
      <c r="G2651" s="207">
        <f>4131075.52/1.21</f>
        <v>3414112</v>
      </c>
      <c r="H2651" s="14">
        <f t="shared" si="9"/>
        <v>716963.52</v>
      </c>
      <c r="I2651" s="22"/>
      <c r="J2651" s="22"/>
      <c r="K2651" s="15">
        <f t="shared" si="4"/>
        <v>4131075.52</v>
      </c>
      <c r="L2651" s="45"/>
      <c r="M2651" s="6"/>
    </row>
    <row r="2652" ht="15.75" customHeight="1">
      <c r="A2652" s="162">
        <v>46063.0</v>
      </c>
      <c r="B2652" s="50"/>
      <c r="C2652" s="31" t="s">
        <v>2221</v>
      </c>
      <c r="D2652" s="32" t="s">
        <v>99</v>
      </c>
      <c r="E2652" s="31" t="s">
        <v>2908</v>
      </c>
      <c r="F2652" s="161">
        <v>46079.0</v>
      </c>
      <c r="G2652" s="54">
        <v>7733636.61</v>
      </c>
      <c r="H2652" s="14">
        <f t="shared" si="9"/>
        <v>1624063.688</v>
      </c>
      <c r="I2652" s="22">
        <v>232009.1</v>
      </c>
      <c r="J2652" s="22"/>
      <c r="K2652" s="15">
        <f t="shared" si="4"/>
        <v>9589709.398</v>
      </c>
      <c r="L2652" s="45"/>
      <c r="M2652" s="24">
        <v>46065.0</v>
      </c>
    </row>
    <row r="2653" ht="15.75" customHeight="1">
      <c r="A2653" s="162">
        <v>46063.0</v>
      </c>
      <c r="B2653" s="50"/>
      <c r="C2653" s="31" t="s">
        <v>2221</v>
      </c>
      <c r="D2653" s="32" t="s">
        <v>99</v>
      </c>
      <c r="E2653" s="31" t="s">
        <v>2909</v>
      </c>
      <c r="F2653" s="161">
        <v>46079.0</v>
      </c>
      <c r="G2653" s="54">
        <v>6789934.08</v>
      </c>
      <c r="H2653" s="14">
        <f t="shared" si="9"/>
        <v>1425886.157</v>
      </c>
      <c r="I2653" s="22">
        <v>203698.02</v>
      </c>
      <c r="J2653" s="22"/>
      <c r="K2653" s="15">
        <f t="shared" si="4"/>
        <v>8419518.257</v>
      </c>
      <c r="L2653" s="45"/>
      <c r="M2653" s="24">
        <v>46065.0</v>
      </c>
    </row>
    <row r="2654" ht="15.75" customHeight="1">
      <c r="A2654" s="162">
        <v>46063.0</v>
      </c>
      <c r="B2654" s="50"/>
      <c r="C2654" s="31" t="s">
        <v>2221</v>
      </c>
      <c r="D2654" s="32" t="s">
        <v>99</v>
      </c>
      <c r="E2654" s="31" t="s">
        <v>2910</v>
      </c>
      <c r="F2654" s="161">
        <v>46079.0</v>
      </c>
      <c r="G2654" s="54">
        <v>6684928.15</v>
      </c>
      <c r="H2654" s="14">
        <f t="shared" si="9"/>
        <v>1403834.912</v>
      </c>
      <c r="I2654" s="22">
        <v>200547.84</v>
      </c>
      <c r="J2654" s="22"/>
      <c r="K2654" s="15">
        <f t="shared" si="4"/>
        <v>8289310.902</v>
      </c>
      <c r="L2654" s="45"/>
      <c r="M2654" s="24">
        <v>46065.0</v>
      </c>
    </row>
    <row r="2655" ht="15.75" customHeight="1">
      <c r="A2655" s="162">
        <v>46063.0</v>
      </c>
      <c r="B2655" s="50"/>
      <c r="C2655" s="31" t="s">
        <v>2221</v>
      </c>
      <c r="D2655" s="32" t="s">
        <v>99</v>
      </c>
      <c r="E2655" s="31" t="s">
        <v>2911</v>
      </c>
      <c r="F2655" s="161">
        <v>46079.0</v>
      </c>
      <c r="G2655" s="54">
        <v>5533632.11</v>
      </c>
      <c r="H2655" s="14">
        <f t="shared" si="9"/>
        <v>1162062.743</v>
      </c>
      <c r="I2655" s="22">
        <v>166008.96</v>
      </c>
      <c r="J2655" s="22"/>
      <c r="K2655" s="15">
        <f t="shared" si="4"/>
        <v>6861703.813</v>
      </c>
      <c r="L2655" s="45"/>
      <c r="M2655" s="24">
        <v>46065.0</v>
      </c>
    </row>
    <row r="2656" ht="15.75" customHeight="1">
      <c r="A2656" s="162">
        <v>46063.0</v>
      </c>
      <c r="B2656" s="50"/>
      <c r="C2656" s="31" t="s">
        <v>1275</v>
      </c>
      <c r="D2656" s="32" t="s">
        <v>15</v>
      </c>
      <c r="E2656" s="31" t="s">
        <v>2912</v>
      </c>
      <c r="F2656" s="161">
        <v>46079.0</v>
      </c>
      <c r="G2656" s="54">
        <v>2397500.81</v>
      </c>
      <c r="H2656" s="14">
        <f t="shared" si="9"/>
        <v>503475.1701</v>
      </c>
      <c r="I2656" s="22">
        <v>71925.02</v>
      </c>
      <c r="J2656" s="22"/>
      <c r="K2656" s="15">
        <f t="shared" si="4"/>
        <v>2972901</v>
      </c>
      <c r="L2656" s="45"/>
      <c r="M2656" s="6"/>
    </row>
    <row r="2657" ht="15.75" customHeight="1">
      <c r="A2657" s="162">
        <v>46063.0</v>
      </c>
      <c r="B2657" s="50"/>
      <c r="C2657" s="31" t="s">
        <v>1275</v>
      </c>
      <c r="D2657" s="32" t="s">
        <v>15</v>
      </c>
      <c r="E2657" s="31" t="s">
        <v>2913</v>
      </c>
      <c r="F2657" s="161">
        <v>46079.0</v>
      </c>
      <c r="G2657" s="54">
        <v>1438502.13</v>
      </c>
      <c r="H2657" s="14">
        <f t="shared" si="9"/>
        <v>302085.4473</v>
      </c>
      <c r="I2657" s="22">
        <v>43155.06</v>
      </c>
      <c r="J2657" s="22"/>
      <c r="K2657" s="15">
        <f t="shared" si="4"/>
        <v>1783742.637</v>
      </c>
      <c r="L2657" s="45"/>
      <c r="M2657" s="6"/>
    </row>
    <row r="2658" ht="15.75" customHeight="1">
      <c r="A2658" s="162">
        <v>46063.0</v>
      </c>
      <c r="B2658" s="50"/>
      <c r="C2658" s="31" t="s">
        <v>1275</v>
      </c>
      <c r="D2658" s="32" t="s">
        <v>15</v>
      </c>
      <c r="E2658" s="31" t="s">
        <v>2914</v>
      </c>
      <c r="F2658" s="161">
        <v>46079.0</v>
      </c>
      <c r="G2658" s="54">
        <v>959012.61</v>
      </c>
      <c r="H2658" s="14">
        <f t="shared" si="9"/>
        <v>201392.6481</v>
      </c>
      <c r="I2658" s="22"/>
      <c r="J2658" s="22"/>
      <c r="K2658" s="15">
        <f t="shared" si="4"/>
        <v>1160405.258</v>
      </c>
      <c r="L2658" s="45"/>
      <c r="M2658" s="6"/>
    </row>
    <row r="2659" ht="15.75" customHeight="1">
      <c r="A2659" s="162">
        <v>46063.0</v>
      </c>
      <c r="B2659" s="50"/>
      <c r="C2659" s="31" t="s">
        <v>1275</v>
      </c>
      <c r="D2659" s="32" t="s">
        <v>99</v>
      </c>
      <c r="E2659" s="31" t="s">
        <v>2915</v>
      </c>
      <c r="F2659" s="161">
        <v>46079.0</v>
      </c>
      <c r="G2659" s="54">
        <v>2342402.16</v>
      </c>
      <c r="H2659" s="14">
        <f t="shared" si="9"/>
        <v>491904.4536</v>
      </c>
      <c r="I2659" s="22">
        <v>70272.06</v>
      </c>
      <c r="J2659" s="22"/>
      <c r="K2659" s="15">
        <f t="shared" si="4"/>
        <v>2904578.674</v>
      </c>
      <c r="L2659" s="45"/>
      <c r="M2659" s="6"/>
    </row>
    <row r="2660" ht="15.75" customHeight="1">
      <c r="A2660" s="162">
        <v>46063.0</v>
      </c>
      <c r="B2660" s="50"/>
      <c r="C2660" s="31" t="s">
        <v>1275</v>
      </c>
      <c r="D2660" s="32" t="s">
        <v>99</v>
      </c>
      <c r="E2660" s="31" t="s">
        <v>2916</v>
      </c>
      <c r="F2660" s="161">
        <v>46079.0</v>
      </c>
      <c r="G2660" s="54">
        <v>3513602.13</v>
      </c>
      <c r="H2660" s="14">
        <f t="shared" si="9"/>
        <v>737856.4473</v>
      </c>
      <c r="I2660" s="22">
        <v>105408.06</v>
      </c>
      <c r="J2660" s="22"/>
      <c r="K2660" s="15">
        <f t="shared" si="4"/>
        <v>4356866.637</v>
      </c>
      <c r="L2660" s="45"/>
      <c r="M2660" s="6"/>
    </row>
    <row r="2661" ht="15.75" customHeight="1">
      <c r="A2661" s="162">
        <v>46063.0</v>
      </c>
      <c r="B2661" s="50"/>
      <c r="C2661" s="31" t="s">
        <v>1277</v>
      </c>
      <c r="D2661" s="32" t="s">
        <v>15</v>
      </c>
      <c r="E2661" s="31" t="s">
        <v>2917</v>
      </c>
      <c r="F2661" s="161">
        <v>46079.0</v>
      </c>
      <c r="G2661" s="54">
        <v>3162502.19</v>
      </c>
      <c r="H2661" s="14">
        <f t="shared" si="9"/>
        <v>664125.4599</v>
      </c>
      <c r="I2661" s="22">
        <v>94875.07</v>
      </c>
      <c r="J2661" s="22"/>
      <c r="K2661" s="15">
        <f t="shared" si="4"/>
        <v>3921502.72</v>
      </c>
      <c r="L2661" s="45"/>
      <c r="M2661" s="6"/>
    </row>
    <row r="2662" ht="15.75" customHeight="1">
      <c r="A2662" s="162">
        <v>46063.0</v>
      </c>
      <c r="B2662" s="50"/>
      <c r="C2662" s="31" t="s">
        <v>1277</v>
      </c>
      <c r="D2662" s="32" t="s">
        <v>15</v>
      </c>
      <c r="E2662" s="31" t="s">
        <v>2918</v>
      </c>
      <c r="F2662" s="161">
        <v>46079.0</v>
      </c>
      <c r="G2662" s="54">
        <v>1897501.09</v>
      </c>
      <c r="H2662" s="14">
        <f t="shared" si="9"/>
        <v>398475.2289</v>
      </c>
      <c r="I2662" s="22">
        <v>56925.03</v>
      </c>
      <c r="J2662" s="22"/>
      <c r="K2662" s="15">
        <f t="shared" si="4"/>
        <v>2352901.349</v>
      </c>
      <c r="L2662" s="45"/>
      <c r="M2662" s="6"/>
    </row>
    <row r="2663" ht="15.75" customHeight="1">
      <c r="A2663" s="162">
        <v>46063.0</v>
      </c>
      <c r="B2663" s="50"/>
      <c r="C2663" s="31" t="s">
        <v>1277</v>
      </c>
      <c r="D2663" s="32" t="s">
        <v>15</v>
      </c>
      <c r="E2663" s="31" t="s">
        <v>2919</v>
      </c>
      <c r="F2663" s="161">
        <v>46079.0</v>
      </c>
      <c r="G2663" s="54">
        <v>1265011.08</v>
      </c>
      <c r="H2663" s="14">
        <f t="shared" si="9"/>
        <v>265652.3268</v>
      </c>
      <c r="I2663" s="22"/>
      <c r="J2663" s="22"/>
      <c r="K2663" s="15">
        <f t="shared" si="4"/>
        <v>1530663.407</v>
      </c>
      <c r="L2663" s="45"/>
      <c r="M2663" s="6"/>
    </row>
    <row r="2664" ht="15.75" customHeight="1">
      <c r="A2664" s="162">
        <v>46063.0</v>
      </c>
      <c r="B2664" s="50"/>
      <c r="C2664" s="31" t="s">
        <v>1277</v>
      </c>
      <c r="D2664" s="32" t="s">
        <v>99</v>
      </c>
      <c r="E2664" s="31" t="s">
        <v>2920</v>
      </c>
      <c r="F2664" s="161">
        <v>46079.0</v>
      </c>
      <c r="G2664" s="54">
        <v>4227203.52</v>
      </c>
      <c r="H2664" s="14">
        <f t="shared" si="9"/>
        <v>887712.7392</v>
      </c>
      <c r="I2664" s="22">
        <v>126816.11</v>
      </c>
      <c r="J2664" s="22"/>
      <c r="K2664" s="15">
        <f t="shared" si="4"/>
        <v>5241732.369</v>
      </c>
      <c r="L2664" s="45"/>
      <c r="M2664" s="6"/>
    </row>
    <row r="2665" ht="15.75" customHeight="1">
      <c r="A2665" s="162">
        <v>46063.0</v>
      </c>
      <c r="B2665" s="50"/>
      <c r="C2665" s="31" t="s">
        <v>1277</v>
      </c>
      <c r="D2665" s="32" t="s">
        <v>99</v>
      </c>
      <c r="E2665" s="31" t="s">
        <v>2921</v>
      </c>
      <c r="F2665" s="161">
        <v>46079.0</v>
      </c>
      <c r="G2665" s="54">
        <v>6340012.94</v>
      </c>
      <c r="H2665" s="14">
        <f t="shared" si="9"/>
        <v>1331402.717</v>
      </c>
      <c r="I2665" s="22">
        <v>190200.39</v>
      </c>
      <c r="J2665" s="22"/>
      <c r="K2665" s="15">
        <f t="shared" si="4"/>
        <v>7861616.047</v>
      </c>
      <c r="L2665" s="45"/>
      <c r="M2665" s="6"/>
    </row>
    <row r="2666" ht="15.75" customHeight="1">
      <c r="A2666" s="162">
        <v>46063.0</v>
      </c>
      <c r="B2666" s="50"/>
      <c r="C2666" s="31" t="s">
        <v>1279</v>
      </c>
      <c r="D2666" s="32" t="s">
        <v>15</v>
      </c>
      <c r="E2666" s="32" t="s">
        <v>2922</v>
      </c>
      <c r="F2666" s="161">
        <v>46079.0</v>
      </c>
      <c r="G2666" s="54">
        <v>3771005.75</v>
      </c>
      <c r="H2666" s="14">
        <f t="shared" si="9"/>
        <v>791911.2075</v>
      </c>
      <c r="I2666" s="22">
        <v>113130.17</v>
      </c>
      <c r="J2666" s="22"/>
      <c r="K2666" s="15">
        <f t="shared" si="4"/>
        <v>4676047.128</v>
      </c>
      <c r="L2666" s="45"/>
      <c r="M2666" s="6"/>
    </row>
    <row r="2667" ht="15.75" customHeight="1">
      <c r="A2667" s="162">
        <v>46063.0</v>
      </c>
      <c r="B2667" s="50"/>
      <c r="C2667" s="31" t="s">
        <v>1279</v>
      </c>
      <c r="D2667" s="32" t="s">
        <v>15</v>
      </c>
      <c r="E2667" s="31" t="s">
        <v>2923</v>
      </c>
      <c r="F2667" s="161">
        <v>46079.0</v>
      </c>
      <c r="G2667" s="54">
        <v>2262602.03</v>
      </c>
      <c r="H2667" s="14">
        <f t="shared" si="9"/>
        <v>475146.4263</v>
      </c>
      <c r="I2667" s="22">
        <v>67878.06</v>
      </c>
      <c r="J2667" s="22"/>
      <c r="K2667" s="15">
        <f t="shared" si="4"/>
        <v>2805626.516</v>
      </c>
      <c r="L2667" s="45"/>
      <c r="M2667" s="6"/>
    </row>
    <row r="2668" ht="15.75" customHeight="1">
      <c r="A2668" s="162">
        <v>46063.0</v>
      </c>
      <c r="B2668" s="50"/>
      <c r="C2668" s="31" t="s">
        <v>1279</v>
      </c>
      <c r="D2668" s="32" t="s">
        <v>15</v>
      </c>
      <c r="E2668" s="31" t="s">
        <v>2924</v>
      </c>
      <c r="F2668" s="161">
        <v>46079.0</v>
      </c>
      <c r="G2668" s="54">
        <v>1508402.19</v>
      </c>
      <c r="H2668" s="14">
        <f t="shared" si="9"/>
        <v>316764.4599</v>
      </c>
      <c r="I2668" s="22"/>
      <c r="J2668" s="22"/>
      <c r="K2668" s="15">
        <f t="shared" si="4"/>
        <v>1825166.65</v>
      </c>
      <c r="L2668" s="45"/>
      <c r="M2668" s="6"/>
    </row>
    <row r="2669" ht="15.75" customHeight="1">
      <c r="A2669" s="162">
        <v>46063.0</v>
      </c>
      <c r="B2669" s="50"/>
      <c r="C2669" s="31" t="s">
        <v>1279</v>
      </c>
      <c r="D2669" s="32" t="s">
        <v>99</v>
      </c>
      <c r="E2669" s="31" t="s">
        <v>2925</v>
      </c>
      <c r="F2669" s="161">
        <v>46079.0</v>
      </c>
      <c r="G2669" s="54">
        <v>5558402.11</v>
      </c>
      <c r="H2669" s="14">
        <f t="shared" si="9"/>
        <v>1167264.443</v>
      </c>
      <c r="I2669" s="22">
        <v>166752.06</v>
      </c>
      <c r="J2669" s="22"/>
      <c r="K2669" s="15">
        <f t="shared" si="4"/>
        <v>6892418.613</v>
      </c>
      <c r="L2669" s="45"/>
      <c r="M2669" s="6"/>
    </row>
    <row r="2670" ht="15.75" customHeight="1">
      <c r="A2670" s="162">
        <v>46063.0</v>
      </c>
      <c r="B2670" s="50"/>
      <c r="C2670" s="31" t="s">
        <v>1279</v>
      </c>
      <c r="D2670" s="32" t="s">
        <v>99</v>
      </c>
      <c r="E2670" s="31" t="s">
        <v>2926</v>
      </c>
      <c r="F2670" s="161">
        <v>46079.0</v>
      </c>
      <c r="G2670" s="54">
        <v>8337601.23</v>
      </c>
      <c r="H2670" s="14">
        <f t="shared" si="9"/>
        <v>1750896.258</v>
      </c>
      <c r="I2670" s="22">
        <v>250128.04</v>
      </c>
      <c r="J2670" s="22"/>
      <c r="K2670" s="15">
        <f t="shared" si="4"/>
        <v>10338625.53</v>
      </c>
      <c r="L2670" s="45"/>
      <c r="M2670" s="6"/>
    </row>
    <row r="2671" ht="15.75" customHeight="1">
      <c r="A2671" s="162">
        <v>46063.0</v>
      </c>
      <c r="B2671" s="50"/>
      <c r="C2671" s="31" t="s">
        <v>1283</v>
      </c>
      <c r="D2671" s="32" t="s">
        <v>15</v>
      </c>
      <c r="E2671" s="31" t="s">
        <v>2927</v>
      </c>
      <c r="F2671" s="161">
        <v>46079.0</v>
      </c>
      <c r="G2671" s="54">
        <v>2485010.13</v>
      </c>
      <c r="H2671" s="14">
        <f t="shared" si="9"/>
        <v>521852.1273</v>
      </c>
      <c r="I2671" s="22">
        <v>74550.3</v>
      </c>
      <c r="J2671" s="22">
        <v>12425.05</v>
      </c>
      <c r="K2671" s="15">
        <f t="shared" si="4"/>
        <v>3093837.607</v>
      </c>
      <c r="L2671" s="45"/>
      <c r="M2671" s="6"/>
    </row>
    <row r="2672" ht="15.75" customHeight="1">
      <c r="A2672" s="162">
        <v>46063.0</v>
      </c>
      <c r="B2672" s="50"/>
      <c r="C2672" s="31" t="s">
        <v>1283</v>
      </c>
      <c r="D2672" s="32" t="s">
        <v>15</v>
      </c>
      <c r="E2672" s="31" t="s">
        <v>2928</v>
      </c>
      <c r="F2672" s="161">
        <v>46079.0</v>
      </c>
      <c r="G2672" s="54">
        <v>1491012.03</v>
      </c>
      <c r="H2672" s="14">
        <f t="shared" si="9"/>
        <v>313112.5263</v>
      </c>
      <c r="I2672" s="22">
        <v>44730.36</v>
      </c>
      <c r="J2672" s="22">
        <v>7455.06</v>
      </c>
      <c r="K2672" s="15">
        <f t="shared" si="4"/>
        <v>1856309.976</v>
      </c>
      <c r="L2672" s="45"/>
      <c r="M2672" s="6"/>
    </row>
    <row r="2673" ht="15.75" customHeight="1">
      <c r="A2673" s="162">
        <v>46063.0</v>
      </c>
      <c r="B2673" s="50"/>
      <c r="C2673" s="31" t="s">
        <v>1283</v>
      </c>
      <c r="D2673" s="32" t="s">
        <v>15</v>
      </c>
      <c r="E2673" s="31" t="s">
        <v>2929</v>
      </c>
      <c r="F2673" s="161">
        <v>46079.0</v>
      </c>
      <c r="G2673" s="54">
        <v>994009.22</v>
      </c>
      <c r="H2673" s="14">
        <f t="shared" si="9"/>
        <v>208741.9362</v>
      </c>
      <c r="I2673" s="22"/>
      <c r="J2673" s="22">
        <v>4970.05</v>
      </c>
      <c r="K2673" s="15">
        <f t="shared" si="4"/>
        <v>1207721.206</v>
      </c>
      <c r="L2673" s="45"/>
      <c r="M2673" s="6"/>
    </row>
    <row r="2674" ht="15.75" customHeight="1">
      <c r="A2674" s="162">
        <v>46063.0</v>
      </c>
      <c r="B2674" s="50"/>
      <c r="C2674" s="31" t="s">
        <v>1283</v>
      </c>
      <c r="D2674" s="32" t="s">
        <v>99</v>
      </c>
      <c r="E2674" s="31" t="s">
        <v>2930</v>
      </c>
      <c r="F2674" s="161">
        <v>46079.0</v>
      </c>
      <c r="G2674" s="54">
        <v>1699208.22</v>
      </c>
      <c r="H2674" s="14">
        <f t="shared" si="9"/>
        <v>356833.7262</v>
      </c>
      <c r="I2674" s="22">
        <v>50976.25</v>
      </c>
      <c r="J2674" s="22">
        <v>8496.04</v>
      </c>
      <c r="K2674" s="15">
        <f t="shared" si="4"/>
        <v>2115514.236</v>
      </c>
      <c r="L2674" s="45"/>
      <c r="M2674" s="6"/>
    </row>
    <row r="2675" ht="15.75" customHeight="1">
      <c r="A2675" s="162">
        <v>46063.0</v>
      </c>
      <c r="B2675" s="50"/>
      <c r="C2675" s="31" t="s">
        <v>1283</v>
      </c>
      <c r="D2675" s="32" t="s">
        <v>99</v>
      </c>
      <c r="E2675" s="31" t="s">
        <v>2931</v>
      </c>
      <c r="F2675" s="161">
        <v>46079.0</v>
      </c>
      <c r="G2675" s="54">
        <v>2548802.33</v>
      </c>
      <c r="H2675" s="14">
        <f t="shared" si="9"/>
        <v>535248.4893</v>
      </c>
      <c r="I2675" s="22">
        <v>76464.07</v>
      </c>
      <c r="J2675" s="22">
        <v>12744.01</v>
      </c>
      <c r="K2675" s="15">
        <f t="shared" si="4"/>
        <v>3173258.899</v>
      </c>
      <c r="L2675" s="45"/>
      <c r="M2675" s="6"/>
    </row>
    <row r="2676" ht="15.75" customHeight="1">
      <c r="A2676" s="162">
        <v>46063.0</v>
      </c>
      <c r="B2676" s="50"/>
      <c r="C2676" s="31" t="s">
        <v>1312</v>
      </c>
      <c r="D2676" s="32" t="s">
        <v>15</v>
      </c>
      <c r="E2676" s="31" t="s">
        <v>2932</v>
      </c>
      <c r="F2676" s="161">
        <v>46079.0</v>
      </c>
      <c r="G2676" s="54">
        <v>1194009.26</v>
      </c>
      <c r="H2676" s="14">
        <f t="shared" si="9"/>
        <v>250741.9446</v>
      </c>
      <c r="I2676" s="22">
        <v>35820.28</v>
      </c>
      <c r="J2676" s="22"/>
      <c r="K2676" s="15">
        <f t="shared" si="4"/>
        <v>1480571.485</v>
      </c>
      <c r="L2676" s="45"/>
      <c r="M2676" s="6"/>
    </row>
    <row r="2677" ht="15.75" customHeight="1">
      <c r="A2677" s="162">
        <v>46063.0</v>
      </c>
      <c r="B2677" s="50"/>
      <c r="C2677" s="31" t="s">
        <v>1312</v>
      </c>
      <c r="D2677" s="32" t="s">
        <v>15</v>
      </c>
      <c r="E2677" s="31" t="s">
        <v>2933</v>
      </c>
      <c r="F2677" s="161">
        <v>46079.0</v>
      </c>
      <c r="G2677" s="54">
        <v>1990023.41</v>
      </c>
      <c r="H2677" s="14">
        <f t="shared" si="9"/>
        <v>417904.9161</v>
      </c>
      <c r="I2677" s="22">
        <v>59700.7</v>
      </c>
      <c r="J2677" s="22"/>
      <c r="K2677" s="15">
        <f t="shared" si="4"/>
        <v>2467629.026</v>
      </c>
      <c r="L2677" s="45"/>
      <c r="M2677" s="6"/>
    </row>
    <row r="2678" ht="15.75" customHeight="1">
      <c r="A2678" s="162">
        <v>46063.0</v>
      </c>
      <c r="B2678" s="50"/>
      <c r="C2678" s="31" t="s">
        <v>1312</v>
      </c>
      <c r="D2678" s="32" t="s">
        <v>15</v>
      </c>
      <c r="E2678" s="31" t="s">
        <v>2934</v>
      </c>
      <c r="F2678" s="161">
        <v>46079.0</v>
      </c>
      <c r="G2678" s="54">
        <v>796007.26</v>
      </c>
      <c r="H2678" s="14">
        <f t="shared" si="9"/>
        <v>167161.5246</v>
      </c>
      <c r="I2678" s="22"/>
      <c r="J2678" s="22"/>
      <c r="K2678" s="15">
        <f t="shared" si="4"/>
        <v>963168.7846</v>
      </c>
      <c r="L2678" s="45"/>
      <c r="M2678" s="6"/>
    </row>
    <row r="2679" ht="15.75" customHeight="1">
      <c r="A2679" s="162">
        <v>46063.0</v>
      </c>
      <c r="B2679" s="50"/>
      <c r="C2679" s="31" t="s">
        <v>1312</v>
      </c>
      <c r="D2679" s="32" t="s">
        <v>99</v>
      </c>
      <c r="E2679" s="31" t="s">
        <v>2935</v>
      </c>
      <c r="F2679" s="161">
        <v>46079.0</v>
      </c>
      <c r="G2679" s="54">
        <v>3408012.06</v>
      </c>
      <c r="H2679" s="14">
        <f t="shared" si="9"/>
        <v>715682.5326</v>
      </c>
      <c r="I2679" s="22">
        <v>102240.36</v>
      </c>
      <c r="J2679" s="22"/>
      <c r="K2679" s="15">
        <f t="shared" si="4"/>
        <v>4225934.953</v>
      </c>
      <c r="L2679" s="45"/>
      <c r="M2679" s="6"/>
    </row>
    <row r="2680" ht="15.75" customHeight="1">
      <c r="A2680" s="162">
        <v>46063.0</v>
      </c>
      <c r="B2680" s="50"/>
      <c r="C2680" s="31" t="s">
        <v>1312</v>
      </c>
      <c r="D2680" s="32" t="s">
        <v>99</v>
      </c>
      <c r="E2680" s="32" t="s">
        <v>2936</v>
      </c>
      <c r="F2680" s="161">
        <v>46079.0</v>
      </c>
      <c r="G2680" s="54">
        <v>2272018.03</v>
      </c>
      <c r="H2680" s="14">
        <f t="shared" si="9"/>
        <v>477123.7863</v>
      </c>
      <c r="I2680" s="22">
        <v>68160.54</v>
      </c>
      <c r="J2680" s="22"/>
      <c r="K2680" s="15">
        <f t="shared" si="4"/>
        <v>2817302.356</v>
      </c>
      <c r="L2680" s="45"/>
      <c r="M2680" s="6"/>
    </row>
    <row r="2681" ht="15.75" customHeight="1">
      <c r="A2681" s="162">
        <v>46063.0</v>
      </c>
      <c r="B2681" s="50"/>
      <c r="C2681" s="31" t="s">
        <v>2221</v>
      </c>
      <c r="D2681" s="32" t="s">
        <v>99</v>
      </c>
      <c r="E2681" s="31" t="s">
        <v>2937</v>
      </c>
      <c r="F2681" s="161">
        <v>46079.0</v>
      </c>
      <c r="G2681" s="54">
        <v>1.347326072E7</v>
      </c>
      <c r="H2681" s="14">
        <f t="shared" si="9"/>
        <v>2829384.751</v>
      </c>
      <c r="I2681" s="22">
        <v>404197.82</v>
      </c>
      <c r="J2681" s="22"/>
      <c r="K2681" s="15">
        <f t="shared" si="4"/>
        <v>16706843.29</v>
      </c>
      <c r="L2681" s="45"/>
      <c r="M2681" s="24">
        <v>46065.0</v>
      </c>
    </row>
    <row r="2682" ht="15.75" customHeight="1">
      <c r="A2682" s="162">
        <v>46065.0</v>
      </c>
      <c r="B2682" s="50"/>
      <c r="C2682" s="31" t="s">
        <v>159</v>
      </c>
      <c r="D2682" s="32" t="s">
        <v>99</v>
      </c>
      <c r="E2682" s="31" t="s">
        <v>2938</v>
      </c>
      <c r="F2682" s="161">
        <v>46079.0</v>
      </c>
      <c r="G2682" s="54">
        <v>1.0339518E7</v>
      </c>
      <c r="H2682" s="14">
        <f t="shared" si="9"/>
        <v>2171298.78</v>
      </c>
      <c r="I2682" s="22">
        <v>310185.54</v>
      </c>
      <c r="J2682" s="22">
        <v>124074.22</v>
      </c>
      <c r="K2682" s="15">
        <f t="shared" si="4"/>
        <v>12945076.54</v>
      </c>
      <c r="L2682" s="45"/>
      <c r="M2682" s="6"/>
    </row>
    <row r="2683" ht="15.75" customHeight="1">
      <c r="A2683" s="162">
        <v>46065.0</v>
      </c>
      <c r="B2683" s="50"/>
      <c r="C2683" s="31" t="s">
        <v>2495</v>
      </c>
      <c r="D2683" s="32" t="s">
        <v>99</v>
      </c>
      <c r="E2683" s="31" t="s">
        <v>2939</v>
      </c>
      <c r="F2683" s="161">
        <v>46079.0</v>
      </c>
      <c r="G2683" s="54">
        <v>9637987.0</v>
      </c>
      <c r="H2683" s="14">
        <f t="shared" si="9"/>
        <v>2023977.27</v>
      </c>
      <c r="I2683" s="22">
        <v>289139.61</v>
      </c>
      <c r="J2683" s="22"/>
      <c r="K2683" s="15">
        <f t="shared" si="4"/>
        <v>11951103.88</v>
      </c>
      <c r="L2683" s="45"/>
      <c r="M2683" s="6"/>
    </row>
    <row r="2684" ht="15.75" customHeight="1">
      <c r="A2684" s="162">
        <v>46065.0</v>
      </c>
      <c r="B2684" s="50"/>
      <c r="C2684" s="31" t="s">
        <v>2495</v>
      </c>
      <c r="D2684" s="32" t="s">
        <v>99</v>
      </c>
      <c r="E2684" s="31" t="s">
        <v>2940</v>
      </c>
      <c r="F2684" s="161">
        <v>46079.0</v>
      </c>
      <c r="G2684" s="54">
        <v>9364293.0</v>
      </c>
      <c r="H2684" s="14">
        <f t="shared" si="9"/>
        <v>1966501.53</v>
      </c>
      <c r="I2684" s="22">
        <v>280928.79</v>
      </c>
      <c r="J2684" s="22"/>
      <c r="K2684" s="15">
        <f t="shared" si="4"/>
        <v>11611723.32</v>
      </c>
      <c r="L2684" s="45"/>
      <c r="M2684" s="6"/>
    </row>
    <row r="2685" ht="15.75" customHeight="1">
      <c r="A2685" s="164">
        <v>46065.0</v>
      </c>
      <c r="B2685" s="56"/>
      <c r="C2685" s="57" t="s">
        <v>2941</v>
      </c>
      <c r="D2685" s="58" t="s">
        <v>99</v>
      </c>
      <c r="E2685" s="57" t="s">
        <v>2942</v>
      </c>
      <c r="F2685" s="178">
        <v>46079.0</v>
      </c>
      <c r="G2685" s="155">
        <v>4012430.0</v>
      </c>
      <c r="H2685" s="9">
        <f t="shared" si="9"/>
        <v>842610.3</v>
      </c>
      <c r="I2685" s="44"/>
      <c r="J2685" s="44">
        <v>40124.3</v>
      </c>
      <c r="K2685" s="10">
        <f t="shared" si="4"/>
        <v>4895164.6</v>
      </c>
      <c r="L2685" s="61"/>
      <c r="M2685" s="62"/>
    </row>
    <row r="2686" ht="15.75" customHeight="1">
      <c r="A2686" s="162">
        <v>46065.0</v>
      </c>
      <c r="B2686" s="50"/>
      <c r="C2686" s="31" t="s">
        <v>2941</v>
      </c>
      <c r="D2686" s="32" t="s">
        <v>99</v>
      </c>
      <c r="E2686" s="31" t="s">
        <v>2943</v>
      </c>
      <c r="F2686" s="161">
        <v>46079.0</v>
      </c>
      <c r="G2686" s="54">
        <v>1997658.0</v>
      </c>
      <c r="H2686" s="14">
        <f t="shared" si="9"/>
        <v>419508.18</v>
      </c>
      <c r="I2686" s="22"/>
      <c r="J2686" s="22">
        <v>19976.58</v>
      </c>
      <c r="K2686" s="15">
        <f t="shared" si="4"/>
        <v>2437142.76</v>
      </c>
      <c r="L2686" s="45"/>
      <c r="M2686" s="6"/>
    </row>
    <row r="2687" ht="15.75" customHeight="1">
      <c r="A2687" s="162">
        <v>46066.0</v>
      </c>
      <c r="B2687" s="50"/>
      <c r="C2687" s="31" t="s">
        <v>2334</v>
      </c>
      <c r="D2687" s="32" t="s">
        <v>15</v>
      </c>
      <c r="E2687" s="31" t="s">
        <v>2944</v>
      </c>
      <c r="F2687" s="161">
        <v>46079.0</v>
      </c>
      <c r="G2687" s="54">
        <v>4270112.05</v>
      </c>
      <c r="H2687" s="14">
        <f t="shared" si="9"/>
        <v>896723.5305</v>
      </c>
      <c r="I2687" s="22"/>
      <c r="J2687" s="22"/>
      <c r="K2687" s="15">
        <f t="shared" si="4"/>
        <v>5166835.581</v>
      </c>
      <c r="L2687" s="45"/>
      <c r="M2687" s="6"/>
    </row>
    <row r="2688" ht="15.75" customHeight="1">
      <c r="A2688" s="162">
        <v>46066.0</v>
      </c>
      <c r="B2688" s="50"/>
      <c r="C2688" s="31" t="s">
        <v>2334</v>
      </c>
      <c r="D2688" s="32" t="s">
        <v>15</v>
      </c>
      <c r="E2688" s="31" t="s">
        <v>2945</v>
      </c>
      <c r="F2688" s="161">
        <v>46079.0</v>
      </c>
      <c r="G2688" s="54">
        <v>3625132.41</v>
      </c>
      <c r="H2688" s="14">
        <f t="shared" si="9"/>
        <v>761277.8061</v>
      </c>
      <c r="I2688" s="22"/>
      <c r="J2688" s="22"/>
      <c r="K2688" s="15">
        <f t="shared" si="4"/>
        <v>4386410.216</v>
      </c>
      <c r="L2688" s="45"/>
      <c r="M2688" s="6"/>
    </row>
    <row r="2689" ht="15.75" customHeight="1">
      <c r="A2689" s="162">
        <v>46066.0</v>
      </c>
      <c r="B2689" s="50"/>
      <c r="C2689" s="31" t="s">
        <v>2334</v>
      </c>
      <c r="D2689" s="32" t="s">
        <v>15</v>
      </c>
      <c r="E2689" s="31" t="s">
        <v>2946</v>
      </c>
      <c r="F2689" s="161">
        <v>46079.0</v>
      </c>
      <c r="G2689" s="54">
        <v>2841088.08</v>
      </c>
      <c r="H2689" s="14">
        <f t="shared" si="9"/>
        <v>596628.4968</v>
      </c>
      <c r="I2689" s="22"/>
      <c r="J2689" s="22"/>
      <c r="K2689" s="15">
        <f t="shared" si="4"/>
        <v>3437716.577</v>
      </c>
      <c r="L2689" s="45"/>
      <c r="M2689" s="6"/>
    </row>
    <row r="2690" ht="15.75" customHeight="1">
      <c r="A2690" s="162">
        <v>46066.0</v>
      </c>
      <c r="B2690" s="50"/>
      <c r="C2690" s="31" t="s">
        <v>2941</v>
      </c>
      <c r="D2690" s="32" t="s">
        <v>15</v>
      </c>
      <c r="E2690" s="31" t="s">
        <v>2947</v>
      </c>
      <c r="F2690" s="161">
        <v>46079.0</v>
      </c>
      <c r="G2690" s="54">
        <v>4503290.12</v>
      </c>
      <c r="H2690" s="14">
        <f t="shared" si="9"/>
        <v>945690.9252</v>
      </c>
      <c r="I2690" s="22">
        <v>135098.7</v>
      </c>
      <c r="J2690" s="22">
        <v>45032.9</v>
      </c>
      <c r="K2690" s="15">
        <f t="shared" si="4"/>
        <v>5629112.645</v>
      </c>
      <c r="L2690" s="45"/>
      <c r="M2690" s="6"/>
    </row>
    <row r="2691" ht="15.75" customHeight="1">
      <c r="A2691" s="162">
        <v>46066.0</v>
      </c>
      <c r="B2691" s="50"/>
      <c r="C2691" s="31" t="s">
        <v>2334</v>
      </c>
      <c r="D2691" s="32" t="s">
        <v>99</v>
      </c>
      <c r="E2691" s="31" t="s">
        <v>2948</v>
      </c>
      <c r="F2691" s="161">
        <v>46079.0</v>
      </c>
      <c r="G2691" s="54">
        <v>2798003.16</v>
      </c>
      <c r="H2691" s="14">
        <f t="shared" si="9"/>
        <v>587580.6636</v>
      </c>
      <c r="I2691" s="22"/>
      <c r="J2691" s="22"/>
      <c r="K2691" s="15">
        <f t="shared" si="4"/>
        <v>3385583.824</v>
      </c>
      <c r="L2691" s="45"/>
      <c r="M2691" s="6"/>
    </row>
    <row r="2692" ht="15.75" customHeight="1">
      <c r="A2692" s="162">
        <v>46066.0</v>
      </c>
      <c r="B2692" s="50"/>
      <c r="C2692" s="31" t="s">
        <v>2334</v>
      </c>
      <c r="D2692" s="32" t="s">
        <v>99</v>
      </c>
      <c r="E2692" s="31" t="s">
        <v>2949</v>
      </c>
      <c r="F2692" s="161">
        <v>46079.0</v>
      </c>
      <c r="G2692" s="54">
        <v>3864891.07</v>
      </c>
      <c r="H2692" s="14">
        <f t="shared" si="9"/>
        <v>811627.1247</v>
      </c>
      <c r="I2692" s="22"/>
      <c r="J2692" s="22"/>
      <c r="K2692" s="15">
        <f t="shared" si="4"/>
        <v>4676518.195</v>
      </c>
      <c r="L2692" s="45"/>
      <c r="M2692" s="6"/>
    </row>
    <row r="2693" ht="15.75" customHeight="1">
      <c r="A2693" s="162">
        <v>46066.0</v>
      </c>
      <c r="B2693" s="50"/>
      <c r="C2693" s="31" t="s">
        <v>2334</v>
      </c>
      <c r="D2693" s="32" t="s">
        <v>99</v>
      </c>
      <c r="E2693" s="31" t="s">
        <v>2950</v>
      </c>
      <c r="F2693" s="161">
        <v>46079.0</v>
      </c>
      <c r="G2693" s="54">
        <v>4966028.08</v>
      </c>
      <c r="H2693" s="14">
        <f t="shared" si="9"/>
        <v>1042865.897</v>
      </c>
      <c r="I2693" s="22"/>
      <c r="J2693" s="22"/>
      <c r="K2693" s="15">
        <f t="shared" si="4"/>
        <v>6008893.977</v>
      </c>
      <c r="L2693" s="45"/>
      <c r="M2693" s="6"/>
    </row>
    <row r="2694" ht="15.75" customHeight="1">
      <c r="A2694" s="162">
        <v>46067.0</v>
      </c>
      <c r="B2694" s="50"/>
      <c r="C2694" s="31" t="s">
        <v>1842</v>
      </c>
      <c r="D2694" s="32" t="s">
        <v>15</v>
      </c>
      <c r="E2694" s="31" t="s">
        <v>2951</v>
      </c>
      <c r="F2694" s="161">
        <v>46079.0</v>
      </c>
      <c r="G2694" s="54">
        <v>2.325936E7</v>
      </c>
      <c r="H2694" s="14">
        <f t="shared" si="9"/>
        <v>4884465.6</v>
      </c>
      <c r="I2694" s="22"/>
      <c r="J2694" s="22">
        <v>162815.52</v>
      </c>
      <c r="K2694" s="15">
        <f t="shared" si="4"/>
        <v>28306641.12</v>
      </c>
      <c r="L2694" s="45"/>
      <c r="M2694" s="6"/>
    </row>
    <row r="2695" ht="15.75" customHeight="1">
      <c r="A2695" s="162">
        <v>46067.0</v>
      </c>
      <c r="B2695" s="50"/>
      <c r="C2695" s="31" t="s">
        <v>567</v>
      </c>
      <c r="D2695" s="32" t="s">
        <v>15</v>
      </c>
      <c r="E2695" s="31" t="s">
        <v>2952</v>
      </c>
      <c r="F2695" s="161">
        <v>46079.0</v>
      </c>
      <c r="G2695" s="54">
        <v>1.233363408E7</v>
      </c>
      <c r="H2695" s="14">
        <f t="shared" si="9"/>
        <v>2590063.157</v>
      </c>
      <c r="I2695" s="22"/>
      <c r="J2695" s="22"/>
      <c r="K2695" s="15">
        <f t="shared" si="4"/>
        <v>14923697.24</v>
      </c>
      <c r="L2695" s="45"/>
      <c r="M2695" s="6"/>
    </row>
    <row r="2696" ht="15.75" customHeight="1">
      <c r="A2696" s="162">
        <v>46067.0</v>
      </c>
      <c r="B2696" s="50"/>
      <c r="C2696" s="31" t="s">
        <v>567</v>
      </c>
      <c r="D2696" s="32" t="s">
        <v>15</v>
      </c>
      <c r="E2696" s="31" t="s">
        <v>2953</v>
      </c>
      <c r="F2696" s="161">
        <v>46079.0</v>
      </c>
      <c r="G2696" s="54">
        <v>1.723333321E7</v>
      </c>
      <c r="H2696" s="14">
        <f t="shared" si="9"/>
        <v>3618999.974</v>
      </c>
      <c r="I2696" s="22"/>
      <c r="J2696" s="22"/>
      <c r="K2696" s="15">
        <f t="shared" si="4"/>
        <v>20852333.18</v>
      </c>
      <c r="L2696" s="45"/>
      <c r="M2696" s="6"/>
    </row>
    <row r="2697" ht="15.75" customHeight="1">
      <c r="A2697" s="162">
        <v>46067.0</v>
      </c>
      <c r="B2697" s="50"/>
      <c r="C2697" s="31" t="s">
        <v>567</v>
      </c>
      <c r="D2697" s="32" t="s">
        <v>15</v>
      </c>
      <c r="E2697" s="31" t="s">
        <v>2954</v>
      </c>
      <c r="F2697" s="161">
        <v>46079.0</v>
      </c>
      <c r="G2697" s="54">
        <v>2.223434815E7</v>
      </c>
      <c r="H2697" s="14">
        <f t="shared" si="9"/>
        <v>4669213.112</v>
      </c>
      <c r="I2697" s="22"/>
      <c r="J2697" s="22"/>
      <c r="K2697" s="15">
        <f t="shared" si="4"/>
        <v>26903561.26</v>
      </c>
      <c r="L2697" s="45"/>
      <c r="M2697" s="6"/>
    </row>
    <row r="2698" ht="15.75" customHeight="1">
      <c r="A2698" s="162">
        <v>46067.0</v>
      </c>
      <c r="B2698" s="50"/>
      <c r="C2698" s="31" t="s">
        <v>567</v>
      </c>
      <c r="D2698" s="32" t="s">
        <v>99</v>
      </c>
      <c r="E2698" s="31" t="s">
        <v>2955</v>
      </c>
      <c r="F2698" s="161">
        <v>46079.0</v>
      </c>
      <c r="G2698" s="54">
        <v>1.244473408E7</v>
      </c>
      <c r="H2698" s="14">
        <f t="shared" si="9"/>
        <v>2613394.157</v>
      </c>
      <c r="I2698" s="22"/>
      <c r="J2698" s="22"/>
      <c r="K2698" s="15">
        <f t="shared" si="4"/>
        <v>15058128.24</v>
      </c>
      <c r="L2698" s="45"/>
      <c r="M2698" s="6"/>
    </row>
    <row r="2699" ht="15.75" customHeight="1">
      <c r="A2699" s="162">
        <v>46067.0</v>
      </c>
      <c r="B2699" s="50"/>
      <c r="C2699" s="31" t="s">
        <v>567</v>
      </c>
      <c r="D2699" s="32" t="s">
        <v>99</v>
      </c>
      <c r="E2699" s="31" t="s">
        <v>2956</v>
      </c>
      <c r="F2699" s="161">
        <v>46079.0</v>
      </c>
      <c r="G2699" s="54">
        <v>1.933326308E7</v>
      </c>
      <c r="H2699" s="14">
        <f t="shared" si="9"/>
        <v>4059985.247</v>
      </c>
      <c r="I2699" s="22"/>
      <c r="J2699" s="22"/>
      <c r="K2699" s="15">
        <f t="shared" si="4"/>
        <v>23393248.33</v>
      </c>
      <c r="L2699" s="45"/>
      <c r="M2699" s="6"/>
    </row>
    <row r="2700" ht="15.75" customHeight="1">
      <c r="A2700" s="162">
        <v>46067.0</v>
      </c>
      <c r="B2700" s="50"/>
      <c r="C2700" s="31" t="s">
        <v>567</v>
      </c>
      <c r="D2700" s="32" t="s">
        <v>99</v>
      </c>
      <c r="E2700" s="31" t="s">
        <v>2957</v>
      </c>
      <c r="F2700" s="161">
        <v>46079.0</v>
      </c>
      <c r="G2700" s="54">
        <v>1.833444341E7</v>
      </c>
      <c r="H2700" s="14">
        <f t="shared" si="9"/>
        <v>3850233.116</v>
      </c>
      <c r="I2700" s="22"/>
      <c r="J2700" s="22"/>
      <c r="K2700" s="15">
        <f t="shared" si="4"/>
        <v>22184676.53</v>
      </c>
      <c r="L2700" s="45"/>
      <c r="M2700" s="6"/>
    </row>
    <row r="2701" ht="15.75" customHeight="1">
      <c r="A2701" s="162">
        <v>46067.0</v>
      </c>
      <c r="B2701" s="50"/>
      <c r="C2701" s="31" t="s">
        <v>2958</v>
      </c>
      <c r="D2701" s="32" t="s">
        <v>99</v>
      </c>
      <c r="E2701" s="31" t="s">
        <v>2959</v>
      </c>
      <c r="F2701" s="161">
        <v>46079.0</v>
      </c>
      <c r="G2701" s="54">
        <v>9432540.12</v>
      </c>
      <c r="H2701" s="14">
        <f t="shared" si="9"/>
        <v>1980833.425</v>
      </c>
      <c r="I2701" s="22">
        <v>282976.2</v>
      </c>
      <c r="J2701" s="22"/>
      <c r="K2701" s="15">
        <f t="shared" si="4"/>
        <v>11696349.75</v>
      </c>
      <c r="L2701" s="45"/>
      <c r="M2701" s="6"/>
    </row>
    <row r="2702" ht="15.75" customHeight="1">
      <c r="A2702" s="162">
        <v>46067.0</v>
      </c>
      <c r="B2702" s="50"/>
      <c r="C2702" s="31" t="s">
        <v>2958</v>
      </c>
      <c r="D2702" s="32" t="s">
        <v>99</v>
      </c>
      <c r="E2702" s="31" t="s">
        <v>2960</v>
      </c>
      <c r="F2702" s="161">
        <v>46079.0</v>
      </c>
      <c r="G2702" s="54">
        <v>1.057678102E7</v>
      </c>
      <c r="H2702" s="14">
        <f t="shared" si="9"/>
        <v>2221124.014</v>
      </c>
      <c r="I2702" s="22">
        <v>317303.43</v>
      </c>
      <c r="J2702" s="22"/>
      <c r="K2702" s="15">
        <f t="shared" si="4"/>
        <v>13115208.46</v>
      </c>
      <c r="L2702" s="45"/>
      <c r="M2702" s="6"/>
    </row>
    <row r="2703" ht="15.75" customHeight="1">
      <c r="A2703" s="162">
        <v>46072.0</v>
      </c>
      <c r="B2703" s="50"/>
      <c r="C2703" s="31" t="s">
        <v>2346</v>
      </c>
      <c r="D2703" s="32" t="s">
        <v>99</v>
      </c>
      <c r="E2703" s="32" t="s">
        <v>2961</v>
      </c>
      <c r="F2703" s="161">
        <v>46079.0</v>
      </c>
      <c r="G2703" s="54">
        <v>5554633.18</v>
      </c>
      <c r="H2703" s="14">
        <f t="shared" si="9"/>
        <v>1166472.968</v>
      </c>
      <c r="I2703" s="22"/>
      <c r="J2703" s="22">
        <v>83319.5</v>
      </c>
      <c r="K2703" s="15">
        <f t="shared" si="4"/>
        <v>6804425.648</v>
      </c>
      <c r="L2703" s="45"/>
      <c r="M2703" s="24">
        <v>46084.0</v>
      </c>
    </row>
    <row r="2704" ht="15.75" customHeight="1">
      <c r="A2704" s="162">
        <v>46072.0</v>
      </c>
      <c r="B2704" s="50"/>
      <c r="C2704" s="31" t="s">
        <v>2346</v>
      </c>
      <c r="D2704" s="32" t="s">
        <v>99</v>
      </c>
      <c r="E2704" s="32" t="s">
        <v>2962</v>
      </c>
      <c r="F2704" s="161">
        <v>46079.0</v>
      </c>
      <c r="G2704" s="54">
        <v>6623533.82</v>
      </c>
      <c r="H2704" s="14">
        <f t="shared" si="9"/>
        <v>1390942.102</v>
      </c>
      <c r="I2704" s="22">
        <v>198706.01</v>
      </c>
      <c r="J2704" s="22">
        <v>99353.01</v>
      </c>
      <c r="K2704" s="15">
        <f t="shared" si="4"/>
        <v>8312534.942</v>
      </c>
      <c r="L2704" s="45"/>
      <c r="M2704" s="24">
        <v>46084.0</v>
      </c>
    </row>
    <row r="2705" ht="15.75" customHeight="1">
      <c r="A2705" s="162">
        <v>46072.0</v>
      </c>
      <c r="B2705" s="50"/>
      <c r="C2705" s="31" t="s">
        <v>2346</v>
      </c>
      <c r="D2705" s="32" t="s">
        <v>99</v>
      </c>
      <c r="E2705" s="32" t="s">
        <v>2963</v>
      </c>
      <c r="F2705" s="161">
        <v>46079.0</v>
      </c>
      <c r="G2705" s="54">
        <v>5323343.07</v>
      </c>
      <c r="H2705" s="14">
        <f t="shared" si="9"/>
        <v>1117902.045</v>
      </c>
      <c r="I2705" s="22">
        <v>159700.29</v>
      </c>
      <c r="J2705" s="22">
        <v>79850.15</v>
      </c>
      <c r="K2705" s="15">
        <f t="shared" si="4"/>
        <v>6680795.555</v>
      </c>
      <c r="L2705" s="45"/>
      <c r="M2705" s="24">
        <v>46084.0</v>
      </c>
    </row>
    <row r="2706" ht="15.75" customHeight="1">
      <c r="A2706" s="162">
        <v>46072.0</v>
      </c>
      <c r="B2706" s="50"/>
      <c r="C2706" s="31" t="s">
        <v>2346</v>
      </c>
      <c r="D2706" s="32" t="s">
        <v>99</v>
      </c>
      <c r="E2706" s="32" t="s">
        <v>2964</v>
      </c>
      <c r="F2706" s="161">
        <v>46079.0</v>
      </c>
      <c r="G2706" s="54">
        <v>5533433.41</v>
      </c>
      <c r="H2706" s="14">
        <f t="shared" si="9"/>
        <v>1162021.016</v>
      </c>
      <c r="I2706" s="22">
        <v>166003.0</v>
      </c>
      <c r="J2706" s="22">
        <v>83001.5</v>
      </c>
      <c r="K2706" s="15">
        <f t="shared" si="4"/>
        <v>6944458.926</v>
      </c>
      <c r="L2706" s="45"/>
      <c r="M2706" s="24">
        <v>46085.0</v>
      </c>
    </row>
    <row r="2707" ht="15.75" customHeight="1">
      <c r="A2707" s="162">
        <v>46072.0</v>
      </c>
      <c r="B2707" s="50"/>
      <c r="C2707" s="31" t="s">
        <v>2346</v>
      </c>
      <c r="D2707" s="32" t="s">
        <v>99</v>
      </c>
      <c r="E2707" s="32" t="s">
        <v>2965</v>
      </c>
      <c r="F2707" s="161">
        <v>46079.0</v>
      </c>
      <c r="G2707" s="54">
        <v>6661591.52</v>
      </c>
      <c r="H2707" s="14">
        <f t="shared" si="9"/>
        <v>1398934.219</v>
      </c>
      <c r="I2707" s="22">
        <v>66790.15</v>
      </c>
      <c r="J2707" s="22">
        <v>99923.87</v>
      </c>
      <c r="K2707" s="15">
        <f t="shared" si="4"/>
        <v>8227239.759</v>
      </c>
      <c r="L2707" s="45"/>
      <c r="M2707" s="24">
        <v>46085.0</v>
      </c>
    </row>
    <row r="2708" ht="15.75" customHeight="1">
      <c r="A2708" s="162">
        <v>46072.0</v>
      </c>
      <c r="B2708" s="50"/>
      <c r="C2708" s="31" t="s">
        <v>2346</v>
      </c>
      <c r="D2708" s="32" t="s">
        <v>99</v>
      </c>
      <c r="E2708" s="32" t="s">
        <v>2966</v>
      </c>
      <c r="F2708" s="161">
        <v>46079.0</v>
      </c>
      <c r="G2708" s="54">
        <v>5533533.17</v>
      </c>
      <c r="H2708" s="14">
        <f t="shared" si="9"/>
        <v>1162041.966</v>
      </c>
      <c r="I2708" s="22"/>
      <c r="J2708" s="22">
        <v>83003.0</v>
      </c>
      <c r="K2708" s="15">
        <f t="shared" si="4"/>
        <v>6778578.136</v>
      </c>
      <c r="L2708" s="45"/>
      <c r="M2708" s="24">
        <v>46085.0</v>
      </c>
    </row>
    <row r="2709" ht="15.75" customHeight="1">
      <c r="A2709" s="162">
        <v>46072.0</v>
      </c>
      <c r="B2709" s="50"/>
      <c r="C2709" s="31" t="s">
        <v>2346</v>
      </c>
      <c r="D2709" s="32" t="s">
        <v>15</v>
      </c>
      <c r="E2709" s="31" t="s">
        <v>2967</v>
      </c>
      <c r="F2709" s="161">
        <v>46079.0</v>
      </c>
      <c r="G2709" s="54">
        <v>9923373.08</v>
      </c>
      <c r="H2709" s="14">
        <f t="shared" si="9"/>
        <v>2083908.347</v>
      </c>
      <c r="I2709" s="22">
        <v>297701.19</v>
      </c>
      <c r="J2709" s="22">
        <v>148850.6</v>
      </c>
      <c r="K2709" s="15">
        <f t="shared" si="4"/>
        <v>12453833.22</v>
      </c>
      <c r="L2709" s="45"/>
      <c r="M2709" s="24">
        <v>46086.0</v>
      </c>
    </row>
    <row r="2710" ht="15.75" customHeight="1">
      <c r="A2710" s="162">
        <v>46072.0</v>
      </c>
      <c r="B2710" s="50"/>
      <c r="C2710" s="31" t="s">
        <v>2346</v>
      </c>
      <c r="D2710" s="32" t="s">
        <v>15</v>
      </c>
      <c r="E2710" s="31" t="s">
        <v>2968</v>
      </c>
      <c r="F2710" s="161">
        <v>46079.0</v>
      </c>
      <c r="G2710" s="54">
        <v>7744346.95</v>
      </c>
      <c r="H2710" s="14">
        <f t="shared" si="9"/>
        <v>1626312.86</v>
      </c>
      <c r="I2710" s="22">
        <v>232330.41</v>
      </c>
      <c r="J2710" s="22">
        <v>116165.2</v>
      </c>
      <c r="K2710" s="15">
        <f t="shared" si="4"/>
        <v>9719155.42</v>
      </c>
      <c r="L2710" s="45"/>
      <c r="M2710" s="24">
        <v>46086.0</v>
      </c>
    </row>
    <row r="2711" ht="15.75" customHeight="1">
      <c r="A2711" s="162">
        <v>46072.0</v>
      </c>
      <c r="B2711" s="50"/>
      <c r="C2711" s="31" t="s">
        <v>2346</v>
      </c>
      <c r="D2711" s="32" t="s">
        <v>15</v>
      </c>
      <c r="E2711" s="31" t="s">
        <v>2969</v>
      </c>
      <c r="F2711" s="161">
        <v>46079.0</v>
      </c>
      <c r="G2711" s="54">
        <v>1.123372208E7</v>
      </c>
      <c r="H2711" s="14">
        <f t="shared" si="9"/>
        <v>2359081.637</v>
      </c>
      <c r="I2711" s="22">
        <v>337011.66</v>
      </c>
      <c r="J2711" s="22">
        <v>168505.83</v>
      </c>
      <c r="K2711" s="15">
        <f t="shared" si="4"/>
        <v>14098321.21</v>
      </c>
      <c r="L2711" s="45"/>
      <c r="M2711" s="24">
        <v>46086.0</v>
      </c>
    </row>
    <row r="2712" ht="15.75" customHeight="1">
      <c r="A2712" s="162">
        <v>46072.0</v>
      </c>
      <c r="B2712" s="50"/>
      <c r="C2712" s="31" t="s">
        <v>2346</v>
      </c>
      <c r="D2712" s="32" t="s">
        <v>15</v>
      </c>
      <c r="E2712" s="31" t="s">
        <v>2970</v>
      </c>
      <c r="F2712" s="161">
        <v>46079.0</v>
      </c>
      <c r="G2712" s="54">
        <v>7743636.12</v>
      </c>
      <c r="H2712" s="14">
        <f t="shared" si="9"/>
        <v>1626163.585</v>
      </c>
      <c r="I2712" s="22">
        <v>232309.08</v>
      </c>
      <c r="J2712" s="22">
        <v>116154.54</v>
      </c>
      <c r="K2712" s="15">
        <f t="shared" si="4"/>
        <v>9718263.325</v>
      </c>
      <c r="L2712" s="45"/>
      <c r="M2712" s="24">
        <v>46086.0</v>
      </c>
    </row>
    <row r="2713" ht="15.75" customHeight="1">
      <c r="A2713" s="162">
        <v>46072.0</v>
      </c>
      <c r="B2713" s="50"/>
      <c r="C2713" s="31" t="s">
        <v>2346</v>
      </c>
      <c r="D2713" s="32" t="s">
        <v>15</v>
      </c>
      <c r="E2713" s="31" t="s">
        <v>2971</v>
      </c>
      <c r="F2713" s="161">
        <v>46079.0</v>
      </c>
      <c r="G2713" s="54">
        <v>8833362.12</v>
      </c>
      <c r="H2713" s="14">
        <f t="shared" si="9"/>
        <v>1855006.045</v>
      </c>
      <c r="I2713" s="22">
        <v>265000.86</v>
      </c>
      <c r="J2713" s="22">
        <v>132500.43</v>
      </c>
      <c r="K2713" s="15">
        <f t="shared" si="4"/>
        <v>11085869.46</v>
      </c>
      <c r="L2713" s="45"/>
      <c r="M2713" s="24">
        <v>46087.0</v>
      </c>
    </row>
    <row r="2714" ht="15.75" customHeight="1">
      <c r="A2714" s="162">
        <v>46072.0</v>
      </c>
      <c r="B2714" s="50"/>
      <c r="C2714" s="31" t="s">
        <v>2346</v>
      </c>
      <c r="D2714" s="32" t="s">
        <v>15</v>
      </c>
      <c r="E2714" s="31" t="s">
        <v>2972</v>
      </c>
      <c r="F2714" s="161">
        <v>46079.0</v>
      </c>
      <c r="G2714" s="54">
        <v>4733364.18</v>
      </c>
      <c r="H2714" s="14">
        <f t="shared" si="9"/>
        <v>994006.4778</v>
      </c>
      <c r="I2714" s="22">
        <v>142000.93</v>
      </c>
      <c r="J2714" s="22">
        <v>71000.46</v>
      </c>
      <c r="K2714" s="15">
        <f t="shared" si="4"/>
        <v>5940372.048</v>
      </c>
      <c r="L2714" s="45"/>
      <c r="M2714" s="24">
        <v>46087.0</v>
      </c>
    </row>
    <row r="2715" ht="15.75" customHeight="1">
      <c r="A2715" s="162">
        <v>46072.0</v>
      </c>
      <c r="B2715" s="50"/>
      <c r="C2715" s="31" t="s">
        <v>2346</v>
      </c>
      <c r="D2715" s="32" t="s">
        <v>15</v>
      </c>
      <c r="E2715" s="31" t="s">
        <v>2973</v>
      </c>
      <c r="F2715" s="161">
        <v>46079.0</v>
      </c>
      <c r="G2715" s="54">
        <v>5506828.16</v>
      </c>
      <c r="H2715" s="14">
        <f t="shared" si="9"/>
        <v>1156433.914</v>
      </c>
      <c r="I2715" s="22"/>
      <c r="J2715" s="22">
        <v>82602.42</v>
      </c>
      <c r="K2715" s="15">
        <f t="shared" si="4"/>
        <v>6745864.494</v>
      </c>
      <c r="L2715" s="45"/>
      <c r="M2715" s="24">
        <v>46087.0</v>
      </c>
    </row>
    <row r="2716" ht="15.75" customHeight="1">
      <c r="A2716" s="162">
        <v>46072.0</v>
      </c>
      <c r="B2716" s="50"/>
      <c r="C2716" s="31" t="s">
        <v>2346</v>
      </c>
      <c r="D2716" s="32" t="s">
        <v>15</v>
      </c>
      <c r="E2716" s="31" t="s">
        <v>2974</v>
      </c>
      <c r="F2716" s="161">
        <v>46079.0</v>
      </c>
      <c r="G2716" s="54">
        <v>6643633.42</v>
      </c>
      <c r="H2716" s="14">
        <f t="shared" si="9"/>
        <v>1395163.018</v>
      </c>
      <c r="I2716" s="22">
        <v>199309.0</v>
      </c>
      <c r="J2716" s="22">
        <v>99654.5</v>
      </c>
      <c r="K2716" s="15">
        <f t="shared" si="4"/>
        <v>8337759.938</v>
      </c>
      <c r="L2716" s="45"/>
      <c r="M2716" s="24">
        <v>46087.0</v>
      </c>
    </row>
    <row r="2717" ht="15.75" customHeight="1">
      <c r="A2717" s="162">
        <v>46072.0</v>
      </c>
      <c r="B2717" s="50"/>
      <c r="C2717" s="31" t="s">
        <v>2346</v>
      </c>
      <c r="D2717" s="32" t="s">
        <v>15</v>
      </c>
      <c r="E2717" s="31" t="s">
        <v>2975</v>
      </c>
      <c r="F2717" s="161">
        <v>46079.0</v>
      </c>
      <c r="G2717" s="54">
        <v>3344733.32</v>
      </c>
      <c r="H2717" s="14">
        <f t="shared" si="9"/>
        <v>702393.9972</v>
      </c>
      <c r="I2717" s="22"/>
      <c r="J2717" s="22"/>
      <c r="K2717" s="15">
        <f t="shared" si="4"/>
        <v>4047127.317</v>
      </c>
      <c r="L2717" s="45"/>
      <c r="M2717" s="24">
        <v>46087.0</v>
      </c>
    </row>
    <row r="2718" ht="15.75" customHeight="1">
      <c r="A2718" s="162">
        <v>46072.0</v>
      </c>
      <c r="B2718" s="50"/>
      <c r="C2718" s="31" t="s">
        <v>1183</v>
      </c>
      <c r="D2718" s="32" t="s">
        <v>15</v>
      </c>
      <c r="E2718" s="31" t="s">
        <v>2976</v>
      </c>
      <c r="F2718" s="161">
        <v>46079.0</v>
      </c>
      <c r="G2718" s="54">
        <v>8833363.52</v>
      </c>
      <c r="H2718" s="14">
        <f t="shared" si="9"/>
        <v>1855006.339</v>
      </c>
      <c r="I2718" s="22">
        <v>265000.91</v>
      </c>
      <c r="J2718" s="22"/>
      <c r="K2718" s="15">
        <f t="shared" si="4"/>
        <v>10953370.77</v>
      </c>
      <c r="L2718" s="45"/>
      <c r="M2718" s="24">
        <v>46076.0</v>
      </c>
    </row>
    <row r="2719" ht="15.75" customHeight="1">
      <c r="A2719" s="162">
        <v>46072.0</v>
      </c>
      <c r="B2719" s="50"/>
      <c r="C2719" s="31" t="s">
        <v>1183</v>
      </c>
      <c r="D2719" s="32" t="s">
        <v>15</v>
      </c>
      <c r="E2719" s="31" t="s">
        <v>2977</v>
      </c>
      <c r="F2719" s="161">
        <v>46079.0</v>
      </c>
      <c r="G2719" s="54">
        <v>6633525.95</v>
      </c>
      <c r="H2719" s="14">
        <f t="shared" si="9"/>
        <v>1393040.45</v>
      </c>
      <c r="I2719" s="22">
        <v>199005.78</v>
      </c>
      <c r="J2719" s="22"/>
      <c r="K2719" s="15">
        <f t="shared" si="4"/>
        <v>8225572.18</v>
      </c>
      <c r="L2719" s="45"/>
      <c r="M2719" s="24">
        <v>46076.0</v>
      </c>
    </row>
    <row r="2720" ht="15.75" customHeight="1">
      <c r="A2720" s="162">
        <v>46072.0</v>
      </c>
      <c r="B2720" s="50"/>
      <c r="C2720" s="31" t="s">
        <v>1183</v>
      </c>
      <c r="D2720" s="32" t="s">
        <v>15</v>
      </c>
      <c r="E2720" s="31" t="s">
        <v>2978</v>
      </c>
      <c r="F2720" s="161">
        <v>46079.0</v>
      </c>
      <c r="G2720" s="54">
        <v>6332263.11</v>
      </c>
      <c r="H2720" s="14">
        <f t="shared" si="9"/>
        <v>1329775.253</v>
      </c>
      <c r="I2720" s="22">
        <v>189967.89</v>
      </c>
      <c r="J2720" s="22"/>
      <c r="K2720" s="15">
        <f t="shared" si="4"/>
        <v>7852006.253</v>
      </c>
      <c r="L2720" s="45"/>
      <c r="M2720" s="24">
        <v>46076.0</v>
      </c>
    </row>
    <row r="2721" ht="15.75" customHeight="1">
      <c r="A2721" s="162">
        <v>46072.0</v>
      </c>
      <c r="B2721" s="50"/>
      <c r="C2721" s="31" t="s">
        <v>1183</v>
      </c>
      <c r="D2721" s="32" t="s">
        <v>15</v>
      </c>
      <c r="E2721" s="31" t="s">
        <v>2979</v>
      </c>
      <c r="F2721" s="161">
        <v>46079.0</v>
      </c>
      <c r="G2721" s="54">
        <v>1.122236241E7</v>
      </c>
      <c r="H2721" s="14">
        <f t="shared" si="9"/>
        <v>2356696.106</v>
      </c>
      <c r="I2721" s="22">
        <v>336670.87</v>
      </c>
      <c r="J2721" s="22"/>
      <c r="K2721" s="15">
        <f t="shared" si="4"/>
        <v>13915729.39</v>
      </c>
      <c r="L2721" s="45"/>
      <c r="M2721" s="24">
        <v>46076.0</v>
      </c>
    </row>
    <row r="2722" ht="15.75" customHeight="1">
      <c r="A2722" s="162">
        <v>46072.0</v>
      </c>
      <c r="B2722" s="50"/>
      <c r="C2722" s="31" t="s">
        <v>1183</v>
      </c>
      <c r="D2722" s="32" t="s">
        <v>15</v>
      </c>
      <c r="E2722" s="31" t="s">
        <v>2980</v>
      </c>
      <c r="F2722" s="161">
        <v>46079.0</v>
      </c>
      <c r="G2722" s="54">
        <v>4443363.18</v>
      </c>
      <c r="H2722" s="14">
        <f t="shared" si="9"/>
        <v>933106.2678</v>
      </c>
      <c r="I2722" s="22">
        <v>133300.9</v>
      </c>
      <c r="J2722" s="22"/>
      <c r="K2722" s="15">
        <f t="shared" si="4"/>
        <v>5509770.348</v>
      </c>
      <c r="L2722" s="45"/>
      <c r="M2722" s="24">
        <v>46076.0</v>
      </c>
    </row>
    <row r="2723" ht="15.75" customHeight="1">
      <c r="A2723" s="162">
        <v>46072.0</v>
      </c>
      <c r="B2723" s="50"/>
      <c r="C2723" s="31" t="s">
        <v>1183</v>
      </c>
      <c r="D2723" s="32" t="s">
        <v>15</v>
      </c>
      <c r="E2723" s="31" t="s">
        <v>2981</v>
      </c>
      <c r="F2723" s="161">
        <v>46079.0</v>
      </c>
      <c r="G2723" s="54">
        <v>9233373.12</v>
      </c>
      <c r="H2723" s="14">
        <f t="shared" si="9"/>
        <v>1939008.355</v>
      </c>
      <c r="I2723" s="22">
        <v>277001.19</v>
      </c>
      <c r="J2723" s="22"/>
      <c r="K2723" s="15">
        <f t="shared" si="4"/>
        <v>11449382.67</v>
      </c>
      <c r="L2723" s="45"/>
      <c r="M2723" s="24">
        <v>46076.0</v>
      </c>
    </row>
    <row r="2724" ht="15.75" customHeight="1">
      <c r="A2724" s="162">
        <v>46072.0</v>
      </c>
      <c r="B2724" s="50"/>
      <c r="C2724" s="31" t="s">
        <v>1183</v>
      </c>
      <c r="D2724" s="32" t="s">
        <v>15</v>
      </c>
      <c r="E2724" s="31" t="s">
        <v>2982</v>
      </c>
      <c r="F2724" s="161">
        <v>46079.0</v>
      </c>
      <c r="G2724" s="54">
        <v>1.022373526E7</v>
      </c>
      <c r="H2724" s="14">
        <f t="shared" si="9"/>
        <v>2146984.405</v>
      </c>
      <c r="I2724" s="22">
        <v>306712.06</v>
      </c>
      <c r="J2724" s="22"/>
      <c r="K2724" s="15">
        <f t="shared" si="4"/>
        <v>12677431.72</v>
      </c>
      <c r="L2724" s="45"/>
      <c r="M2724" s="24">
        <v>46076.0</v>
      </c>
    </row>
    <row r="2725" ht="15.75" customHeight="1">
      <c r="A2725" s="162">
        <v>46072.0</v>
      </c>
      <c r="B2725" s="50"/>
      <c r="C2725" s="31" t="s">
        <v>1183</v>
      </c>
      <c r="D2725" s="32" t="s">
        <v>15</v>
      </c>
      <c r="E2725" s="31" t="s">
        <v>2983</v>
      </c>
      <c r="F2725" s="161">
        <v>46079.0</v>
      </c>
      <c r="G2725" s="54">
        <v>9334345.29</v>
      </c>
      <c r="H2725" s="14">
        <f t="shared" si="9"/>
        <v>1960212.511</v>
      </c>
      <c r="I2725" s="22">
        <v>280030.36</v>
      </c>
      <c r="J2725" s="22"/>
      <c r="K2725" s="15">
        <f t="shared" si="4"/>
        <v>11574588.16</v>
      </c>
      <c r="L2725" s="45"/>
      <c r="M2725" s="24">
        <v>46076.0</v>
      </c>
    </row>
    <row r="2726" ht="15.75" customHeight="1">
      <c r="A2726" s="162">
        <v>46072.0</v>
      </c>
      <c r="B2726" s="50"/>
      <c r="C2726" s="31" t="s">
        <v>1183</v>
      </c>
      <c r="D2726" s="32" t="s">
        <v>15</v>
      </c>
      <c r="E2726" s="31" t="s">
        <v>2984</v>
      </c>
      <c r="F2726" s="161">
        <v>46079.0</v>
      </c>
      <c r="G2726" s="54">
        <v>5222263.08</v>
      </c>
      <c r="H2726" s="14">
        <f t="shared" si="9"/>
        <v>1096675.247</v>
      </c>
      <c r="I2726" s="22">
        <v>156667.89</v>
      </c>
      <c r="J2726" s="22"/>
      <c r="K2726" s="15">
        <f t="shared" si="4"/>
        <v>6475606.217</v>
      </c>
      <c r="L2726" s="45"/>
      <c r="M2726" s="24">
        <v>46076.0</v>
      </c>
    </row>
    <row r="2727" ht="15.75" customHeight="1">
      <c r="A2727" s="162">
        <v>46072.0</v>
      </c>
      <c r="B2727" s="50"/>
      <c r="C2727" s="31" t="s">
        <v>1183</v>
      </c>
      <c r="D2727" s="32" t="s">
        <v>15</v>
      </c>
      <c r="E2727" s="31" t="s">
        <v>2985</v>
      </c>
      <c r="F2727" s="161">
        <v>46079.0</v>
      </c>
      <c r="G2727" s="54">
        <v>3344635.08</v>
      </c>
      <c r="H2727" s="14">
        <f t="shared" si="9"/>
        <v>702373.3668</v>
      </c>
      <c r="I2727" s="22">
        <v>100339.05</v>
      </c>
      <c r="J2727" s="22"/>
      <c r="K2727" s="15">
        <f t="shared" si="4"/>
        <v>4147347.497</v>
      </c>
      <c r="L2727" s="45"/>
      <c r="M2727" s="24">
        <v>46076.0</v>
      </c>
    </row>
    <row r="2728" ht="15.75" customHeight="1">
      <c r="A2728" s="162">
        <v>46072.0</v>
      </c>
      <c r="B2728" s="50"/>
      <c r="C2728" s="31" t="s">
        <v>1183</v>
      </c>
      <c r="D2728" s="32" t="s">
        <v>15</v>
      </c>
      <c r="E2728" s="31" t="s">
        <v>2986</v>
      </c>
      <c r="F2728" s="161">
        <v>46079.0</v>
      </c>
      <c r="G2728" s="54">
        <v>3344733.71</v>
      </c>
      <c r="H2728" s="14">
        <f t="shared" si="9"/>
        <v>702394.0791</v>
      </c>
      <c r="I2728" s="22">
        <v>100342.01</v>
      </c>
      <c r="J2728" s="22"/>
      <c r="K2728" s="15">
        <f t="shared" si="4"/>
        <v>4147469.799</v>
      </c>
      <c r="L2728" s="45"/>
      <c r="M2728" s="24">
        <v>46076.0</v>
      </c>
    </row>
    <row r="2729" ht="15.75" customHeight="1">
      <c r="A2729" s="162">
        <v>46072.0</v>
      </c>
      <c r="B2729" s="50"/>
      <c r="C2729" s="31" t="s">
        <v>1183</v>
      </c>
      <c r="D2729" s="32" t="s">
        <v>15</v>
      </c>
      <c r="E2729" s="31" t="s">
        <v>2987</v>
      </c>
      <c r="F2729" s="161">
        <v>46079.0</v>
      </c>
      <c r="G2729" s="54">
        <v>4433623.71</v>
      </c>
      <c r="H2729" s="14">
        <f t="shared" si="9"/>
        <v>931060.9791</v>
      </c>
      <c r="I2729" s="22">
        <v>133008.71</v>
      </c>
      <c r="J2729" s="22"/>
      <c r="K2729" s="15">
        <f t="shared" si="4"/>
        <v>5497693.399</v>
      </c>
      <c r="L2729" s="45"/>
      <c r="M2729" s="24">
        <v>46076.0</v>
      </c>
    </row>
    <row r="2730" ht="15.75" customHeight="1">
      <c r="A2730" s="208">
        <v>46072.0</v>
      </c>
      <c r="B2730" s="158"/>
      <c r="C2730" s="147" t="s">
        <v>1136</v>
      </c>
      <c r="D2730" s="148" t="s">
        <v>15</v>
      </c>
      <c r="E2730" s="147" t="s">
        <v>2988</v>
      </c>
      <c r="F2730" s="181">
        <v>46079.0</v>
      </c>
      <c r="G2730" s="209">
        <v>5.91776665E7</v>
      </c>
      <c r="H2730" s="150">
        <f t="shared" si="9"/>
        <v>12427309.97</v>
      </c>
      <c r="I2730" s="151">
        <v>1775330.0</v>
      </c>
      <c r="J2730" s="151">
        <v>1479441.66</v>
      </c>
      <c r="K2730" s="152">
        <f t="shared" si="4"/>
        <v>74859748.13</v>
      </c>
      <c r="L2730" s="153"/>
      <c r="M2730" s="182">
        <v>46092.0</v>
      </c>
    </row>
    <row r="2731" ht="15.75" customHeight="1">
      <c r="A2731" s="208">
        <v>46072.0</v>
      </c>
      <c r="B2731" s="158"/>
      <c r="C2731" s="147" t="s">
        <v>1136</v>
      </c>
      <c r="D2731" s="148" t="s">
        <v>15</v>
      </c>
      <c r="E2731" s="147" t="s">
        <v>2989</v>
      </c>
      <c r="F2731" s="181">
        <v>46079.0</v>
      </c>
      <c r="G2731" s="209">
        <v>5.91350671E7</v>
      </c>
      <c r="H2731" s="150">
        <f t="shared" si="9"/>
        <v>12418364.09</v>
      </c>
      <c r="I2731" s="151">
        <v>1774052.01</v>
      </c>
      <c r="J2731" s="151">
        <v>1478376.68</v>
      </c>
      <c r="K2731" s="152">
        <f t="shared" si="4"/>
        <v>74805859.88</v>
      </c>
      <c r="L2731" s="153"/>
      <c r="M2731" s="182">
        <v>46092.0</v>
      </c>
    </row>
    <row r="2732" ht="15.75" customHeight="1">
      <c r="A2732" s="208">
        <v>46072.0</v>
      </c>
      <c r="B2732" s="158"/>
      <c r="C2732" s="147" t="s">
        <v>1136</v>
      </c>
      <c r="D2732" s="148" t="s">
        <v>15</v>
      </c>
      <c r="E2732" s="147" t="s">
        <v>2990</v>
      </c>
      <c r="F2732" s="181">
        <v>46079.0</v>
      </c>
      <c r="G2732" s="209">
        <v>5.91847664E7</v>
      </c>
      <c r="H2732" s="150">
        <f t="shared" si="9"/>
        <v>12428800.94</v>
      </c>
      <c r="I2732" s="151">
        <v>1775542.99</v>
      </c>
      <c r="J2732" s="151">
        <v>1479619.16</v>
      </c>
      <c r="K2732" s="152">
        <f t="shared" si="4"/>
        <v>74868729.49</v>
      </c>
      <c r="L2732" s="153"/>
      <c r="M2732" s="182">
        <v>46092.0</v>
      </c>
    </row>
    <row r="2733" ht="15.75" customHeight="1">
      <c r="A2733" s="208">
        <v>46072.0</v>
      </c>
      <c r="B2733" s="158"/>
      <c r="C2733" s="147" t="s">
        <v>1136</v>
      </c>
      <c r="D2733" s="148" t="s">
        <v>99</v>
      </c>
      <c r="E2733" s="147" t="s">
        <v>2991</v>
      </c>
      <c r="F2733" s="181">
        <v>46079.0</v>
      </c>
      <c r="G2733" s="209">
        <v>4.435119589E7</v>
      </c>
      <c r="H2733" s="150">
        <f t="shared" si="9"/>
        <v>9313751.137</v>
      </c>
      <c r="I2733" s="151">
        <v>1330535.88</v>
      </c>
      <c r="J2733" s="151">
        <v>1108779.9</v>
      </c>
      <c r="K2733" s="152">
        <f t="shared" si="4"/>
        <v>56104262.81</v>
      </c>
      <c r="L2733" s="153"/>
      <c r="M2733" s="182">
        <v>46092.0</v>
      </c>
    </row>
    <row r="2734" ht="15.75" customHeight="1">
      <c r="A2734" s="208">
        <v>46072.0</v>
      </c>
      <c r="B2734" s="158"/>
      <c r="C2734" s="147" t="s">
        <v>1136</v>
      </c>
      <c r="D2734" s="148" t="s">
        <v>99</v>
      </c>
      <c r="E2734" s="147" t="s">
        <v>2992</v>
      </c>
      <c r="F2734" s="181">
        <v>46079.0</v>
      </c>
      <c r="G2734" s="209">
        <v>4.431572911E7</v>
      </c>
      <c r="H2734" s="150">
        <f t="shared" si="9"/>
        <v>9306303.113</v>
      </c>
      <c r="I2734" s="151">
        <v>1329471.87</v>
      </c>
      <c r="J2734" s="151">
        <v>1107893.23</v>
      </c>
      <c r="K2734" s="152">
        <f t="shared" si="4"/>
        <v>56059397.32</v>
      </c>
      <c r="L2734" s="153"/>
      <c r="M2734" s="182">
        <v>46092.0</v>
      </c>
    </row>
    <row r="2735" ht="15.75" customHeight="1">
      <c r="A2735" s="162">
        <v>46076.0</v>
      </c>
      <c r="B2735" s="50"/>
      <c r="C2735" s="31" t="s">
        <v>1189</v>
      </c>
      <c r="D2735" s="32" t="s">
        <v>15</v>
      </c>
      <c r="E2735" s="31" t="s">
        <v>2993</v>
      </c>
      <c r="F2735" s="161">
        <v>46079.0</v>
      </c>
      <c r="G2735" s="54">
        <v>1.222333319E7</v>
      </c>
      <c r="H2735" s="14">
        <f t="shared" si="9"/>
        <v>2566899.97</v>
      </c>
      <c r="I2735" s="22">
        <v>366700.0</v>
      </c>
      <c r="J2735" s="22"/>
      <c r="K2735" s="15">
        <f t="shared" si="4"/>
        <v>15156933.16</v>
      </c>
      <c r="L2735" s="45"/>
      <c r="M2735" s="6"/>
    </row>
    <row r="2736" ht="15.75" customHeight="1">
      <c r="A2736" s="162">
        <v>46076.0</v>
      </c>
      <c r="B2736" s="50"/>
      <c r="C2736" s="31" t="s">
        <v>247</v>
      </c>
      <c r="D2736" s="32" t="s">
        <v>15</v>
      </c>
      <c r="E2736" s="31" t="s">
        <v>2994</v>
      </c>
      <c r="F2736" s="161">
        <v>46079.0</v>
      </c>
      <c r="G2736" s="54">
        <v>9238550.28</v>
      </c>
      <c r="H2736" s="14">
        <f t="shared" si="9"/>
        <v>1940095.559</v>
      </c>
      <c r="I2736" s="22"/>
      <c r="J2736" s="22"/>
      <c r="K2736" s="15">
        <f t="shared" si="4"/>
        <v>11178645.84</v>
      </c>
      <c r="L2736" s="45"/>
      <c r="M2736" s="6"/>
    </row>
    <row r="2737" ht="15.75" customHeight="1">
      <c r="A2737" s="162">
        <v>46076.0</v>
      </c>
      <c r="B2737" s="50"/>
      <c r="C2737" s="31" t="s">
        <v>247</v>
      </c>
      <c r="D2737" s="32" t="s">
        <v>15</v>
      </c>
      <c r="E2737" s="31" t="s">
        <v>2995</v>
      </c>
      <c r="F2737" s="161">
        <v>46079.0</v>
      </c>
      <c r="G2737" s="54">
        <v>8429460.18</v>
      </c>
      <c r="H2737" s="14">
        <f t="shared" si="9"/>
        <v>1770186.638</v>
      </c>
      <c r="I2737" s="22"/>
      <c r="J2737" s="22"/>
      <c r="K2737" s="15">
        <f t="shared" si="4"/>
        <v>10199646.82</v>
      </c>
      <c r="L2737" s="45"/>
      <c r="M2737" s="6"/>
    </row>
    <row r="2738" ht="15.75" customHeight="1">
      <c r="A2738" s="162">
        <v>46076.0</v>
      </c>
      <c r="B2738" s="50"/>
      <c r="C2738" s="31" t="s">
        <v>247</v>
      </c>
      <c r="D2738" s="32" t="s">
        <v>15</v>
      </c>
      <c r="E2738" s="31" t="s">
        <v>2996</v>
      </c>
      <c r="F2738" s="161">
        <v>46079.0</v>
      </c>
      <c r="G2738" s="54">
        <v>8977320.18</v>
      </c>
      <c r="H2738" s="14">
        <f t="shared" si="9"/>
        <v>1885237.238</v>
      </c>
      <c r="I2738" s="22"/>
      <c r="J2738" s="22"/>
      <c r="K2738" s="15">
        <f t="shared" si="4"/>
        <v>10862557.42</v>
      </c>
      <c r="L2738" s="45"/>
      <c r="M2738" s="6"/>
    </row>
    <row r="2739" ht="15.75" customHeight="1">
      <c r="A2739" s="162">
        <v>46076.0</v>
      </c>
      <c r="B2739" s="50"/>
      <c r="C2739" s="31" t="s">
        <v>247</v>
      </c>
      <c r="D2739" s="32" t="s">
        <v>15</v>
      </c>
      <c r="E2739" s="31" t="s">
        <v>2997</v>
      </c>
      <c r="F2739" s="161">
        <v>46079.0</v>
      </c>
      <c r="G2739" s="54">
        <v>8364580.71</v>
      </c>
      <c r="H2739" s="14">
        <f t="shared" si="9"/>
        <v>1756561.949</v>
      </c>
      <c r="I2739" s="22"/>
      <c r="J2739" s="22"/>
      <c r="K2739" s="15">
        <f t="shared" si="4"/>
        <v>10121142.66</v>
      </c>
      <c r="L2739" s="45"/>
      <c r="M2739" s="6"/>
    </row>
    <row r="2740" ht="15.75" customHeight="1">
      <c r="A2740" s="162">
        <v>46076.0</v>
      </c>
      <c r="B2740" s="50"/>
      <c r="C2740" s="32" t="s">
        <v>122</v>
      </c>
      <c r="D2740" s="32" t="s">
        <v>15</v>
      </c>
      <c r="E2740" s="31" t="s">
        <v>2998</v>
      </c>
      <c r="F2740" s="161">
        <v>46079.0</v>
      </c>
      <c r="G2740" s="54">
        <v>6001124.86</v>
      </c>
      <c r="H2740" s="14">
        <f t="shared" si="9"/>
        <v>1260236.221</v>
      </c>
      <c r="I2740" s="22"/>
      <c r="J2740" s="22"/>
      <c r="K2740" s="15">
        <f t="shared" si="4"/>
        <v>7261361.081</v>
      </c>
      <c r="L2740" s="45"/>
      <c r="M2740" s="6"/>
    </row>
    <row r="2741" ht="15.75" customHeight="1">
      <c r="A2741" s="162">
        <v>46077.0</v>
      </c>
      <c r="B2741" s="50"/>
      <c r="C2741" s="31" t="s">
        <v>1285</v>
      </c>
      <c r="D2741" s="32" t="s">
        <v>15</v>
      </c>
      <c r="E2741" s="31" t="s">
        <v>2999</v>
      </c>
      <c r="F2741" s="161">
        <v>46079.0</v>
      </c>
      <c r="G2741" s="54">
        <v>3004570.19</v>
      </c>
      <c r="H2741" s="14">
        <f t="shared" si="9"/>
        <v>630959.7399</v>
      </c>
      <c r="I2741" s="22"/>
      <c r="J2741" s="22"/>
      <c r="K2741" s="15">
        <f t="shared" si="4"/>
        <v>3635529.93</v>
      </c>
      <c r="L2741" s="45"/>
      <c r="M2741" s="6"/>
    </row>
    <row r="2742" ht="15.75" customHeight="1">
      <c r="A2742" s="162">
        <v>46077.0</v>
      </c>
      <c r="B2742" s="50"/>
      <c r="C2742" s="31" t="s">
        <v>2318</v>
      </c>
      <c r="D2742" s="31" t="s">
        <v>77</v>
      </c>
      <c r="E2742" s="31" t="s">
        <v>3000</v>
      </c>
      <c r="F2742" s="161">
        <v>46079.0</v>
      </c>
      <c r="G2742" s="54">
        <v>1.0974E7</v>
      </c>
      <c r="H2742" s="14">
        <f t="shared" si="9"/>
        <v>2304540</v>
      </c>
      <c r="I2742" s="22"/>
      <c r="J2742" s="22"/>
      <c r="K2742" s="15">
        <f t="shared" si="4"/>
        <v>13278540</v>
      </c>
      <c r="L2742" s="45"/>
      <c r="M2742" s="6"/>
    </row>
    <row r="2743" ht="15.75" customHeight="1">
      <c r="A2743" s="162">
        <v>46077.0</v>
      </c>
      <c r="B2743" s="50"/>
      <c r="C2743" s="31" t="s">
        <v>2318</v>
      </c>
      <c r="D2743" s="31" t="s">
        <v>77</v>
      </c>
      <c r="E2743" s="31" t="s">
        <v>3001</v>
      </c>
      <c r="F2743" s="161">
        <v>46079.0</v>
      </c>
      <c r="G2743" s="54">
        <v>1.1151E7</v>
      </c>
      <c r="H2743" s="14">
        <f t="shared" si="9"/>
        <v>2341710</v>
      </c>
      <c r="I2743" s="22"/>
      <c r="J2743" s="22"/>
      <c r="K2743" s="15">
        <f t="shared" si="4"/>
        <v>13492710</v>
      </c>
      <c r="L2743" s="45"/>
      <c r="M2743" s="6"/>
    </row>
    <row r="2744" ht="15.75" customHeight="1">
      <c r="A2744" s="162">
        <v>46077.0</v>
      </c>
      <c r="B2744" s="50"/>
      <c r="C2744" s="31" t="s">
        <v>2318</v>
      </c>
      <c r="D2744" s="31" t="s">
        <v>77</v>
      </c>
      <c r="E2744" s="31" t="s">
        <v>3002</v>
      </c>
      <c r="F2744" s="161">
        <v>46079.0</v>
      </c>
      <c r="G2744" s="54">
        <v>1.1682E7</v>
      </c>
      <c r="H2744" s="14">
        <f t="shared" si="9"/>
        <v>2453220</v>
      </c>
      <c r="I2744" s="22"/>
      <c r="J2744" s="22"/>
      <c r="K2744" s="15">
        <f t="shared" si="4"/>
        <v>14135220</v>
      </c>
      <c r="L2744" s="45"/>
      <c r="M2744" s="6"/>
    </row>
    <row r="2745" ht="15.75" customHeight="1">
      <c r="A2745" s="162">
        <v>46077.0</v>
      </c>
      <c r="B2745" s="50"/>
      <c r="C2745" s="31" t="s">
        <v>2318</v>
      </c>
      <c r="D2745" s="31" t="s">
        <v>77</v>
      </c>
      <c r="E2745" s="31" t="s">
        <v>3003</v>
      </c>
      <c r="F2745" s="161">
        <v>46079.0</v>
      </c>
      <c r="G2745" s="54">
        <v>1.2213E7</v>
      </c>
      <c r="H2745" s="14">
        <f t="shared" si="9"/>
        <v>2564730</v>
      </c>
      <c r="I2745" s="22"/>
      <c r="J2745" s="22"/>
      <c r="K2745" s="15">
        <f t="shared" si="4"/>
        <v>14777730</v>
      </c>
      <c r="L2745" s="45"/>
      <c r="M2745" s="6"/>
    </row>
    <row r="2746" ht="15.75" customHeight="1">
      <c r="A2746" s="162">
        <v>46077.0</v>
      </c>
      <c r="B2746" s="50"/>
      <c r="C2746" s="31" t="s">
        <v>2318</v>
      </c>
      <c r="D2746" s="31" t="s">
        <v>77</v>
      </c>
      <c r="E2746" s="31" t="s">
        <v>3004</v>
      </c>
      <c r="F2746" s="161">
        <v>46079.0</v>
      </c>
      <c r="G2746" s="54">
        <v>1.2567E7</v>
      </c>
      <c r="H2746" s="14">
        <f t="shared" si="9"/>
        <v>2639070</v>
      </c>
      <c r="I2746" s="22"/>
      <c r="J2746" s="22"/>
      <c r="K2746" s="15">
        <f t="shared" si="4"/>
        <v>15206070</v>
      </c>
      <c r="L2746" s="45"/>
      <c r="M2746" s="6"/>
    </row>
    <row r="2747" ht="15.75" customHeight="1">
      <c r="A2747" s="162">
        <v>46077.0</v>
      </c>
      <c r="B2747" s="50"/>
      <c r="C2747" s="31" t="s">
        <v>2318</v>
      </c>
      <c r="D2747" s="31" t="s">
        <v>77</v>
      </c>
      <c r="E2747" s="31" t="s">
        <v>3005</v>
      </c>
      <c r="F2747" s="161">
        <v>46079.0</v>
      </c>
      <c r="G2747" s="54">
        <v>3.008646E7</v>
      </c>
      <c r="H2747" s="14">
        <f t="shared" si="9"/>
        <v>6318156.6</v>
      </c>
      <c r="I2747" s="22"/>
      <c r="J2747" s="22"/>
      <c r="K2747" s="15">
        <f t="shared" si="4"/>
        <v>36404616.6</v>
      </c>
      <c r="L2747" s="45"/>
      <c r="M2747" s="6"/>
    </row>
    <row r="2748" ht="15.75" customHeight="1">
      <c r="A2748" s="162">
        <v>46077.0</v>
      </c>
      <c r="B2748" s="50"/>
      <c r="C2748" s="31" t="s">
        <v>2318</v>
      </c>
      <c r="D2748" s="31" t="s">
        <v>769</v>
      </c>
      <c r="E2748" s="32">
        <v>1.00310024E8</v>
      </c>
      <c r="F2748" s="161">
        <v>46079.0</v>
      </c>
      <c r="G2748" s="54">
        <v>1.4868E7</v>
      </c>
      <c r="H2748" s="14">
        <f t="shared" si="9"/>
        <v>3122280</v>
      </c>
      <c r="I2748" s="22"/>
      <c r="J2748" s="22"/>
      <c r="K2748" s="15">
        <f t="shared" si="4"/>
        <v>17990280</v>
      </c>
      <c r="L2748" s="45"/>
      <c r="M2748" s="6"/>
    </row>
    <row r="2749" ht="15.75" customHeight="1">
      <c r="A2749" s="162">
        <v>46077.0</v>
      </c>
      <c r="B2749" s="50"/>
      <c r="C2749" s="31" t="s">
        <v>2318</v>
      </c>
      <c r="D2749" s="31" t="s">
        <v>769</v>
      </c>
      <c r="E2749" s="32">
        <v>1.00310025E8</v>
      </c>
      <c r="F2749" s="161">
        <v>46079.0</v>
      </c>
      <c r="G2749" s="54">
        <v>1.416E7</v>
      </c>
      <c r="H2749" s="14">
        <f t="shared" si="9"/>
        <v>2973600</v>
      </c>
      <c r="I2749" s="22"/>
      <c r="J2749" s="22"/>
      <c r="K2749" s="15">
        <f t="shared" si="4"/>
        <v>17133600</v>
      </c>
      <c r="L2749" s="45"/>
      <c r="M2749" s="6"/>
    </row>
    <row r="2750" ht="15.75" customHeight="1">
      <c r="A2750" s="162">
        <v>46077.0</v>
      </c>
      <c r="B2750" s="50"/>
      <c r="C2750" s="31" t="s">
        <v>2318</v>
      </c>
      <c r="D2750" s="31" t="s">
        <v>769</v>
      </c>
      <c r="E2750" s="32">
        <v>1.00310026E8</v>
      </c>
      <c r="F2750" s="161">
        <v>46079.0</v>
      </c>
      <c r="G2750" s="54">
        <v>2.09745E7</v>
      </c>
      <c r="H2750" s="14">
        <f t="shared" si="9"/>
        <v>4404645</v>
      </c>
      <c r="I2750" s="22"/>
      <c r="J2750" s="22"/>
      <c r="K2750" s="15">
        <f t="shared" si="4"/>
        <v>25379145</v>
      </c>
      <c r="L2750" s="45"/>
      <c r="M2750" s="6"/>
    </row>
    <row r="2751" ht="15.75" customHeight="1">
      <c r="A2751" s="164">
        <v>46077.0</v>
      </c>
      <c r="B2751" s="56"/>
      <c r="C2751" s="57" t="s">
        <v>2374</v>
      </c>
      <c r="D2751" s="57" t="s">
        <v>2834</v>
      </c>
      <c r="E2751" s="32" t="s">
        <v>3006</v>
      </c>
      <c r="F2751" s="178">
        <v>46079.0</v>
      </c>
      <c r="G2751" s="155">
        <v>3465260.0</v>
      </c>
      <c r="H2751" s="9">
        <f t="shared" si="9"/>
        <v>727704.6</v>
      </c>
      <c r="I2751" s="44"/>
      <c r="J2751" s="44"/>
      <c r="K2751" s="10">
        <f t="shared" si="4"/>
        <v>4192964.6</v>
      </c>
      <c r="L2751" s="61"/>
      <c r="M2751" s="62"/>
    </row>
    <row r="2752" ht="15.75" customHeight="1">
      <c r="A2752" s="164">
        <v>46077.0</v>
      </c>
      <c r="B2752" s="56"/>
      <c r="C2752" s="57" t="s">
        <v>2374</v>
      </c>
      <c r="D2752" s="57" t="s">
        <v>2834</v>
      </c>
      <c r="E2752" s="32" t="s">
        <v>3007</v>
      </c>
      <c r="F2752" s="178">
        <v>46079.0</v>
      </c>
      <c r="G2752" s="155">
        <v>3188370.0</v>
      </c>
      <c r="H2752" s="9">
        <f t="shared" si="9"/>
        <v>669557.7</v>
      </c>
      <c r="I2752" s="44"/>
      <c r="J2752" s="44"/>
      <c r="K2752" s="10">
        <f t="shared" si="4"/>
        <v>3857927.7</v>
      </c>
      <c r="L2752" s="61"/>
      <c r="M2752" s="62"/>
    </row>
    <row r="2753" ht="15.75" customHeight="1">
      <c r="A2753" s="164">
        <v>46077.0</v>
      </c>
      <c r="B2753" s="56"/>
      <c r="C2753" s="57" t="s">
        <v>2374</v>
      </c>
      <c r="D2753" s="57" t="s">
        <v>2834</v>
      </c>
      <c r="E2753" s="32" t="s">
        <v>3008</v>
      </c>
      <c r="F2753" s="178">
        <v>46079.0</v>
      </c>
      <c r="G2753" s="155">
        <v>3352590.0</v>
      </c>
      <c r="H2753" s="9">
        <f t="shared" si="9"/>
        <v>704043.9</v>
      </c>
      <c r="I2753" s="44"/>
      <c r="J2753" s="44"/>
      <c r="K2753" s="10">
        <f t="shared" si="4"/>
        <v>4056633.9</v>
      </c>
      <c r="L2753" s="61"/>
      <c r="M2753" s="62"/>
    </row>
    <row r="2754" ht="15.75" customHeight="1">
      <c r="A2754" s="164">
        <v>46077.0</v>
      </c>
      <c r="B2754" s="56"/>
      <c r="C2754" s="57" t="s">
        <v>2837</v>
      </c>
      <c r="D2754" s="57" t="s">
        <v>2834</v>
      </c>
      <c r="E2754" s="32" t="s">
        <v>3009</v>
      </c>
      <c r="F2754" s="178">
        <v>46079.0</v>
      </c>
      <c r="G2754" s="206">
        <v>3218350.0</v>
      </c>
      <c r="H2754" s="9">
        <f t="shared" si="9"/>
        <v>675853.5</v>
      </c>
      <c r="I2754" s="44"/>
      <c r="J2754" s="44"/>
      <c r="K2754" s="10">
        <f t="shared" si="4"/>
        <v>3894203.5</v>
      </c>
      <c r="L2754" s="61"/>
      <c r="M2754" s="62"/>
    </row>
    <row r="2755" ht="15.75" customHeight="1">
      <c r="A2755" s="164">
        <v>46077.0</v>
      </c>
      <c r="B2755" s="56"/>
      <c r="C2755" s="57" t="s">
        <v>2837</v>
      </c>
      <c r="D2755" s="57" t="s">
        <v>2834</v>
      </c>
      <c r="E2755" s="32" t="s">
        <v>3010</v>
      </c>
      <c r="F2755" s="178">
        <v>46079.0</v>
      </c>
      <c r="G2755" s="206">
        <v>3477180.0</v>
      </c>
      <c r="H2755" s="9">
        <f t="shared" si="9"/>
        <v>730207.8</v>
      </c>
      <c r="I2755" s="44"/>
      <c r="J2755" s="44"/>
      <c r="K2755" s="10">
        <f t="shared" si="4"/>
        <v>4207387.8</v>
      </c>
      <c r="L2755" s="61"/>
      <c r="M2755" s="62"/>
    </row>
    <row r="2756" ht="15.75" customHeight="1">
      <c r="A2756" s="164">
        <v>46077.0</v>
      </c>
      <c r="B2756" s="56"/>
      <c r="C2756" s="57" t="s">
        <v>2837</v>
      </c>
      <c r="D2756" s="57" t="s">
        <v>2834</v>
      </c>
      <c r="E2756" s="32" t="s">
        <v>3011</v>
      </c>
      <c r="F2756" s="178">
        <v>46079.0</v>
      </c>
      <c r="G2756" s="206">
        <v>3312890.0</v>
      </c>
      <c r="H2756" s="9">
        <f t="shared" si="9"/>
        <v>695706.9</v>
      </c>
      <c r="I2756" s="44"/>
      <c r="J2756" s="44"/>
      <c r="K2756" s="10">
        <f t="shared" si="4"/>
        <v>4008596.9</v>
      </c>
      <c r="L2756" s="61"/>
      <c r="M2756" s="62"/>
    </row>
    <row r="2757" ht="15.75" customHeight="1">
      <c r="A2757" s="162">
        <v>46077.0</v>
      </c>
      <c r="B2757" s="50"/>
      <c r="C2757" s="31" t="s">
        <v>2318</v>
      </c>
      <c r="D2757" s="32" t="s">
        <v>3012</v>
      </c>
      <c r="E2757" s="31" t="s">
        <v>3013</v>
      </c>
      <c r="F2757" s="161">
        <v>46079.0</v>
      </c>
      <c r="G2757" s="54">
        <v>1.2036E7</v>
      </c>
      <c r="H2757" s="14">
        <f t="shared" si="9"/>
        <v>2527560</v>
      </c>
      <c r="I2757" s="22"/>
      <c r="J2757" s="22"/>
      <c r="K2757" s="15">
        <f t="shared" si="4"/>
        <v>14563560</v>
      </c>
      <c r="L2757" s="45"/>
      <c r="M2757" s="6"/>
    </row>
    <row r="2758" ht="15.75" customHeight="1">
      <c r="A2758" s="162">
        <v>46077.0</v>
      </c>
      <c r="B2758" s="50"/>
      <c r="C2758" s="31" t="s">
        <v>2318</v>
      </c>
      <c r="D2758" s="32" t="s">
        <v>3012</v>
      </c>
      <c r="E2758" s="31" t="s">
        <v>3014</v>
      </c>
      <c r="F2758" s="161">
        <v>46079.0</v>
      </c>
      <c r="G2758" s="54">
        <v>1.79655E7</v>
      </c>
      <c r="H2758" s="14">
        <f t="shared" si="9"/>
        <v>3772755</v>
      </c>
      <c r="I2758" s="22"/>
      <c r="J2758" s="22"/>
      <c r="K2758" s="15">
        <f t="shared" si="4"/>
        <v>21738255</v>
      </c>
      <c r="L2758" s="45"/>
      <c r="M2758" s="6"/>
    </row>
    <row r="2759" ht="15.75" customHeight="1">
      <c r="A2759" s="162">
        <v>46077.0</v>
      </c>
      <c r="B2759" s="50"/>
      <c r="C2759" s="31" t="s">
        <v>1685</v>
      </c>
      <c r="D2759" s="32" t="s">
        <v>15</v>
      </c>
      <c r="E2759" s="31" t="s">
        <v>3015</v>
      </c>
      <c r="F2759" s="161">
        <v>46079.0</v>
      </c>
      <c r="G2759" s="54">
        <v>1.142257026E7</v>
      </c>
      <c r="H2759" s="14">
        <f t="shared" si="9"/>
        <v>2398739.755</v>
      </c>
      <c r="I2759" s="22">
        <v>342677.11</v>
      </c>
      <c r="J2759" s="22"/>
      <c r="K2759" s="15">
        <f t="shared" si="4"/>
        <v>14163987.12</v>
      </c>
      <c r="L2759" s="45"/>
      <c r="M2759" s="24">
        <v>46097.0</v>
      </c>
    </row>
    <row r="2760" ht="15.75" customHeight="1">
      <c r="A2760" s="162">
        <v>46077.0</v>
      </c>
      <c r="B2760" s="50"/>
      <c r="C2760" s="31" t="s">
        <v>1685</v>
      </c>
      <c r="D2760" s="32" t="s">
        <v>99</v>
      </c>
      <c r="E2760" s="31" t="s">
        <v>3016</v>
      </c>
      <c r="F2760" s="161">
        <v>46079.0</v>
      </c>
      <c r="G2760" s="54">
        <v>1.071497046E7</v>
      </c>
      <c r="H2760" s="14">
        <f t="shared" si="9"/>
        <v>2250143.797</v>
      </c>
      <c r="I2760" s="22">
        <v>321449.11</v>
      </c>
      <c r="J2760" s="22"/>
      <c r="K2760" s="15">
        <f t="shared" si="4"/>
        <v>13286563.37</v>
      </c>
      <c r="L2760" s="45"/>
      <c r="M2760" s="24">
        <v>46084.0</v>
      </c>
    </row>
    <row r="2761" ht="15.75" customHeight="1">
      <c r="A2761" s="162">
        <v>46078.0</v>
      </c>
      <c r="B2761" s="50"/>
      <c r="C2761" s="31" t="s">
        <v>2318</v>
      </c>
      <c r="D2761" s="32" t="s">
        <v>15</v>
      </c>
      <c r="E2761" s="31" t="s">
        <v>3017</v>
      </c>
      <c r="F2761" s="161">
        <v>46079.0</v>
      </c>
      <c r="G2761" s="54">
        <v>1.030099E7</v>
      </c>
      <c r="H2761" s="14">
        <f t="shared" si="9"/>
        <v>2163207.9</v>
      </c>
      <c r="I2761" s="22">
        <v>309029.7</v>
      </c>
      <c r="J2761" s="22">
        <v>515049.5</v>
      </c>
      <c r="K2761" s="15">
        <f t="shared" si="4"/>
        <v>13288277.1</v>
      </c>
      <c r="L2761" s="45"/>
      <c r="M2761" s="6"/>
    </row>
    <row r="2762" ht="15.75" customHeight="1">
      <c r="A2762" s="162">
        <v>46078.0</v>
      </c>
      <c r="B2762" s="50"/>
      <c r="C2762" s="31" t="s">
        <v>2318</v>
      </c>
      <c r="D2762" s="32" t="s">
        <v>15</v>
      </c>
      <c r="E2762" s="31" t="s">
        <v>3018</v>
      </c>
      <c r="F2762" s="161">
        <v>46079.0</v>
      </c>
      <c r="G2762" s="54">
        <v>1.028685E7</v>
      </c>
      <c r="H2762" s="14">
        <f t="shared" si="9"/>
        <v>2160238.5</v>
      </c>
      <c r="I2762" s="22">
        <v>308605.5</v>
      </c>
      <c r="J2762" s="22">
        <v>514342.5</v>
      </c>
      <c r="K2762" s="15">
        <f t="shared" si="4"/>
        <v>13270036.5</v>
      </c>
      <c r="L2762" s="45"/>
      <c r="M2762" s="6"/>
    </row>
    <row r="2763" ht="15.75" customHeight="1">
      <c r="A2763" s="162">
        <v>46078.0</v>
      </c>
      <c r="B2763" s="50"/>
      <c r="C2763" s="31" t="s">
        <v>2318</v>
      </c>
      <c r="D2763" s="32" t="s">
        <v>15</v>
      </c>
      <c r="E2763" s="31" t="s">
        <v>3019</v>
      </c>
      <c r="F2763" s="161">
        <v>46079.0</v>
      </c>
      <c r="G2763" s="54">
        <v>1.0304525E7</v>
      </c>
      <c r="H2763" s="14">
        <f t="shared" si="9"/>
        <v>2163950.25</v>
      </c>
      <c r="I2763" s="22">
        <v>309135.75</v>
      </c>
      <c r="J2763" s="22">
        <v>515226.25</v>
      </c>
      <c r="K2763" s="15">
        <f t="shared" si="4"/>
        <v>13292837.25</v>
      </c>
      <c r="L2763" s="45"/>
      <c r="M2763" s="6"/>
    </row>
    <row r="2764" ht="15.75" customHeight="1">
      <c r="A2764" s="162">
        <v>46078.0</v>
      </c>
      <c r="B2764" s="50"/>
      <c r="C2764" s="31" t="s">
        <v>2318</v>
      </c>
      <c r="D2764" s="32" t="s">
        <v>15</v>
      </c>
      <c r="E2764" s="31" t="s">
        <v>3020</v>
      </c>
      <c r="F2764" s="161">
        <v>46079.0</v>
      </c>
      <c r="G2764" s="54">
        <v>1.0297455E7</v>
      </c>
      <c r="H2764" s="14">
        <f t="shared" si="9"/>
        <v>2162465.55</v>
      </c>
      <c r="I2764" s="22">
        <v>308923.65</v>
      </c>
      <c r="J2764" s="22">
        <v>514872.75</v>
      </c>
      <c r="K2764" s="15">
        <f t="shared" si="4"/>
        <v>13283716.95</v>
      </c>
      <c r="L2764" s="45"/>
      <c r="M2764" s="6"/>
    </row>
    <row r="2765" ht="15.75" customHeight="1">
      <c r="A2765" s="162">
        <v>46078.0</v>
      </c>
      <c r="B2765" s="50"/>
      <c r="C2765" s="31" t="s">
        <v>2318</v>
      </c>
      <c r="D2765" s="32" t="s">
        <v>15</v>
      </c>
      <c r="E2765" s="31" t="s">
        <v>3021</v>
      </c>
      <c r="F2765" s="161">
        <v>46079.0</v>
      </c>
      <c r="G2765" s="54">
        <v>1.030806E7</v>
      </c>
      <c r="H2765" s="14">
        <f t="shared" si="9"/>
        <v>2164692.6</v>
      </c>
      <c r="I2765" s="22">
        <v>309241.8</v>
      </c>
      <c r="J2765" s="22">
        <v>515403.0</v>
      </c>
      <c r="K2765" s="15">
        <f t="shared" si="4"/>
        <v>13297397.4</v>
      </c>
      <c r="L2765" s="45"/>
      <c r="M2765" s="6"/>
    </row>
    <row r="2766" ht="15.75" customHeight="1">
      <c r="A2766" s="162">
        <v>46079.0</v>
      </c>
      <c r="B2766" s="50"/>
      <c r="C2766" s="31" t="s">
        <v>2318</v>
      </c>
      <c r="D2766" s="31" t="s">
        <v>77</v>
      </c>
      <c r="E2766" s="31" t="s">
        <v>3022</v>
      </c>
      <c r="F2766" s="161">
        <v>46079.0</v>
      </c>
      <c r="G2766" s="54">
        <v>1.2921E7</v>
      </c>
      <c r="H2766" s="14">
        <f t="shared" si="9"/>
        <v>2713410</v>
      </c>
      <c r="I2766" s="22"/>
      <c r="J2766" s="22"/>
      <c r="K2766" s="15">
        <f t="shared" si="4"/>
        <v>15634410</v>
      </c>
      <c r="L2766" s="45"/>
      <c r="M2766" s="6"/>
    </row>
    <row r="2767" ht="15.75" customHeight="1">
      <c r="A2767" s="162">
        <v>46079.0</v>
      </c>
      <c r="B2767" s="50"/>
      <c r="C2767" s="31" t="s">
        <v>2318</v>
      </c>
      <c r="D2767" s="31" t="s">
        <v>77</v>
      </c>
      <c r="E2767" s="31" t="s">
        <v>3023</v>
      </c>
      <c r="F2767" s="161">
        <v>46079.0</v>
      </c>
      <c r="G2767" s="54">
        <v>1.593E7</v>
      </c>
      <c r="H2767" s="14">
        <f t="shared" si="9"/>
        <v>3345300</v>
      </c>
      <c r="I2767" s="22"/>
      <c r="J2767" s="22"/>
      <c r="K2767" s="15">
        <f t="shared" si="4"/>
        <v>19275300</v>
      </c>
      <c r="L2767" s="45"/>
      <c r="M2767" s="6"/>
    </row>
    <row r="2768" ht="15.75" customHeight="1">
      <c r="A2768" s="162">
        <v>46079.0</v>
      </c>
      <c r="B2768" s="50"/>
      <c r="C2768" s="31" t="s">
        <v>2318</v>
      </c>
      <c r="D2768" s="31" t="s">
        <v>77</v>
      </c>
      <c r="E2768" s="31" t="s">
        <v>3024</v>
      </c>
      <c r="F2768" s="161">
        <v>46079.0</v>
      </c>
      <c r="G2768" s="54">
        <v>1.77E7</v>
      </c>
      <c r="H2768" s="14">
        <f t="shared" si="9"/>
        <v>3717000</v>
      </c>
      <c r="I2768" s="22"/>
      <c r="J2768" s="22"/>
      <c r="K2768" s="15">
        <f t="shared" si="4"/>
        <v>21417000</v>
      </c>
      <c r="L2768" s="45"/>
      <c r="M2768" s="6"/>
    </row>
    <row r="2769" ht="15.75" customHeight="1">
      <c r="A2769" s="162">
        <v>46079.0</v>
      </c>
      <c r="B2769" s="50"/>
      <c r="C2769" s="31" t="s">
        <v>2318</v>
      </c>
      <c r="D2769" s="31" t="s">
        <v>77</v>
      </c>
      <c r="E2769" s="31" t="s">
        <v>3025</v>
      </c>
      <c r="F2769" s="161">
        <v>46079.0</v>
      </c>
      <c r="G2769" s="54">
        <v>3.557346E7</v>
      </c>
      <c r="H2769" s="14">
        <f t="shared" si="9"/>
        <v>7470426.6</v>
      </c>
      <c r="I2769" s="22"/>
      <c r="J2769" s="22"/>
      <c r="K2769" s="15">
        <f t="shared" si="4"/>
        <v>43043886.6</v>
      </c>
      <c r="L2769" s="45"/>
      <c r="M2769" s="6"/>
    </row>
    <row r="2770" ht="15.75" customHeight="1">
      <c r="A2770" s="162">
        <v>46079.0</v>
      </c>
      <c r="B2770" s="50"/>
      <c r="C2770" s="31" t="s">
        <v>2318</v>
      </c>
      <c r="D2770" s="31" t="s">
        <v>77</v>
      </c>
      <c r="E2770" s="31" t="s">
        <v>3026</v>
      </c>
      <c r="F2770" s="161">
        <v>46079.0</v>
      </c>
      <c r="G2770" s="54">
        <v>1.1328E7</v>
      </c>
      <c r="H2770" s="14">
        <f t="shared" si="9"/>
        <v>2378880</v>
      </c>
      <c r="I2770" s="22"/>
      <c r="J2770" s="22"/>
      <c r="K2770" s="15">
        <f t="shared" si="4"/>
        <v>13706880</v>
      </c>
      <c r="L2770" s="45"/>
      <c r="M2770" s="6"/>
    </row>
    <row r="2771" ht="15.75" customHeight="1">
      <c r="A2771" s="162">
        <v>46079.0</v>
      </c>
      <c r="B2771" s="50"/>
      <c r="C2771" s="31" t="s">
        <v>2318</v>
      </c>
      <c r="D2771" s="31" t="s">
        <v>77</v>
      </c>
      <c r="E2771" s="31" t="s">
        <v>3027</v>
      </c>
      <c r="F2771" s="161">
        <v>46079.0</v>
      </c>
      <c r="G2771" s="54">
        <v>1.1682E7</v>
      </c>
      <c r="H2771" s="14">
        <f t="shared" si="9"/>
        <v>2453220</v>
      </c>
      <c r="I2771" s="22"/>
      <c r="J2771" s="22"/>
      <c r="K2771" s="15">
        <f t="shared" si="4"/>
        <v>14135220</v>
      </c>
      <c r="L2771" s="45"/>
      <c r="M2771" s="6"/>
    </row>
    <row r="2772" ht="15.75" customHeight="1">
      <c r="A2772" s="162">
        <v>46079.0</v>
      </c>
      <c r="B2772" s="50"/>
      <c r="C2772" s="31" t="s">
        <v>2318</v>
      </c>
      <c r="D2772" s="31" t="s">
        <v>77</v>
      </c>
      <c r="E2772" s="31" t="s">
        <v>3028</v>
      </c>
      <c r="F2772" s="161">
        <v>46079.0</v>
      </c>
      <c r="G2772" s="54">
        <v>1.2567E7</v>
      </c>
      <c r="H2772" s="14">
        <f t="shared" si="9"/>
        <v>2639070</v>
      </c>
      <c r="I2772" s="22"/>
      <c r="J2772" s="22"/>
      <c r="K2772" s="15">
        <f t="shared" si="4"/>
        <v>15206070</v>
      </c>
      <c r="L2772" s="45"/>
      <c r="M2772" s="6"/>
    </row>
    <row r="2773" ht="15.75" customHeight="1">
      <c r="A2773" s="162">
        <v>46079.0</v>
      </c>
      <c r="B2773" s="50"/>
      <c r="C2773" s="31" t="s">
        <v>2318</v>
      </c>
      <c r="D2773" s="31" t="s">
        <v>3029</v>
      </c>
      <c r="E2773" s="31" t="s">
        <v>3030</v>
      </c>
      <c r="F2773" s="161">
        <v>46079.0</v>
      </c>
      <c r="G2773" s="54">
        <v>1.7877E7</v>
      </c>
      <c r="H2773" s="14">
        <f t="shared" si="9"/>
        <v>3754170</v>
      </c>
      <c r="I2773" s="22"/>
      <c r="J2773" s="22"/>
      <c r="K2773" s="15">
        <f t="shared" si="4"/>
        <v>21631170</v>
      </c>
      <c r="L2773" s="45"/>
      <c r="M2773" s="6"/>
    </row>
    <row r="2774" ht="15.75" customHeight="1">
      <c r="A2774" s="162">
        <v>46080.0</v>
      </c>
      <c r="B2774" s="50"/>
      <c r="C2774" s="31" t="s">
        <v>299</v>
      </c>
      <c r="D2774" s="32" t="s">
        <v>15</v>
      </c>
      <c r="E2774" s="31" t="s">
        <v>3031</v>
      </c>
      <c r="F2774" s="161">
        <v>46079.0</v>
      </c>
      <c r="G2774" s="54">
        <v>1.233252308E7</v>
      </c>
      <c r="H2774" s="14">
        <f t="shared" si="9"/>
        <v>2589829.847</v>
      </c>
      <c r="I2774" s="22">
        <v>369975.69</v>
      </c>
      <c r="J2774" s="22">
        <v>110992.71</v>
      </c>
      <c r="K2774" s="15">
        <f t="shared" si="4"/>
        <v>15403321.33</v>
      </c>
      <c r="L2774" s="45"/>
      <c r="M2774" s="24">
        <v>46097.0</v>
      </c>
    </row>
    <row r="2775" ht="15.75" customHeight="1">
      <c r="A2775" s="162">
        <v>46080.0</v>
      </c>
      <c r="B2775" s="50"/>
      <c r="C2775" s="31" t="s">
        <v>299</v>
      </c>
      <c r="D2775" s="32" t="s">
        <v>15</v>
      </c>
      <c r="E2775" s="31" t="s">
        <v>3032</v>
      </c>
      <c r="F2775" s="161">
        <v>46079.0</v>
      </c>
      <c r="G2775" s="54">
        <v>4933374.18</v>
      </c>
      <c r="H2775" s="14">
        <f t="shared" si="9"/>
        <v>1036008.578</v>
      </c>
      <c r="I2775" s="22"/>
      <c r="J2775" s="22">
        <v>44400.37</v>
      </c>
      <c r="K2775" s="15">
        <f t="shared" si="4"/>
        <v>6013783.128</v>
      </c>
      <c r="L2775" s="45"/>
      <c r="M2775" s="24">
        <v>46097.0</v>
      </c>
    </row>
    <row r="2776" ht="15.75" customHeight="1">
      <c r="A2776" s="162">
        <v>46080.0</v>
      </c>
      <c r="B2776" s="50"/>
      <c r="C2776" s="31" t="s">
        <v>299</v>
      </c>
      <c r="D2776" s="32" t="s">
        <v>15</v>
      </c>
      <c r="E2776" s="31" t="s">
        <v>3033</v>
      </c>
      <c r="F2776" s="161">
        <v>46079.0</v>
      </c>
      <c r="G2776" s="54">
        <v>7833374.23</v>
      </c>
      <c r="H2776" s="14">
        <f t="shared" si="9"/>
        <v>1645008.588</v>
      </c>
      <c r="I2776" s="22"/>
      <c r="J2776" s="22">
        <v>70500.37</v>
      </c>
      <c r="K2776" s="15">
        <f t="shared" si="4"/>
        <v>9548883.188</v>
      </c>
      <c r="L2776" s="45"/>
      <c r="M2776" s="24">
        <v>46097.0</v>
      </c>
    </row>
    <row r="2777" ht="15.75" customHeight="1">
      <c r="A2777" s="162">
        <v>46080.0</v>
      </c>
      <c r="B2777" s="50"/>
      <c r="C2777" s="31" t="s">
        <v>299</v>
      </c>
      <c r="D2777" s="32" t="s">
        <v>15</v>
      </c>
      <c r="E2777" s="31" t="s">
        <v>3034</v>
      </c>
      <c r="F2777" s="161">
        <v>46079.0</v>
      </c>
      <c r="G2777" s="54">
        <v>3821163.11</v>
      </c>
      <c r="H2777" s="14">
        <f t="shared" si="9"/>
        <v>802444.2531</v>
      </c>
      <c r="I2777" s="22"/>
      <c r="J2777" s="22"/>
      <c r="K2777" s="15">
        <f t="shared" si="4"/>
        <v>4623607.363</v>
      </c>
      <c r="L2777" s="45"/>
      <c r="M2777" s="24">
        <v>46097.0</v>
      </c>
    </row>
    <row r="2778" ht="15.75" customHeight="1">
      <c r="A2778" s="162">
        <v>46080.0</v>
      </c>
      <c r="B2778" s="50"/>
      <c r="C2778" s="31" t="s">
        <v>299</v>
      </c>
      <c r="D2778" s="32" t="s">
        <v>15</v>
      </c>
      <c r="E2778" s="31" t="s">
        <v>3035</v>
      </c>
      <c r="F2778" s="161">
        <v>46079.0</v>
      </c>
      <c r="G2778" s="54">
        <v>3533362.21</v>
      </c>
      <c r="H2778" s="14">
        <f t="shared" si="9"/>
        <v>742006.0641</v>
      </c>
      <c r="I2778" s="22"/>
      <c r="J2778" s="22">
        <v>31800.26</v>
      </c>
      <c r="K2778" s="15">
        <f t="shared" si="4"/>
        <v>4307168.534</v>
      </c>
      <c r="L2778" s="45"/>
      <c r="M2778" s="24">
        <v>46097.0</v>
      </c>
    </row>
    <row r="2779" ht="15.75" customHeight="1">
      <c r="A2779" s="162">
        <v>46080.0</v>
      </c>
      <c r="B2779" s="50"/>
      <c r="C2779" s="31" t="s">
        <v>497</v>
      </c>
      <c r="D2779" s="32" t="s">
        <v>15</v>
      </c>
      <c r="E2779" s="31" t="s">
        <v>3036</v>
      </c>
      <c r="F2779" s="161">
        <v>46079.0</v>
      </c>
      <c r="G2779" s="54">
        <v>8004330.76</v>
      </c>
      <c r="H2779" s="14">
        <f t="shared" si="9"/>
        <v>1680909.46</v>
      </c>
      <c r="I2779" s="22"/>
      <c r="J2779" s="22"/>
      <c r="K2779" s="15">
        <f t="shared" si="4"/>
        <v>9685240.22</v>
      </c>
      <c r="L2779" s="45"/>
      <c r="M2779" s="6"/>
    </row>
    <row r="2780" ht="15.75" customHeight="1">
      <c r="A2780" s="162">
        <v>46080.0</v>
      </c>
      <c r="B2780" s="50"/>
      <c r="C2780" s="31" t="s">
        <v>1275</v>
      </c>
      <c r="D2780" s="32" t="s">
        <v>15</v>
      </c>
      <c r="E2780" s="31" t="s">
        <v>3037</v>
      </c>
      <c r="F2780" s="161">
        <v>46079.0</v>
      </c>
      <c r="G2780" s="54">
        <v>9443363.08</v>
      </c>
      <c r="H2780" s="14">
        <f t="shared" si="9"/>
        <v>1983106.247</v>
      </c>
      <c r="I2780" s="22">
        <v>283300.89</v>
      </c>
      <c r="J2780" s="22"/>
      <c r="K2780" s="15">
        <f t="shared" si="4"/>
        <v>11709770.22</v>
      </c>
      <c r="L2780" s="45"/>
      <c r="M2780" s="6"/>
    </row>
    <row r="2781" ht="15.75" customHeight="1">
      <c r="A2781" s="162">
        <v>46080.0</v>
      </c>
      <c r="B2781" s="50"/>
      <c r="C2781" s="31" t="s">
        <v>1275</v>
      </c>
      <c r="D2781" s="32" t="s">
        <v>15</v>
      </c>
      <c r="E2781" s="31" t="s">
        <v>3038</v>
      </c>
      <c r="F2781" s="161">
        <v>46079.0</v>
      </c>
      <c r="G2781" s="54">
        <v>2533353.07</v>
      </c>
      <c r="H2781" s="14">
        <f t="shared" si="9"/>
        <v>532004.1447</v>
      </c>
      <c r="I2781" s="22">
        <v>76000.59</v>
      </c>
      <c r="J2781" s="22"/>
      <c r="K2781" s="15">
        <f t="shared" si="4"/>
        <v>3141357.805</v>
      </c>
      <c r="L2781" s="45"/>
      <c r="M2781" s="6"/>
    </row>
    <row r="2782" ht="15.75" customHeight="1">
      <c r="A2782" s="162">
        <v>46080.0</v>
      </c>
      <c r="B2782" s="50"/>
      <c r="C2782" s="31" t="s">
        <v>1275</v>
      </c>
      <c r="D2782" s="32" t="s">
        <v>15</v>
      </c>
      <c r="E2782" s="31" t="s">
        <v>3039</v>
      </c>
      <c r="F2782" s="161">
        <v>46079.0</v>
      </c>
      <c r="G2782" s="54">
        <v>2533335.05</v>
      </c>
      <c r="H2782" s="14">
        <f t="shared" si="9"/>
        <v>532000.3605</v>
      </c>
      <c r="I2782" s="22">
        <v>76000.05</v>
      </c>
      <c r="J2782" s="22"/>
      <c r="K2782" s="15">
        <f t="shared" si="4"/>
        <v>3141335.461</v>
      </c>
      <c r="L2782" s="45"/>
      <c r="M2782" s="6"/>
    </row>
    <row r="2783" ht="15.75" customHeight="1">
      <c r="A2783" s="162">
        <v>46080.0</v>
      </c>
      <c r="B2783" s="50"/>
      <c r="C2783" s="31" t="s">
        <v>1275</v>
      </c>
      <c r="D2783" s="32" t="s">
        <v>15</v>
      </c>
      <c r="E2783" s="31" t="s">
        <v>3040</v>
      </c>
      <c r="F2783" s="161">
        <v>46079.0</v>
      </c>
      <c r="G2783" s="54">
        <v>6333535.03</v>
      </c>
      <c r="H2783" s="14">
        <f t="shared" si="9"/>
        <v>1330042.356</v>
      </c>
      <c r="I2783" s="22">
        <v>190006.05</v>
      </c>
      <c r="J2783" s="22"/>
      <c r="K2783" s="15">
        <f t="shared" si="4"/>
        <v>7853583.436</v>
      </c>
      <c r="L2783" s="45"/>
      <c r="M2783" s="6"/>
    </row>
    <row r="2784" ht="15.75" customHeight="1">
      <c r="A2784" s="162">
        <v>46080.0</v>
      </c>
      <c r="B2784" s="50"/>
      <c r="C2784" s="31" t="s">
        <v>1277</v>
      </c>
      <c r="D2784" s="32" t="s">
        <v>15</v>
      </c>
      <c r="E2784" s="31" t="s">
        <v>3041</v>
      </c>
      <c r="F2784" s="161">
        <v>46079.0</v>
      </c>
      <c r="G2784" s="54">
        <v>5001233.18</v>
      </c>
      <c r="H2784" s="14">
        <f t="shared" si="9"/>
        <v>1050258.968</v>
      </c>
      <c r="I2784" s="22">
        <v>150037.0</v>
      </c>
      <c r="J2784" s="22"/>
      <c r="K2784" s="15">
        <f t="shared" si="4"/>
        <v>6201529.148</v>
      </c>
      <c r="L2784" s="45"/>
      <c r="M2784" s="6"/>
    </row>
    <row r="2785" ht="15.75" customHeight="1">
      <c r="A2785" s="162">
        <v>46080.0</v>
      </c>
      <c r="B2785" s="50"/>
      <c r="C2785" s="31" t="s">
        <v>1277</v>
      </c>
      <c r="D2785" s="32" t="s">
        <v>15</v>
      </c>
      <c r="E2785" s="31" t="s">
        <v>3042</v>
      </c>
      <c r="F2785" s="161">
        <v>46079.0</v>
      </c>
      <c r="G2785" s="54">
        <v>1533353.07</v>
      </c>
      <c r="H2785" s="14">
        <f t="shared" si="9"/>
        <v>322004.1447</v>
      </c>
      <c r="I2785" s="22">
        <v>46000.59</v>
      </c>
      <c r="J2785" s="22"/>
      <c r="K2785" s="15">
        <f t="shared" si="4"/>
        <v>1901357.805</v>
      </c>
      <c r="L2785" s="45"/>
      <c r="M2785" s="6"/>
    </row>
    <row r="2786" ht="15.75" customHeight="1">
      <c r="A2786" s="162">
        <v>46080.0</v>
      </c>
      <c r="B2786" s="50"/>
      <c r="C2786" s="31" t="s">
        <v>1277</v>
      </c>
      <c r="D2786" s="32" t="s">
        <v>15</v>
      </c>
      <c r="E2786" s="31" t="s">
        <v>3043</v>
      </c>
      <c r="F2786" s="161">
        <v>46079.0</v>
      </c>
      <c r="G2786" s="54">
        <v>4443383.07</v>
      </c>
      <c r="H2786" s="14">
        <f t="shared" si="9"/>
        <v>933110.4447</v>
      </c>
      <c r="I2786" s="22">
        <v>133301.49</v>
      </c>
      <c r="J2786" s="22"/>
      <c r="K2786" s="15">
        <f t="shared" si="4"/>
        <v>5509795.005</v>
      </c>
      <c r="L2786" s="45"/>
      <c r="M2786" s="6"/>
    </row>
    <row r="2787" ht="15.75" customHeight="1">
      <c r="A2787" s="162">
        <v>46080.0</v>
      </c>
      <c r="B2787" s="50"/>
      <c r="C2787" s="31" t="s">
        <v>1277</v>
      </c>
      <c r="D2787" s="32" t="s">
        <v>15</v>
      </c>
      <c r="E2787" s="31" t="s">
        <v>3044</v>
      </c>
      <c r="F2787" s="161">
        <v>46079.0</v>
      </c>
      <c r="G2787" s="54">
        <v>2333373.23</v>
      </c>
      <c r="H2787" s="14">
        <f t="shared" si="9"/>
        <v>490008.3783</v>
      </c>
      <c r="I2787" s="22">
        <v>70001.2</v>
      </c>
      <c r="J2787" s="22"/>
      <c r="K2787" s="15">
        <f t="shared" si="4"/>
        <v>2893382.808</v>
      </c>
      <c r="L2787" s="45"/>
      <c r="M2787" s="6"/>
    </row>
    <row r="2788" ht="15.75" customHeight="1">
      <c r="A2788" s="162">
        <v>46080.0</v>
      </c>
      <c r="B2788" s="50"/>
      <c r="C2788" s="31" t="s">
        <v>1283</v>
      </c>
      <c r="D2788" s="32" t="s">
        <v>15</v>
      </c>
      <c r="E2788" s="31" t="s">
        <v>3045</v>
      </c>
      <c r="F2788" s="161">
        <v>46079.0</v>
      </c>
      <c r="G2788" s="54">
        <v>6733633.12</v>
      </c>
      <c r="H2788" s="14">
        <f t="shared" si="9"/>
        <v>1414062.955</v>
      </c>
      <c r="I2788" s="22">
        <v>202008.99</v>
      </c>
      <c r="J2788" s="22">
        <v>33668.17</v>
      </c>
      <c r="K2788" s="15">
        <f t="shared" si="4"/>
        <v>8383373.235</v>
      </c>
      <c r="L2788" s="45"/>
      <c r="M2788" s="6"/>
    </row>
    <row r="2789" ht="15.75" customHeight="1">
      <c r="A2789" s="162">
        <v>46080.0</v>
      </c>
      <c r="B2789" s="50"/>
      <c r="C2789" s="31" t="s">
        <v>1283</v>
      </c>
      <c r="D2789" s="32" t="s">
        <v>15</v>
      </c>
      <c r="E2789" s="31" t="s">
        <v>3046</v>
      </c>
      <c r="F2789" s="161">
        <v>46079.0</v>
      </c>
      <c r="G2789" s="54">
        <v>5773344.23</v>
      </c>
      <c r="H2789" s="14">
        <f t="shared" si="9"/>
        <v>1212402.288</v>
      </c>
      <c r="I2789" s="22">
        <v>173200.33</v>
      </c>
      <c r="J2789" s="22">
        <v>28866.72</v>
      </c>
      <c r="K2789" s="15">
        <f t="shared" si="4"/>
        <v>7187813.568</v>
      </c>
      <c r="L2789" s="45"/>
      <c r="M2789" s="6"/>
    </row>
    <row r="2790" ht="15.75" customHeight="1">
      <c r="A2790" s="162">
        <v>46080.0</v>
      </c>
      <c r="B2790" s="50"/>
      <c r="C2790" s="31" t="s">
        <v>1283</v>
      </c>
      <c r="D2790" s="32" t="s">
        <v>15</v>
      </c>
      <c r="E2790" s="31" t="s">
        <v>3047</v>
      </c>
      <c r="F2790" s="161">
        <v>46079.0</v>
      </c>
      <c r="G2790" s="54">
        <v>5343364.19</v>
      </c>
      <c r="H2790" s="14">
        <f t="shared" si="9"/>
        <v>1122106.48</v>
      </c>
      <c r="I2790" s="22">
        <v>160300.93</v>
      </c>
      <c r="J2790" s="22">
        <v>26716.82</v>
      </c>
      <c r="K2790" s="15">
        <f t="shared" si="4"/>
        <v>6652488.42</v>
      </c>
      <c r="L2790" s="45"/>
      <c r="M2790" s="6"/>
    </row>
    <row r="2791" ht="15.75" customHeight="1">
      <c r="A2791" s="162">
        <v>46080.0</v>
      </c>
      <c r="B2791" s="50"/>
      <c r="C2791" s="31" t="s">
        <v>1283</v>
      </c>
      <c r="D2791" s="32" t="s">
        <v>15</v>
      </c>
      <c r="E2791" s="31" t="s">
        <v>3048</v>
      </c>
      <c r="F2791" s="161">
        <v>46079.0</v>
      </c>
      <c r="G2791" s="54">
        <v>2737364.12</v>
      </c>
      <c r="H2791" s="14">
        <f t="shared" si="9"/>
        <v>574846.4652</v>
      </c>
      <c r="I2791" s="22">
        <v>82120.92</v>
      </c>
      <c r="J2791" s="22">
        <v>13686.82</v>
      </c>
      <c r="K2791" s="15">
        <f t="shared" si="4"/>
        <v>3408018.325</v>
      </c>
      <c r="L2791" s="45"/>
      <c r="M2791" s="6"/>
    </row>
    <row r="2792" ht="15.75" customHeight="1">
      <c r="A2792" s="162">
        <v>46080.0</v>
      </c>
      <c r="B2792" s="50"/>
      <c r="C2792" s="31" t="s">
        <v>635</v>
      </c>
      <c r="D2792" s="32" t="s">
        <v>15</v>
      </c>
      <c r="E2792" s="31" t="s">
        <v>3049</v>
      </c>
      <c r="F2792" s="161">
        <v>46079.0</v>
      </c>
      <c r="G2792" s="54">
        <v>7722636.42</v>
      </c>
      <c r="H2792" s="14">
        <f t="shared" si="9"/>
        <v>1621753.648</v>
      </c>
      <c r="I2792" s="22">
        <v>231679.09</v>
      </c>
      <c r="J2792" s="22"/>
      <c r="K2792" s="15">
        <f t="shared" si="4"/>
        <v>9576069.158</v>
      </c>
      <c r="L2792" s="45"/>
      <c r="M2792" s="6"/>
    </row>
    <row r="2793" ht="15.75" customHeight="1">
      <c r="A2793" s="162">
        <v>46080.0</v>
      </c>
      <c r="B2793" s="50"/>
      <c r="C2793" s="31" t="s">
        <v>635</v>
      </c>
      <c r="D2793" s="32" t="s">
        <v>15</v>
      </c>
      <c r="E2793" s="31" t="s">
        <v>3050</v>
      </c>
      <c r="F2793" s="161">
        <v>46079.0</v>
      </c>
      <c r="G2793" s="54">
        <v>1.112373281E7</v>
      </c>
      <c r="H2793" s="14">
        <f t="shared" si="9"/>
        <v>2335983.89</v>
      </c>
      <c r="I2793" s="22">
        <v>333711.98</v>
      </c>
      <c r="J2793" s="22"/>
      <c r="K2793" s="15">
        <f t="shared" si="4"/>
        <v>13793428.68</v>
      </c>
      <c r="L2793" s="45"/>
      <c r="M2793" s="6"/>
    </row>
    <row r="2794" ht="15.75" customHeight="1">
      <c r="A2794" s="162">
        <v>46080.0</v>
      </c>
      <c r="B2794" s="50"/>
      <c r="C2794" s="31" t="s">
        <v>635</v>
      </c>
      <c r="D2794" s="32" t="s">
        <v>15</v>
      </c>
      <c r="E2794" s="31" t="s">
        <v>3051</v>
      </c>
      <c r="F2794" s="161">
        <v>46079.0</v>
      </c>
      <c r="G2794" s="54">
        <v>5533353.41</v>
      </c>
      <c r="H2794" s="14">
        <f t="shared" si="9"/>
        <v>1162004.216</v>
      </c>
      <c r="I2794" s="22">
        <v>166000.6</v>
      </c>
      <c r="J2794" s="22"/>
      <c r="K2794" s="15">
        <f t="shared" si="4"/>
        <v>6861358.226</v>
      </c>
      <c r="L2794" s="45"/>
      <c r="M2794" s="6"/>
    </row>
    <row r="2795" ht="15.75" customHeight="1">
      <c r="A2795" s="162">
        <v>46080.0</v>
      </c>
      <c r="B2795" s="50"/>
      <c r="C2795" s="31" t="s">
        <v>635</v>
      </c>
      <c r="D2795" s="32" t="s">
        <v>15</v>
      </c>
      <c r="E2795" s="31" t="s">
        <v>3052</v>
      </c>
      <c r="F2795" s="161">
        <v>46079.0</v>
      </c>
      <c r="G2795" s="54">
        <v>1.133372313E7</v>
      </c>
      <c r="H2795" s="14">
        <f t="shared" si="9"/>
        <v>2380081.857</v>
      </c>
      <c r="I2795" s="22">
        <v>340011.69</v>
      </c>
      <c r="J2795" s="22"/>
      <c r="K2795" s="15">
        <f t="shared" si="4"/>
        <v>14053816.68</v>
      </c>
      <c r="L2795" s="45"/>
      <c r="M2795" s="6"/>
    </row>
    <row r="2796" ht="15.75" customHeight="1">
      <c r="A2796" s="162">
        <v>46080.0</v>
      </c>
      <c r="B2796" s="50"/>
      <c r="C2796" s="31" t="s">
        <v>635</v>
      </c>
      <c r="D2796" s="32" t="s">
        <v>15</v>
      </c>
      <c r="E2796" s="31" t="s">
        <v>3053</v>
      </c>
      <c r="F2796" s="161">
        <v>46079.0</v>
      </c>
      <c r="G2796" s="54">
        <v>1.622535312E7</v>
      </c>
      <c r="H2796" s="14">
        <f t="shared" si="9"/>
        <v>3407324.155</v>
      </c>
      <c r="I2796" s="22">
        <v>486760.59</v>
      </c>
      <c r="J2796" s="22"/>
      <c r="K2796" s="15">
        <f t="shared" si="4"/>
        <v>20119437.87</v>
      </c>
      <c r="L2796" s="45"/>
      <c r="M2796" s="6"/>
    </row>
    <row r="2797" ht="15.75" customHeight="1">
      <c r="A2797" s="210">
        <v>46080.0</v>
      </c>
      <c r="B2797" s="184"/>
      <c r="C2797" s="185" t="s">
        <v>635</v>
      </c>
      <c r="D2797" s="186" t="s">
        <v>15</v>
      </c>
      <c r="E2797" s="185" t="s">
        <v>3054</v>
      </c>
      <c r="F2797" s="187">
        <v>46079.0</v>
      </c>
      <c r="G2797" s="211">
        <v>1.622253329E7</v>
      </c>
      <c r="H2797" s="189">
        <f t="shared" si="9"/>
        <v>3406731.991</v>
      </c>
      <c r="I2797" s="190">
        <v>486676.0</v>
      </c>
      <c r="J2797" s="190"/>
      <c r="K2797" s="191">
        <f t="shared" si="4"/>
        <v>20115941.28</v>
      </c>
      <c r="L2797" s="192"/>
      <c r="M2797" s="193"/>
    </row>
    <row r="2798" ht="15.75" customHeight="1">
      <c r="A2798" s="162">
        <v>46080.0</v>
      </c>
      <c r="B2798" s="50"/>
      <c r="C2798" s="31" t="s">
        <v>635</v>
      </c>
      <c r="D2798" s="32" t="s">
        <v>15</v>
      </c>
      <c r="E2798" s="31" t="s">
        <v>3055</v>
      </c>
      <c r="F2798" s="161">
        <v>46079.0</v>
      </c>
      <c r="G2798" s="54">
        <v>1.113636382E7</v>
      </c>
      <c r="H2798" s="14">
        <f t="shared" si="9"/>
        <v>2338636.402</v>
      </c>
      <c r="I2798" s="22">
        <v>334090.91</v>
      </c>
      <c r="J2798" s="22"/>
      <c r="K2798" s="15">
        <f t="shared" si="4"/>
        <v>13809091.13</v>
      </c>
      <c r="L2798" s="45"/>
      <c r="M2798" s="6"/>
    </row>
    <row r="2799" ht="15.75" customHeight="1">
      <c r="A2799" s="162">
        <v>46080.0</v>
      </c>
      <c r="B2799" s="50"/>
      <c r="C2799" s="31" t="s">
        <v>635</v>
      </c>
      <c r="D2799" s="32" t="s">
        <v>15</v>
      </c>
      <c r="E2799" s="31" t="s">
        <v>3056</v>
      </c>
      <c r="F2799" s="161">
        <v>46079.0</v>
      </c>
      <c r="G2799" s="54">
        <v>1.922373305E7</v>
      </c>
      <c r="H2799" s="14">
        <f t="shared" si="9"/>
        <v>4036983.941</v>
      </c>
      <c r="I2799" s="22">
        <v>576711.99</v>
      </c>
      <c r="J2799" s="22"/>
      <c r="K2799" s="15">
        <f t="shared" si="4"/>
        <v>23837428.98</v>
      </c>
      <c r="L2799" s="45"/>
      <c r="M2799" s="6"/>
    </row>
    <row r="2800" ht="15.75" customHeight="1">
      <c r="A2800" s="162">
        <v>46080.0</v>
      </c>
      <c r="B2800" s="50"/>
      <c r="C2800" s="31" t="s">
        <v>635</v>
      </c>
      <c r="D2800" s="32" t="s">
        <v>15</v>
      </c>
      <c r="E2800" s="31" t="s">
        <v>3057</v>
      </c>
      <c r="F2800" s="161">
        <v>46079.0</v>
      </c>
      <c r="G2800" s="54">
        <v>2.533345319E7</v>
      </c>
      <c r="H2800" s="14">
        <f t="shared" si="9"/>
        <v>5320025.17</v>
      </c>
      <c r="I2800" s="22">
        <v>760003.6</v>
      </c>
      <c r="J2800" s="22"/>
      <c r="K2800" s="15">
        <f t="shared" si="4"/>
        <v>31413481.96</v>
      </c>
      <c r="L2800" s="45"/>
      <c r="M2800" s="6"/>
    </row>
    <row r="2801" ht="15.75" customHeight="1">
      <c r="A2801" s="162">
        <v>46080.0</v>
      </c>
      <c r="B2801" s="50"/>
      <c r="C2801" s="31" t="s">
        <v>635</v>
      </c>
      <c r="D2801" s="32" t="s">
        <v>15</v>
      </c>
      <c r="E2801" s="31" t="s">
        <v>3058</v>
      </c>
      <c r="F2801" s="161">
        <v>46079.0</v>
      </c>
      <c r="G2801" s="54">
        <v>2.733334621E7</v>
      </c>
      <c r="H2801" s="14">
        <f t="shared" si="9"/>
        <v>5740002.704</v>
      </c>
      <c r="I2801" s="22">
        <v>820000.39</v>
      </c>
      <c r="J2801" s="22"/>
      <c r="K2801" s="15">
        <f t="shared" si="4"/>
        <v>33893349.3</v>
      </c>
      <c r="L2801" s="45"/>
      <c r="M2801" s="6"/>
    </row>
    <row r="2802" ht="15.75" customHeight="1">
      <c r="A2802" s="162">
        <v>46080.0</v>
      </c>
      <c r="B2802" s="50"/>
      <c r="C2802" s="31" t="s">
        <v>635</v>
      </c>
      <c r="D2802" s="32" t="s">
        <v>15</v>
      </c>
      <c r="E2802" s="31" t="s">
        <v>3059</v>
      </c>
      <c r="F2802" s="161">
        <v>46079.0</v>
      </c>
      <c r="G2802" s="54">
        <v>9233387.12</v>
      </c>
      <c r="H2802" s="14">
        <f t="shared" si="9"/>
        <v>1939011.295</v>
      </c>
      <c r="I2802" s="22">
        <v>277001.61</v>
      </c>
      <c r="J2802" s="22"/>
      <c r="K2802" s="15">
        <f t="shared" si="4"/>
        <v>11449400.03</v>
      </c>
      <c r="L2802" s="45"/>
      <c r="M2802" s="6"/>
    </row>
    <row r="2803" ht="15.75" customHeight="1">
      <c r="A2803" s="210">
        <v>46080.0</v>
      </c>
      <c r="B2803" s="184"/>
      <c r="C2803" s="185" t="s">
        <v>635</v>
      </c>
      <c r="D2803" s="186" t="s">
        <v>15</v>
      </c>
      <c r="E2803" s="185" t="s">
        <v>3060</v>
      </c>
      <c r="F2803" s="187">
        <v>46079.0</v>
      </c>
      <c r="G2803" s="211">
        <v>1.722363611E7</v>
      </c>
      <c r="H2803" s="189">
        <f t="shared" si="9"/>
        <v>3616963.583</v>
      </c>
      <c r="I2803" s="190">
        <v>516709.08</v>
      </c>
      <c r="J2803" s="190"/>
      <c r="K2803" s="191">
        <f t="shared" si="4"/>
        <v>21357308.77</v>
      </c>
      <c r="L2803" s="192"/>
      <c r="M2803" s="193"/>
    </row>
    <row r="2804" ht="15.75" customHeight="1">
      <c r="A2804" s="162">
        <v>46080.0</v>
      </c>
      <c r="B2804" s="50"/>
      <c r="C2804" s="31" t="s">
        <v>635</v>
      </c>
      <c r="D2804" s="32" t="s">
        <v>15</v>
      </c>
      <c r="E2804" s="31" t="s">
        <v>3061</v>
      </c>
      <c r="F2804" s="161">
        <v>46079.0</v>
      </c>
      <c r="G2804" s="54">
        <v>1.332263323E7</v>
      </c>
      <c r="H2804" s="14">
        <f t="shared" si="9"/>
        <v>2797752.978</v>
      </c>
      <c r="I2804" s="22">
        <v>399679.0</v>
      </c>
      <c r="J2804" s="22"/>
      <c r="K2804" s="15">
        <f t="shared" si="4"/>
        <v>16520065.21</v>
      </c>
      <c r="L2804" s="45"/>
      <c r="M2804" s="6"/>
    </row>
    <row r="2805" ht="15.75" customHeight="1">
      <c r="A2805" s="162">
        <v>46080.0</v>
      </c>
      <c r="B2805" s="50"/>
      <c r="C2805" s="31" t="s">
        <v>635</v>
      </c>
      <c r="D2805" s="32" t="s">
        <v>15</v>
      </c>
      <c r="E2805" s="31" t="s">
        <v>3062</v>
      </c>
      <c r="F2805" s="161">
        <v>46079.0</v>
      </c>
      <c r="G2805" s="54">
        <v>9333373.52</v>
      </c>
      <c r="H2805" s="14">
        <f t="shared" si="9"/>
        <v>1960008.439</v>
      </c>
      <c r="I2805" s="22">
        <v>280001.21</v>
      </c>
      <c r="J2805" s="22"/>
      <c r="K2805" s="15">
        <f t="shared" si="4"/>
        <v>11573383.17</v>
      </c>
      <c r="L2805" s="45"/>
      <c r="M2805" s="6"/>
    </row>
    <row r="2806" ht="15.75" customHeight="1">
      <c r="A2806" s="162">
        <v>46080.0</v>
      </c>
      <c r="B2806" s="50"/>
      <c r="C2806" s="31" t="s">
        <v>3063</v>
      </c>
      <c r="D2806" s="32" t="s">
        <v>15</v>
      </c>
      <c r="E2806" s="31" t="s">
        <v>3064</v>
      </c>
      <c r="F2806" s="161">
        <v>46079.0</v>
      </c>
      <c r="G2806" s="54">
        <v>4822420.71</v>
      </c>
      <c r="H2806" s="14">
        <f t="shared" si="9"/>
        <v>1012708.349</v>
      </c>
      <c r="I2806" s="22">
        <v>144672.62</v>
      </c>
      <c r="J2806" s="22"/>
      <c r="K2806" s="15">
        <f t="shared" si="4"/>
        <v>5979801.679</v>
      </c>
      <c r="L2806" s="45"/>
      <c r="M2806" s="6"/>
    </row>
    <row r="2807" ht="15.75" customHeight="1">
      <c r="A2807" s="162">
        <v>46080.0</v>
      </c>
      <c r="B2807" s="50"/>
      <c r="C2807" s="31" t="s">
        <v>3063</v>
      </c>
      <c r="D2807" s="32" t="s">
        <v>15</v>
      </c>
      <c r="E2807" s="31" t="s">
        <v>3065</v>
      </c>
      <c r="F2807" s="161">
        <v>46079.0</v>
      </c>
      <c r="G2807" s="54">
        <v>5193570.12</v>
      </c>
      <c r="H2807" s="14">
        <f t="shared" si="9"/>
        <v>1090649.725</v>
      </c>
      <c r="I2807" s="22">
        <v>155807.1</v>
      </c>
      <c r="J2807" s="22"/>
      <c r="K2807" s="15">
        <f t="shared" si="4"/>
        <v>6440026.945</v>
      </c>
      <c r="L2807" s="45"/>
      <c r="M2807" s="6"/>
    </row>
    <row r="2808" ht="15.75" customHeight="1">
      <c r="A2808" s="162">
        <v>46080.0</v>
      </c>
      <c r="B2808" s="50"/>
      <c r="C2808" s="31" t="s">
        <v>111</v>
      </c>
      <c r="D2808" s="32" t="s">
        <v>15</v>
      </c>
      <c r="E2808" s="31" t="s">
        <v>3066</v>
      </c>
      <c r="F2808" s="161">
        <v>46079.0</v>
      </c>
      <c r="G2808" s="54">
        <v>1.353174042E7</v>
      </c>
      <c r="H2808" s="14">
        <f t="shared" si="9"/>
        <v>2841665.488</v>
      </c>
      <c r="I2808" s="22"/>
      <c r="J2808" s="22"/>
      <c r="K2808" s="15">
        <f t="shared" si="4"/>
        <v>16373405.91</v>
      </c>
      <c r="L2808" s="45"/>
      <c r="M2808" s="6"/>
    </row>
    <row r="2809" ht="15.75" customHeight="1">
      <c r="A2809" s="162">
        <v>46080.0</v>
      </c>
      <c r="B2809" s="50"/>
      <c r="C2809" s="31" t="s">
        <v>111</v>
      </c>
      <c r="D2809" s="32" t="s">
        <v>15</v>
      </c>
      <c r="E2809" s="31" t="s">
        <v>3067</v>
      </c>
      <c r="F2809" s="161">
        <v>46079.0</v>
      </c>
      <c r="G2809" s="54">
        <v>1.648247082E7</v>
      </c>
      <c r="H2809" s="14">
        <f t="shared" si="9"/>
        <v>3461318.872</v>
      </c>
      <c r="I2809" s="22"/>
      <c r="J2809" s="22"/>
      <c r="K2809" s="15">
        <f t="shared" si="4"/>
        <v>19943789.69</v>
      </c>
      <c r="L2809" s="45"/>
      <c r="M2809" s="6"/>
    </row>
    <row r="2810" ht="15.75" customHeight="1">
      <c r="A2810" s="162">
        <v>46080.0</v>
      </c>
      <c r="B2810" s="50"/>
      <c r="C2810" s="31" t="s">
        <v>3068</v>
      </c>
      <c r="D2810" s="32" t="s">
        <v>99</v>
      </c>
      <c r="E2810" s="31" t="s">
        <v>3069</v>
      </c>
      <c r="F2810" s="161">
        <v>46079.0</v>
      </c>
      <c r="G2810" s="54">
        <v>1.010344708E7</v>
      </c>
      <c r="H2810" s="14">
        <f t="shared" si="9"/>
        <v>2121723.887</v>
      </c>
      <c r="I2810" s="22"/>
      <c r="J2810" s="22"/>
      <c r="K2810" s="15">
        <f t="shared" si="4"/>
        <v>12225170.97</v>
      </c>
      <c r="L2810" s="45"/>
      <c r="M2810" s="6"/>
    </row>
    <row r="2811" ht="15.75" customHeight="1">
      <c r="A2811" s="162">
        <v>46080.0</v>
      </c>
      <c r="B2811" s="50"/>
      <c r="C2811" s="31" t="s">
        <v>1275</v>
      </c>
      <c r="D2811" s="32" t="s">
        <v>99</v>
      </c>
      <c r="E2811" s="31" t="s">
        <v>3070</v>
      </c>
      <c r="F2811" s="161">
        <v>46079.0</v>
      </c>
      <c r="G2811" s="54">
        <v>8733263.08</v>
      </c>
      <c r="H2811" s="14">
        <f t="shared" si="9"/>
        <v>1833985.247</v>
      </c>
      <c r="I2811" s="22">
        <v>261997.89</v>
      </c>
      <c r="J2811" s="22"/>
      <c r="K2811" s="15">
        <f t="shared" si="4"/>
        <v>10829246.22</v>
      </c>
      <c r="L2811" s="45"/>
      <c r="M2811" s="6"/>
    </row>
    <row r="2812" ht="15.75" customHeight="1">
      <c r="A2812" s="162">
        <v>46080.0</v>
      </c>
      <c r="B2812" s="50"/>
      <c r="C2812" s="31" t="s">
        <v>1275</v>
      </c>
      <c r="D2812" s="32" t="s">
        <v>99</v>
      </c>
      <c r="E2812" s="31" t="s">
        <v>3071</v>
      </c>
      <c r="F2812" s="161">
        <v>46079.0</v>
      </c>
      <c r="G2812" s="54">
        <v>2443733.03</v>
      </c>
      <c r="H2812" s="14">
        <f t="shared" si="9"/>
        <v>513183.9363</v>
      </c>
      <c r="I2812" s="22">
        <v>73311.99</v>
      </c>
      <c r="J2812" s="22"/>
      <c r="K2812" s="15">
        <f t="shared" si="4"/>
        <v>3030228.956</v>
      </c>
      <c r="L2812" s="45"/>
      <c r="M2812" s="6"/>
    </row>
    <row r="2813" ht="15.75" customHeight="1">
      <c r="A2813" s="162">
        <v>46080.0</v>
      </c>
      <c r="B2813" s="50"/>
      <c r="C2813" s="31" t="s">
        <v>1275</v>
      </c>
      <c r="D2813" s="32" t="s">
        <v>99</v>
      </c>
      <c r="E2813" s="31" t="s">
        <v>3072</v>
      </c>
      <c r="F2813" s="161">
        <v>46079.0</v>
      </c>
      <c r="G2813" s="54">
        <v>6223362.03</v>
      </c>
      <c r="H2813" s="14">
        <f t="shared" si="9"/>
        <v>1306906.026</v>
      </c>
      <c r="I2813" s="22">
        <v>186700.86</v>
      </c>
      <c r="J2813" s="22"/>
      <c r="K2813" s="15">
        <f t="shared" si="4"/>
        <v>7716968.916</v>
      </c>
      <c r="L2813" s="45"/>
      <c r="M2813" s="6"/>
    </row>
    <row r="2814" ht="15.75" customHeight="1">
      <c r="A2814" s="162">
        <v>46080.0</v>
      </c>
      <c r="B2814" s="50"/>
      <c r="C2814" s="31" t="s">
        <v>1275</v>
      </c>
      <c r="D2814" s="32" t="s">
        <v>99</v>
      </c>
      <c r="E2814" s="31" t="s">
        <v>3073</v>
      </c>
      <c r="F2814" s="161">
        <v>46079.0</v>
      </c>
      <c r="G2814" s="54">
        <v>2733363.12</v>
      </c>
      <c r="H2814" s="14">
        <f t="shared" si="9"/>
        <v>574006.2552</v>
      </c>
      <c r="I2814" s="22">
        <v>82000.89</v>
      </c>
      <c r="J2814" s="22"/>
      <c r="K2814" s="15">
        <f t="shared" si="4"/>
        <v>3389370.265</v>
      </c>
      <c r="L2814" s="45"/>
      <c r="M2814" s="6"/>
    </row>
    <row r="2815" ht="15.75" customHeight="1">
      <c r="A2815" s="162">
        <v>46080.0</v>
      </c>
      <c r="B2815" s="50"/>
      <c r="C2815" s="31" t="s">
        <v>1277</v>
      </c>
      <c r="D2815" s="32" t="s">
        <v>99</v>
      </c>
      <c r="E2815" s="31" t="s">
        <v>3074</v>
      </c>
      <c r="F2815" s="161">
        <v>46079.0</v>
      </c>
      <c r="G2815" s="54">
        <v>4933383.12</v>
      </c>
      <c r="H2815" s="14">
        <f t="shared" si="9"/>
        <v>1036010.455</v>
      </c>
      <c r="I2815" s="22">
        <v>148001.49</v>
      </c>
      <c r="J2815" s="22"/>
      <c r="K2815" s="15">
        <f t="shared" si="4"/>
        <v>6117395.065</v>
      </c>
      <c r="L2815" s="45"/>
      <c r="M2815" s="6"/>
    </row>
    <row r="2816" ht="15.75" customHeight="1">
      <c r="A2816" s="162">
        <v>46080.0</v>
      </c>
      <c r="B2816" s="50"/>
      <c r="C2816" s="31" t="s">
        <v>1277</v>
      </c>
      <c r="D2816" s="32" t="s">
        <v>99</v>
      </c>
      <c r="E2816" s="31" t="s">
        <v>3075</v>
      </c>
      <c r="F2816" s="161">
        <v>46079.0</v>
      </c>
      <c r="G2816" s="54">
        <v>2444734.12</v>
      </c>
      <c r="H2816" s="14">
        <f t="shared" si="9"/>
        <v>513394.1652</v>
      </c>
      <c r="I2816" s="22">
        <v>73342.02</v>
      </c>
      <c r="J2816" s="22"/>
      <c r="K2816" s="15">
        <f t="shared" si="4"/>
        <v>3031470.305</v>
      </c>
      <c r="L2816" s="45"/>
      <c r="M2816" s="6"/>
    </row>
    <row r="2817" ht="15.75" customHeight="1">
      <c r="A2817" s="162">
        <v>46080.0</v>
      </c>
      <c r="B2817" s="50"/>
      <c r="C2817" s="31" t="s">
        <v>1277</v>
      </c>
      <c r="D2817" s="32" t="s">
        <v>99</v>
      </c>
      <c r="E2817" s="31" t="s">
        <v>3076</v>
      </c>
      <c r="F2817" s="161">
        <v>46079.0</v>
      </c>
      <c r="G2817" s="54">
        <v>4633373.13</v>
      </c>
      <c r="H2817" s="14">
        <f t="shared" si="9"/>
        <v>973008.3573</v>
      </c>
      <c r="I2817" s="22">
        <v>139001.19</v>
      </c>
      <c r="J2817" s="22"/>
      <c r="K2817" s="15">
        <f t="shared" si="4"/>
        <v>5745382.677</v>
      </c>
      <c r="L2817" s="45"/>
      <c r="M2817" s="6"/>
    </row>
    <row r="2818" ht="15.75" customHeight="1">
      <c r="A2818" s="162">
        <v>46080.0</v>
      </c>
      <c r="B2818" s="50"/>
      <c r="C2818" s="31" t="s">
        <v>1277</v>
      </c>
      <c r="D2818" s="32" t="s">
        <v>99</v>
      </c>
      <c r="E2818" s="31" t="s">
        <v>3077</v>
      </c>
      <c r="F2818" s="161">
        <v>46079.0</v>
      </c>
      <c r="G2818" s="54">
        <v>1733363.13</v>
      </c>
      <c r="H2818" s="14">
        <f t="shared" si="9"/>
        <v>364006.2573</v>
      </c>
      <c r="I2818" s="22">
        <v>52000.89</v>
      </c>
      <c r="J2818" s="22"/>
      <c r="K2818" s="15">
        <f t="shared" si="4"/>
        <v>2149370.277</v>
      </c>
      <c r="L2818" s="45"/>
      <c r="M2818" s="6"/>
    </row>
    <row r="2819" ht="15.75" customHeight="1">
      <c r="A2819" s="162">
        <v>46080.0</v>
      </c>
      <c r="B2819" s="50"/>
      <c r="C2819" s="31" t="s">
        <v>1279</v>
      </c>
      <c r="D2819" s="32" t="s">
        <v>99</v>
      </c>
      <c r="E2819" s="31" t="s">
        <v>3078</v>
      </c>
      <c r="F2819" s="161">
        <v>46079.0</v>
      </c>
      <c r="G2819" s="54">
        <v>1.211339812E7</v>
      </c>
      <c r="H2819" s="14">
        <f t="shared" si="9"/>
        <v>2543813.605</v>
      </c>
      <c r="I2819" s="22">
        <v>363401.94</v>
      </c>
      <c r="J2819" s="22"/>
      <c r="K2819" s="15">
        <f t="shared" si="4"/>
        <v>15020613.67</v>
      </c>
      <c r="L2819" s="45"/>
      <c r="M2819" s="6"/>
    </row>
    <row r="2820" ht="15.75" customHeight="1">
      <c r="A2820" s="162">
        <v>46080.0</v>
      </c>
      <c r="B2820" s="50"/>
      <c r="C2820" s="31" t="s">
        <v>1279</v>
      </c>
      <c r="D2820" s="32" t="s">
        <v>99</v>
      </c>
      <c r="E2820" s="31" t="s">
        <v>3079</v>
      </c>
      <c r="F2820" s="161">
        <v>46079.0</v>
      </c>
      <c r="G2820" s="54">
        <v>5229383.08</v>
      </c>
      <c r="H2820" s="14">
        <f t="shared" si="9"/>
        <v>1098170.447</v>
      </c>
      <c r="I2820" s="22">
        <v>156881.49</v>
      </c>
      <c r="J2820" s="22"/>
      <c r="K2820" s="15">
        <f t="shared" si="4"/>
        <v>6484435.017</v>
      </c>
      <c r="L2820" s="45"/>
      <c r="M2820" s="6"/>
    </row>
    <row r="2821" ht="15.75" customHeight="1">
      <c r="A2821" s="162">
        <v>46080.0</v>
      </c>
      <c r="B2821" s="50"/>
      <c r="C2821" s="31" t="s">
        <v>1279</v>
      </c>
      <c r="D2821" s="32" t="s">
        <v>99</v>
      </c>
      <c r="E2821" s="31" t="s">
        <v>3080</v>
      </c>
      <c r="F2821" s="161">
        <v>46079.0</v>
      </c>
      <c r="G2821" s="54">
        <v>1.023373309E7</v>
      </c>
      <c r="H2821" s="14">
        <f t="shared" si="9"/>
        <v>2149083.949</v>
      </c>
      <c r="I2821" s="22">
        <v>307011.99</v>
      </c>
      <c r="J2821" s="22"/>
      <c r="K2821" s="15">
        <f t="shared" si="4"/>
        <v>12689829.03</v>
      </c>
      <c r="L2821" s="45"/>
      <c r="M2821" s="6"/>
    </row>
    <row r="2822" ht="15.75" customHeight="1">
      <c r="A2822" s="162">
        <v>46080.0</v>
      </c>
      <c r="B2822" s="50"/>
      <c r="C2822" s="31" t="s">
        <v>1279</v>
      </c>
      <c r="D2822" s="32" t="s">
        <v>99</v>
      </c>
      <c r="E2822" s="31" t="s">
        <v>3081</v>
      </c>
      <c r="F2822" s="161">
        <v>46079.0</v>
      </c>
      <c r="G2822" s="54">
        <v>3733643.16</v>
      </c>
      <c r="H2822" s="14">
        <f t="shared" si="9"/>
        <v>784065.0636</v>
      </c>
      <c r="I2822" s="22">
        <v>112009.29</v>
      </c>
      <c r="J2822" s="22"/>
      <c r="K2822" s="15">
        <f t="shared" si="4"/>
        <v>4629717.514</v>
      </c>
      <c r="L2822" s="45"/>
      <c r="M2822" s="6"/>
    </row>
    <row r="2823" ht="15.75" customHeight="1">
      <c r="A2823" s="162">
        <v>46080.0</v>
      </c>
      <c r="B2823" s="50"/>
      <c r="C2823" s="31" t="s">
        <v>1281</v>
      </c>
      <c r="D2823" s="32" t="s">
        <v>99</v>
      </c>
      <c r="E2823" s="31" t="s">
        <v>3082</v>
      </c>
      <c r="F2823" s="161">
        <v>46079.0</v>
      </c>
      <c r="G2823" s="54">
        <v>773363.41</v>
      </c>
      <c r="H2823" s="14">
        <f t="shared" si="9"/>
        <v>162406.3161</v>
      </c>
      <c r="I2823" s="22">
        <v>23200.9</v>
      </c>
      <c r="J2823" s="22"/>
      <c r="K2823" s="15">
        <f t="shared" si="4"/>
        <v>958970.6261</v>
      </c>
      <c r="L2823" s="45"/>
      <c r="M2823" s="6"/>
    </row>
    <row r="2824" ht="15.75" customHeight="1">
      <c r="A2824" s="162">
        <v>46080.0</v>
      </c>
      <c r="B2824" s="50"/>
      <c r="C2824" s="31" t="s">
        <v>1281</v>
      </c>
      <c r="D2824" s="32" t="s">
        <v>99</v>
      </c>
      <c r="E2824" s="31" t="s">
        <v>3083</v>
      </c>
      <c r="F2824" s="161">
        <v>46079.0</v>
      </c>
      <c r="G2824" s="54">
        <v>412229.12</v>
      </c>
      <c r="H2824" s="14">
        <f t="shared" si="9"/>
        <v>86568.1152</v>
      </c>
      <c r="I2824" s="22">
        <v>12366.87</v>
      </c>
      <c r="J2824" s="22"/>
      <c r="K2824" s="15">
        <f t="shared" si="4"/>
        <v>511164.1052</v>
      </c>
      <c r="L2824" s="45"/>
      <c r="M2824" s="6"/>
    </row>
    <row r="2825" ht="15.75" customHeight="1">
      <c r="A2825" s="162">
        <v>46080.0</v>
      </c>
      <c r="B2825" s="50"/>
      <c r="C2825" s="31" t="s">
        <v>1281</v>
      </c>
      <c r="D2825" s="32" t="s">
        <v>99</v>
      </c>
      <c r="E2825" s="31" t="s">
        <v>3084</v>
      </c>
      <c r="F2825" s="161">
        <v>46079.0</v>
      </c>
      <c r="G2825" s="54">
        <v>369334.19</v>
      </c>
      <c r="H2825" s="14">
        <f t="shared" si="9"/>
        <v>77560.1799</v>
      </c>
      <c r="I2825" s="22">
        <v>11080.03</v>
      </c>
      <c r="J2825" s="22"/>
      <c r="K2825" s="15">
        <f t="shared" si="4"/>
        <v>457974.3999</v>
      </c>
      <c r="L2825" s="45"/>
      <c r="M2825" s="6"/>
    </row>
    <row r="2826" ht="15.75" customHeight="1">
      <c r="A2826" s="162">
        <v>46080.0</v>
      </c>
      <c r="B2826" s="50"/>
      <c r="C2826" s="31" t="s">
        <v>1281</v>
      </c>
      <c r="D2826" s="32" t="s">
        <v>99</v>
      </c>
      <c r="E2826" s="31" t="s">
        <v>3085</v>
      </c>
      <c r="F2826" s="161">
        <v>46079.0</v>
      </c>
      <c r="G2826" s="54">
        <v>1112223.09</v>
      </c>
      <c r="H2826" s="14">
        <f t="shared" si="9"/>
        <v>233566.8489</v>
      </c>
      <c r="I2826" s="22">
        <v>33366.69</v>
      </c>
      <c r="J2826" s="22"/>
      <c r="K2826" s="15">
        <f t="shared" si="4"/>
        <v>1379156.629</v>
      </c>
      <c r="L2826" s="45"/>
      <c r="M2826" s="6"/>
    </row>
    <row r="2827" ht="15.75" customHeight="1">
      <c r="A2827" s="162">
        <v>46080.0</v>
      </c>
      <c r="B2827" s="50"/>
      <c r="C2827" s="31" t="s">
        <v>1283</v>
      </c>
      <c r="D2827" s="32" t="s">
        <v>99</v>
      </c>
      <c r="E2827" s="31" t="s">
        <v>3086</v>
      </c>
      <c r="F2827" s="161">
        <v>46079.0</v>
      </c>
      <c r="G2827" s="54">
        <v>5993387.12</v>
      </c>
      <c r="H2827" s="14">
        <f t="shared" si="9"/>
        <v>1258611.295</v>
      </c>
      <c r="I2827" s="22">
        <v>179801.61</v>
      </c>
      <c r="J2827" s="22">
        <v>29966.94</v>
      </c>
      <c r="K2827" s="15">
        <f t="shared" si="4"/>
        <v>7461766.965</v>
      </c>
      <c r="L2827" s="45"/>
      <c r="M2827" s="24">
        <v>46094.0</v>
      </c>
    </row>
    <row r="2828" ht="15.75" customHeight="1">
      <c r="A2828" s="162">
        <v>46080.0</v>
      </c>
      <c r="B2828" s="50"/>
      <c r="C2828" s="31" t="s">
        <v>1283</v>
      </c>
      <c r="D2828" s="32" t="s">
        <v>99</v>
      </c>
      <c r="E2828" s="31" t="s">
        <v>3087</v>
      </c>
      <c r="F2828" s="161">
        <v>46079.0</v>
      </c>
      <c r="G2828" s="54">
        <v>4993384.32</v>
      </c>
      <c r="H2828" s="14">
        <f t="shared" si="9"/>
        <v>1048610.707</v>
      </c>
      <c r="I2828" s="22">
        <v>149801.53</v>
      </c>
      <c r="J2828" s="22">
        <v>24966.92</v>
      </c>
      <c r="K2828" s="15">
        <f t="shared" si="4"/>
        <v>6216763.477</v>
      </c>
      <c r="L2828" s="45"/>
      <c r="M2828" s="24">
        <v>46094.0</v>
      </c>
    </row>
    <row r="2829" ht="15.75" customHeight="1">
      <c r="A2829" s="162">
        <v>46080.0</v>
      </c>
      <c r="B2829" s="50"/>
      <c r="C2829" s="31" t="s">
        <v>1283</v>
      </c>
      <c r="D2829" s="32" t="s">
        <v>99</v>
      </c>
      <c r="E2829" s="31" t="s">
        <v>3088</v>
      </c>
      <c r="F2829" s="161">
        <v>46079.0</v>
      </c>
      <c r="G2829" s="54">
        <v>5112233.09</v>
      </c>
      <c r="H2829" s="14">
        <f t="shared" si="9"/>
        <v>1073568.949</v>
      </c>
      <c r="I2829" s="22">
        <v>153366.99</v>
      </c>
      <c r="J2829" s="22">
        <v>25561.17</v>
      </c>
      <c r="K2829" s="15">
        <f t="shared" si="4"/>
        <v>6364730.199</v>
      </c>
      <c r="L2829" s="45"/>
      <c r="M2829" s="24">
        <v>46094.0</v>
      </c>
    </row>
    <row r="2830" ht="15.75" customHeight="1">
      <c r="A2830" s="162">
        <v>46080.0</v>
      </c>
      <c r="B2830" s="50"/>
      <c r="C2830" s="31" t="s">
        <v>1283</v>
      </c>
      <c r="D2830" s="32" t="s">
        <v>99</v>
      </c>
      <c r="E2830" s="31" t="s">
        <v>3089</v>
      </c>
      <c r="F2830" s="161">
        <v>46079.0</v>
      </c>
      <c r="G2830" s="54">
        <v>5883378.32</v>
      </c>
      <c r="H2830" s="14">
        <f t="shared" si="9"/>
        <v>1235509.447</v>
      </c>
      <c r="I2830" s="22">
        <v>176501.35</v>
      </c>
      <c r="J2830" s="22">
        <v>29416.89</v>
      </c>
      <c r="K2830" s="15">
        <f t="shared" si="4"/>
        <v>7324806.007</v>
      </c>
      <c r="L2830" s="45"/>
      <c r="M2830" s="24">
        <v>46094.0</v>
      </c>
    </row>
    <row r="2831" ht="15.75" customHeight="1">
      <c r="A2831" s="162">
        <v>46080.0</v>
      </c>
      <c r="B2831" s="50"/>
      <c r="C2831" s="31" t="s">
        <v>111</v>
      </c>
      <c r="D2831" s="32" t="s">
        <v>99</v>
      </c>
      <c r="E2831" s="31" t="s">
        <v>3090</v>
      </c>
      <c r="F2831" s="161">
        <v>46079.0</v>
      </c>
      <c r="G2831" s="54">
        <v>6890360.15</v>
      </c>
      <c r="H2831" s="14">
        <f t="shared" si="9"/>
        <v>1446975.632</v>
      </c>
      <c r="I2831" s="22"/>
      <c r="J2831" s="22"/>
      <c r="K2831" s="15">
        <f t="shared" si="4"/>
        <v>8337335.782</v>
      </c>
      <c r="L2831" s="45"/>
      <c r="M2831" s="6"/>
    </row>
    <row r="2832" ht="15.75" customHeight="1">
      <c r="A2832" s="162">
        <v>46080.0</v>
      </c>
      <c r="B2832" s="50"/>
      <c r="C2832" s="31" t="s">
        <v>111</v>
      </c>
      <c r="D2832" s="32" t="s">
        <v>99</v>
      </c>
      <c r="E2832" s="31" t="s">
        <v>3091</v>
      </c>
      <c r="F2832" s="161">
        <v>46079.0</v>
      </c>
      <c r="G2832" s="54">
        <v>1.342384026E7</v>
      </c>
      <c r="H2832" s="14">
        <f t="shared" si="9"/>
        <v>2819006.455</v>
      </c>
      <c r="I2832" s="22"/>
      <c r="J2832" s="22"/>
      <c r="K2832" s="15">
        <f t="shared" si="4"/>
        <v>16242846.71</v>
      </c>
      <c r="L2832" s="45"/>
      <c r="M2832" s="6"/>
    </row>
    <row r="2833" ht="15.75" customHeight="1">
      <c r="A2833" s="162">
        <v>46080.0</v>
      </c>
      <c r="B2833" s="50"/>
      <c r="C2833" s="31" t="s">
        <v>111</v>
      </c>
      <c r="D2833" s="32" t="s">
        <v>99</v>
      </c>
      <c r="E2833" s="31" t="s">
        <v>3092</v>
      </c>
      <c r="F2833" s="161">
        <v>46079.0</v>
      </c>
      <c r="G2833" s="54">
        <v>9694570.23</v>
      </c>
      <c r="H2833" s="14">
        <f t="shared" si="9"/>
        <v>2035859.748</v>
      </c>
      <c r="I2833" s="22">
        <v>290837.11</v>
      </c>
      <c r="J2833" s="22"/>
      <c r="K2833" s="15">
        <f t="shared" si="4"/>
        <v>12021267.09</v>
      </c>
      <c r="L2833" s="45"/>
      <c r="M2833" s="6"/>
    </row>
    <row r="2834" ht="15.75" customHeight="1">
      <c r="A2834" s="162">
        <v>46080.0</v>
      </c>
      <c r="B2834" s="50"/>
      <c r="C2834" s="31" t="s">
        <v>423</v>
      </c>
      <c r="D2834" s="32" t="s">
        <v>15</v>
      </c>
      <c r="E2834" s="31" t="s">
        <v>3093</v>
      </c>
      <c r="F2834" s="161">
        <v>46079.0</v>
      </c>
      <c r="G2834" s="54">
        <v>2502712.85</v>
      </c>
      <c r="H2834" s="14">
        <f t="shared" si="9"/>
        <v>525569.6985</v>
      </c>
      <c r="I2834" s="22">
        <v>75081.39</v>
      </c>
      <c r="J2834" s="22">
        <v>50054.26</v>
      </c>
      <c r="K2834" s="15">
        <f t="shared" si="4"/>
        <v>3153418.199</v>
      </c>
      <c r="L2834" s="45"/>
      <c r="M2834" s="6"/>
    </row>
    <row r="2835" ht="15.75" customHeight="1">
      <c r="A2835" s="162">
        <v>46080.0</v>
      </c>
      <c r="B2835" s="50"/>
      <c r="C2835" s="31" t="s">
        <v>423</v>
      </c>
      <c r="D2835" s="32" t="s">
        <v>99</v>
      </c>
      <c r="E2835" s="31" t="s">
        <v>3094</v>
      </c>
      <c r="F2835" s="161">
        <v>46079.0</v>
      </c>
      <c r="G2835" s="54">
        <v>2553398.74</v>
      </c>
      <c r="H2835" s="14">
        <f t="shared" si="9"/>
        <v>536213.7354</v>
      </c>
      <c r="I2835" s="22">
        <v>76601.96</v>
      </c>
      <c r="J2835" s="22">
        <v>51067.97</v>
      </c>
      <c r="K2835" s="15">
        <f t="shared" si="4"/>
        <v>3217282.405</v>
      </c>
      <c r="L2835" s="45"/>
      <c r="M2835" s="6"/>
    </row>
    <row r="2836" ht="15.75" customHeight="1">
      <c r="A2836" s="162">
        <v>46080.0</v>
      </c>
      <c r="B2836" s="50"/>
      <c r="C2836" s="31" t="s">
        <v>423</v>
      </c>
      <c r="D2836" s="32" t="s">
        <v>15</v>
      </c>
      <c r="E2836" s="31" t="s">
        <v>3095</v>
      </c>
      <c r="F2836" s="161">
        <v>46079.0</v>
      </c>
      <c r="G2836" s="54">
        <v>2497327.82</v>
      </c>
      <c r="H2836" s="14">
        <f t="shared" si="9"/>
        <v>524438.8422</v>
      </c>
      <c r="I2836" s="22">
        <v>74919.83</v>
      </c>
      <c r="J2836" s="22">
        <v>49946.56</v>
      </c>
      <c r="K2836" s="15">
        <f t="shared" si="4"/>
        <v>3146633.052</v>
      </c>
      <c r="L2836" s="45"/>
      <c r="M2836" s="6"/>
    </row>
    <row r="2837" ht="15.75" customHeight="1">
      <c r="A2837" s="162">
        <v>46080.0</v>
      </c>
      <c r="B2837" s="50"/>
      <c r="C2837" s="31" t="s">
        <v>423</v>
      </c>
      <c r="D2837" s="32" t="s">
        <v>99</v>
      </c>
      <c r="E2837" s="31" t="s">
        <v>3096</v>
      </c>
      <c r="F2837" s="161">
        <v>46079.0</v>
      </c>
      <c r="G2837" s="54">
        <v>2448157.91</v>
      </c>
      <c r="H2837" s="14">
        <f t="shared" si="9"/>
        <v>514113.1611</v>
      </c>
      <c r="I2837" s="22">
        <v>73444.74</v>
      </c>
      <c r="J2837" s="22">
        <v>48963.16</v>
      </c>
      <c r="K2837" s="15">
        <f t="shared" si="4"/>
        <v>3084678.971</v>
      </c>
      <c r="L2837" s="45"/>
      <c r="M2837" s="6"/>
    </row>
    <row r="2838" ht="15.75" customHeight="1">
      <c r="A2838" s="162">
        <v>46080.0</v>
      </c>
      <c r="B2838" s="50"/>
      <c r="C2838" s="31" t="s">
        <v>1279</v>
      </c>
      <c r="D2838" s="32" t="s">
        <v>15</v>
      </c>
      <c r="E2838" s="31" t="s">
        <v>3097</v>
      </c>
      <c r="F2838" s="161">
        <v>46079.0</v>
      </c>
      <c r="G2838" s="54">
        <v>1.223333708E7</v>
      </c>
      <c r="H2838" s="14">
        <f t="shared" si="9"/>
        <v>2569000.787</v>
      </c>
      <c r="I2838" s="22">
        <v>367000.11</v>
      </c>
      <c r="J2838" s="22"/>
      <c r="K2838" s="15">
        <f t="shared" si="4"/>
        <v>15169337.98</v>
      </c>
      <c r="L2838" s="45"/>
      <c r="M2838" s="6"/>
    </row>
    <row r="2839" ht="15.75" customHeight="1">
      <c r="A2839" s="162">
        <v>46080.0</v>
      </c>
      <c r="B2839" s="50"/>
      <c r="C2839" s="31" t="s">
        <v>1279</v>
      </c>
      <c r="D2839" s="32" t="s">
        <v>15</v>
      </c>
      <c r="E2839" s="31" t="s">
        <v>3098</v>
      </c>
      <c r="F2839" s="161">
        <v>46079.0</v>
      </c>
      <c r="G2839" s="54">
        <v>1.123333315E7</v>
      </c>
      <c r="H2839" s="14">
        <f t="shared" si="9"/>
        <v>2358999.962</v>
      </c>
      <c r="I2839" s="22">
        <v>336999.99</v>
      </c>
      <c r="J2839" s="22"/>
      <c r="K2839" s="15">
        <f t="shared" si="4"/>
        <v>13929333.1</v>
      </c>
      <c r="L2839" s="45"/>
      <c r="M2839" s="6"/>
    </row>
    <row r="2840" ht="15.75" customHeight="1">
      <c r="A2840" s="162">
        <v>46080.0</v>
      </c>
      <c r="B2840" s="50"/>
      <c r="C2840" s="31" t="s">
        <v>1279</v>
      </c>
      <c r="D2840" s="32" t="s">
        <v>15</v>
      </c>
      <c r="E2840" s="31" t="s">
        <v>3099</v>
      </c>
      <c r="F2840" s="161">
        <v>46079.0</v>
      </c>
      <c r="G2840" s="54">
        <v>5333633.36</v>
      </c>
      <c r="H2840" s="14">
        <f t="shared" si="9"/>
        <v>1120063.006</v>
      </c>
      <c r="I2840" s="22">
        <v>160009.0</v>
      </c>
      <c r="J2840" s="22"/>
      <c r="K2840" s="15">
        <f t="shared" si="4"/>
        <v>6613705.366</v>
      </c>
      <c r="L2840" s="45"/>
      <c r="M2840" s="6"/>
    </row>
    <row r="2841" ht="15.75" customHeight="1">
      <c r="A2841" s="162">
        <v>46080.0</v>
      </c>
      <c r="B2841" s="50"/>
      <c r="C2841" s="31" t="s">
        <v>1279</v>
      </c>
      <c r="D2841" s="32" t="s">
        <v>15</v>
      </c>
      <c r="E2841" s="31" t="s">
        <v>3100</v>
      </c>
      <c r="F2841" s="161">
        <v>46079.0</v>
      </c>
      <c r="G2841" s="54">
        <v>3633436.08</v>
      </c>
      <c r="H2841" s="14">
        <f t="shared" si="9"/>
        <v>763021.5768</v>
      </c>
      <c r="I2841" s="22">
        <v>109003.08</v>
      </c>
      <c r="J2841" s="22"/>
      <c r="K2841" s="15">
        <f t="shared" si="4"/>
        <v>4505460.737</v>
      </c>
      <c r="L2841" s="45"/>
      <c r="M2841" s="6"/>
    </row>
    <row r="2842" ht="15.75" customHeight="1">
      <c r="A2842" s="162">
        <v>46080.0</v>
      </c>
      <c r="B2842" s="50"/>
      <c r="C2842" s="31" t="s">
        <v>1281</v>
      </c>
      <c r="D2842" s="32" t="s">
        <v>15</v>
      </c>
      <c r="E2842" s="31" t="s">
        <v>3101</v>
      </c>
      <c r="F2842" s="161">
        <v>46079.0</v>
      </c>
      <c r="G2842" s="54">
        <v>844733.07</v>
      </c>
      <c r="H2842" s="14">
        <f t="shared" si="9"/>
        <v>177393.9447</v>
      </c>
      <c r="I2842" s="22">
        <v>25341.99</v>
      </c>
      <c r="J2842" s="22"/>
      <c r="K2842" s="15">
        <f t="shared" si="4"/>
        <v>1047469.005</v>
      </c>
      <c r="L2842" s="45"/>
      <c r="M2842" s="6"/>
    </row>
    <row r="2843" ht="15.75" customHeight="1">
      <c r="A2843" s="162">
        <v>46080.0</v>
      </c>
      <c r="B2843" s="50"/>
      <c r="C2843" s="31" t="s">
        <v>1281</v>
      </c>
      <c r="D2843" s="32" t="s">
        <v>15</v>
      </c>
      <c r="E2843" s="31" t="s">
        <v>3102</v>
      </c>
      <c r="F2843" s="161">
        <v>46079.0</v>
      </c>
      <c r="G2843" s="54">
        <v>1002338.32</v>
      </c>
      <c r="H2843" s="14">
        <f t="shared" si="9"/>
        <v>210491.0472</v>
      </c>
      <c r="I2843" s="22">
        <v>30070.15</v>
      </c>
      <c r="J2843" s="22"/>
      <c r="K2843" s="15">
        <f t="shared" si="4"/>
        <v>1242899.517</v>
      </c>
      <c r="L2843" s="45"/>
      <c r="M2843" s="6"/>
    </row>
    <row r="2844" ht="15.75" customHeight="1">
      <c r="A2844" s="162">
        <v>46080.0</v>
      </c>
      <c r="B2844" s="50"/>
      <c r="C2844" s="31" t="s">
        <v>1281</v>
      </c>
      <c r="D2844" s="32" t="s">
        <v>15</v>
      </c>
      <c r="E2844" s="31" t="s">
        <v>3103</v>
      </c>
      <c r="F2844" s="161">
        <v>46079.0</v>
      </c>
      <c r="G2844" s="54">
        <v>433643.15</v>
      </c>
      <c r="H2844" s="14">
        <f t="shared" si="9"/>
        <v>91065.0615</v>
      </c>
      <c r="I2844" s="22">
        <v>13009.29</v>
      </c>
      <c r="J2844" s="22"/>
      <c r="K2844" s="15">
        <f t="shared" si="4"/>
        <v>537717.5015</v>
      </c>
      <c r="L2844" s="45"/>
      <c r="M2844" s="6"/>
    </row>
    <row r="2845" ht="15.75" customHeight="1">
      <c r="A2845" s="162">
        <v>46080.0</v>
      </c>
      <c r="B2845" s="50"/>
      <c r="C2845" s="31" t="s">
        <v>1281</v>
      </c>
      <c r="D2845" s="32" t="s">
        <v>15</v>
      </c>
      <c r="E2845" s="31" t="s">
        <v>3104</v>
      </c>
      <c r="F2845" s="161">
        <v>46079.0</v>
      </c>
      <c r="G2845" s="54">
        <v>350443.08</v>
      </c>
      <c r="H2845" s="14">
        <f t="shared" si="9"/>
        <v>73593.0468</v>
      </c>
      <c r="I2845" s="22">
        <v>10513.29</v>
      </c>
      <c r="J2845" s="22"/>
      <c r="K2845" s="15">
        <f t="shared" si="4"/>
        <v>434549.4168</v>
      </c>
      <c r="L2845" s="45"/>
      <c r="M2845" s="6"/>
    </row>
    <row r="2846" ht="15.75" customHeight="1">
      <c r="A2846" s="162">
        <v>46081.0</v>
      </c>
      <c r="B2846" s="50"/>
      <c r="C2846" s="31" t="s">
        <v>239</v>
      </c>
      <c r="D2846" s="32" t="s">
        <v>15</v>
      </c>
      <c r="E2846" s="31" t="s">
        <v>3105</v>
      </c>
      <c r="F2846" s="161">
        <v>46079.0</v>
      </c>
      <c r="G2846" s="54">
        <v>2633463.07</v>
      </c>
      <c r="H2846" s="14">
        <f t="shared" si="9"/>
        <v>553027.2447</v>
      </c>
      <c r="I2846" s="22">
        <v>79003.89</v>
      </c>
      <c r="J2846" s="22"/>
      <c r="K2846" s="15">
        <f t="shared" si="4"/>
        <v>3265494.205</v>
      </c>
      <c r="L2846" s="45"/>
      <c r="M2846" s="6"/>
    </row>
    <row r="2847" ht="15.75" customHeight="1">
      <c r="A2847" s="162">
        <v>46081.0</v>
      </c>
      <c r="B2847" s="50"/>
      <c r="C2847" s="31" t="s">
        <v>239</v>
      </c>
      <c r="D2847" s="32" t="s">
        <v>15</v>
      </c>
      <c r="E2847" s="31" t="s">
        <v>3106</v>
      </c>
      <c r="F2847" s="161">
        <v>46079.0</v>
      </c>
      <c r="G2847" s="54">
        <v>2443436.04</v>
      </c>
      <c r="H2847" s="14">
        <f t="shared" si="9"/>
        <v>513121.5684</v>
      </c>
      <c r="I2847" s="22">
        <v>73303.08</v>
      </c>
      <c r="J2847" s="22"/>
      <c r="K2847" s="15">
        <f t="shared" si="4"/>
        <v>3029860.688</v>
      </c>
      <c r="L2847" s="45"/>
      <c r="M2847" s="6"/>
    </row>
    <row r="2848" ht="15.75" customHeight="1">
      <c r="A2848" s="210">
        <v>46081.0</v>
      </c>
      <c r="B2848" s="184"/>
      <c r="C2848" s="185" t="s">
        <v>635</v>
      </c>
      <c r="D2848" s="186" t="s">
        <v>15</v>
      </c>
      <c r="E2848" s="185" t="s">
        <v>3107</v>
      </c>
      <c r="F2848" s="187">
        <v>46079.0</v>
      </c>
      <c r="G2848" s="211">
        <v>1.434336311E7</v>
      </c>
      <c r="H2848" s="189">
        <f t="shared" si="9"/>
        <v>3012106.253</v>
      </c>
      <c r="I2848" s="190">
        <v>430300.89</v>
      </c>
      <c r="J2848" s="190"/>
      <c r="K2848" s="191">
        <f t="shared" si="4"/>
        <v>17785770.25</v>
      </c>
      <c r="L2848" s="192"/>
      <c r="M2848" s="193"/>
    </row>
    <row r="2849" ht="15.75" customHeight="1">
      <c r="A2849" s="210">
        <v>46081.0</v>
      </c>
      <c r="B2849" s="184"/>
      <c r="C2849" s="185" t="s">
        <v>635</v>
      </c>
      <c r="D2849" s="186" t="s">
        <v>15</v>
      </c>
      <c r="E2849" s="185" t="s">
        <v>3108</v>
      </c>
      <c r="F2849" s="187">
        <v>46079.0</v>
      </c>
      <c r="G2849" s="211">
        <v>1.322263352E7</v>
      </c>
      <c r="H2849" s="189">
        <f t="shared" si="9"/>
        <v>2776753.039</v>
      </c>
      <c r="I2849" s="190">
        <v>396679.01</v>
      </c>
      <c r="J2849" s="190"/>
      <c r="K2849" s="191">
        <f t="shared" si="4"/>
        <v>16396065.57</v>
      </c>
      <c r="L2849" s="192"/>
      <c r="M2849" s="193"/>
    </row>
    <row r="2850" ht="15.75" customHeight="1">
      <c r="A2850" s="210">
        <v>46081.0</v>
      </c>
      <c r="B2850" s="184"/>
      <c r="C2850" s="185" t="s">
        <v>635</v>
      </c>
      <c r="D2850" s="186" t="s">
        <v>15</v>
      </c>
      <c r="E2850" s="185" t="s">
        <v>3109</v>
      </c>
      <c r="F2850" s="187">
        <v>46079.0</v>
      </c>
      <c r="G2850" s="211">
        <v>1.833326212E7</v>
      </c>
      <c r="H2850" s="189">
        <f t="shared" si="9"/>
        <v>3849985.045</v>
      </c>
      <c r="I2850" s="190">
        <v>549997.86</v>
      </c>
      <c r="J2850" s="190"/>
      <c r="K2850" s="191">
        <f t="shared" si="4"/>
        <v>22733245.03</v>
      </c>
      <c r="L2850" s="192"/>
      <c r="M2850" s="193"/>
    </row>
    <row r="2851" ht="15.75" customHeight="1">
      <c r="A2851" s="210">
        <v>46081.0</v>
      </c>
      <c r="B2851" s="184"/>
      <c r="C2851" s="185" t="s">
        <v>635</v>
      </c>
      <c r="D2851" s="186" t="s">
        <v>15</v>
      </c>
      <c r="E2851" s="185" t="s">
        <v>3110</v>
      </c>
      <c r="F2851" s="187">
        <v>46079.0</v>
      </c>
      <c r="G2851" s="211">
        <v>8333633.22</v>
      </c>
      <c r="H2851" s="189">
        <f t="shared" si="9"/>
        <v>1750062.976</v>
      </c>
      <c r="I2851" s="190">
        <v>250009.0</v>
      </c>
      <c r="J2851" s="190"/>
      <c r="K2851" s="191">
        <f t="shared" si="4"/>
        <v>10333705.2</v>
      </c>
      <c r="L2851" s="192"/>
      <c r="M2851" s="193"/>
    </row>
    <row r="2852" ht="15.75" customHeight="1">
      <c r="A2852" s="210">
        <v>46081.0</v>
      </c>
      <c r="B2852" s="184"/>
      <c r="C2852" s="185" t="s">
        <v>635</v>
      </c>
      <c r="D2852" s="186" t="s">
        <v>15</v>
      </c>
      <c r="E2852" s="185" t="s">
        <v>3111</v>
      </c>
      <c r="F2852" s="187">
        <v>46079.0</v>
      </c>
      <c r="G2852" s="211">
        <v>1.599223318E7</v>
      </c>
      <c r="H2852" s="189">
        <f t="shared" si="9"/>
        <v>3358368.968</v>
      </c>
      <c r="I2852" s="190">
        <v>479767.0</v>
      </c>
      <c r="J2852" s="190"/>
      <c r="K2852" s="191">
        <f t="shared" si="4"/>
        <v>19830369.15</v>
      </c>
      <c r="L2852" s="192"/>
      <c r="M2852" s="193"/>
    </row>
    <row r="2853" ht="15.75" customHeight="1">
      <c r="A2853" s="162">
        <v>46081.0</v>
      </c>
      <c r="B2853" s="50"/>
      <c r="C2853" s="31" t="s">
        <v>1725</v>
      </c>
      <c r="D2853" s="32" t="s">
        <v>15</v>
      </c>
      <c r="E2853" s="31" t="s">
        <v>3112</v>
      </c>
      <c r="F2853" s="161">
        <v>46079.0</v>
      </c>
      <c r="G2853" s="54">
        <v>1.000215026E7</v>
      </c>
      <c r="H2853" s="14">
        <f t="shared" si="9"/>
        <v>2100451.555</v>
      </c>
      <c r="I2853" s="22">
        <v>300064.51</v>
      </c>
      <c r="J2853" s="22">
        <v>500107.51</v>
      </c>
      <c r="K2853" s="15">
        <f t="shared" si="4"/>
        <v>12902773.83</v>
      </c>
      <c r="L2853" s="45"/>
      <c r="M2853" s="6"/>
    </row>
    <row r="2854" ht="15.75" customHeight="1">
      <c r="A2854" s="162">
        <v>46081.0</v>
      </c>
      <c r="B2854" s="50"/>
      <c r="C2854" s="31" t="s">
        <v>22</v>
      </c>
      <c r="D2854" s="32" t="s">
        <v>15</v>
      </c>
      <c r="E2854" s="31" t="s">
        <v>3113</v>
      </c>
      <c r="F2854" s="161">
        <v>46079.0</v>
      </c>
      <c r="G2854" s="54">
        <v>2.484448412E7</v>
      </c>
      <c r="H2854" s="14">
        <f t="shared" si="9"/>
        <v>5217341.665</v>
      </c>
      <c r="I2854" s="22"/>
      <c r="J2854" s="22">
        <v>397511.75</v>
      </c>
      <c r="K2854" s="15">
        <f t="shared" si="4"/>
        <v>30459337.54</v>
      </c>
      <c r="L2854" s="45"/>
      <c r="M2854" s="6"/>
    </row>
    <row r="2855" ht="15.75" customHeight="1">
      <c r="A2855" s="162">
        <v>46081.0</v>
      </c>
      <c r="B2855" s="50"/>
      <c r="C2855" s="31" t="s">
        <v>216</v>
      </c>
      <c r="D2855" s="32" t="s">
        <v>15</v>
      </c>
      <c r="E2855" s="31" t="s">
        <v>3114</v>
      </c>
      <c r="F2855" s="161">
        <v>46079.0</v>
      </c>
      <c r="G2855" s="54">
        <v>2.533353371E7</v>
      </c>
      <c r="H2855" s="14">
        <f t="shared" si="9"/>
        <v>5320042.079</v>
      </c>
      <c r="I2855" s="22"/>
      <c r="J2855" s="22">
        <v>633338.34</v>
      </c>
      <c r="K2855" s="15">
        <f t="shared" si="4"/>
        <v>31286914.13</v>
      </c>
      <c r="L2855" s="45"/>
      <c r="M2855" s="6"/>
    </row>
    <row r="2856" ht="15.75" customHeight="1">
      <c r="A2856" s="162">
        <v>46081.0</v>
      </c>
      <c r="B2856" s="50"/>
      <c r="C2856" s="31" t="s">
        <v>221</v>
      </c>
      <c r="D2856" s="32" t="s">
        <v>15</v>
      </c>
      <c r="E2856" s="31" t="s">
        <v>3115</v>
      </c>
      <c r="F2856" s="161">
        <v>46079.0</v>
      </c>
      <c r="G2856" s="54">
        <v>2.522333305E7</v>
      </c>
      <c r="H2856" s="14">
        <f t="shared" si="9"/>
        <v>5296899.941</v>
      </c>
      <c r="I2856" s="22"/>
      <c r="J2856" s="22">
        <v>1261166.65</v>
      </c>
      <c r="K2856" s="15">
        <f t="shared" si="4"/>
        <v>31781399.64</v>
      </c>
      <c r="L2856" s="45"/>
      <c r="M2856" s="6"/>
    </row>
    <row r="2857" ht="15.75" customHeight="1">
      <c r="A2857" s="162">
        <v>46081.0</v>
      </c>
      <c r="B2857" s="50"/>
      <c r="C2857" s="31" t="s">
        <v>2842</v>
      </c>
      <c r="D2857" s="32" t="s">
        <v>15</v>
      </c>
      <c r="E2857" s="31" t="s">
        <v>3116</v>
      </c>
      <c r="F2857" s="161">
        <v>46079.0</v>
      </c>
      <c r="G2857" s="54">
        <v>2.563334441E7</v>
      </c>
      <c r="H2857" s="14">
        <f t="shared" si="9"/>
        <v>5383002.326</v>
      </c>
      <c r="I2857" s="22"/>
      <c r="J2857" s="22">
        <v>640833.61</v>
      </c>
      <c r="K2857" s="15">
        <f t="shared" si="4"/>
        <v>31657180.35</v>
      </c>
      <c r="L2857" s="45"/>
      <c r="M2857" s="6"/>
    </row>
    <row r="2858" ht="15.75" customHeight="1">
      <c r="A2858" s="162">
        <v>46081.0</v>
      </c>
      <c r="B2858" s="50"/>
      <c r="C2858" s="31" t="s">
        <v>3117</v>
      </c>
      <c r="D2858" s="32" t="s">
        <v>15</v>
      </c>
      <c r="E2858" s="31" t="s">
        <v>3118</v>
      </c>
      <c r="F2858" s="161">
        <v>46079.0</v>
      </c>
      <c r="G2858" s="54">
        <v>1.000123015E7</v>
      </c>
      <c r="H2858" s="14">
        <f t="shared" si="9"/>
        <v>2100258.332</v>
      </c>
      <c r="I2858" s="22">
        <v>300036.9</v>
      </c>
      <c r="J2858" s="22">
        <v>150018.45</v>
      </c>
      <c r="K2858" s="15">
        <f t="shared" si="4"/>
        <v>12551543.83</v>
      </c>
      <c r="L2858" s="45"/>
      <c r="M2858" s="6"/>
    </row>
    <row r="2859" ht="15.75" customHeight="1">
      <c r="A2859" s="162">
        <v>46081.0</v>
      </c>
      <c r="B2859" s="50"/>
      <c r="C2859" s="31" t="s">
        <v>3119</v>
      </c>
      <c r="D2859" s="32" t="s">
        <v>15</v>
      </c>
      <c r="E2859" s="31" t="s">
        <v>3120</v>
      </c>
      <c r="F2859" s="161">
        <v>46079.0</v>
      </c>
      <c r="G2859" s="54">
        <v>2.600205031E7</v>
      </c>
      <c r="H2859" s="14">
        <f t="shared" si="9"/>
        <v>5460430.565</v>
      </c>
      <c r="I2859" s="22">
        <v>780061.51</v>
      </c>
      <c r="J2859" s="22">
        <v>1300102.52</v>
      </c>
      <c r="K2859" s="15">
        <f t="shared" si="4"/>
        <v>33542644.91</v>
      </c>
      <c r="L2859" s="45"/>
      <c r="M2859" s="6"/>
    </row>
    <row r="2860" ht="15.75" customHeight="1">
      <c r="A2860" s="162">
        <v>46081.0</v>
      </c>
      <c r="B2860" s="50"/>
      <c r="C2860" s="31" t="s">
        <v>1452</v>
      </c>
      <c r="D2860" s="32" t="s">
        <v>15</v>
      </c>
      <c r="E2860" s="31" t="s">
        <v>3121</v>
      </c>
      <c r="F2860" s="161">
        <v>46079.0</v>
      </c>
      <c r="G2860" s="54">
        <v>2.200131029E7</v>
      </c>
      <c r="H2860" s="14">
        <f t="shared" si="9"/>
        <v>4620275.161</v>
      </c>
      <c r="I2860" s="22">
        <v>660039.31</v>
      </c>
      <c r="J2860" s="22">
        <v>880052.41</v>
      </c>
      <c r="K2860" s="15">
        <f t="shared" si="4"/>
        <v>28161677.17</v>
      </c>
      <c r="L2860" s="45"/>
      <c r="M2860" s="6"/>
    </row>
    <row r="2861" ht="15.75" customHeight="1">
      <c r="A2861" s="162">
        <v>46081.0</v>
      </c>
      <c r="B2861" s="50"/>
      <c r="C2861" s="32" t="s">
        <v>2860</v>
      </c>
      <c r="D2861" s="32" t="s">
        <v>15</v>
      </c>
      <c r="E2861" s="31" t="s">
        <v>3122</v>
      </c>
      <c r="F2861" s="161">
        <v>46079.0</v>
      </c>
      <c r="G2861" s="54">
        <v>3.200122018E7</v>
      </c>
      <c r="H2861" s="14">
        <f t="shared" si="9"/>
        <v>6720256.238</v>
      </c>
      <c r="I2861" s="22"/>
      <c r="J2861" s="22"/>
      <c r="K2861" s="15">
        <f t="shared" si="4"/>
        <v>38721476.42</v>
      </c>
      <c r="L2861" s="45"/>
      <c r="M2861" s="6"/>
    </row>
    <row r="2862" ht="15.75" customHeight="1">
      <c r="A2862" s="162">
        <v>46081.0</v>
      </c>
      <c r="B2862" s="50"/>
      <c r="C2862" s="31" t="s">
        <v>3123</v>
      </c>
      <c r="D2862" s="32" t="s">
        <v>15</v>
      </c>
      <c r="E2862" s="31" t="s">
        <v>3124</v>
      </c>
      <c r="F2862" s="161">
        <v>46079.0</v>
      </c>
      <c r="G2862" s="54">
        <v>1.223393341E7</v>
      </c>
      <c r="H2862" s="14">
        <f t="shared" si="9"/>
        <v>2569126.016</v>
      </c>
      <c r="I2862" s="22"/>
      <c r="J2862" s="22"/>
      <c r="K2862" s="15">
        <f t="shared" si="4"/>
        <v>14803059.43</v>
      </c>
      <c r="L2862" s="45"/>
      <c r="M2862" s="6"/>
    </row>
    <row r="2863" ht="15.75" customHeight="1">
      <c r="A2863" s="162">
        <v>46081.0</v>
      </c>
      <c r="B2863" s="50"/>
      <c r="C2863" s="31" t="s">
        <v>3123</v>
      </c>
      <c r="D2863" s="32" t="s">
        <v>15</v>
      </c>
      <c r="E2863" s="31" t="s">
        <v>3125</v>
      </c>
      <c r="F2863" s="161">
        <v>46079.0</v>
      </c>
      <c r="G2863" s="54">
        <v>6333332.24</v>
      </c>
      <c r="H2863" s="14">
        <f t="shared" si="9"/>
        <v>1329999.77</v>
      </c>
      <c r="I2863" s="22"/>
      <c r="J2863" s="22"/>
      <c r="K2863" s="15">
        <f t="shared" si="4"/>
        <v>7663332.01</v>
      </c>
      <c r="L2863" s="45"/>
      <c r="M2863" s="6"/>
    </row>
    <row r="2864" ht="15.75" customHeight="1">
      <c r="A2864" s="162">
        <v>46081.0</v>
      </c>
      <c r="B2864" s="50"/>
      <c r="C2864" s="31" t="s">
        <v>3123</v>
      </c>
      <c r="D2864" s="32" t="s">
        <v>15</v>
      </c>
      <c r="E2864" s="31" t="s">
        <v>3126</v>
      </c>
      <c r="F2864" s="161">
        <v>46079.0</v>
      </c>
      <c r="G2864" s="54">
        <v>5554833.45</v>
      </c>
      <c r="H2864" s="14">
        <f t="shared" si="9"/>
        <v>1166515.025</v>
      </c>
      <c r="I2864" s="22"/>
      <c r="J2864" s="22"/>
      <c r="K2864" s="15">
        <f t="shared" si="4"/>
        <v>6721348.475</v>
      </c>
      <c r="L2864" s="45"/>
      <c r="M2864" s="6"/>
    </row>
    <row r="2865" ht="15.75" customHeight="1">
      <c r="A2865" s="162">
        <v>46081.0</v>
      </c>
      <c r="B2865" s="50"/>
      <c r="C2865" s="31" t="s">
        <v>3123</v>
      </c>
      <c r="D2865" s="32" t="s">
        <v>15</v>
      </c>
      <c r="E2865" s="31" t="s">
        <v>3127</v>
      </c>
      <c r="F2865" s="161">
        <v>46079.0</v>
      </c>
      <c r="G2865" s="54">
        <v>6122373.14</v>
      </c>
      <c r="H2865" s="14">
        <f t="shared" si="9"/>
        <v>1285698.359</v>
      </c>
      <c r="I2865" s="22"/>
      <c r="J2865" s="22"/>
      <c r="K2865" s="15">
        <f t="shared" si="4"/>
        <v>7408071.499</v>
      </c>
      <c r="L2865" s="45"/>
      <c r="M2865" s="6"/>
    </row>
    <row r="2866" ht="15.75" customHeight="1">
      <c r="A2866" s="162">
        <v>46083.0</v>
      </c>
      <c r="B2866" s="50"/>
      <c r="C2866" s="32" t="s">
        <v>2318</v>
      </c>
      <c r="D2866" s="32" t="s">
        <v>3128</v>
      </c>
      <c r="E2866" s="32" t="s">
        <v>3129</v>
      </c>
      <c r="F2866" s="161">
        <v>46079.0</v>
      </c>
      <c r="G2866" s="54">
        <v>1.5222E7</v>
      </c>
      <c r="H2866" s="14">
        <f t="shared" si="9"/>
        <v>3196620</v>
      </c>
      <c r="I2866" s="22"/>
      <c r="J2866" s="22"/>
      <c r="K2866" s="15">
        <f t="shared" si="4"/>
        <v>18418620</v>
      </c>
      <c r="L2866" s="45"/>
      <c r="M2866" s="6"/>
    </row>
    <row r="2867" ht="15.75" customHeight="1">
      <c r="A2867" s="162">
        <v>46083.0</v>
      </c>
      <c r="B2867" s="50"/>
      <c r="C2867" s="32" t="s">
        <v>2318</v>
      </c>
      <c r="D2867" s="32" t="s">
        <v>3128</v>
      </c>
      <c r="E2867" s="32" t="s">
        <v>3130</v>
      </c>
      <c r="F2867" s="161">
        <v>46079.0</v>
      </c>
      <c r="G2867" s="54">
        <v>1.4691E7</v>
      </c>
      <c r="H2867" s="14">
        <f t="shared" si="9"/>
        <v>3085110</v>
      </c>
      <c r="I2867" s="22"/>
      <c r="J2867" s="22"/>
      <c r="K2867" s="15">
        <f t="shared" si="4"/>
        <v>17776110</v>
      </c>
      <c r="L2867" s="45"/>
      <c r="M2867" s="6"/>
    </row>
    <row r="2868" ht="15.75" customHeight="1">
      <c r="A2868" s="162">
        <v>46083.0</v>
      </c>
      <c r="B2868" s="50"/>
      <c r="C2868" s="32" t="s">
        <v>2318</v>
      </c>
      <c r="D2868" s="32" t="s">
        <v>3128</v>
      </c>
      <c r="E2868" s="32" t="s">
        <v>3131</v>
      </c>
      <c r="F2868" s="161">
        <v>46079.0</v>
      </c>
      <c r="G2868" s="54">
        <v>2.00895E7</v>
      </c>
      <c r="H2868" s="14">
        <f t="shared" si="9"/>
        <v>4218795</v>
      </c>
      <c r="I2868" s="22"/>
      <c r="J2868" s="22"/>
      <c r="K2868" s="15">
        <f t="shared" si="4"/>
        <v>24308295</v>
      </c>
      <c r="L2868" s="45"/>
      <c r="M2868" s="6"/>
    </row>
    <row r="2869" ht="15.75" customHeight="1">
      <c r="A2869" s="162">
        <v>46083.0</v>
      </c>
      <c r="B2869" s="50"/>
      <c r="C2869" s="32" t="s">
        <v>2318</v>
      </c>
      <c r="D2869" s="32" t="s">
        <v>77</v>
      </c>
      <c r="E2869" s="32" t="s">
        <v>3132</v>
      </c>
      <c r="F2869" s="161">
        <v>46079.0</v>
      </c>
      <c r="G2869" s="54">
        <v>1.1328E7</v>
      </c>
      <c r="H2869" s="14">
        <f t="shared" si="9"/>
        <v>2378880</v>
      </c>
      <c r="I2869" s="22"/>
      <c r="J2869" s="22"/>
      <c r="K2869" s="15">
        <f t="shared" si="4"/>
        <v>13706880</v>
      </c>
      <c r="L2869" s="45"/>
      <c r="M2869" s="6"/>
    </row>
    <row r="2870" ht="15.75" customHeight="1">
      <c r="A2870" s="162">
        <v>46083.0</v>
      </c>
      <c r="B2870" s="50"/>
      <c r="C2870" s="32" t="s">
        <v>2318</v>
      </c>
      <c r="D2870" s="32" t="s">
        <v>3029</v>
      </c>
      <c r="E2870" s="32" t="s">
        <v>3133</v>
      </c>
      <c r="F2870" s="161">
        <v>46079.0</v>
      </c>
      <c r="G2870" s="54">
        <v>1.239E7</v>
      </c>
      <c r="H2870" s="14">
        <f t="shared" si="9"/>
        <v>2601900</v>
      </c>
      <c r="I2870" s="22"/>
      <c r="J2870" s="22"/>
      <c r="K2870" s="15">
        <f t="shared" si="4"/>
        <v>14991900</v>
      </c>
      <c r="L2870" s="45"/>
      <c r="M2870" s="6"/>
    </row>
    <row r="2871" ht="15.75" customHeight="1">
      <c r="A2871" s="162">
        <v>46084.0</v>
      </c>
      <c r="B2871" s="50"/>
      <c r="C2871" s="31" t="s">
        <v>168</v>
      </c>
      <c r="D2871" s="32" t="s">
        <v>99</v>
      </c>
      <c r="E2871" s="31" t="s">
        <v>3134</v>
      </c>
      <c r="F2871" s="161">
        <v>46107.0</v>
      </c>
      <c r="G2871" s="54">
        <v>1.390059263E7</v>
      </c>
      <c r="H2871" s="14">
        <f t="shared" si="9"/>
        <v>2919124.452</v>
      </c>
      <c r="I2871" s="22">
        <v>417017.78</v>
      </c>
      <c r="J2871" s="22"/>
      <c r="K2871" s="15">
        <f t="shared" si="4"/>
        <v>17236734.86</v>
      </c>
      <c r="L2871" s="45"/>
      <c r="M2871" s="6"/>
    </row>
    <row r="2872" ht="15.75" customHeight="1">
      <c r="A2872" s="162">
        <v>46084.0</v>
      </c>
      <c r="B2872" s="50"/>
      <c r="C2872" s="31" t="s">
        <v>16</v>
      </c>
      <c r="D2872" s="32" t="s">
        <v>99</v>
      </c>
      <c r="E2872" s="31" t="s">
        <v>3135</v>
      </c>
      <c r="F2872" s="161">
        <v>46107.0</v>
      </c>
      <c r="G2872" s="54">
        <v>1.090042913E7</v>
      </c>
      <c r="H2872" s="14">
        <f t="shared" si="9"/>
        <v>2289090.117</v>
      </c>
      <c r="I2872" s="22">
        <v>327012.87</v>
      </c>
      <c r="J2872" s="22"/>
      <c r="K2872" s="15">
        <f t="shared" si="4"/>
        <v>13516532.12</v>
      </c>
      <c r="L2872" s="45"/>
      <c r="M2872" s="6"/>
    </row>
    <row r="2873" ht="15.75" customHeight="1">
      <c r="A2873" s="162">
        <v>46084.0</v>
      </c>
      <c r="B2873" s="50"/>
      <c r="C2873" s="31" t="s">
        <v>1942</v>
      </c>
      <c r="D2873" s="32" t="s">
        <v>15</v>
      </c>
      <c r="E2873" s="32" t="s">
        <v>3136</v>
      </c>
      <c r="F2873" s="161">
        <v>46107.0</v>
      </c>
      <c r="G2873" s="54">
        <v>2.860535005E7</v>
      </c>
      <c r="H2873" s="14">
        <f t="shared" si="9"/>
        <v>6007123.511</v>
      </c>
      <c r="I2873" s="22"/>
      <c r="J2873" s="22"/>
      <c r="K2873" s="15">
        <f t="shared" si="4"/>
        <v>34612473.56</v>
      </c>
      <c r="L2873" s="45"/>
      <c r="M2873" s="24">
        <v>46086.0</v>
      </c>
    </row>
    <row r="2874" ht="15.75" customHeight="1">
      <c r="A2874" s="162">
        <v>46085.0</v>
      </c>
      <c r="B2874" s="50"/>
      <c r="C2874" s="31" t="s">
        <v>1136</v>
      </c>
      <c r="D2874" s="32" t="s">
        <v>99</v>
      </c>
      <c r="E2874" s="31" t="s">
        <v>3137</v>
      </c>
      <c r="F2874" s="161">
        <v>46107.0</v>
      </c>
      <c r="G2874" s="54">
        <v>4.830232872E7</v>
      </c>
      <c r="H2874" s="14">
        <f t="shared" si="9"/>
        <v>10143489.03</v>
      </c>
      <c r="I2874" s="22">
        <v>1449069.86</v>
      </c>
      <c r="J2874" s="22"/>
      <c r="K2874" s="15">
        <f t="shared" si="4"/>
        <v>59894887.61</v>
      </c>
      <c r="L2874" s="45"/>
      <c r="M2874" s="19" t="s">
        <v>3138</v>
      </c>
    </row>
    <row r="2875" ht="15.75" customHeight="1">
      <c r="A2875" s="162">
        <v>46085.0</v>
      </c>
      <c r="B2875" s="50"/>
      <c r="C2875" s="31" t="s">
        <v>1136</v>
      </c>
      <c r="D2875" s="32" t="s">
        <v>15</v>
      </c>
      <c r="E2875" s="31" t="s">
        <v>3139</v>
      </c>
      <c r="F2875" s="161">
        <v>46107.0</v>
      </c>
      <c r="G2875" s="54">
        <v>4.658352175E7</v>
      </c>
      <c r="H2875" s="14">
        <f t="shared" si="9"/>
        <v>9782539.568</v>
      </c>
      <c r="I2875" s="22">
        <v>1397505.65</v>
      </c>
      <c r="J2875" s="22"/>
      <c r="K2875" s="15">
        <f t="shared" si="4"/>
        <v>57763566.97</v>
      </c>
      <c r="L2875" s="45"/>
      <c r="M2875" s="19" t="s">
        <v>3138</v>
      </c>
    </row>
    <row r="2876" ht="15.75" customHeight="1">
      <c r="A2876" s="162">
        <v>46085.0</v>
      </c>
      <c r="B2876" s="50"/>
      <c r="C2876" s="31" t="s">
        <v>1136</v>
      </c>
      <c r="D2876" s="32" t="s">
        <v>99</v>
      </c>
      <c r="E2876" s="31" t="s">
        <v>3140</v>
      </c>
      <c r="F2876" s="161">
        <v>46107.0</v>
      </c>
      <c r="G2876" s="54">
        <v>4.748113125E7</v>
      </c>
      <c r="H2876" s="14">
        <f t="shared" si="9"/>
        <v>9971037.563</v>
      </c>
      <c r="I2876" s="22">
        <v>1424433.94</v>
      </c>
      <c r="J2876" s="22"/>
      <c r="K2876" s="15">
        <f t="shared" si="4"/>
        <v>58876602.75</v>
      </c>
      <c r="L2876" s="45"/>
      <c r="M2876" s="19" t="s">
        <v>3138</v>
      </c>
    </row>
    <row r="2877" ht="15.75" customHeight="1">
      <c r="A2877" s="162">
        <v>46085.0</v>
      </c>
      <c r="B2877" s="50"/>
      <c r="C2877" s="31" t="s">
        <v>1136</v>
      </c>
      <c r="D2877" s="32" t="s">
        <v>15</v>
      </c>
      <c r="E2877" s="31" t="s">
        <v>3141</v>
      </c>
      <c r="F2877" s="161">
        <v>46107.0</v>
      </c>
      <c r="G2877" s="54">
        <v>4.7144769E7</v>
      </c>
      <c r="H2877" s="14">
        <f t="shared" si="9"/>
        <v>9900401.49</v>
      </c>
      <c r="I2877" s="22">
        <v>1414343.07</v>
      </c>
      <c r="J2877" s="22"/>
      <c r="K2877" s="15">
        <f t="shared" si="4"/>
        <v>58459513.56</v>
      </c>
      <c r="L2877" s="45"/>
      <c r="M2877" s="19" t="s">
        <v>3138</v>
      </c>
    </row>
    <row r="2878" ht="15.75" customHeight="1">
      <c r="A2878" s="162">
        <v>46085.0</v>
      </c>
      <c r="B2878" s="50"/>
      <c r="C2878" s="31" t="s">
        <v>1136</v>
      </c>
      <c r="D2878" s="32" t="s">
        <v>99</v>
      </c>
      <c r="E2878" s="31" t="s">
        <v>3142</v>
      </c>
      <c r="F2878" s="161">
        <v>46107.0</v>
      </c>
      <c r="G2878" s="54">
        <v>4.892094003E7</v>
      </c>
      <c r="H2878" s="14">
        <f t="shared" si="9"/>
        <v>10273397.41</v>
      </c>
      <c r="I2878" s="22">
        <v>1467628.2</v>
      </c>
      <c r="J2878" s="22"/>
      <c r="K2878" s="15">
        <f t="shared" si="4"/>
        <v>60661965.64</v>
      </c>
      <c r="L2878" s="45"/>
      <c r="M2878" s="19" t="s">
        <v>3138</v>
      </c>
    </row>
    <row r="2879" ht="15.75" customHeight="1">
      <c r="A2879" s="162">
        <v>46085.0</v>
      </c>
      <c r="B2879" s="50"/>
      <c r="C2879" s="31" t="s">
        <v>1136</v>
      </c>
      <c r="D2879" s="32" t="s">
        <v>15</v>
      </c>
      <c r="E2879" s="31" t="s">
        <v>3143</v>
      </c>
      <c r="F2879" s="161">
        <v>46107.0</v>
      </c>
      <c r="G2879" s="54">
        <v>4.705424525E7</v>
      </c>
      <c r="H2879" s="14">
        <f t="shared" si="9"/>
        <v>9881391.503</v>
      </c>
      <c r="I2879" s="22">
        <v>1411627.36</v>
      </c>
      <c r="J2879" s="22"/>
      <c r="K2879" s="15">
        <f t="shared" si="4"/>
        <v>58347264.11</v>
      </c>
      <c r="L2879" s="45"/>
      <c r="M2879" s="19" t="s">
        <v>3138</v>
      </c>
    </row>
    <row r="2880" ht="15.75" customHeight="1">
      <c r="A2880" s="162">
        <v>46085.0</v>
      </c>
      <c r="B2880" s="50"/>
      <c r="C2880" s="31" t="s">
        <v>1136</v>
      </c>
      <c r="D2880" s="32" t="s">
        <v>15</v>
      </c>
      <c r="E2880" s="31" t="s">
        <v>3144</v>
      </c>
      <c r="F2880" s="161">
        <v>46107.0</v>
      </c>
      <c r="G2880" s="54">
        <v>4.66740455E7</v>
      </c>
      <c r="H2880" s="14">
        <f t="shared" si="9"/>
        <v>9801549.555</v>
      </c>
      <c r="I2880" s="22">
        <v>1400221.37</v>
      </c>
      <c r="J2880" s="22"/>
      <c r="K2880" s="15">
        <f t="shared" si="4"/>
        <v>57875816.43</v>
      </c>
      <c r="L2880" s="45"/>
      <c r="M2880" s="19" t="s">
        <v>3138</v>
      </c>
    </row>
    <row r="2881" ht="15.75" customHeight="1">
      <c r="A2881" s="162">
        <v>46085.0</v>
      </c>
      <c r="B2881" s="50"/>
      <c r="C2881" s="31" t="s">
        <v>1136</v>
      </c>
      <c r="D2881" s="32" t="s">
        <v>15</v>
      </c>
      <c r="E2881" s="31" t="s">
        <v>3145</v>
      </c>
      <c r="F2881" s="161">
        <v>46107.0</v>
      </c>
      <c r="G2881" s="54">
        <v>4.79051685E7</v>
      </c>
      <c r="H2881" s="14">
        <f t="shared" si="9"/>
        <v>10060085.39</v>
      </c>
      <c r="I2881" s="22">
        <v>1437155.06</v>
      </c>
      <c r="J2881" s="22"/>
      <c r="K2881" s="15">
        <f t="shared" si="4"/>
        <v>59402408.95</v>
      </c>
      <c r="L2881" s="45"/>
      <c r="M2881" s="19" t="s">
        <v>3138</v>
      </c>
    </row>
    <row r="2882" ht="15.75" customHeight="1">
      <c r="A2882" s="162">
        <v>46085.0</v>
      </c>
      <c r="B2882" s="50"/>
      <c r="C2882" s="31" t="s">
        <v>1842</v>
      </c>
      <c r="D2882" s="32" t="s">
        <v>99</v>
      </c>
      <c r="E2882" s="31" t="s">
        <v>3146</v>
      </c>
      <c r="F2882" s="161">
        <v>46107.0</v>
      </c>
      <c r="G2882" s="54">
        <v>2.791427026E7</v>
      </c>
      <c r="H2882" s="14">
        <f t="shared" si="9"/>
        <v>5861996.755</v>
      </c>
      <c r="I2882" s="22"/>
      <c r="J2882" s="22">
        <v>195399.89</v>
      </c>
      <c r="K2882" s="15">
        <f t="shared" si="4"/>
        <v>33971666.9</v>
      </c>
      <c r="L2882" s="45"/>
      <c r="M2882" s="6"/>
    </row>
    <row r="2883" ht="15.75" customHeight="1">
      <c r="A2883" s="162">
        <v>46085.0</v>
      </c>
      <c r="B2883" s="50"/>
      <c r="C2883" s="31" t="s">
        <v>1842</v>
      </c>
      <c r="D2883" s="32" t="s">
        <v>15</v>
      </c>
      <c r="E2883" s="31" t="s">
        <v>3147</v>
      </c>
      <c r="F2883" s="161">
        <v>46107.0</v>
      </c>
      <c r="G2883" s="54">
        <v>2.322635E7</v>
      </c>
      <c r="H2883" s="14">
        <f t="shared" si="9"/>
        <v>4877533.5</v>
      </c>
      <c r="I2883" s="22"/>
      <c r="J2883" s="22">
        <v>162584.45</v>
      </c>
      <c r="K2883" s="15">
        <f t="shared" si="4"/>
        <v>28266467.95</v>
      </c>
      <c r="L2883" s="45"/>
      <c r="M2883" s="6"/>
    </row>
    <row r="2884" ht="15.75" customHeight="1">
      <c r="A2884" s="164">
        <v>46086.0</v>
      </c>
      <c r="B2884" s="56"/>
      <c r="C2884" s="57" t="s">
        <v>268</v>
      </c>
      <c r="D2884" s="57" t="s">
        <v>3148</v>
      </c>
      <c r="E2884" s="58" t="s">
        <v>3149</v>
      </c>
      <c r="F2884" s="178">
        <v>46079.0</v>
      </c>
      <c r="G2884" s="155">
        <v>6003963.55</v>
      </c>
      <c r="H2884" s="9">
        <f t="shared" si="9"/>
        <v>1260832.346</v>
      </c>
      <c r="I2884" s="44"/>
      <c r="J2884" s="44">
        <f>120079.27+180118.91</f>
        <v>300198.18</v>
      </c>
      <c r="K2884" s="10">
        <f t="shared" si="4"/>
        <v>7564994.076</v>
      </c>
      <c r="L2884" s="61"/>
      <c r="M2884" s="62"/>
    </row>
    <row r="2885" ht="15.75" customHeight="1">
      <c r="A2885" s="164">
        <v>46086.0</v>
      </c>
      <c r="B2885" s="56"/>
      <c r="C2885" s="57" t="s">
        <v>268</v>
      </c>
      <c r="D2885" s="57" t="s">
        <v>3148</v>
      </c>
      <c r="E2885" s="58" t="s">
        <v>3150</v>
      </c>
      <c r="F2885" s="178">
        <v>46079.0</v>
      </c>
      <c r="G2885" s="155">
        <v>814533.0</v>
      </c>
      <c r="H2885" s="9">
        <f t="shared" si="9"/>
        <v>171051.93</v>
      </c>
      <c r="I2885" s="44"/>
      <c r="J2885" s="44">
        <f>16290.66+24435.99</f>
        <v>40726.65</v>
      </c>
      <c r="K2885" s="10">
        <f t="shared" si="4"/>
        <v>1026311.58</v>
      </c>
      <c r="L2885" s="61"/>
      <c r="M2885" s="62"/>
    </row>
    <row r="2886" ht="15.75" customHeight="1">
      <c r="A2886" s="164">
        <v>46086.0</v>
      </c>
      <c r="B2886" s="56"/>
      <c r="C2886" s="57" t="s">
        <v>268</v>
      </c>
      <c r="D2886" s="57" t="s">
        <v>3148</v>
      </c>
      <c r="E2886" s="58" t="s">
        <v>3151</v>
      </c>
      <c r="F2886" s="178">
        <v>46079.0</v>
      </c>
      <c r="G2886" s="155">
        <v>1.250300793E7</v>
      </c>
      <c r="H2886" s="9">
        <f t="shared" si="9"/>
        <v>2625631.665</v>
      </c>
      <c r="I2886" s="44"/>
      <c r="J2886" s="44">
        <f>250060.16+375090.24</f>
        <v>625150.4</v>
      </c>
      <c r="K2886" s="10">
        <f t="shared" si="4"/>
        <v>15753790</v>
      </c>
      <c r="L2886" s="61"/>
      <c r="M2886" s="62"/>
    </row>
    <row r="2887" ht="15.75" customHeight="1">
      <c r="A2887" s="164">
        <v>46086.0</v>
      </c>
      <c r="B2887" s="56"/>
      <c r="C2887" s="57" t="s">
        <v>268</v>
      </c>
      <c r="D2887" s="57" t="s">
        <v>3148</v>
      </c>
      <c r="E2887" s="58" t="s">
        <v>3152</v>
      </c>
      <c r="F2887" s="178">
        <v>46079.0</v>
      </c>
      <c r="G2887" s="155">
        <v>147012.36</v>
      </c>
      <c r="H2887" s="9">
        <f t="shared" si="9"/>
        <v>30872.5956</v>
      </c>
      <c r="I2887" s="44"/>
      <c r="J2887" s="44">
        <f>2940.25+4410.37</f>
        <v>7350.62</v>
      </c>
      <c r="K2887" s="10">
        <f t="shared" si="4"/>
        <v>185235.5756</v>
      </c>
      <c r="L2887" s="61"/>
      <c r="M2887" s="62"/>
    </row>
    <row r="2888" ht="15.75" customHeight="1">
      <c r="A2888" s="164">
        <v>46086.0</v>
      </c>
      <c r="B2888" s="56"/>
      <c r="C2888" s="57" t="s">
        <v>268</v>
      </c>
      <c r="D2888" s="57" t="s">
        <v>3148</v>
      </c>
      <c r="E2888" s="58" t="s">
        <v>3153</v>
      </c>
      <c r="F2888" s="178">
        <v>46079.0</v>
      </c>
      <c r="G2888" s="155">
        <v>1.132231405E7</v>
      </c>
      <c r="H2888" s="9">
        <f t="shared" si="9"/>
        <v>2377685.951</v>
      </c>
      <c r="I2888" s="44"/>
      <c r="J2888" s="44">
        <f>226446.28+339669.42</f>
        <v>566115.7</v>
      </c>
      <c r="K2888" s="10">
        <f t="shared" si="4"/>
        <v>14266115.7</v>
      </c>
      <c r="L2888" s="61"/>
      <c r="M2888" s="62"/>
    </row>
    <row r="2889" ht="15.75" customHeight="1">
      <c r="A2889" s="164">
        <v>46086.0</v>
      </c>
      <c r="B2889" s="56"/>
      <c r="C2889" s="57" t="s">
        <v>268</v>
      </c>
      <c r="D2889" s="57" t="s">
        <v>3148</v>
      </c>
      <c r="E2889" s="58" t="s">
        <v>3154</v>
      </c>
      <c r="F2889" s="178">
        <v>46079.0</v>
      </c>
      <c r="G2889" s="155">
        <v>8936363.64</v>
      </c>
      <c r="H2889" s="9">
        <f t="shared" si="9"/>
        <v>1876636.364</v>
      </c>
      <c r="I2889" s="44"/>
      <c r="J2889" s="44">
        <f>178727.27+268090.91</f>
        <v>446818.18</v>
      </c>
      <c r="K2889" s="10">
        <f t="shared" si="4"/>
        <v>11259818.18</v>
      </c>
      <c r="L2889" s="61"/>
      <c r="M2889" s="62"/>
    </row>
    <row r="2890" ht="15.75" customHeight="1">
      <c r="A2890" s="164">
        <v>46086.0</v>
      </c>
      <c r="B2890" s="56"/>
      <c r="C2890" s="57" t="s">
        <v>268</v>
      </c>
      <c r="D2890" s="57" t="s">
        <v>3148</v>
      </c>
      <c r="E2890" s="58" t="s">
        <v>3155</v>
      </c>
      <c r="F2890" s="178">
        <v>46079.0</v>
      </c>
      <c r="G2890" s="155">
        <v>2712082.64</v>
      </c>
      <c r="H2890" s="9">
        <f t="shared" si="9"/>
        <v>569537.3544</v>
      </c>
      <c r="I2890" s="44"/>
      <c r="J2890" s="44">
        <f>54241.65+81362.48</f>
        <v>135604.13</v>
      </c>
      <c r="K2890" s="10">
        <f t="shared" si="4"/>
        <v>3417224.124</v>
      </c>
      <c r="L2890" s="61"/>
      <c r="M2890" s="62"/>
    </row>
    <row r="2891" ht="15.75" customHeight="1">
      <c r="A2891" s="164">
        <v>46086.0</v>
      </c>
      <c r="B2891" s="56"/>
      <c r="C2891" s="57" t="s">
        <v>268</v>
      </c>
      <c r="D2891" s="57" t="s">
        <v>3148</v>
      </c>
      <c r="E2891" s="58" t="s">
        <v>3156</v>
      </c>
      <c r="F2891" s="178">
        <v>46079.0</v>
      </c>
      <c r="G2891" s="155">
        <v>4067818.1</v>
      </c>
      <c r="H2891" s="9">
        <f t="shared" si="9"/>
        <v>854241.801</v>
      </c>
      <c r="I2891" s="44"/>
      <c r="J2891" s="44">
        <f>81356.36+122034.54</f>
        <v>203390.9</v>
      </c>
      <c r="K2891" s="10">
        <f t="shared" si="4"/>
        <v>5125450.801</v>
      </c>
      <c r="L2891" s="61"/>
      <c r="M2891" s="62"/>
    </row>
    <row r="2892" ht="15.75" customHeight="1">
      <c r="A2892" s="164">
        <v>46086.0</v>
      </c>
      <c r="B2892" s="56"/>
      <c r="C2892" s="57" t="s">
        <v>268</v>
      </c>
      <c r="D2892" s="57" t="s">
        <v>3148</v>
      </c>
      <c r="E2892" s="58" t="s">
        <v>3157</v>
      </c>
      <c r="F2892" s="178">
        <v>46079.0</v>
      </c>
      <c r="G2892" s="155">
        <v>2.636122277E7</v>
      </c>
      <c r="H2892" s="9">
        <f t="shared" si="9"/>
        <v>5535856.782</v>
      </c>
      <c r="I2892" s="44"/>
      <c r="J2892" s="44">
        <f>527224.46+790836.68</f>
        <v>1318061.14</v>
      </c>
      <c r="K2892" s="10">
        <f t="shared" si="4"/>
        <v>33215140.69</v>
      </c>
      <c r="L2892" s="61"/>
      <c r="M2892" s="62"/>
    </row>
    <row r="2893" ht="15.75" customHeight="1">
      <c r="A2893" s="164">
        <v>46086.0</v>
      </c>
      <c r="B2893" s="56"/>
      <c r="C2893" s="57" t="s">
        <v>268</v>
      </c>
      <c r="D2893" s="57" t="s">
        <v>3148</v>
      </c>
      <c r="E2893" s="58" t="s">
        <v>3158</v>
      </c>
      <c r="F2893" s="178">
        <v>46079.0</v>
      </c>
      <c r="G2893" s="155">
        <v>4908586.4</v>
      </c>
      <c r="H2893" s="9">
        <f t="shared" si="9"/>
        <v>1030803.144</v>
      </c>
      <c r="I2893" s="44"/>
      <c r="J2893" s="44">
        <f>98171.73+147257.59</f>
        <v>245429.32</v>
      </c>
      <c r="K2893" s="10">
        <f t="shared" si="4"/>
        <v>6184818.864</v>
      </c>
      <c r="L2893" s="61"/>
      <c r="M2893" s="62"/>
    </row>
    <row r="2894" ht="15.75" customHeight="1">
      <c r="A2894" s="164">
        <v>46086.0</v>
      </c>
      <c r="B2894" s="56"/>
      <c r="C2894" s="57" t="s">
        <v>268</v>
      </c>
      <c r="D2894" s="57" t="s">
        <v>3148</v>
      </c>
      <c r="E2894" s="58" t="s">
        <v>3159</v>
      </c>
      <c r="F2894" s="178">
        <v>46079.0</v>
      </c>
      <c r="G2894" s="155">
        <v>1252190.82</v>
      </c>
      <c r="H2894" s="9">
        <f t="shared" si="9"/>
        <v>262960.0722</v>
      </c>
      <c r="I2894" s="44"/>
      <c r="J2894" s="44">
        <f>25043.82+37565.72</f>
        <v>62609.54</v>
      </c>
      <c r="K2894" s="10">
        <f t="shared" si="4"/>
        <v>1577760.432</v>
      </c>
      <c r="L2894" s="61"/>
      <c r="M2894" s="62"/>
    </row>
    <row r="2895" ht="15.75" customHeight="1">
      <c r="A2895" s="164">
        <v>46086.0</v>
      </c>
      <c r="B2895" s="56"/>
      <c r="C2895" s="57" t="s">
        <v>268</v>
      </c>
      <c r="D2895" s="57" t="s">
        <v>3148</v>
      </c>
      <c r="E2895" s="58" t="s">
        <v>3160</v>
      </c>
      <c r="F2895" s="178">
        <v>46079.0</v>
      </c>
      <c r="G2895" s="155">
        <v>1418767.76</v>
      </c>
      <c r="H2895" s="9">
        <f t="shared" si="9"/>
        <v>297941.2296</v>
      </c>
      <c r="I2895" s="44"/>
      <c r="J2895" s="44">
        <f>28375.36+42563.03</f>
        <v>70938.39</v>
      </c>
      <c r="K2895" s="10">
        <f t="shared" si="4"/>
        <v>1787647.38</v>
      </c>
      <c r="L2895" s="61"/>
      <c r="M2895" s="62"/>
    </row>
    <row r="2896" ht="15.75" customHeight="1">
      <c r="A2896" s="164">
        <v>46086.0</v>
      </c>
      <c r="B2896" s="56"/>
      <c r="C2896" s="57" t="s">
        <v>2318</v>
      </c>
      <c r="D2896" s="58" t="s">
        <v>99</v>
      </c>
      <c r="E2896" s="57" t="s">
        <v>3161</v>
      </c>
      <c r="F2896" s="178">
        <v>46107.0</v>
      </c>
      <c r="G2896" s="155">
        <v>1.060643691E7</v>
      </c>
      <c r="H2896" s="9">
        <f t="shared" si="9"/>
        <v>2227351.751</v>
      </c>
      <c r="I2896" s="44">
        <v>318193.11</v>
      </c>
      <c r="J2896" s="44"/>
      <c r="K2896" s="10">
        <f t="shared" si="4"/>
        <v>13151981.77</v>
      </c>
      <c r="L2896" s="61"/>
      <c r="M2896" s="62"/>
    </row>
    <row r="2897" ht="15.75" customHeight="1">
      <c r="A2897" s="164">
        <v>46086.0</v>
      </c>
      <c r="B2897" s="56"/>
      <c r="C2897" s="57" t="s">
        <v>2318</v>
      </c>
      <c r="D2897" s="58" t="s">
        <v>99</v>
      </c>
      <c r="E2897" s="57" t="s">
        <v>3162</v>
      </c>
      <c r="F2897" s="178">
        <v>46107.0</v>
      </c>
      <c r="G2897" s="155">
        <v>1.060643691E7</v>
      </c>
      <c r="H2897" s="9">
        <f t="shared" si="9"/>
        <v>2227351.751</v>
      </c>
      <c r="I2897" s="44">
        <v>318193.11</v>
      </c>
      <c r="J2897" s="44"/>
      <c r="K2897" s="10">
        <f t="shared" si="4"/>
        <v>13151981.77</v>
      </c>
      <c r="L2897" s="61"/>
      <c r="M2897" s="62"/>
    </row>
    <row r="2898" ht="15.75" customHeight="1">
      <c r="A2898" s="164">
        <v>46086.0</v>
      </c>
      <c r="B2898" s="56"/>
      <c r="C2898" s="57" t="s">
        <v>2318</v>
      </c>
      <c r="D2898" s="58" t="s">
        <v>99</v>
      </c>
      <c r="E2898" s="57" t="s">
        <v>3163</v>
      </c>
      <c r="F2898" s="178">
        <v>46107.0</v>
      </c>
      <c r="G2898" s="155">
        <v>1.061007798E7</v>
      </c>
      <c r="H2898" s="9">
        <f t="shared" si="9"/>
        <v>2228116.376</v>
      </c>
      <c r="I2898" s="44">
        <v>318302.34</v>
      </c>
      <c r="J2898" s="44"/>
      <c r="K2898" s="10">
        <f t="shared" si="4"/>
        <v>13156496.7</v>
      </c>
      <c r="L2898" s="61"/>
      <c r="M2898" s="62"/>
    </row>
    <row r="2899" ht="15.75" customHeight="1">
      <c r="A2899" s="164">
        <v>46086.0</v>
      </c>
      <c r="B2899" s="56"/>
      <c r="C2899" s="57" t="s">
        <v>2318</v>
      </c>
      <c r="D2899" s="58" t="s">
        <v>99</v>
      </c>
      <c r="E2899" s="57" t="s">
        <v>3164</v>
      </c>
      <c r="F2899" s="178">
        <v>46107.0</v>
      </c>
      <c r="G2899" s="155">
        <v>1.061007798E7</v>
      </c>
      <c r="H2899" s="9">
        <f t="shared" si="9"/>
        <v>2228116.376</v>
      </c>
      <c r="I2899" s="44">
        <v>318302.34</v>
      </c>
      <c r="J2899" s="44"/>
      <c r="K2899" s="10">
        <f t="shared" si="4"/>
        <v>13156496.7</v>
      </c>
      <c r="L2899" s="61"/>
      <c r="M2899" s="62"/>
    </row>
    <row r="2900" ht="15.75" customHeight="1">
      <c r="A2900" s="164">
        <v>46086.0</v>
      </c>
      <c r="B2900" s="56"/>
      <c r="C2900" s="57" t="s">
        <v>2318</v>
      </c>
      <c r="D2900" s="58" t="s">
        <v>99</v>
      </c>
      <c r="E2900" s="57" t="s">
        <v>3165</v>
      </c>
      <c r="F2900" s="178">
        <v>46107.0</v>
      </c>
      <c r="G2900" s="155">
        <v>1.061007798E7</v>
      </c>
      <c r="H2900" s="9">
        <f t="shared" si="9"/>
        <v>2228116.376</v>
      </c>
      <c r="I2900" s="44">
        <v>318302.34</v>
      </c>
      <c r="J2900" s="44"/>
      <c r="K2900" s="10">
        <f t="shared" si="4"/>
        <v>13156496.7</v>
      </c>
      <c r="L2900" s="61"/>
      <c r="M2900" s="62"/>
    </row>
    <row r="2901" ht="15.75" customHeight="1">
      <c r="A2901" s="164">
        <v>46086.0</v>
      </c>
      <c r="B2901" s="56"/>
      <c r="C2901" s="57" t="s">
        <v>2318</v>
      </c>
      <c r="D2901" s="58" t="s">
        <v>99</v>
      </c>
      <c r="E2901" s="57" t="s">
        <v>3166</v>
      </c>
      <c r="F2901" s="178">
        <v>46107.0</v>
      </c>
      <c r="G2901" s="155">
        <v>1.08504184E7</v>
      </c>
      <c r="H2901" s="9">
        <f t="shared" si="9"/>
        <v>2278587.864</v>
      </c>
      <c r="I2901" s="44">
        <v>325512.55</v>
      </c>
      <c r="J2901" s="44"/>
      <c r="K2901" s="10">
        <f t="shared" si="4"/>
        <v>13454518.81</v>
      </c>
      <c r="L2901" s="61"/>
      <c r="M2901" s="62"/>
    </row>
    <row r="2902" ht="15.75" customHeight="1">
      <c r="A2902" s="164">
        <v>46086.0</v>
      </c>
      <c r="B2902" s="56"/>
      <c r="C2902" s="57" t="s">
        <v>2318</v>
      </c>
      <c r="D2902" s="58" t="s">
        <v>99</v>
      </c>
      <c r="E2902" s="57" t="s">
        <v>3167</v>
      </c>
      <c r="F2902" s="178">
        <v>46107.0</v>
      </c>
      <c r="G2902" s="155">
        <v>1.08504184E7</v>
      </c>
      <c r="H2902" s="9">
        <f t="shared" si="9"/>
        <v>2278587.864</v>
      </c>
      <c r="I2902" s="44">
        <v>325512.55</v>
      </c>
      <c r="J2902" s="44"/>
      <c r="K2902" s="10">
        <f t="shared" si="4"/>
        <v>13454518.81</v>
      </c>
      <c r="L2902" s="61"/>
      <c r="M2902" s="62"/>
    </row>
    <row r="2903" ht="15.75" customHeight="1">
      <c r="A2903" s="164">
        <v>46086.0</v>
      </c>
      <c r="B2903" s="56"/>
      <c r="C2903" s="57" t="s">
        <v>2318</v>
      </c>
      <c r="D2903" s="58" t="s">
        <v>99</v>
      </c>
      <c r="E2903" s="57" t="s">
        <v>3168</v>
      </c>
      <c r="F2903" s="178">
        <v>46107.0</v>
      </c>
      <c r="G2903" s="155">
        <v>1.08504184E7</v>
      </c>
      <c r="H2903" s="9">
        <f t="shared" si="9"/>
        <v>2278587.864</v>
      </c>
      <c r="I2903" s="44">
        <v>325512.55</v>
      </c>
      <c r="J2903" s="44"/>
      <c r="K2903" s="10">
        <f t="shared" si="4"/>
        <v>13454518.81</v>
      </c>
      <c r="L2903" s="61"/>
      <c r="M2903" s="62"/>
    </row>
    <row r="2904" ht="15.75" customHeight="1">
      <c r="A2904" s="164">
        <v>46086.0</v>
      </c>
      <c r="B2904" s="56"/>
      <c r="C2904" s="57" t="s">
        <v>2318</v>
      </c>
      <c r="D2904" s="58" t="s">
        <v>99</v>
      </c>
      <c r="E2904" s="57" t="s">
        <v>3169</v>
      </c>
      <c r="F2904" s="178">
        <v>46107.0</v>
      </c>
      <c r="G2904" s="155">
        <v>1.08504184E7</v>
      </c>
      <c r="H2904" s="9">
        <f t="shared" si="9"/>
        <v>2278587.864</v>
      </c>
      <c r="I2904" s="44">
        <v>325512.55</v>
      </c>
      <c r="J2904" s="44"/>
      <c r="K2904" s="10">
        <f t="shared" si="4"/>
        <v>13454518.81</v>
      </c>
      <c r="L2904" s="61"/>
      <c r="M2904" s="62"/>
    </row>
    <row r="2905" ht="15.75" customHeight="1">
      <c r="A2905" s="164">
        <v>46086.0</v>
      </c>
      <c r="B2905" s="56"/>
      <c r="C2905" s="57" t="s">
        <v>2318</v>
      </c>
      <c r="D2905" s="58" t="s">
        <v>99</v>
      </c>
      <c r="E2905" s="57" t="s">
        <v>3170</v>
      </c>
      <c r="F2905" s="178">
        <v>46107.0</v>
      </c>
      <c r="G2905" s="155">
        <v>1.08504184E7</v>
      </c>
      <c r="H2905" s="9">
        <f t="shared" si="9"/>
        <v>2278587.864</v>
      </c>
      <c r="I2905" s="44">
        <v>325512.55</v>
      </c>
      <c r="J2905" s="44"/>
      <c r="K2905" s="10">
        <f t="shared" si="4"/>
        <v>13454518.81</v>
      </c>
      <c r="L2905" s="61"/>
      <c r="M2905" s="62"/>
    </row>
    <row r="2906" ht="15.75" customHeight="1">
      <c r="A2906" s="162">
        <v>46086.0</v>
      </c>
      <c r="B2906" s="50"/>
      <c r="C2906" s="31" t="s">
        <v>2221</v>
      </c>
      <c r="D2906" s="32" t="s">
        <v>99</v>
      </c>
      <c r="E2906" s="31" t="s">
        <v>3171</v>
      </c>
      <c r="F2906" s="161">
        <v>46107.0</v>
      </c>
      <c r="G2906" s="54">
        <v>7483827.13</v>
      </c>
      <c r="H2906" s="14">
        <f t="shared" si="9"/>
        <v>1571603.697</v>
      </c>
      <c r="I2906" s="22">
        <v>224514.81</v>
      </c>
      <c r="J2906" s="22"/>
      <c r="K2906" s="15">
        <f t="shared" si="4"/>
        <v>9279945.637</v>
      </c>
      <c r="L2906" s="45"/>
      <c r="M2906" s="24">
        <v>46093.0</v>
      </c>
    </row>
    <row r="2907" ht="15.75" customHeight="1">
      <c r="A2907" s="162">
        <v>46086.0</v>
      </c>
      <c r="B2907" s="50"/>
      <c r="C2907" s="31" t="s">
        <v>2221</v>
      </c>
      <c r="D2907" s="32" t="s">
        <v>99</v>
      </c>
      <c r="E2907" s="31" t="s">
        <v>3172</v>
      </c>
      <c r="F2907" s="161">
        <v>46107.0</v>
      </c>
      <c r="G2907" s="54">
        <v>6443533.52</v>
      </c>
      <c r="H2907" s="14">
        <f t="shared" si="9"/>
        <v>1353142.039</v>
      </c>
      <c r="I2907" s="22">
        <v>193306.01</v>
      </c>
      <c r="J2907" s="22"/>
      <c r="K2907" s="15">
        <f t="shared" si="4"/>
        <v>7989981.569</v>
      </c>
      <c r="L2907" s="45"/>
      <c r="M2907" s="24">
        <v>46093.0</v>
      </c>
    </row>
    <row r="2908" ht="15.75" customHeight="1">
      <c r="A2908" s="162">
        <v>46086.0</v>
      </c>
      <c r="B2908" s="50"/>
      <c r="C2908" s="31" t="s">
        <v>2221</v>
      </c>
      <c r="D2908" s="32" t="s">
        <v>99</v>
      </c>
      <c r="E2908" s="31" t="s">
        <v>3173</v>
      </c>
      <c r="F2908" s="161">
        <v>46107.0</v>
      </c>
      <c r="G2908" s="54">
        <v>2781472.03</v>
      </c>
      <c r="H2908" s="14">
        <f t="shared" si="9"/>
        <v>584109.1263</v>
      </c>
      <c r="I2908" s="22">
        <v>83444.16</v>
      </c>
      <c r="J2908" s="22"/>
      <c r="K2908" s="15">
        <f t="shared" si="4"/>
        <v>3449025.316</v>
      </c>
      <c r="L2908" s="45"/>
      <c r="M2908" s="24">
        <v>46093.0</v>
      </c>
    </row>
    <row r="2909" ht="15.75" customHeight="1">
      <c r="A2909" s="162">
        <v>46086.0</v>
      </c>
      <c r="B2909" s="50"/>
      <c r="C2909" s="31" t="s">
        <v>2221</v>
      </c>
      <c r="D2909" s="32" t="s">
        <v>99</v>
      </c>
      <c r="E2909" s="31" t="s">
        <v>3174</v>
      </c>
      <c r="F2909" s="161">
        <v>46107.0</v>
      </c>
      <c r="G2909" s="54">
        <v>2751881.23</v>
      </c>
      <c r="H2909" s="14">
        <f t="shared" si="9"/>
        <v>577895.0583</v>
      </c>
      <c r="I2909" s="22">
        <v>82556.44</v>
      </c>
      <c r="J2909" s="22"/>
      <c r="K2909" s="15">
        <f t="shared" si="4"/>
        <v>3412332.728</v>
      </c>
      <c r="L2909" s="45"/>
      <c r="M2909" s="24">
        <v>46093.0</v>
      </c>
    </row>
    <row r="2910" ht="15.75" customHeight="1">
      <c r="A2910" s="162">
        <v>46086.0</v>
      </c>
      <c r="B2910" s="50"/>
      <c r="C2910" s="31" t="s">
        <v>2221</v>
      </c>
      <c r="D2910" s="32" t="s">
        <v>99</v>
      </c>
      <c r="E2910" s="31" t="s">
        <v>3175</v>
      </c>
      <c r="F2910" s="161">
        <v>46107.0</v>
      </c>
      <c r="G2910" s="54">
        <v>2753864.11</v>
      </c>
      <c r="H2910" s="14">
        <f t="shared" si="9"/>
        <v>578311.4631</v>
      </c>
      <c r="I2910" s="22">
        <v>82615.92</v>
      </c>
      <c r="J2910" s="22"/>
      <c r="K2910" s="15">
        <f t="shared" si="4"/>
        <v>3414791.493</v>
      </c>
      <c r="L2910" s="45"/>
      <c r="M2910" s="24">
        <v>46093.0</v>
      </c>
    </row>
    <row r="2911" ht="15.75" customHeight="1">
      <c r="A2911" s="162">
        <v>46086.0</v>
      </c>
      <c r="B2911" s="50"/>
      <c r="C2911" s="31" t="s">
        <v>2221</v>
      </c>
      <c r="D2911" s="32" t="s">
        <v>99</v>
      </c>
      <c r="E2911" s="31" t="s">
        <v>3176</v>
      </c>
      <c r="F2911" s="161">
        <v>46107.0</v>
      </c>
      <c r="G2911" s="54">
        <v>2795352.89</v>
      </c>
      <c r="H2911" s="14">
        <f t="shared" si="9"/>
        <v>587024.1069</v>
      </c>
      <c r="I2911" s="22">
        <v>83860.59</v>
      </c>
      <c r="J2911" s="22"/>
      <c r="K2911" s="15">
        <f t="shared" si="4"/>
        <v>3466237.587</v>
      </c>
      <c r="L2911" s="45"/>
      <c r="M2911" s="24">
        <v>46093.0</v>
      </c>
    </row>
    <row r="2912" ht="15.75" customHeight="1">
      <c r="A2912" s="162">
        <v>46086.0</v>
      </c>
      <c r="B2912" s="50"/>
      <c r="C2912" s="31" t="s">
        <v>1861</v>
      </c>
      <c r="D2912" s="32" t="s">
        <v>99</v>
      </c>
      <c r="E2912" s="31" t="s">
        <v>3177</v>
      </c>
      <c r="F2912" s="161">
        <v>46107.0</v>
      </c>
      <c r="G2912" s="54">
        <v>2.37128064E7</v>
      </c>
      <c r="H2912" s="14">
        <f t="shared" si="9"/>
        <v>4979689.344</v>
      </c>
      <c r="I2912" s="22">
        <v>711384.19</v>
      </c>
      <c r="J2912" s="22">
        <v>474256.13</v>
      </c>
      <c r="K2912" s="15">
        <f t="shared" si="4"/>
        <v>29878136.06</v>
      </c>
      <c r="L2912" s="45"/>
      <c r="M2912" s="19" t="s">
        <v>3178</v>
      </c>
    </row>
    <row r="2913" ht="15.75" customHeight="1">
      <c r="A2913" s="162">
        <v>46086.0</v>
      </c>
      <c r="B2913" s="50"/>
      <c r="C2913" s="31" t="s">
        <v>1861</v>
      </c>
      <c r="D2913" s="32" t="s">
        <v>99</v>
      </c>
      <c r="E2913" s="31" t="s">
        <v>3179</v>
      </c>
      <c r="F2913" s="161">
        <v>46107.0</v>
      </c>
      <c r="G2913" s="54">
        <v>2.177904768E7</v>
      </c>
      <c r="H2913" s="14">
        <f t="shared" si="9"/>
        <v>4573600.013</v>
      </c>
      <c r="I2913" s="22">
        <v>653371.43</v>
      </c>
      <c r="J2913" s="22">
        <v>435580.95</v>
      </c>
      <c r="K2913" s="15">
        <f t="shared" si="4"/>
        <v>27441600.07</v>
      </c>
      <c r="L2913" s="45"/>
      <c r="M2913" s="19" t="s">
        <v>3178</v>
      </c>
    </row>
    <row r="2914" ht="15.75" customHeight="1">
      <c r="A2914" s="162">
        <v>46086.0</v>
      </c>
      <c r="B2914" s="50"/>
      <c r="C2914" s="31" t="s">
        <v>1858</v>
      </c>
      <c r="D2914" s="32" t="s">
        <v>99</v>
      </c>
      <c r="E2914" s="31" t="s">
        <v>3180</v>
      </c>
      <c r="F2914" s="161">
        <v>46107.0</v>
      </c>
      <c r="G2914" s="54">
        <v>8370467.1</v>
      </c>
      <c r="H2914" s="14">
        <f t="shared" si="9"/>
        <v>1757798.091</v>
      </c>
      <c r="I2914" s="22">
        <v>251114.01</v>
      </c>
      <c r="J2914" s="22">
        <v>33481.87</v>
      </c>
      <c r="K2914" s="15">
        <f t="shared" si="4"/>
        <v>10412861.07</v>
      </c>
      <c r="L2914" s="45"/>
      <c r="M2914" s="24">
        <v>46098.0</v>
      </c>
    </row>
    <row r="2915" ht="15.75" customHeight="1">
      <c r="A2915" s="162">
        <v>46086.0</v>
      </c>
      <c r="B2915" s="50"/>
      <c r="C2915" s="31" t="s">
        <v>1858</v>
      </c>
      <c r="D2915" s="32" t="s">
        <v>99</v>
      </c>
      <c r="E2915" s="31" t="s">
        <v>3181</v>
      </c>
      <c r="F2915" s="161">
        <v>46107.0</v>
      </c>
      <c r="G2915" s="54">
        <v>5950251.6</v>
      </c>
      <c r="H2915" s="14">
        <f t="shared" si="9"/>
        <v>1249552.836</v>
      </c>
      <c r="I2915" s="22">
        <v>178507.55</v>
      </c>
      <c r="J2915" s="22">
        <v>23801.01</v>
      </c>
      <c r="K2915" s="15">
        <f t="shared" si="4"/>
        <v>7402112.996</v>
      </c>
      <c r="L2915" s="45"/>
      <c r="M2915" s="24">
        <v>46099.0</v>
      </c>
    </row>
    <row r="2916" ht="15.75" customHeight="1">
      <c r="A2916" s="162">
        <v>46086.0</v>
      </c>
      <c r="B2916" s="50"/>
      <c r="C2916" s="31" t="s">
        <v>1854</v>
      </c>
      <c r="D2916" s="32" t="s">
        <v>99</v>
      </c>
      <c r="E2916" s="31" t="s">
        <v>3182</v>
      </c>
      <c r="F2916" s="161">
        <v>46107.0</v>
      </c>
      <c r="G2916" s="54">
        <v>3.034601439E7</v>
      </c>
      <c r="H2916" s="14">
        <f t="shared" si="9"/>
        <v>6372663.022</v>
      </c>
      <c r="I2916" s="22">
        <v>910380.43</v>
      </c>
      <c r="J2916" s="22">
        <v>1517300.72</v>
      </c>
      <c r="K2916" s="15">
        <f t="shared" si="4"/>
        <v>39146358.56</v>
      </c>
      <c r="L2916" s="45"/>
      <c r="M2916" s="24">
        <v>46098.0</v>
      </c>
    </row>
    <row r="2917" ht="15.75" customHeight="1">
      <c r="A2917" s="162">
        <v>46086.0</v>
      </c>
      <c r="B2917" s="50"/>
      <c r="C2917" s="31" t="s">
        <v>1854</v>
      </c>
      <c r="D2917" s="32" t="s">
        <v>99</v>
      </c>
      <c r="E2917" s="31" t="s">
        <v>3183</v>
      </c>
      <c r="F2917" s="161">
        <v>46107.0</v>
      </c>
      <c r="G2917" s="54">
        <v>3.034601739E7</v>
      </c>
      <c r="H2917" s="14">
        <f t="shared" si="9"/>
        <v>6372663.652</v>
      </c>
      <c r="I2917" s="22">
        <v>910380.52</v>
      </c>
      <c r="J2917" s="22">
        <v>1517300.87</v>
      </c>
      <c r="K2917" s="15">
        <f t="shared" si="4"/>
        <v>39146362.43</v>
      </c>
      <c r="L2917" s="45"/>
      <c r="M2917" s="24">
        <v>46102.0</v>
      </c>
    </row>
    <row r="2918" ht="15.75" customHeight="1">
      <c r="A2918" s="162">
        <v>46086.0</v>
      </c>
      <c r="B2918" s="50"/>
      <c r="C2918" s="31" t="s">
        <v>567</v>
      </c>
      <c r="D2918" s="32" t="s">
        <v>99</v>
      </c>
      <c r="E2918" s="31" t="s">
        <v>3184</v>
      </c>
      <c r="F2918" s="161">
        <v>46107.0</v>
      </c>
      <c r="G2918" s="54">
        <v>2.000108943E7</v>
      </c>
      <c r="H2918" s="14">
        <f t="shared" si="9"/>
        <v>4200228.78</v>
      </c>
      <c r="I2918" s="22"/>
      <c r="J2918" s="22"/>
      <c r="K2918" s="15">
        <f t="shared" si="4"/>
        <v>24201318.21</v>
      </c>
      <c r="L2918" s="45"/>
      <c r="M2918" s="24">
        <v>46093.0</v>
      </c>
    </row>
    <row r="2919" ht="15.75" customHeight="1">
      <c r="A2919" s="162">
        <v>46086.0</v>
      </c>
      <c r="B2919" s="50"/>
      <c r="C2919" s="31" t="s">
        <v>567</v>
      </c>
      <c r="D2919" s="32" t="s">
        <v>99</v>
      </c>
      <c r="E2919" s="31" t="s">
        <v>3185</v>
      </c>
      <c r="F2919" s="161">
        <v>46107.0</v>
      </c>
      <c r="G2919" s="54">
        <v>2.200076115E7</v>
      </c>
      <c r="H2919" s="14">
        <f t="shared" si="9"/>
        <v>4620159.842</v>
      </c>
      <c r="I2919" s="22"/>
      <c r="J2919" s="22"/>
      <c r="K2919" s="15">
        <f t="shared" si="4"/>
        <v>26620920.99</v>
      </c>
      <c r="L2919" s="45"/>
      <c r="M2919" s="24">
        <v>46093.0</v>
      </c>
    </row>
    <row r="2920" ht="15.75" customHeight="1">
      <c r="A2920" s="162">
        <v>46086.0</v>
      </c>
      <c r="B2920" s="50"/>
      <c r="C2920" s="31" t="s">
        <v>567</v>
      </c>
      <c r="D2920" s="32" t="s">
        <v>15</v>
      </c>
      <c r="E2920" s="31" t="s">
        <v>3186</v>
      </c>
      <c r="F2920" s="161">
        <v>46107.0</v>
      </c>
      <c r="G2920" s="54">
        <v>3.000120516E7</v>
      </c>
      <c r="H2920" s="14">
        <f t="shared" si="9"/>
        <v>6300253.084</v>
      </c>
      <c r="I2920" s="22"/>
      <c r="J2920" s="22"/>
      <c r="K2920" s="15">
        <f t="shared" si="4"/>
        <v>36301458.24</v>
      </c>
      <c r="L2920" s="45"/>
      <c r="M2920" s="24">
        <v>46094.0</v>
      </c>
    </row>
    <row r="2921" ht="15.75" customHeight="1">
      <c r="A2921" s="162">
        <v>46086.0</v>
      </c>
      <c r="B2921" s="50"/>
      <c r="C2921" s="31" t="s">
        <v>567</v>
      </c>
      <c r="D2921" s="32" t="s">
        <v>15</v>
      </c>
      <c r="E2921" s="31" t="s">
        <v>3187</v>
      </c>
      <c r="F2921" s="161">
        <v>46107.0</v>
      </c>
      <c r="G2921" s="54">
        <v>2.800112349E7</v>
      </c>
      <c r="H2921" s="14">
        <f t="shared" si="9"/>
        <v>5880235.933</v>
      </c>
      <c r="I2921" s="22"/>
      <c r="J2921" s="22"/>
      <c r="K2921" s="15">
        <f t="shared" si="4"/>
        <v>33881359.42</v>
      </c>
      <c r="L2921" s="45"/>
      <c r="M2921" s="24">
        <v>46094.0</v>
      </c>
    </row>
    <row r="2922" ht="15.75" customHeight="1">
      <c r="A2922" s="162">
        <v>46086.0</v>
      </c>
      <c r="B2922" s="50"/>
      <c r="C2922" s="31" t="s">
        <v>1854</v>
      </c>
      <c r="D2922" s="32" t="s">
        <v>15</v>
      </c>
      <c r="E2922" s="31" t="s">
        <v>3188</v>
      </c>
      <c r="F2922" s="161">
        <v>46107.0</v>
      </c>
      <c r="G2922" s="54">
        <v>2.963530368E7</v>
      </c>
      <c r="H2922" s="14">
        <f t="shared" si="9"/>
        <v>6223413.773</v>
      </c>
      <c r="I2922" s="22">
        <v>889059.11</v>
      </c>
      <c r="J2922" s="22">
        <v>1481765.18</v>
      </c>
      <c r="K2922" s="15">
        <f t="shared" si="4"/>
        <v>38229541.74</v>
      </c>
      <c r="L2922" s="45"/>
      <c r="M2922" s="24">
        <v>46099.0</v>
      </c>
    </row>
    <row r="2923" ht="15.75" customHeight="1">
      <c r="A2923" s="162">
        <v>46086.0</v>
      </c>
      <c r="B2923" s="50"/>
      <c r="C2923" s="31" t="s">
        <v>1854</v>
      </c>
      <c r="D2923" s="32" t="s">
        <v>15</v>
      </c>
      <c r="E2923" s="31" t="s">
        <v>3189</v>
      </c>
      <c r="F2923" s="161">
        <v>46107.0</v>
      </c>
      <c r="G2923" s="54">
        <v>2.963530368E7</v>
      </c>
      <c r="H2923" s="14">
        <f t="shared" si="9"/>
        <v>6223413.773</v>
      </c>
      <c r="I2923" s="22">
        <v>889059.11</v>
      </c>
      <c r="J2923" s="22">
        <v>1481765.18</v>
      </c>
      <c r="K2923" s="15">
        <f t="shared" si="4"/>
        <v>38229541.74</v>
      </c>
      <c r="L2923" s="45"/>
      <c r="M2923" s="24">
        <v>46104.0</v>
      </c>
    </row>
    <row r="2924" ht="15.75" customHeight="1">
      <c r="A2924" s="162">
        <v>46086.0</v>
      </c>
      <c r="B2924" s="50"/>
      <c r="C2924" s="31" t="s">
        <v>1854</v>
      </c>
      <c r="D2924" s="32" t="s">
        <v>15</v>
      </c>
      <c r="E2924" s="31" t="s">
        <v>3190</v>
      </c>
      <c r="F2924" s="161">
        <v>46107.0</v>
      </c>
      <c r="G2924" s="54">
        <v>7040228.8</v>
      </c>
      <c r="H2924" s="14">
        <f t="shared" si="9"/>
        <v>1478448.048</v>
      </c>
      <c r="I2924" s="22">
        <v>211206.86</v>
      </c>
      <c r="J2924" s="22">
        <v>352011.44</v>
      </c>
      <c r="K2924" s="15">
        <f t="shared" si="4"/>
        <v>9081895.148</v>
      </c>
      <c r="L2924" s="45"/>
      <c r="M2924" s="24">
        <v>46097.0</v>
      </c>
    </row>
    <row r="2925" ht="15.75" customHeight="1">
      <c r="A2925" s="162">
        <v>46086.0</v>
      </c>
      <c r="B2925" s="50"/>
      <c r="C2925" s="31" t="s">
        <v>1858</v>
      </c>
      <c r="D2925" s="32" t="s">
        <v>15</v>
      </c>
      <c r="E2925" s="31" t="s">
        <v>3191</v>
      </c>
      <c r="F2925" s="161">
        <v>46107.0</v>
      </c>
      <c r="G2925" s="54">
        <v>2.813320125E7</v>
      </c>
      <c r="H2925" s="14">
        <f t="shared" si="9"/>
        <v>5907972.263</v>
      </c>
      <c r="I2925" s="22">
        <v>843996.04</v>
      </c>
      <c r="J2925" s="22">
        <v>112532.81</v>
      </c>
      <c r="K2925" s="15">
        <f t="shared" si="4"/>
        <v>34997702.36</v>
      </c>
      <c r="L2925" s="45"/>
      <c r="M2925" s="24">
        <v>46097.0</v>
      </c>
    </row>
    <row r="2926" ht="15.75" customHeight="1">
      <c r="A2926" s="162">
        <v>46086.0</v>
      </c>
      <c r="B2926" s="50"/>
      <c r="C2926" s="31" t="s">
        <v>1861</v>
      </c>
      <c r="D2926" s="32" t="s">
        <v>15</v>
      </c>
      <c r="E2926" s="31" t="s">
        <v>3192</v>
      </c>
      <c r="F2926" s="161">
        <v>46107.0</v>
      </c>
      <c r="G2926" s="54">
        <v>2.021823024E7</v>
      </c>
      <c r="H2926" s="14">
        <f t="shared" si="9"/>
        <v>4245828.35</v>
      </c>
      <c r="I2926" s="22">
        <v>606546.91</v>
      </c>
      <c r="J2926" s="22">
        <v>404364.6</v>
      </c>
      <c r="K2926" s="15">
        <f t="shared" si="4"/>
        <v>25474970.1</v>
      </c>
      <c r="L2926" s="45"/>
      <c r="M2926" s="24">
        <v>46100.0</v>
      </c>
    </row>
    <row r="2927" ht="15.75" customHeight="1">
      <c r="A2927" s="164">
        <v>46086.0</v>
      </c>
      <c r="B2927" s="56"/>
      <c r="C2927" s="57" t="s">
        <v>2318</v>
      </c>
      <c r="D2927" s="58" t="s">
        <v>15</v>
      </c>
      <c r="E2927" s="57" t="s">
        <v>3193</v>
      </c>
      <c r="F2927" s="178">
        <v>46107.0</v>
      </c>
      <c r="G2927" s="155">
        <v>1.03169136E7</v>
      </c>
      <c r="H2927" s="9">
        <f t="shared" si="9"/>
        <v>2166551.856</v>
      </c>
      <c r="I2927" s="44">
        <v>309507.41</v>
      </c>
      <c r="J2927" s="44"/>
      <c r="K2927" s="10">
        <f t="shared" si="4"/>
        <v>12792972.87</v>
      </c>
      <c r="L2927" s="61"/>
      <c r="M2927" s="62"/>
    </row>
    <row r="2928" ht="15.75" customHeight="1">
      <c r="A2928" s="164">
        <v>46086.0</v>
      </c>
      <c r="B2928" s="56"/>
      <c r="C2928" s="57" t="s">
        <v>2318</v>
      </c>
      <c r="D2928" s="58" t="s">
        <v>15</v>
      </c>
      <c r="E2928" s="57" t="s">
        <v>3194</v>
      </c>
      <c r="F2928" s="178">
        <v>46107.0</v>
      </c>
      <c r="G2928" s="155">
        <v>1.03169136E7</v>
      </c>
      <c r="H2928" s="9">
        <f t="shared" si="9"/>
        <v>2166551.856</v>
      </c>
      <c r="I2928" s="44">
        <v>309507.41</v>
      </c>
      <c r="J2928" s="44"/>
      <c r="K2928" s="10">
        <f t="shared" si="4"/>
        <v>12792972.87</v>
      </c>
      <c r="L2928" s="61"/>
      <c r="M2928" s="62"/>
    </row>
    <row r="2929" ht="15.75" customHeight="1">
      <c r="A2929" s="164">
        <v>46086.0</v>
      </c>
      <c r="B2929" s="56"/>
      <c r="C2929" s="57" t="s">
        <v>2318</v>
      </c>
      <c r="D2929" s="58" t="s">
        <v>15</v>
      </c>
      <c r="E2929" s="57" t="s">
        <v>3195</v>
      </c>
      <c r="F2929" s="178">
        <v>46107.0</v>
      </c>
      <c r="G2929" s="155">
        <v>1.03169136E7</v>
      </c>
      <c r="H2929" s="9">
        <f t="shared" si="9"/>
        <v>2166551.856</v>
      </c>
      <c r="I2929" s="44">
        <v>309507.41</v>
      </c>
      <c r="J2929" s="44"/>
      <c r="K2929" s="10">
        <f t="shared" si="4"/>
        <v>12792972.87</v>
      </c>
      <c r="L2929" s="61"/>
      <c r="M2929" s="62"/>
    </row>
    <row r="2930" ht="15.75" customHeight="1">
      <c r="A2930" s="164">
        <v>46086.0</v>
      </c>
      <c r="B2930" s="56"/>
      <c r="C2930" s="57" t="s">
        <v>2318</v>
      </c>
      <c r="D2930" s="58" t="s">
        <v>15</v>
      </c>
      <c r="E2930" s="57" t="s">
        <v>3196</v>
      </c>
      <c r="F2930" s="178">
        <v>46107.0</v>
      </c>
      <c r="G2930" s="155">
        <v>1.03169136E7</v>
      </c>
      <c r="H2930" s="9">
        <f t="shared" si="9"/>
        <v>2166551.856</v>
      </c>
      <c r="I2930" s="44">
        <v>309507.41</v>
      </c>
      <c r="J2930" s="44"/>
      <c r="K2930" s="10">
        <f t="shared" si="4"/>
        <v>12792972.87</v>
      </c>
      <c r="L2930" s="61"/>
      <c r="M2930" s="62"/>
    </row>
    <row r="2931" ht="15.75" customHeight="1">
      <c r="A2931" s="164">
        <v>46086.0</v>
      </c>
      <c r="B2931" s="56"/>
      <c r="C2931" s="57" t="s">
        <v>2318</v>
      </c>
      <c r="D2931" s="58" t="s">
        <v>15</v>
      </c>
      <c r="E2931" s="57" t="s">
        <v>3197</v>
      </c>
      <c r="F2931" s="178">
        <v>46107.0</v>
      </c>
      <c r="G2931" s="155">
        <v>1.03169136E7</v>
      </c>
      <c r="H2931" s="9">
        <f t="shared" si="9"/>
        <v>2166551.856</v>
      </c>
      <c r="I2931" s="44">
        <v>309507.41</v>
      </c>
      <c r="J2931" s="44"/>
      <c r="K2931" s="10">
        <f t="shared" si="4"/>
        <v>12792972.87</v>
      </c>
      <c r="L2931" s="61"/>
      <c r="M2931" s="62"/>
    </row>
    <row r="2932" ht="15.75" customHeight="1">
      <c r="A2932" s="164">
        <v>46086.0</v>
      </c>
      <c r="B2932" s="56"/>
      <c r="C2932" s="57" t="s">
        <v>2318</v>
      </c>
      <c r="D2932" s="58" t="s">
        <v>15</v>
      </c>
      <c r="E2932" s="57" t="s">
        <v>3198</v>
      </c>
      <c r="F2932" s="178">
        <v>46107.0</v>
      </c>
      <c r="G2932" s="155">
        <v>9634093.48</v>
      </c>
      <c r="H2932" s="9">
        <f t="shared" si="9"/>
        <v>2023159.631</v>
      </c>
      <c r="I2932" s="44">
        <v>289022.8</v>
      </c>
      <c r="J2932" s="44"/>
      <c r="K2932" s="10">
        <f t="shared" si="4"/>
        <v>11946275.91</v>
      </c>
      <c r="L2932" s="61"/>
      <c r="M2932" s="62"/>
    </row>
    <row r="2933" ht="15.75" customHeight="1">
      <c r="A2933" s="164">
        <v>46086.0</v>
      </c>
      <c r="B2933" s="56"/>
      <c r="C2933" s="57" t="s">
        <v>2318</v>
      </c>
      <c r="D2933" s="58" t="s">
        <v>15</v>
      </c>
      <c r="E2933" s="57" t="s">
        <v>3199</v>
      </c>
      <c r="F2933" s="178">
        <v>46107.0</v>
      </c>
      <c r="G2933" s="155">
        <v>9634093.48</v>
      </c>
      <c r="H2933" s="9">
        <f t="shared" si="9"/>
        <v>2023159.631</v>
      </c>
      <c r="I2933" s="44">
        <v>289022.8</v>
      </c>
      <c r="J2933" s="44"/>
      <c r="K2933" s="10">
        <f t="shared" si="4"/>
        <v>11946275.91</v>
      </c>
      <c r="L2933" s="61"/>
      <c r="M2933" s="62"/>
    </row>
    <row r="2934" ht="15.75" customHeight="1">
      <c r="A2934" s="164">
        <v>46086.0</v>
      </c>
      <c r="B2934" s="56"/>
      <c r="C2934" s="57" t="s">
        <v>2318</v>
      </c>
      <c r="D2934" s="58" t="s">
        <v>15</v>
      </c>
      <c r="E2934" s="57" t="s">
        <v>3200</v>
      </c>
      <c r="F2934" s="178">
        <v>46107.0</v>
      </c>
      <c r="G2934" s="155">
        <v>9634093.48</v>
      </c>
      <c r="H2934" s="9">
        <f t="shared" si="9"/>
        <v>2023159.631</v>
      </c>
      <c r="I2934" s="44">
        <v>289022.8</v>
      </c>
      <c r="J2934" s="44"/>
      <c r="K2934" s="10">
        <f t="shared" si="4"/>
        <v>11946275.91</v>
      </c>
      <c r="L2934" s="61"/>
      <c r="M2934" s="62"/>
    </row>
    <row r="2935" ht="15.75" customHeight="1">
      <c r="A2935" s="164">
        <v>46086.0</v>
      </c>
      <c r="B2935" s="56"/>
      <c r="C2935" s="57" t="s">
        <v>2318</v>
      </c>
      <c r="D2935" s="58" t="s">
        <v>15</v>
      </c>
      <c r="E2935" s="57" t="s">
        <v>3201</v>
      </c>
      <c r="F2935" s="178">
        <v>46107.0</v>
      </c>
      <c r="G2935" s="155">
        <v>9634093.48</v>
      </c>
      <c r="H2935" s="9">
        <f t="shared" si="9"/>
        <v>2023159.631</v>
      </c>
      <c r="I2935" s="44">
        <v>289022.8</v>
      </c>
      <c r="J2935" s="44"/>
      <c r="K2935" s="10">
        <f t="shared" si="4"/>
        <v>11946275.91</v>
      </c>
      <c r="L2935" s="61"/>
      <c r="M2935" s="62"/>
    </row>
    <row r="2936" ht="15.75" customHeight="1">
      <c r="A2936" s="164">
        <v>46086.0</v>
      </c>
      <c r="B2936" s="56"/>
      <c r="C2936" s="57" t="s">
        <v>2318</v>
      </c>
      <c r="D2936" s="58" t="s">
        <v>15</v>
      </c>
      <c r="E2936" s="57" t="s">
        <v>3202</v>
      </c>
      <c r="F2936" s="178">
        <v>46107.0</v>
      </c>
      <c r="G2936" s="155">
        <v>9634093.48</v>
      </c>
      <c r="H2936" s="9">
        <f t="shared" si="9"/>
        <v>2023159.631</v>
      </c>
      <c r="I2936" s="44">
        <v>289022.8</v>
      </c>
      <c r="J2936" s="44"/>
      <c r="K2936" s="10">
        <f t="shared" si="4"/>
        <v>11946275.91</v>
      </c>
      <c r="L2936" s="61"/>
      <c r="M2936" s="62"/>
    </row>
    <row r="2937" ht="15.75" customHeight="1">
      <c r="A2937" s="164">
        <v>46087.0</v>
      </c>
      <c r="B2937" s="56"/>
      <c r="C2937" s="57" t="s">
        <v>2318</v>
      </c>
      <c r="D2937" s="57" t="s">
        <v>77</v>
      </c>
      <c r="E2937" s="57" t="s">
        <v>3203</v>
      </c>
      <c r="F2937" s="178">
        <v>46107.0</v>
      </c>
      <c r="G2937" s="155">
        <v>1.8615E7</v>
      </c>
      <c r="H2937" s="9">
        <f t="shared" si="9"/>
        <v>3909150</v>
      </c>
      <c r="I2937" s="44"/>
      <c r="J2937" s="44"/>
      <c r="K2937" s="10">
        <f t="shared" si="4"/>
        <v>22524150</v>
      </c>
      <c r="L2937" s="61"/>
      <c r="M2937" s="62"/>
    </row>
    <row r="2938" ht="15.75" customHeight="1">
      <c r="A2938" s="164">
        <v>46087.0</v>
      </c>
      <c r="B2938" s="56"/>
      <c r="C2938" s="57" t="s">
        <v>2318</v>
      </c>
      <c r="D2938" s="57" t="s">
        <v>77</v>
      </c>
      <c r="E2938" s="57" t="s">
        <v>3204</v>
      </c>
      <c r="F2938" s="178">
        <v>46107.0</v>
      </c>
      <c r="G2938" s="155">
        <v>1.898E7</v>
      </c>
      <c r="H2938" s="9">
        <f t="shared" si="9"/>
        <v>3985800</v>
      </c>
      <c r="I2938" s="44"/>
      <c r="J2938" s="44"/>
      <c r="K2938" s="10">
        <f t="shared" si="4"/>
        <v>22965800</v>
      </c>
      <c r="L2938" s="61"/>
      <c r="M2938" s="62"/>
    </row>
    <row r="2939" ht="15.75" customHeight="1">
      <c r="A2939" s="164">
        <v>46087.0</v>
      </c>
      <c r="B2939" s="56"/>
      <c r="C2939" s="57" t="s">
        <v>2318</v>
      </c>
      <c r="D2939" s="57" t="s">
        <v>77</v>
      </c>
      <c r="E2939" s="57" t="s">
        <v>3205</v>
      </c>
      <c r="F2939" s="178">
        <v>46107.0</v>
      </c>
      <c r="G2939" s="155">
        <v>1.971E7</v>
      </c>
      <c r="H2939" s="9">
        <f t="shared" si="9"/>
        <v>4139100</v>
      </c>
      <c r="I2939" s="44"/>
      <c r="J2939" s="44"/>
      <c r="K2939" s="10">
        <f t="shared" si="4"/>
        <v>23849100</v>
      </c>
      <c r="L2939" s="61"/>
      <c r="M2939" s="62"/>
    </row>
    <row r="2940" ht="15.75" customHeight="1">
      <c r="A2940" s="164">
        <v>46087.0</v>
      </c>
      <c r="B2940" s="56"/>
      <c r="C2940" s="57" t="s">
        <v>2318</v>
      </c>
      <c r="D2940" s="57" t="s">
        <v>77</v>
      </c>
      <c r="E2940" s="57" t="s">
        <v>3206</v>
      </c>
      <c r="F2940" s="178">
        <v>46107.0</v>
      </c>
      <c r="G2940" s="155">
        <v>2.0075E7</v>
      </c>
      <c r="H2940" s="9">
        <f t="shared" si="9"/>
        <v>4215750</v>
      </c>
      <c r="I2940" s="44"/>
      <c r="J2940" s="44"/>
      <c r="K2940" s="10">
        <f t="shared" si="4"/>
        <v>24290750</v>
      </c>
      <c r="L2940" s="61"/>
      <c r="M2940" s="62"/>
    </row>
    <row r="2941" ht="15.75" customHeight="1">
      <c r="A2941" s="164">
        <v>46087.0</v>
      </c>
      <c r="B2941" s="56"/>
      <c r="C2941" s="57" t="s">
        <v>2318</v>
      </c>
      <c r="D2941" s="57" t="s">
        <v>77</v>
      </c>
      <c r="E2941" s="57" t="s">
        <v>3207</v>
      </c>
      <c r="F2941" s="178">
        <v>46107.0</v>
      </c>
      <c r="G2941" s="155">
        <v>7300000.0</v>
      </c>
      <c r="H2941" s="9">
        <f t="shared" si="9"/>
        <v>1533000</v>
      </c>
      <c r="I2941" s="44"/>
      <c r="J2941" s="44"/>
      <c r="K2941" s="10">
        <f t="shared" si="4"/>
        <v>8833000</v>
      </c>
      <c r="L2941" s="61"/>
      <c r="M2941" s="62"/>
    </row>
    <row r="2942" ht="15.75" customHeight="1">
      <c r="A2942" s="164">
        <v>46087.0</v>
      </c>
      <c r="B2942" s="56"/>
      <c r="C2942" s="57" t="s">
        <v>2318</v>
      </c>
      <c r="D2942" s="57" t="s">
        <v>77</v>
      </c>
      <c r="E2942" s="57" t="s">
        <v>3208</v>
      </c>
      <c r="F2942" s="178">
        <v>46107.0</v>
      </c>
      <c r="G2942" s="155">
        <v>1.707105E7</v>
      </c>
      <c r="H2942" s="9">
        <f t="shared" si="9"/>
        <v>3584920.5</v>
      </c>
      <c r="I2942" s="44"/>
      <c r="J2942" s="44"/>
      <c r="K2942" s="10">
        <f t="shared" si="4"/>
        <v>20655970.5</v>
      </c>
      <c r="L2942" s="61"/>
      <c r="M2942" s="62"/>
    </row>
    <row r="2943" ht="15.75" customHeight="1">
      <c r="A2943" s="164">
        <v>46087.0</v>
      </c>
      <c r="B2943" s="56"/>
      <c r="C2943" s="57" t="s">
        <v>2318</v>
      </c>
      <c r="D2943" s="57" t="s">
        <v>77</v>
      </c>
      <c r="E2943" s="57" t="s">
        <v>3209</v>
      </c>
      <c r="F2943" s="178">
        <v>46107.0</v>
      </c>
      <c r="G2943" s="155">
        <v>1.825E7</v>
      </c>
      <c r="H2943" s="9">
        <f t="shared" si="9"/>
        <v>3832500</v>
      </c>
      <c r="I2943" s="44"/>
      <c r="J2943" s="44"/>
      <c r="K2943" s="10">
        <f t="shared" si="4"/>
        <v>22082500</v>
      </c>
      <c r="L2943" s="61"/>
      <c r="M2943" s="62"/>
    </row>
    <row r="2944" ht="15.75" customHeight="1">
      <c r="A2944" s="164"/>
      <c r="B2944" s="56"/>
      <c r="C2944" s="58" t="s">
        <v>3210</v>
      </c>
      <c r="D2944" s="58" t="s">
        <v>3211</v>
      </c>
      <c r="E2944" s="32">
        <v>820.0</v>
      </c>
      <c r="F2944" s="212">
        <v>46079.0</v>
      </c>
      <c r="G2944" s="155">
        <v>2263171.0</v>
      </c>
      <c r="H2944" s="9">
        <f t="shared" si="9"/>
        <v>475265.91</v>
      </c>
      <c r="I2944" s="44"/>
      <c r="J2944" s="44"/>
      <c r="K2944" s="10">
        <f t="shared" si="4"/>
        <v>2738436.91</v>
      </c>
      <c r="L2944" s="61"/>
      <c r="M2944" s="62"/>
    </row>
    <row r="2945" ht="15.75" customHeight="1">
      <c r="A2945" s="164"/>
      <c r="B2945" s="56"/>
      <c r="C2945" s="58" t="s">
        <v>3212</v>
      </c>
      <c r="D2945" s="58" t="s">
        <v>2834</v>
      </c>
      <c r="E2945" s="107">
        <v>49.0</v>
      </c>
      <c r="F2945" s="212">
        <v>46079.0</v>
      </c>
      <c r="G2945" s="155">
        <v>5858334.0</v>
      </c>
      <c r="H2945" s="9">
        <f t="shared" si="9"/>
        <v>1230250.14</v>
      </c>
      <c r="I2945" s="44"/>
      <c r="J2945" s="44"/>
      <c r="K2945" s="10">
        <f t="shared" si="4"/>
        <v>7088584.14</v>
      </c>
      <c r="L2945" s="61"/>
      <c r="M2945" s="62"/>
    </row>
    <row r="2946" ht="15.75" customHeight="1">
      <c r="A2946" s="164"/>
      <c r="B2946" s="56"/>
      <c r="C2946" s="58" t="s">
        <v>3212</v>
      </c>
      <c r="D2946" s="58" t="s">
        <v>2834</v>
      </c>
      <c r="E2946" s="107">
        <v>51.0</v>
      </c>
      <c r="F2946" s="212">
        <v>46079.0</v>
      </c>
      <c r="G2946" s="155">
        <v>5858333.0</v>
      </c>
      <c r="H2946" s="9">
        <f t="shared" si="9"/>
        <v>1230249.93</v>
      </c>
      <c r="I2946" s="44"/>
      <c r="J2946" s="44"/>
      <c r="K2946" s="10">
        <f t="shared" si="4"/>
        <v>7088582.93</v>
      </c>
      <c r="L2946" s="61"/>
      <c r="M2946" s="62"/>
    </row>
    <row r="2947" ht="15.75" customHeight="1">
      <c r="A2947" s="164"/>
      <c r="B2947" s="56"/>
      <c r="C2947" s="58" t="s">
        <v>3212</v>
      </c>
      <c r="D2947" s="58" t="s">
        <v>2834</v>
      </c>
      <c r="E2947" s="107">
        <v>50.0</v>
      </c>
      <c r="F2947" s="212">
        <v>46079.0</v>
      </c>
      <c r="G2947" s="155">
        <v>5858333.0</v>
      </c>
      <c r="H2947" s="9">
        <f t="shared" si="9"/>
        <v>1230249.93</v>
      </c>
      <c r="I2947" s="44"/>
      <c r="J2947" s="44"/>
      <c r="K2947" s="10">
        <f t="shared" si="4"/>
        <v>7088582.93</v>
      </c>
      <c r="L2947" s="61"/>
      <c r="M2947" s="62"/>
    </row>
    <row r="2948" ht="15.75" customHeight="1">
      <c r="A2948" s="164"/>
      <c r="B2948" s="56"/>
      <c r="C2948" s="58" t="s">
        <v>3213</v>
      </c>
      <c r="D2948" s="58" t="s">
        <v>3211</v>
      </c>
      <c r="E2948" s="107">
        <v>101.0</v>
      </c>
      <c r="F2948" s="212">
        <v>46079.0</v>
      </c>
      <c r="G2948" s="155">
        <v>7045558.0</v>
      </c>
      <c r="H2948" s="9">
        <f t="shared" si="9"/>
        <v>1479567.18</v>
      </c>
      <c r="I2948" s="44"/>
      <c r="J2948" s="44"/>
      <c r="K2948" s="10">
        <f t="shared" si="4"/>
        <v>8525125.18</v>
      </c>
      <c r="L2948" s="61"/>
      <c r="M2948" s="62"/>
    </row>
    <row r="2949" ht="15.75" customHeight="1">
      <c r="A2949" s="164"/>
      <c r="B2949" s="56"/>
      <c r="C2949" s="58" t="s">
        <v>3214</v>
      </c>
      <c r="D2949" s="58" t="s">
        <v>77</v>
      </c>
      <c r="E2949" s="107">
        <v>37846.0</v>
      </c>
      <c r="F2949" s="212">
        <v>46079.0</v>
      </c>
      <c r="G2949" s="155">
        <v>7840841.0</v>
      </c>
      <c r="H2949" s="9">
        <f t="shared" si="9"/>
        <v>1646576.61</v>
      </c>
      <c r="I2949" s="44"/>
      <c r="J2949" s="44"/>
      <c r="K2949" s="10">
        <f t="shared" si="4"/>
        <v>9487417.61</v>
      </c>
      <c r="L2949" s="61"/>
      <c r="M2949" s="62"/>
    </row>
    <row r="2950" ht="15.75" customHeight="1">
      <c r="A2950" s="164"/>
      <c r="B2950" s="56"/>
      <c r="C2950" s="58" t="s">
        <v>3215</v>
      </c>
      <c r="D2950" s="58" t="s">
        <v>77</v>
      </c>
      <c r="E2950" s="107">
        <v>37847.0</v>
      </c>
      <c r="F2950" s="212">
        <v>46079.0</v>
      </c>
      <c r="G2950" s="155">
        <v>3095476.0</v>
      </c>
      <c r="H2950" s="9">
        <f t="shared" si="9"/>
        <v>650049.96</v>
      </c>
      <c r="I2950" s="44"/>
      <c r="J2950" s="44"/>
      <c r="K2950" s="10">
        <f t="shared" si="4"/>
        <v>3745525.96</v>
      </c>
      <c r="L2950" s="61"/>
      <c r="M2950" s="62"/>
    </row>
    <row r="2951" ht="15.75" customHeight="1">
      <c r="A2951" s="164"/>
      <c r="B2951" s="56"/>
      <c r="C2951" s="58" t="s">
        <v>3216</v>
      </c>
      <c r="D2951" s="58" t="s">
        <v>3211</v>
      </c>
      <c r="E2951" s="107">
        <v>103.0</v>
      </c>
      <c r="F2951" s="212">
        <v>46079.0</v>
      </c>
      <c r="G2951" s="155">
        <v>784800.0</v>
      </c>
      <c r="H2951" s="9">
        <f t="shared" si="9"/>
        <v>164808</v>
      </c>
      <c r="I2951" s="44"/>
      <c r="J2951" s="44"/>
      <c r="K2951" s="10">
        <f t="shared" si="4"/>
        <v>949608</v>
      </c>
      <c r="L2951" s="61"/>
      <c r="M2951" s="62"/>
    </row>
    <row r="2952" ht="15.75" customHeight="1">
      <c r="A2952" s="164">
        <v>46090.0</v>
      </c>
      <c r="B2952" s="56"/>
      <c r="C2952" s="57" t="s">
        <v>2837</v>
      </c>
      <c r="D2952" s="57" t="s">
        <v>2834</v>
      </c>
      <c r="E2952" s="58" t="s">
        <v>3217</v>
      </c>
      <c r="F2952" s="178">
        <v>46107.0</v>
      </c>
      <c r="G2952" s="206">
        <v>1950000.0</v>
      </c>
      <c r="H2952" s="9">
        <f t="shared" si="9"/>
        <v>409500</v>
      </c>
      <c r="I2952" s="44"/>
      <c r="J2952" s="44"/>
      <c r="K2952" s="10">
        <f t="shared" si="4"/>
        <v>2359500</v>
      </c>
      <c r="L2952" s="61"/>
      <c r="M2952" s="62"/>
    </row>
    <row r="2953" ht="15.75" customHeight="1">
      <c r="A2953" s="164">
        <v>46090.0</v>
      </c>
      <c r="B2953" s="56"/>
      <c r="C2953" s="57" t="s">
        <v>2837</v>
      </c>
      <c r="D2953" s="57" t="s">
        <v>2834</v>
      </c>
      <c r="E2953" s="58" t="s">
        <v>3218</v>
      </c>
      <c r="F2953" s="178">
        <v>46107.0</v>
      </c>
      <c r="G2953" s="206">
        <v>910050.0</v>
      </c>
      <c r="H2953" s="9">
        <f t="shared" si="9"/>
        <v>191110.5</v>
      </c>
      <c r="I2953" s="44"/>
      <c r="J2953" s="44"/>
      <c r="K2953" s="10">
        <f t="shared" si="4"/>
        <v>1101160.5</v>
      </c>
      <c r="L2953" s="61"/>
      <c r="M2953" s="62"/>
    </row>
    <row r="2954" ht="15.75" customHeight="1">
      <c r="A2954" s="164">
        <v>46090.0</v>
      </c>
      <c r="B2954" s="56"/>
      <c r="C2954" s="57" t="s">
        <v>2374</v>
      </c>
      <c r="D2954" s="57" t="s">
        <v>2834</v>
      </c>
      <c r="E2954" s="58" t="s">
        <v>3219</v>
      </c>
      <c r="F2954" s="178">
        <v>46107.0</v>
      </c>
      <c r="G2954" s="206">
        <v>1349880.0</v>
      </c>
      <c r="H2954" s="9">
        <f t="shared" si="9"/>
        <v>283474.8</v>
      </c>
      <c r="I2954" s="44"/>
      <c r="J2954" s="44"/>
      <c r="K2954" s="10">
        <f t="shared" si="4"/>
        <v>1633354.8</v>
      </c>
      <c r="L2954" s="61"/>
      <c r="M2954" s="62"/>
    </row>
    <row r="2955" ht="15.75" customHeight="1">
      <c r="A2955" s="164">
        <v>46090.0</v>
      </c>
      <c r="B2955" s="56"/>
      <c r="C2955" s="57" t="s">
        <v>2374</v>
      </c>
      <c r="D2955" s="57" t="s">
        <v>2834</v>
      </c>
      <c r="E2955" s="58" t="s">
        <v>3220</v>
      </c>
      <c r="F2955" s="178">
        <v>46107.0</v>
      </c>
      <c r="G2955" s="206">
        <v>650000.0</v>
      </c>
      <c r="H2955" s="9">
        <f t="shared" si="9"/>
        <v>136500</v>
      </c>
      <c r="I2955" s="44"/>
      <c r="J2955" s="44"/>
      <c r="K2955" s="10">
        <f t="shared" si="4"/>
        <v>786500</v>
      </c>
      <c r="L2955" s="61"/>
      <c r="M2955" s="62"/>
    </row>
    <row r="2956" ht="15.75" customHeight="1">
      <c r="A2956" s="164">
        <v>46090.0</v>
      </c>
      <c r="B2956" s="56"/>
      <c r="C2956" s="57" t="s">
        <v>2374</v>
      </c>
      <c r="D2956" s="57" t="s">
        <v>2834</v>
      </c>
      <c r="E2956" s="58" t="s">
        <v>3221</v>
      </c>
      <c r="F2956" s="178">
        <v>46107.0</v>
      </c>
      <c r="G2956" s="206">
        <v>1310000.0</v>
      </c>
      <c r="H2956" s="9">
        <f t="shared" si="9"/>
        <v>275100</v>
      </c>
      <c r="I2956" s="44"/>
      <c r="J2956" s="44"/>
      <c r="K2956" s="10">
        <f t="shared" si="4"/>
        <v>1585100</v>
      </c>
      <c r="L2956" s="61"/>
      <c r="M2956" s="62"/>
    </row>
    <row r="2957" ht="15.75" customHeight="1">
      <c r="A2957" s="162">
        <v>46091.0</v>
      </c>
      <c r="B2957" s="50"/>
      <c r="C2957" s="31" t="s">
        <v>1112</v>
      </c>
      <c r="D2957" s="32" t="s">
        <v>15</v>
      </c>
      <c r="E2957" s="31" t="s">
        <v>3222</v>
      </c>
      <c r="F2957" s="161">
        <v>46107.0</v>
      </c>
      <c r="G2957" s="54">
        <v>1.528599011E7</v>
      </c>
      <c r="H2957" s="14">
        <f t="shared" si="9"/>
        <v>3210057.923</v>
      </c>
      <c r="I2957" s="22"/>
      <c r="J2957" s="22"/>
      <c r="K2957" s="15">
        <f t="shared" si="4"/>
        <v>18496048.03</v>
      </c>
      <c r="L2957" s="45"/>
      <c r="M2957" s="6"/>
    </row>
    <row r="2958" ht="15.75" customHeight="1">
      <c r="A2958" s="162">
        <v>46091.0</v>
      </c>
      <c r="B2958" s="50"/>
      <c r="C2958" s="31" t="s">
        <v>1112</v>
      </c>
      <c r="D2958" s="32" t="s">
        <v>15</v>
      </c>
      <c r="E2958" s="31" t="s">
        <v>3223</v>
      </c>
      <c r="F2958" s="161">
        <v>46107.0</v>
      </c>
      <c r="G2958" s="54">
        <v>1.472246012E7</v>
      </c>
      <c r="H2958" s="14">
        <f t="shared" si="9"/>
        <v>3091716.625</v>
      </c>
      <c r="I2958" s="22"/>
      <c r="J2958" s="22"/>
      <c r="K2958" s="15">
        <f t="shared" si="4"/>
        <v>17814176.75</v>
      </c>
      <c r="L2958" s="45"/>
      <c r="M2958" s="6"/>
    </row>
    <row r="2959" ht="15.75" customHeight="1">
      <c r="A2959" s="162">
        <v>46091.0</v>
      </c>
      <c r="B2959" s="50"/>
      <c r="C2959" s="31" t="s">
        <v>1112</v>
      </c>
      <c r="D2959" s="32" t="s">
        <v>99</v>
      </c>
      <c r="E2959" s="32" t="s">
        <v>3224</v>
      </c>
      <c r="F2959" s="161">
        <v>46107.0</v>
      </c>
      <c r="G2959" s="54">
        <v>1.528746051E7</v>
      </c>
      <c r="H2959" s="14">
        <f t="shared" si="9"/>
        <v>3210366.707</v>
      </c>
      <c r="I2959" s="22"/>
      <c r="J2959" s="22"/>
      <c r="K2959" s="15">
        <f t="shared" si="4"/>
        <v>18497827.22</v>
      </c>
      <c r="L2959" s="45"/>
      <c r="M2959" s="24">
        <v>46111.0</v>
      </c>
    </row>
    <row r="2960" ht="15.75" customHeight="1">
      <c r="A2960" s="162">
        <v>46091.0</v>
      </c>
      <c r="B2960" s="50"/>
      <c r="C2960" s="31" t="s">
        <v>1112</v>
      </c>
      <c r="D2960" s="32" t="s">
        <v>99</v>
      </c>
      <c r="E2960" s="32" t="s">
        <v>3225</v>
      </c>
      <c r="F2960" s="161">
        <v>46107.0</v>
      </c>
      <c r="G2960" s="54">
        <v>1.411965012E7</v>
      </c>
      <c r="H2960" s="14">
        <f t="shared" si="9"/>
        <v>2965126.525</v>
      </c>
      <c r="I2960" s="22"/>
      <c r="J2960" s="22"/>
      <c r="K2960" s="15">
        <f t="shared" si="4"/>
        <v>17084776.65</v>
      </c>
      <c r="L2960" s="45"/>
      <c r="M2960" s="24">
        <v>46111.0</v>
      </c>
    </row>
    <row r="2961" ht="15.75" customHeight="1">
      <c r="A2961" s="162">
        <v>46091.0</v>
      </c>
      <c r="B2961" s="50"/>
      <c r="C2961" s="144" t="s">
        <v>211</v>
      </c>
      <c r="D2961" s="32" t="s">
        <v>99</v>
      </c>
      <c r="E2961" s="31" t="s">
        <v>3226</v>
      </c>
      <c r="F2961" s="161">
        <v>46107.0</v>
      </c>
      <c r="G2961" s="207">
        <f>4043571.05/1.21</f>
        <v>3341794.256</v>
      </c>
      <c r="H2961" s="14">
        <f t="shared" si="9"/>
        <v>701776.7938</v>
      </c>
      <c r="I2961" s="22"/>
      <c r="J2961" s="22"/>
      <c r="K2961" s="15">
        <f t="shared" si="4"/>
        <v>4043571.05</v>
      </c>
      <c r="L2961" s="45"/>
      <c r="M2961" s="6"/>
    </row>
    <row r="2962" ht="15.75" customHeight="1">
      <c r="A2962" s="162">
        <v>46091.0</v>
      </c>
      <c r="B2962" s="50"/>
      <c r="C2962" s="144" t="s">
        <v>211</v>
      </c>
      <c r="D2962" s="32" t="s">
        <v>99</v>
      </c>
      <c r="E2962" s="31" t="s">
        <v>3227</v>
      </c>
      <c r="F2962" s="161">
        <v>46107.0</v>
      </c>
      <c r="G2962" s="207">
        <f>4386460.08/1.21</f>
        <v>3625173.62</v>
      </c>
      <c r="H2962" s="14">
        <f t="shared" si="9"/>
        <v>761286.4602</v>
      </c>
      <c r="I2962" s="22"/>
      <c r="J2962" s="22"/>
      <c r="K2962" s="15">
        <f t="shared" si="4"/>
        <v>4386460.08</v>
      </c>
      <c r="L2962" s="45"/>
      <c r="M2962" s="6"/>
    </row>
    <row r="2963" ht="15.75" customHeight="1">
      <c r="A2963" s="162">
        <v>46091.0</v>
      </c>
      <c r="B2963" s="50"/>
      <c r="C2963" s="31" t="s">
        <v>1842</v>
      </c>
      <c r="D2963" s="32" t="s">
        <v>15</v>
      </c>
      <c r="E2963" s="31" t="s">
        <v>3228</v>
      </c>
      <c r="F2963" s="161">
        <v>46107.0</v>
      </c>
      <c r="G2963" s="54">
        <v>2.324258021E7</v>
      </c>
      <c r="H2963" s="14">
        <f t="shared" si="9"/>
        <v>4880941.844</v>
      </c>
      <c r="I2963" s="22"/>
      <c r="J2963" s="22">
        <v>162698.06</v>
      </c>
      <c r="K2963" s="15">
        <f t="shared" si="4"/>
        <v>28286220.11</v>
      </c>
      <c r="L2963" s="45"/>
      <c r="M2963" s="6"/>
    </row>
    <row r="2964" ht="15.75" customHeight="1">
      <c r="A2964" s="162">
        <v>46093.0</v>
      </c>
      <c r="B2964" s="50"/>
      <c r="C2964" s="31" t="s">
        <v>443</v>
      </c>
      <c r="D2964" s="32" t="s">
        <v>99</v>
      </c>
      <c r="E2964" s="31" t="s">
        <v>3229</v>
      </c>
      <c r="F2964" s="161">
        <v>46107.0</v>
      </c>
      <c r="G2964" s="54">
        <v>2003440.27</v>
      </c>
      <c r="H2964" s="14">
        <f t="shared" si="9"/>
        <v>420722.4567</v>
      </c>
      <c r="I2964" s="22"/>
      <c r="J2964" s="22"/>
      <c r="K2964" s="15">
        <f t="shared" si="4"/>
        <v>2424162.727</v>
      </c>
      <c r="L2964" s="45"/>
      <c r="M2964" s="6"/>
    </row>
    <row r="2965" ht="15.75" customHeight="1">
      <c r="A2965" s="162">
        <v>46093.0</v>
      </c>
      <c r="B2965" s="50"/>
      <c r="C2965" s="31" t="s">
        <v>3230</v>
      </c>
      <c r="D2965" s="32" t="s">
        <v>99</v>
      </c>
      <c r="E2965" s="31" t="s">
        <v>3231</v>
      </c>
      <c r="F2965" s="161">
        <v>46107.0</v>
      </c>
      <c r="G2965" s="54">
        <v>5221152.17</v>
      </c>
      <c r="H2965" s="14">
        <f t="shared" si="9"/>
        <v>1096441.956</v>
      </c>
      <c r="I2965" s="22"/>
      <c r="J2965" s="22">
        <v>46990.37</v>
      </c>
      <c r="K2965" s="15">
        <f t="shared" si="4"/>
        <v>6364584.496</v>
      </c>
      <c r="L2965" s="45"/>
      <c r="M2965" s="6"/>
    </row>
    <row r="2966" ht="15.75" customHeight="1">
      <c r="A2966" s="162">
        <v>46093.0</v>
      </c>
      <c r="B2966" s="50"/>
      <c r="C2966" s="31" t="s">
        <v>3230</v>
      </c>
      <c r="D2966" s="32" t="s">
        <v>99</v>
      </c>
      <c r="E2966" s="31" t="s">
        <v>3232</v>
      </c>
      <c r="F2966" s="161">
        <v>46107.0</v>
      </c>
      <c r="G2966" s="54">
        <v>1.112263315E7</v>
      </c>
      <c r="H2966" s="14">
        <f t="shared" si="9"/>
        <v>2335752.962</v>
      </c>
      <c r="I2966" s="22">
        <v>333678.99</v>
      </c>
      <c r="J2966" s="22">
        <v>100103.7</v>
      </c>
      <c r="K2966" s="15">
        <f t="shared" si="4"/>
        <v>13892168.8</v>
      </c>
      <c r="L2966" s="45"/>
      <c r="M2966" s="6"/>
    </row>
    <row r="2967" ht="15.75" customHeight="1">
      <c r="A2967" s="162">
        <v>46093.0</v>
      </c>
      <c r="B2967" s="50"/>
      <c r="C2967" s="31" t="s">
        <v>3230</v>
      </c>
      <c r="D2967" s="32" t="s">
        <v>15</v>
      </c>
      <c r="E2967" s="31" t="s">
        <v>3233</v>
      </c>
      <c r="F2967" s="161">
        <v>46107.0</v>
      </c>
      <c r="G2967" s="54">
        <v>6344352.07</v>
      </c>
      <c r="H2967" s="14">
        <f t="shared" si="9"/>
        <v>1332313.935</v>
      </c>
      <c r="I2967" s="22"/>
      <c r="J2967" s="22">
        <v>57099.17</v>
      </c>
      <c r="K2967" s="15">
        <f t="shared" si="4"/>
        <v>7733765.175</v>
      </c>
      <c r="L2967" s="45"/>
      <c r="M2967" s="6"/>
    </row>
    <row r="2968" ht="15.75" customHeight="1">
      <c r="A2968" s="162">
        <v>46093.0</v>
      </c>
      <c r="B2968" s="50"/>
      <c r="C2968" s="31" t="s">
        <v>3230</v>
      </c>
      <c r="D2968" s="32" t="s">
        <v>15</v>
      </c>
      <c r="E2968" s="31" t="s">
        <v>3234</v>
      </c>
      <c r="F2968" s="161">
        <v>46107.0</v>
      </c>
      <c r="G2968" s="54">
        <v>4322533.12</v>
      </c>
      <c r="H2968" s="14">
        <f t="shared" si="9"/>
        <v>907731.9552</v>
      </c>
      <c r="I2968" s="22"/>
      <c r="J2968" s="22"/>
      <c r="K2968" s="15">
        <f t="shared" si="4"/>
        <v>5230265.075</v>
      </c>
      <c r="L2968" s="45"/>
      <c r="M2968" s="6"/>
    </row>
    <row r="2969" ht="15.75" customHeight="1">
      <c r="A2969" s="162">
        <v>46093.0</v>
      </c>
      <c r="B2969" s="50"/>
      <c r="C2969" s="31" t="s">
        <v>3230</v>
      </c>
      <c r="D2969" s="32" t="s">
        <v>15</v>
      </c>
      <c r="E2969" s="31" t="s">
        <v>3235</v>
      </c>
      <c r="F2969" s="161">
        <v>46107.0</v>
      </c>
      <c r="G2969" s="54">
        <v>3773364.15</v>
      </c>
      <c r="H2969" s="14">
        <f t="shared" si="9"/>
        <v>792406.4715</v>
      </c>
      <c r="I2969" s="22"/>
      <c r="J2969" s="22">
        <v>33960.28</v>
      </c>
      <c r="K2969" s="15">
        <f t="shared" si="4"/>
        <v>4599730.902</v>
      </c>
      <c r="L2969" s="45"/>
      <c r="M2969" s="6"/>
    </row>
    <row r="2970" ht="15.75" customHeight="1">
      <c r="A2970" s="162">
        <v>46093.0</v>
      </c>
      <c r="B2970" s="50"/>
      <c r="C2970" s="31" t="s">
        <v>64</v>
      </c>
      <c r="D2970" s="32" t="s">
        <v>99</v>
      </c>
      <c r="E2970" s="31" t="s">
        <v>3236</v>
      </c>
      <c r="F2970" s="161">
        <v>46107.0</v>
      </c>
      <c r="G2970" s="54">
        <v>1.051935056E7</v>
      </c>
      <c r="H2970" s="14">
        <f t="shared" si="9"/>
        <v>2209063.618</v>
      </c>
      <c r="I2970" s="22">
        <v>315580.52</v>
      </c>
      <c r="J2970" s="22"/>
      <c r="K2970" s="15">
        <f t="shared" si="4"/>
        <v>13043994.7</v>
      </c>
      <c r="L2970" s="45"/>
      <c r="M2970" s="24">
        <v>46108.0</v>
      </c>
    </row>
    <row r="2971" ht="15.75" customHeight="1">
      <c r="A2971" s="162">
        <v>46093.0</v>
      </c>
      <c r="B2971" s="50"/>
      <c r="C2971" s="31" t="s">
        <v>64</v>
      </c>
      <c r="D2971" s="32" t="s">
        <v>15</v>
      </c>
      <c r="E2971" s="31" t="s">
        <v>3237</v>
      </c>
      <c r="F2971" s="161">
        <v>46107.0</v>
      </c>
      <c r="G2971" s="54">
        <v>1.251657041E7</v>
      </c>
      <c r="H2971" s="14">
        <f t="shared" si="9"/>
        <v>2628479.786</v>
      </c>
      <c r="I2971" s="22"/>
      <c r="J2971" s="22"/>
      <c r="K2971" s="15">
        <f t="shared" si="4"/>
        <v>15145050.2</v>
      </c>
      <c r="L2971" s="45"/>
      <c r="M2971" s="24">
        <v>46098.0</v>
      </c>
    </row>
    <row r="2972" ht="15.75" customHeight="1">
      <c r="A2972" s="162">
        <v>46093.0</v>
      </c>
      <c r="B2972" s="50"/>
      <c r="C2972" s="31" t="s">
        <v>1854</v>
      </c>
      <c r="D2972" s="32" t="s">
        <v>15</v>
      </c>
      <c r="E2972" s="31" t="s">
        <v>3238</v>
      </c>
      <c r="F2972" s="161">
        <v>46107.0</v>
      </c>
      <c r="G2972" s="54">
        <v>1.622363308E7</v>
      </c>
      <c r="H2972" s="14">
        <f t="shared" si="9"/>
        <v>3406962.947</v>
      </c>
      <c r="I2972" s="22"/>
      <c r="J2972" s="22">
        <v>811181.65</v>
      </c>
      <c r="K2972" s="15">
        <f t="shared" si="4"/>
        <v>20441777.68</v>
      </c>
      <c r="L2972" s="61"/>
      <c r="M2972" s="213">
        <v>46099.0</v>
      </c>
    </row>
    <row r="2973" ht="15.75" customHeight="1">
      <c r="A2973" s="162">
        <v>46093.0</v>
      </c>
      <c r="B2973" s="50"/>
      <c r="C2973" s="31" t="s">
        <v>1854</v>
      </c>
      <c r="D2973" s="32" t="s">
        <v>15</v>
      </c>
      <c r="E2973" s="31" t="s">
        <v>3239</v>
      </c>
      <c r="F2973" s="161">
        <v>46107.0</v>
      </c>
      <c r="G2973" s="54">
        <v>1.522335314E7</v>
      </c>
      <c r="H2973" s="14">
        <f t="shared" si="9"/>
        <v>3196904.159</v>
      </c>
      <c r="I2973" s="22"/>
      <c r="J2973" s="22">
        <v>761167.66</v>
      </c>
      <c r="K2973" s="15">
        <f t="shared" si="4"/>
        <v>19181424.96</v>
      </c>
      <c r="L2973" s="61"/>
      <c r="M2973" s="213">
        <v>46100.0</v>
      </c>
    </row>
    <row r="2974" ht="15.75" customHeight="1">
      <c r="A2974" s="162">
        <v>46093.0</v>
      </c>
      <c r="B2974" s="50"/>
      <c r="C2974" s="31" t="s">
        <v>1854</v>
      </c>
      <c r="D2974" s="32" t="s">
        <v>15</v>
      </c>
      <c r="E2974" s="31" t="s">
        <v>3240</v>
      </c>
      <c r="F2974" s="161">
        <v>46107.0</v>
      </c>
      <c r="G2974" s="54">
        <v>1.722336312E7</v>
      </c>
      <c r="H2974" s="14">
        <f t="shared" si="9"/>
        <v>3616906.255</v>
      </c>
      <c r="I2974" s="22"/>
      <c r="J2974" s="22">
        <v>861168.16</v>
      </c>
      <c r="K2974" s="15">
        <f t="shared" si="4"/>
        <v>21701437.54</v>
      </c>
      <c r="L2974" s="61"/>
      <c r="M2974" s="213">
        <v>46101.0</v>
      </c>
    </row>
    <row r="2975" ht="15.75" customHeight="1">
      <c r="A2975" s="162">
        <v>46093.0</v>
      </c>
      <c r="B2975" s="50"/>
      <c r="C2975" s="31" t="s">
        <v>1854</v>
      </c>
      <c r="D2975" s="32" t="s">
        <v>15</v>
      </c>
      <c r="E2975" s="31" t="s">
        <v>3241</v>
      </c>
      <c r="F2975" s="161">
        <v>46107.0</v>
      </c>
      <c r="G2975" s="54">
        <v>1.822363314E7</v>
      </c>
      <c r="H2975" s="14">
        <f t="shared" si="9"/>
        <v>3826962.959</v>
      </c>
      <c r="I2975" s="22"/>
      <c r="J2975" s="22">
        <v>911181.66</v>
      </c>
      <c r="K2975" s="15">
        <f t="shared" si="4"/>
        <v>22961777.76</v>
      </c>
      <c r="L2975" s="61"/>
      <c r="M2975" s="213">
        <v>46101.0</v>
      </c>
    </row>
    <row r="2976" ht="15.75" customHeight="1">
      <c r="A2976" s="162">
        <v>46093.0</v>
      </c>
      <c r="B2976" s="50"/>
      <c r="C2976" s="31" t="s">
        <v>1854</v>
      </c>
      <c r="D2976" s="32" t="s">
        <v>15</v>
      </c>
      <c r="E2976" s="31" t="s">
        <v>3242</v>
      </c>
      <c r="F2976" s="161">
        <v>46107.0</v>
      </c>
      <c r="G2976" s="54">
        <v>1.283337315E7</v>
      </c>
      <c r="H2976" s="14">
        <f t="shared" si="9"/>
        <v>2695008.362</v>
      </c>
      <c r="I2976" s="22"/>
      <c r="J2976" s="22">
        <v>641668.66</v>
      </c>
      <c r="K2976" s="15">
        <f t="shared" si="4"/>
        <v>16170050.17</v>
      </c>
      <c r="L2976" s="61"/>
      <c r="M2976" s="213">
        <v>46101.0</v>
      </c>
    </row>
    <row r="2977" ht="15.75" customHeight="1">
      <c r="A2977" s="162">
        <v>46093.0</v>
      </c>
      <c r="B2977" s="50"/>
      <c r="C2977" s="31" t="s">
        <v>1854</v>
      </c>
      <c r="D2977" s="32" t="s">
        <v>99</v>
      </c>
      <c r="E2977" s="31" t="s">
        <v>3243</v>
      </c>
      <c r="F2977" s="161">
        <v>46107.0</v>
      </c>
      <c r="G2977" s="54">
        <v>1.336443412E7</v>
      </c>
      <c r="H2977" s="14">
        <f t="shared" si="9"/>
        <v>2806531.165</v>
      </c>
      <c r="I2977" s="22"/>
      <c r="J2977" s="22">
        <v>668221.71</v>
      </c>
      <c r="K2977" s="15">
        <f t="shared" si="4"/>
        <v>16839187</v>
      </c>
      <c r="L2977" s="45"/>
      <c r="M2977" s="24">
        <v>46106.0</v>
      </c>
    </row>
    <row r="2978" ht="15.75" customHeight="1">
      <c r="A2978" s="162">
        <v>46093.0</v>
      </c>
      <c r="B2978" s="50"/>
      <c r="C2978" s="31" t="s">
        <v>1854</v>
      </c>
      <c r="D2978" s="32" t="s">
        <v>99</v>
      </c>
      <c r="E2978" s="31" t="s">
        <v>3244</v>
      </c>
      <c r="F2978" s="161">
        <v>46107.0</v>
      </c>
      <c r="G2978" s="54">
        <v>1.773363323E7</v>
      </c>
      <c r="H2978" s="14">
        <f t="shared" si="9"/>
        <v>3724062.978</v>
      </c>
      <c r="I2978" s="22"/>
      <c r="J2978" s="22">
        <v>886681.66</v>
      </c>
      <c r="K2978" s="15">
        <f t="shared" si="4"/>
        <v>22344377.87</v>
      </c>
      <c r="L2978" s="45"/>
      <c r="M2978" s="24">
        <v>46107.0</v>
      </c>
    </row>
    <row r="2979" ht="15.75" customHeight="1">
      <c r="A2979" s="162">
        <v>46093.0</v>
      </c>
      <c r="B2979" s="50"/>
      <c r="C2979" s="31" t="s">
        <v>1854</v>
      </c>
      <c r="D2979" s="32" t="s">
        <v>99</v>
      </c>
      <c r="E2979" s="31" t="s">
        <v>3245</v>
      </c>
      <c r="F2979" s="161">
        <v>46107.0</v>
      </c>
      <c r="G2979" s="54">
        <v>1.522253303E7</v>
      </c>
      <c r="H2979" s="14">
        <f t="shared" si="9"/>
        <v>3196731.936</v>
      </c>
      <c r="I2979" s="22"/>
      <c r="J2979" s="22">
        <v>761126.65</v>
      </c>
      <c r="K2979" s="15">
        <f t="shared" si="4"/>
        <v>19180391.62</v>
      </c>
      <c r="L2979" s="45"/>
      <c r="M2979" s="24">
        <v>46108.0</v>
      </c>
    </row>
    <row r="2980" ht="15.75" customHeight="1">
      <c r="A2980" s="162">
        <v>46093.0</v>
      </c>
      <c r="B2980" s="50"/>
      <c r="C2980" s="31" t="s">
        <v>1854</v>
      </c>
      <c r="D2980" s="32" t="s">
        <v>99</v>
      </c>
      <c r="E2980" s="31" t="s">
        <v>3246</v>
      </c>
      <c r="F2980" s="161">
        <v>46107.0</v>
      </c>
      <c r="G2980" s="54">
        <v>1.422243319E7</v>
      </c>
      <c r="H2980" s="14">
        <f t="shared" si="9"/>
        <v>2986710.97</v>
      </c>
      <c r="I2980" s="22"/>
      <c r="J2980" s="22">
        <v>711121.66</v>
      </c>
      <c r="K2980" s="15">
        <f t="shared" si="4"/>
        <v>17920265.82</v>
      </c>
      <c r="L2980" s="45"/>
      <c r="M2980" s="24">
        <v>46108.0</v>
      </c>
    </row>
    <row r="2981" ht="15.75" customHeight="1">
      <c r="A2981" s="162">
        <v>46093.0</v>
      </c>
      <c r="B2981" s="50"/>
      <c r="C2981" s="31" t="s">
        <v>1854</v>
      </c>
      <c r="D2981" s="32" t="s">
        <v>99</v>
      </c>
      <c r="E2981" s="31" t="s">
        <v>3247</v>
      </c>
      <c r="F2981" s="161">
        <v>46107.0</v>
      </c>
      <c r="G2981" s="54">
        <v>2.544363421E7</v>
      </c>
      <c r="H2981" s="14">
        <f t="shared" si="9"/>
        <v>5343163.184</v>
      </c>
      <c r="I2981" s="22"/>
      <c r="J2981" s="22">
        <v>1272181.71</v>
      </c>
      <c r="K2981" s="15">
        <f t="shared" si="4"/>
        <v>32058979.1</v>
      </c>
      <c r="L2981" s="45"/>
      <c r="M2981" s="24">
        <v>46108.0</v>
      </c>
    </row>
    <row r="2982" ht="15.75" customHeight="1">
      <c r="A2982" s="164">
        <v>46093.0</v>
      </c>
      <c r="B2982" s="56"/>
      <c r="C2982" s="57" t="s">
        <v>2318</v>
      </c>
      <c r="D2982" s="58" t="s">
        <v>99</v>
      </c>
      <c r="E2982" s="57" t="s">
        <v>3248</v>
      </c>
      <c r="F2982" s="178">
        <v>46107.0</v>
      </c>
      <c r="G2982" s="155">
        <v>1.25435856E7</v>
      </c>
      <c r="H2982" s="9">
        <f t="shared" si="9"/>
        <v>2634152.976</v>
      </c>
      <c r="I2982" s="44">
        <v>376307.57</v>
      </c>
      <c r="J2982" s="44"/>
      <c r="K2982" s="10">
        <f t="shared" si="4"/>
        <v>15554046.15</v>
      </c>
      <c r="L2982" s="61"/>
      <c r="M2982" s="62"/>
    </row>
    <row r="2983" ht="15.75" customHeight="1">
      <c r="A2983" s="164">
        <v>46093.0</v>
      </c>
      <c r="B2983" s="56"/>
      <c r="C2983" s="57" t="s">
        <v>2318</v>
      </c>
      <c r="D2983" s="58" t="s">
        <v>99</v>
      </c>
      <c r="E2983" s="57" t="s">
        <v>3249</v>
      </c>
      <c r="F2983" s="178">
        <v>46107.0</v>
      </c>
      <c r="G2983" s="155">
        <v>1.25435856E7</v>
      </c>
      <c r="H2983" s="9">
        <f t="shared" si="9"/>
        <v>2634152.976</v>
      </c>
      <c r="I2983" s="44">
        <v>376307.57</v>
      </c>
      <c r="J2983" s="44"/>
      <c r="K2983" s="10">
        <f t="shared" si="4"/>
        <v>15554046.15</v>
      </c>
      <c r="L2983" s="61"/>
      <c r="M2983" s="62"/>
    </row>
    <row r="2984" ht="15.75" customHeight="1">
      <c r="A2984" s="164">
        <v>46093.0</v>
      </c>
      <c r="B2984" s="56"/>
      <c r="C2984" s="57" t="s">
        <v>2318</v>
      </c>
      <c r="D2984" s="58" t="s">
        <v>99</v>
      </c>
      <c r="E2984" s="57" t="s">
        <v>3250</v>
      </c>
      <c r="F2984" s="178">
        <v>46107.0</v>
      </c>
      <c r="G2984" s="155">
        <v>1.25435856E7</v>
      </c>
      <c r="H2984" s="9">
        <f t="shared" si="9"/>
        <v>2634152.976</v>
      </c>
      <c r="I2984" s="44">
        <v>376307.57</v>
      </c>
      <c r="J2984" s="44"/>
      <c r="K2984" s="10">
        <f t="shared" si="4"/>
        <v>15554046.15</v>
      </c>
      <c r="L2984" s="61"/>
      <c r="M2984" s="62"/>
    </row>
    <row r="2985" ht="15.75" customHeight="1">
      <c r="A2985" s="164">
        <v>46093.0</v>
      </c>
      <c r="B2985" s="56"/>
      <c r="C2985" s="57" t="s">
        <v>2318</v>
      </c>
      <c r="D2985" s="58" t="s">
        <v>99</v>
      </c>
      <c r="E2985" s="57" t="s">
        <v>3251</v>
      </c>
      <c r="F2985" s="178">
        <v>46107.0</v>
      </c>
      <c r="G2985" s="155">
        <v>1.25435856E7</v>
      </c>
      <c r="H2985" s="9">
        <f t="shared" si="9"/>
        <v>2634152.976</v>
      </c>
      <c r="I2985" s="44">
        <v>376307.57</v>
      </c>
      <c r="J2985" s="44"/>
      <c r="K2985" s="10">
        <f t="shared" si="4"/>
        <v>15554046.15</v>
      </c>
      <c r="L2985" s="61"/>
      <c r="M2985" s="62"/>
    </row>
    <row r="2986" ht="15.75" customHeight="1">
      <c r="A2986" s="164">
        <v>46093.0</v>
      </c>
      <c r="B2986" s="56"/>
      <c r="C2986" s="57" t="s">
        <v>2318</v>
      </c>
      <c r="D2986" s="58" t="s">
        <v>99</v>
      </c>
      <c r="E2986" s="57" t="s">
        <v>3252</v>
      </c>
      <c r="F2986" s="178">
        <v>46107.0</v>
      </c>
      <c r="G2986" s="155">
        <v>1.25435856E7</v>
      </c>
      <c r="H2986" s="9">
        <f t="shared" si="9"/>
        <v>2634152.976</v>
      </c>
      <c r="I2986" s="44">
        <v>376307.57</v>
      </c>
      <c r="J2986" s="44"/>
      <c r="K2986" s="10">
        <f t="shared" si="4"/>
        <v>15554046.15</v>
      </c>
      <c r="L2986" s="61"/>
      <c r="M2986" s="62"/>
    </row>
    <row r="2987" ht="15.75" customHeight="1">
      <c r="A2987" s="164">
        <v>46093.0</v>
      </c>
      <c r="B2987" s="56"/>
      <c r="C2987" s="57" t="s">
        <v>2318</v>
      </c>
      <c r="D2987" s="58" t="s">
        <v>99</v>
      </c>
      <c r="E2987" s="57" t="s">
        <v>3253</v>
      </c>
      <c r="F2987" s="178">
        <v>46107.0</v>
      </c>
      <c r="G2987" s="155">
        <v>1.063606992E7</v>
      </c>
      <c r="H2987" s="9">
        <f t="shared" si="9"/>
        <v>2233574.683</v>
      </c>
      <c r="I2987" s="44">
        <v>319082.1</v>
      </c>
      <c r="J2987" s="44"/>
      <c r="K2987" s="10">
        <f t="shared" si="4"/>
        <v>13188726.7</v>
      </c>
      <c r="L2987" s="61"/>
      <c r="M2987" s="62"/>
    </row>
    <row r="2988" ht="15.75" customHeight="1">
      <c r="A2988" s="164">
        <v>46093.0</v>
      </c>
      <c r="B2988" s="56"/>
      <c r="C2988" s="57" t="s">
        <v>2318</v>
      </c>
      <c r="D2988" s="58" t="s">
        <v>99</v>
      </c>
      <c r="E2988" s="57" t="s">
        <v>3254</v>
      </c>
      <c r="F2988" s="178">
        <v>46107.0</v>
      </c>
      <c r="G2988" s="155">
        <v>1.063606992E7</v>
      </c>
      <c r="H2988" s="9">
        <f t="shared" si="9"/>
        <v>2233574.683</v>
      </c>
      <c r="I2988" s="44">
        <v>319082.1</v>
      </c>
      <c r="J2988" s="44"/>
      <c r="K2988" s="10">
        <f t="shared" si="4"/>
        <v>13188726.7</v>
      </c>
      <c r="L2988" s="61"/>
      <c r="M2988" s="62"/>
    </row>
    <row r="2989" ht="15.75" customHeight="1">
      <c r="A2989" s="164">
        <v>46093.0</v>
      </c>
      <c r="B2989" s="56"/>
      <c r="C2989" s="57" t="s">
        <v>2318</v>
      </c>
      <c r="D2989" s="58" t="s">
        <v>99</v>
      </c>
      <c r="E2989" s="57" t="s">
        <v>3255</v>
      </c>
      <c r="F2989" s="178">
        <v>46107.0</v>
      </c>
      <c r="G2989" s="155">
        <v>1.064349216E7</v>
      </c>
      <c r="H2989" s="9">
        <f t="shared" si="9"/>
        <v>2235133.354</v>
      </c>
      <c r="I2989" s="44">
        <v>319304.76</v>
      </c>
      <c r="J2989" s="44"/>
      <c r="K2989" s="10">
        <f t="shared" si="4"/>
        <v>13197930.27</v>
      </c>
      <c r="L2989" s="61"/>
      <c r="M2989" s="62"/>
    </row>
    <row r="2990" ht="15.75" customHeight="1">
      <c r="A2990" s="164">
        <v>46093.0</v>
      </c>
      <c r="B2990" s="56"/>
      <c r="C2990" s="57" t="s">
        <v>2318</v>
      </c>
      <c r="D2990" s="58" t="s">
        <v>15</v>
      </c>
      <c r="E2990" s="57" t="s">
        <v>3256</v>
      </c>
      <c r="F2990" s="178">
        <v>46107.0</v>
      </c>
      <c r="G2990" s="155">
        <v>1.092327E7</v>
      </c>
      <c r="H2990" s="9">
        <f t="shared" si="9"/>
        <v>2293886.7</v>
      </c>
      <c r="I2990" s="44">
        <v>327698.1</v>
      </c>
      <c r="J2990" s="44"/>
      <c r="K2990" s="10">
        <f t="shared" si="4"/>
        <v>13544854.8</v>
      </c>
      <c r="L2990" s="61"/>
      <c r="M2990" s="62"/>
    </row>
    <row r="2991" ht="15.75" customHeight="1">
      <c r="A2991" s="164">
        <v>46093.0</v>
      </c>
      <c r="B2991" s="56"/>
      <c r="C2991" s="57" t="s">
        <v>2318</v>
      </c>
      <c r="D2991" s="58" t="s">
        <v>15</v>
      </c>
      <c r="E2991" s="57" t="s">
        <v>3257</v>
      </c>
      <c r="F2991" s="178">
        <v>46107.0</v>
      </c>
      <c r="G2991" s="155">
        <v>1.092327E7</v>
      </c>
      <c r="H2991" s="9">
        <f t="shared" si="9"/>
        <v>2293886.7</v>
      </c>
      <c r="I2991" s="44">
        <v>327698.1</v>
      </c>
      <c r="J2991" s="44"/>
      <c r="K2991" s="10">
        <f t="shared" si="4"/>
        <v>13544854.8</v>
      </c>
      <c r="L2991" s="61"/>
      <c r="M2991" s="62"/>
    </row>
    <row r="2992" ht="15.75" customHeight="1">
      <c r="A2992" s="164">
        <v>46093.0</v>
      </c>
      <c r="B2992" s="56"/>
      <c r="C2992" s="57" t="s">
        <v>2318</v>
      </c>
      <c r="D2992" s="58" t="s">
        <v>15</v>
      </c>
      <c r="E2992" s="57" t="s">
        <v>3258</v>
      </c>
      <c r="F2992" s="178">
        <v>46107.0</v>
      </c>
      <c r="G2992" s="155">
        <v>1.092327E7</v>
      </c>
      <c r="H2992" s="9">
        <f t="shared" si="9"/>
        <v>2293886.7</v>
      </c>
      <c r="I2992" s="44">
        <v>327698.1</v>
      </c>
      <c r="J2992" s="44"/>
      <c r="K2992" s="10">
        <f t="shared" si="4"/>
        <v>13544854.8</v>
      </c>
      <c r="L2992" s="61"/>
      <c r="M2992" s="62"/>
    </row>
    <row r="2993" ht="15.75" customHeight="1">
      <c r="A2993" s="164">
        <v>46093.0</v>
      </c>
      <c r="B2993" s="56"/>
      <c r="C2993" s="57" t="s">
        <v>2318</v>
      </c>
      <c r="D2993" s="58" t="s">
        <v>15</v>
      </c>
      <c r="E2993" s="57" t="s">
        <v>3259</v>
      </c>
      <c r="F2993" s="178">
        <v>46107.0</v>
      </c>
      <c r="G2993" s="155">
        <v>1.092327E7</v>
      </c>
      <c r="H2993" s="9">
        <f t="shared" si="9"/>
        <v>2293886.7</v>
      </c>
      <c r="I2993" s="44">
        <v>327698.1</v>
      </c>
      <c r="J2993" s="44"/>
      <c r="K2993" s="10">
        <f t="shared" si="4"/>
        <v>13544854.8</v>
      </c>
      <c r="L2993" s="61"/>
      <c r="M2993" s="62"/>
    </row>
    <row r="2994" ht="15.75" customHeight="1">
      <c r="A2994" s="164">
        <v>46093.0</v>
      </c>
      <c r="B2994" s="56"/>
      <c r="C2994" s="57" t="s">
        <v>2318</v>
      </c>
      <c r="D2994" s="58" t="s">
        <v>15</v>
      </c>
      <c r="E2994" s="57" t="s">
        <v>3260</v>
      </c>
      <c r="F2994" s="178">
        <v>46107.0</v>
      </c>
      <c r="G2994" s="155">
        <v>1.072301005E7</v>
      </c>
      <c r="H2994" s="9">
        <f t="shared" si="9"/>
        <v>2251832.111</v>
      </c>
      <c r="I2994" s="44">
        <v>321690.3</v>
      </c>
      <c r="J2994" s="44"/>
      <c r="K2994" s="10">
        <f t="shared" si="4"/>
        <v>13296532.46</v>
      </c>
      <c r="L2994" s="61"/>
      <c r="M2994" s="62"/>
    </row>
    <row r="2995" ht="15.75" customHeight="1">
      <c r="A2995" s="164">
        <v>46093.0</v>
      </c>
      <c r="B2995" s="56"/>
      <c r="C2995" s="57" t="s">
        <v>2318</v>
      </c>
      <c r="D2995" s="58" t="s">
        <v>15</v>
      </c>
      <c r="E2995" s="57" t="s">
        <v>3261</v>
      </c>
      <c r="F2995" s="178">
        <v>46107.0</v>
      </c>
      <c r="G2995" s="155">
        <v>1.072301005E7</v>
      </c>
      <c r="H2995" s="9">
        <f t="shared" si="9"/>
        <v>2251832.111</v>
      </c>
      <c r="I2995" s="44">
        <v>321690.3</v>
      </c>
      <c r="J2995" s="44"/>
      <c r="K2995" s="10">
        <f t="shared" si="4"/>
        <v>13296532.46</v>
      </c>
      <c r="L2995" s="61"/>
      <c r="M2995" s="62"/>
    </row>
    <row r="2996" ht="15.75" customHeight="1">
      <c r="A2996" s="164">
        <v>46093.0</v>
      </c>
      <c r="B2996" s="56"/>
      <c r="C2996" s="57" t="s">
        <v>2318</v>
      </c>
      <c r="D2996" s="58" t="s">
        <v>15</v>
      </c>
      <c r="E2996" s="57" t="s">
        <v>3262</v>
      </c>
      <c r="F2996" s="178">
        <v>46107.0</v>
      </c>
      <c r="G2996" s="155">
        <v>1.072665114E7</v>
      </c>
      <c r="H2996" s="9">
        <f t="shared" si="9"/>
        <v>2252596.739</v>
      </c>
      <c r="I2996" s="44">
        <v>321799.53</v>
      </c>
      <c r="J2996" s="44"/>
      <c r="K2996" s="10">
        <f t="shared" si="4"/>
        <v>13301047.41</v>
      </c>
      <c r="L2996" s="61"/>
      <c r="M2996" s="62"/>
    </row>
    <row r="2997" ht="15.75" customHeight="1">
      <c r="A2997" s="162">
        <v>46093.0</v>
      </c>
      <c r="B2997" s="50"/>
      <c r="C2997" s="31" t="s">
        <v>2958</v>
      </c>
      <c r="D2997" s="32" t="s">
        <v>99</v>
      </c>
      <c r="E2997" s="31" t="s">
        <v>3263</v>
      </c>
      <c r="F2997" s="161">
        <v>46107.0</v>
      </c>
      <c r="G2997" s="54">
        <v>9625360.19</v>
      </c>
      <c r="H2997" s="14">
        <f t="shared" si="9"/>
        <v>2021325.64</v>
      </c>
      <c r="I2997" s="22">
        <v>288760.81</v>
      </c>
      <c r="J2997" s="22"/>
      <c r="K2997" s="15">
        <f t="shared" si="4"/>
        <v>11935446.64</v>
      </c>
      <c r="L2997" s="45"/>
      <c r="M2997" s="6"/>
    </row>
    <row r="2998" ht="15.75" customHeight="1">
      <c r="A2998" s="162">
        <v>46093.0</v>
      </c>
      <c r="B2998" s="50"/>
      <c r="C2998" s="31" t="s">
        <v>2958</v>
      </c>
      <c r="D2998" s="32" t="s">
        <v>99</v>
      </c>
      <c r="E2998" s="31" t="s">
        <v>3264</v>
      </c>
      <c r="F2998" s="161">
        <v>46107.0</v>
      </c>
      <c r="G2998" s="54">
        <v>1.037958049E7</v>
      </c>
      <c r="H2998" s="14">
        <f t="shared" si="9"/>
        <v>2179711.903</v>
      </c>
      <c r="I2998" s="22">
        <v>311387.41</v>
      </c>
      <c r="J2998" s="22"/>
      <c r="K2998" s="15">
        <f t="shared" si="4"/>
        <v>12870679.8</v>
      </c>
      <c r="L2998" s="45"/>
      <c r="M2998" s="6"/>
    </row>
    <row r="2999" ht="15.75" customHeight="1">
      <c r="A2999" s="162">
        <v>46093.0</v>
      </c>
      <c r="B2999" s="50"/>
      <c r="C2999" s="31" t="s">
        <v>1285</v>
      </c>
      <c r="D2999" s="32" t="s">
        <v>15</v>
      </c>
      <c r="E2999" s="31" t="s">
        <v>3265</v>
      </c>
      <c r="F2999" s="161">
        <v>46107.0</v>
      </c>
      <c r="G2999" s="54">
        <v>4002360.19</v>
      </c>
      <c r="H2999" s="14">
        <f t="shared" si="9"/>
        <v>840495.6399</v>
      </c>
      <c r="I2999" s="22"/>
      <c r="J2999" s="22"/>
      <c r="K2999" s="15">
        <f t="shared" si="4"/>
        <v>4842855.83</v>
      </c>
      <c r="L2999" s="45"/>
      <c r="M2999" s="6"/>
    </row>
    <row r="3000" ht="15.75" customHeight="1">
      <c r="A3000" s="162">
        <v>46094.0</v>
      </c>
      <c r="B3000" s="50"/>
      <c r="C3000" s="31" t="s">
        <v>2346</v>
      </c>
      <c r="D3000" s="32" t="s">
        <v>99</v>
      </c>
      <c r="E3000" s="32" t="s">
        <v>3266</v>
      </c>
      <c r="F3000" s="161">
        <v>46107.0</v>
      </c>
      <c r="G3000" s="54">
        <v>1.722353315E7</v>
      </c>
      <c r="H3000" s="14">
        <f t="shared" si="9"/>
        <v>3616941.962</v>
      </c>
      <c r="I3000" s="22"/>
      <c r="J3000" s="22">
        <v>258353.0</v>
      </c>
      <c r="K3000" s="15">
        <f t="shared" si="4"/>
        <v>21098828.11</v>
      </c>
      <c r="L3000" s="45"/>
      <c r="M3000" s="6"/>
    </row>
    <row r="3001" ht="15.75" customHeight="1">
      <c r="A3001" s="162">
        <v>46094.0</v>
      </c>
      <c r="B3001" s="50"/>
      <c r="C3001" s="31" t="s">
        <v>2346</v>
      </c>
      <c r="D3001" s="32" t="s">
        <v>99</v>
      </c>
      <c r="E3001" s="32" t="s">
        <v>3267</v>
      </c>
      <c r="F3001" s="161">
        <v>46107.0</v>
      </c>
      <c r="G3001" s="54">
        <v>6333533.13</v>
      </c>
      <c r="H3001" s="14">
        <f t="shared" si="9"/>
        <v>1330041.957</v>
      </c>
      <c r="I3001" s="22"/>
      <c r="J3001" s="22">
        <v>95003.0</v>
      </c>
      <c r="K3001" s="15">
        <f t="shared" si="4"/>
        <v>7758578.087</v>
      </c>
      <c r="L3001" s="45"/>
      <c r="M3001" s="6"/>
    </row>
    <row r="3002" ht="15.75" customHeight="1">
      <c r="A3002" s="162">
        <v>46094.0</v>
      </c>
      <c r="B3002" s="50"/>
      <c r="C3002" s="31" t="s">
        <v>2346</v>
      </c>
      <c r="D3002" s="32" t="s">
        <v>99</v>
      </c>
      <c r="E3002" s="32" t="s">
        <v>3268</v>
      </c>
      <c r="F3002" s="161">
        <v>46107.0</v>
      </c>
      <c r="G3002" s="54">
        <v>1.100338317E7</v>
      </c>
      <c r="H3002" s="14">
        <f t="shared" si="9"/>
        <v>2310710.466</v>
      </c>
      <c r="I3002" s="22">
        <v>330101.5</v>
      </c>
      <c r="J3002" s="22">
        <v>165050.75</v>
      </c>
      <c r="K3002" s="15">
        <f t="shared" si="4"/>
        <v>13809245.89</v>
      </c>
      <c r="L3002" s="45"/>
      <c r="M3002" s="6"/>
    </row>
    <row r="3003" ht="15.75" customHeight="1">
      <c r="A3003" s="162">
        <v>46094.0</v>
      </c>
      <c r="B3003" s="50"/>
      <c r="C3003" s="31" t="s">
        <v>2346</v>
      </c>
      <c r="D3003" s="32" t="s">
        <v>99</v>
      </c>
      <c r="E3003" s="32" t="s">
        <v>3269</v>
      </c>
      <c r="F3003" s="161">
        <v>46107.0</v>
      </c>
      <c r="G3003" s="54">
        <v>7722363.19</v>
      </c>
      <c r="H3003" s="14">
        <f t="shared" si="9"/>
        <v>1621696.27</v>
      </c>
      <c r="I3003" s="22">
        <v>231670.9</v>
      </c>
      <c r="J3003" s="22">
        <v>115835.45</v>
      </c>
      <c r="K3003" s="15">
        <f t="shared" si="4"/>
        <v>9691565.81</v>
      </c>
      <c r="L3003" s="45"/>
      <c r="M3003" s="6"/>
    </row>
    <row r="3004" ht="15.75" customHeight="1">
      <c r="A3004" s="162">
        <v>46094.0</v>
      </c>
      <c r="B3004" s="50"/>
      <c r="C3004" s="31" t="s">
        <v>2346</v>
      </c>
      <c r="D3004" s="32" t="s">
        <v>99</v>
      </c>
      <c r="E3004" s="32" t="s">
        <v>3270</v>
      </c>
      <c r="F3004" s="161">
        <v>46107.0</v>
      </c>
      <c r="G3004" s="54">
        <v>7333262.17</v>
      </c>
      <c r="H3004" s="14">
        <f t="shared" si="9"/>
        <v>1539985.056</v>
      </c>
      <c r="I3004" s="22">
        <v>219997.87</v>
      </c>
      <c r="J3004" s="22">
        <v>109998.93</v>
      </c>
      <c r="K3004" s="15">
        <f t="shared" si="4"/>
        <v>9203244.026</v>
      </c>
      <c r="L3004" s="45"/>
      <c r="M3004" s="6"/>
    </row>
    <row r="3005" ht="15.75" customHeight="1">
      <c r="A3005" s="162">
        <v>46094.0</v>
      </c>
      <c r="B3005" s="50"/>
      <c r="C3005" s="31" t="s">
        <v>2346</v>
      </c>
      <c r="D3005" s="32" t="s">
        <v>99</v>
      </c>
      <c r="E3005" s="32" t="s">
        <v>3271</v>
      </c>
      <c r="F3005" s="161">
        <v>46107.0</v>
      </c>
      <c r="G3005" s="54">
        <v>5533433.25</v>
      </c>
      <c r="H3005" s="14">
        <f t="shared" si="9"/>
        <v>1162020.983</v>
      </c>
      <c r="I3005" s="22">
        <v>166003.0</v>
      </c>
      <c r="J3005" s="22">
        <v>83001.5</v>
      </c>
      <c r="K3005" s="15">
        <f t="shared" si="4"/>
        <v>6944458.733</v>
      </c>
      <c r="L3005" s="45"/>
      <c r="M3005" s="6"/>
    </row>
    <row r="3006" ht="15.75" customHeight="1">
      <c r="A3006" s="162">
        <v>46094.0</v>
      </c>
      <c r="B3006" s="50"/>
      <c r="C3006" s="31" t="s">
        <v>2346</v>
      </c>
      <c r="D3006" s="32" t="s">
        <v>99</v>
      </c>
      <c r="E3006" s="32" t="s">
        <v>3272</v>
      </c>
      <c r="F3006" s="161">
        <v>46107.0</v>
      </c>
      <c r="G3006" s="54">
        <v>4435253.29</v>
      </c>
      <c r="H3006" s="14">
        <f t="shared" si="9"/>
        <v>931403.1909</v>
      </c>
      <c r="I3006" s="22"/>
      <c r="J3006" s="22">
        <v>66528.8</v>
      </c>
      <c r="K3006" s="15">
        <f t="shared" si="4"/>
        <v>5433185.281</v>
      </c>
      <c r="L3006" s="45"/>
      <c r="M3006" s="6"/>
    </row>
    <row r="3007" ht="15.75" customHeight="1">
      <c r="A3007" s="162">
        <v>46094.0</v>
      </c>
      <c r="B3007" s="50"/>
      <c r="C3007" s="31" t="s">
        <v>2346</v>
      </c>
      <c r="D3007" s="32" t="s">
        <v>15</v>
      </c>
      <c r="E3007" s="31" t="s">
        <v>3273</v>
      </c>
      <c r="F3007" s="161">
        <v>46107.0</v>
      </c>
      <c r="G3007" s="54">
        <v>1.222363312E7</v>
      </c>
      <c r="H3007" s="14">
        <f t="shared" si="9"/>
        <v>2566962.955</v>
      </c>
      <c r="I3007" s="22">
        <v>366708.99</v>
      </c>
      <c r="J3007" s="22">
        <v>183354.5</v>
      </c>
      <c r="K3007" s="15">
        <f t="shared" si="4"/>
        <v>15340659.57</v>
      </c>
      <c r="L3007" s="45"/>
      <c r="M3007" s="24">
        <v>46101.0</v>
      </c>
    </row>
    <row r="3008" ht="15.75" customHeight="1">
      <c r="A3008" s="162">
        <v>46094.0</v>
      </c>
      <c r="B3008" s="50"/>
      <c r="C3008" s="31" t="s">
        <v>2346</v>
      </c>
      <c r="D3008" s="32" t="s">
        <v>15</v>
      </c>
      <c r="E3008" s="31" t="s">
        <v>3274</v>
      </c>
      <c r="F3008" s="161">
        <v>46107.0</v>
      </c>
      <c r="G3008" s="54">
        <v>8333633.21</v>
      </c>
      <c r="H3008" s="14">
        <f t="shared" si="9"/>
        <v>1750062.974</v>
      </c>
      <c r="I3008" s="22">
        <v>250009.0</v>
      </c>
      <c r="J3008" s="22">
        <v>125004.5</v>
      </c>
      <c r="K3008" s="15">
        <f t="shared" si="4"/>
        <v>10458709.68</v>
      </c>
      <c r="L3008" s="45"/>
      <c r="M3008" s="24">
        <v>46101.0</v>
      </c>
    </row>
    <row r="3009" ht="15.75" customHeight="1">
      <c r="A3009" s="162">
        <v>46094.0</v>
      </c>
      <c r="B3009" s="50"/>
      <c r="C3009" s="31" t="s">
        <v>2346</v>
      </c>
      <c r="D3009" s="32" t="s">
        <v>15</v>
      </c>
      <c r="E3009" s="31" t="s">
        <v>3275</v>
      </c>
      <c r="F3009" s="161">
        <v>46107.0</v>
      </c>
      <c r="G3009" s="54">
        <v>1.033833316E7</v>
      </c>
      <c r="H3009" s="14">
        <f t="shared" si="9"/>
        <v>2171049.964</v>
      </c>
      <c r="I3009" s="22">
        <v>310149.99</v>
      </c>
      <c r="J3009" s="22">
        <v>155075.0</v>
      </c>
      <c r="K3009" s="15">
        <f t="shared" si="4"/>
        <v>12974608.11</v>
      </c>
      <c r="L3009" s="45"/>
      <c r="M3009" s="24">
        <v>46101.0</v>
      </c>
    </row>
    <row r="3010" ht="15.75" customHeight="1">
      <c r="A3010" s="162">
        <v>46094.0</v>
      </c>
      <c r="B3010" s="50"/>
      <c r="C3010" s="31" t="s">
        <v>2346</v>
      </c>
      <c r="D3010" s="32" t="s">
        <v>15</v>
      </c>
      <c r="E3010" s="31" t="s">
        <v>3276</v>
      </c>
      <c r="F3010" s="161">
        <v>46107.0</v>
      </c>
      <c r="G3010" s="54">
        <v>5333533.04</v>
      </c>
      <c r="H3010" s="14">
        <f t="shared" si="9"/>
        <v>1120041.938</v>
      </c>
      <c r="I3010" s="22">
        <v>160005.99</v>
      </c>
      <c r="J3010" s="22">
        <v>80003.0</v>
      </c>
      <c r="K3010" s="15">
        <f t="shared" si="4"/>
        <v>6693583.968</v>
      </c>
      <c r="L3010" s="45"/>
      <c r="M3010" s="24">
        <v>46101.0</v>
      </c>
    </row>
    <row r="3011" ht="15.75" customHeight="1">
      <c r="A3011" s="162">
        <v>46094.0</v>
      </c>
      <c r="B3011" s="50"/>
      <c r="C3011" s="31" t="s">
        <v>2346</v>
      </c>
      <c r="D3011" s="32" t="s">
        <v>15</v>
      </c>
      <c r="E3011" s="31" t="s">
        <v>3277</v>
      </c>
      <c r="F3011" s="161">
        <v>46107.0</v>
      </c>
      <c r="G3011" s="54">
        <v>1.222333622E7</v>
      </c>
      <c r="H3011" s="14">
        <f t="shared" si="9"/>
        <v>2566900.606</v>
      </c>
      <c r="I3011" s="22">
        <v>366700.09</v>
      </c>
      <c r="J3011" s="22">
        <v>183350.04</v>
      </c>
      <c r="K3011" s="15">
        <f t="shared" si="4"/>
        <v>15340286.96</v>
      </c>
      <c r="L3011" s="45"/>
      <c r="M3011" s="24">
        <v>46101.0</v>
      </c>
    </row>
    <row r="3012" ht="15.75" customHeight="1">
      <c r="A3012" s="162">
        <v>46094.0</v>
      </c>
      <c r="B3012" s="50"/>
      <c r="C3012" s="31" t="s">
        <v>2346</v>
      </c>
      <c r="D3012" s="32" t="s">
        <v>15</v>
      </c>
      <c r="E3012" s="31" t="s">
        <v>3278</v>
      </c>
      <c r="F3012" s="161">
        <v>46107.0</v>
      </c>
      <c r="G3012" s="54">
        <v>9933373.19</v>
      </c>
      <c r="H3012" s="14">
        <f t="shared" si="9"/>
        <v>2086008.37</v>
      </c>
      <c r="I3012" s="22">
        <v>298001.2</v>
      </c>
      <c r="J3012" s="22">
        <v>149000.6</v>
      </c>
      <c r="K3012" s="15">
        <f t="shared" si="4"/>
        <v>12466383.36</v>
      </c>
      <c r="L3012" s="45"/>
      <c r="M3012" s="24">
        <v>46101.0</v>
      </c>
    </row>
    <row r="3013" ht="15.75" customHeight="1">
      <c r="A3013" s="162">
        <v>46094.0</v>
      </c>
      <c r="B3013" s="50"/>
      <c r="C3013" s="31" t="s">
        <v>2346</v>
      </c>
      <c r="D3013" s="32" t="s">
        <v>15</v>
      </c>
      <c r="E3013" s="31" t="s">
        <v>3279</v>
      </c>
      <c r="F3013" s="161">
        <v>46107.0</v>
      </c>
      <c r="G3013" s="54">
        <v>4333334.07</v>
      </c>
      <c r="H3013" s="14">
        <f t="shared" si="9"/>
        <v>910000.1547</v>
      </c>
      <c r="I3013" s="22"/>
      <c r="J3013" s="22">
        <v>65000.01</v>
      </c>
      <c r="K3013" s="15">
        <f t="shared" si="4"/>
        <v>5308334.235</v>
      </c>
      <c r="L3013" s="45"/>
      <c r="M3013" s="24">
        <v>46101.0</v>
      </c>
    </row>
    <row r="3014" ht="15.75" customHeight="1">
      <c r="A3014" s="162">
        <v>46094.0</v>
      </c>
      <c r="B3014" s="50"/>
      <c r="C3014" s="31" t="s">
        <v>2346</v>
      </c>
      <c r="D3014" s="32" t="s">
        <v>15</v>
      </c>
      <c r="E3014" s="31" t="s">
        <v>3280</v>
      </c>
      <c r="F3014" s="161">
        <v>46107.0</v>
      </c>
      <c r="G3014" s="54">
        <v>6643633.14</v>
      </c>
      <c r="H3014" s="14">
        <f t="shared" si="9"/>
        <v>1395162.959</v>
      </c>
      <c r="I3014" s="22">
        <v>199308.0</v>
      </c>
      <c r="J3014" s="22">
        <v>99654.5</v>
      </c>
      <c r="K3014" s="15">
        <f t="shared" si="4"/>
        <v>8337758.599</v>
      </c>
      <c r="L3014" s="45"/>
      <c r="M3014" s="24">
        <v>46101.0</v>
      </c>
    </row>
    <row r="3015" ht="15.75" customHeight="1">
      <c r="A3015" s="162">
        <v>46094.0</v>
      </c>
      <c r="B3015" s="50"/>
      <c r="C3015" s="31" t="s">
        <v>2346</v>
      </c>
      <c r="D3015" s="32" t="s">
        <v>15</v>
      </c>
      <c r="E3015" s="32" t="s">
        <v>3281</v>
      </c>
      <c r="F3015" s="161">
        <v>46107.0</v>
      </c>
      <c r="G3015" s="54">
        <v>7333633.32</v>
      </c>
      <c r="H3015" s="14">
        <f t="shared" si="9"/>
        <v>1540062.997</v>
      </c>
      <c r="I3015" s="22"/>
      <c r="J3015" s="22"/>
      <c r="K3015" s="15">
        <f t="shared" si="4"/>
        <v>8873696.317</v>
      </c>
      <c r="L3015" s="45"/>
      <c r="M3015" s="24">
        <v>46101.0</v>
      </c>
    </row>
    <row r="3016" ht="15.75" customHeight="1">
      <c r="A3016" s="162">
        <v>46094.0</v>
      </c>
      <c r="B3016" s="50"/>
      <c r="C3016" s="31" t="s">
        <v>2346</v>
      </c>
      <c r="D3016" s="32" t="s">
        <v>15</v>
      </c>
      <c r="E3016" s="32" t="s">
        <v>3282</v>
      </c>
      <c r="F3016" s="161">
        <v>46107.0</v>
      </c>
      <c r="G3016" s="54">
        <v>8333633.18</v>
      </c>
      <c r="H3016" s="14">
        <f t="shared" si="9"/>
        <v>1750062.968</v>
      </c>
      <c r="I3016" s="22"/>
      <c r="J3016" s="22">
        <v>125004.5</v>
      </c>
      <c r="K3016" s="15">
        <f t="shared" si="4"/>
        <v>10208700.65</v>
      </c>
      <c r="L3016" s="45"/>
      <c r="M3016" s="24">
        <v>46101.0</v>
      </c>
    </row>
    <row r="3017" ht="15.75" customHeight="1">
      <c r="A3017" s="162">
        <v>46097.0</v>
      </c>
      <c r="B3017" s="50"/>
      <c r="C3017" s="31" t="s">
        <v>2346</v>
      </c>
      <c r="D3017" s="32" t="s">
        <v>99</v>
      </c>
      <c r="E3017" s="32" t="s">
        <v>3283</v>
      </c>
      <c r="F3017" s="161">
        <v>46107.0</v>
      </c>
      <c r="G3017" s="54">
        <v>3899853.29</v>
      </c>
      <c r="H3017" s="14">
        <f t="shared" si="9"/>
        <v>818969.1909</v>
      </c>
      <c r="I3017" s="22"/>
      <c r="J3017" s="22">
        <v>58497.8</v>
      </c>
      <c r="K3017" s="15">
        <f t="shared" si="4"/>
        <v>4777320.281</v>
      </c>
      <c r="L3017" s="45"/>
      <c r="M3017" s="6"/>
    </row>
    <row r="3018" ht="15.75" customHeight="1">
      <c r="A3018" s="162">
        <v>46097.0</v>
      </c>
      <c r="B3018" s="50"/>
      <c r="C3018" s="31" t="s">
        <v>2346</v>
      </c>
      <c r="D3018" s="32" t="s">
        <v>99</v>
      </c>
      <c r="E3018" s="32" t="s">
        <v>3284</v>
      </c>
      <c r="F3018" s="161">
        <v>46107.0</v>
      </c>
      <c r="G3018" s="54">
        <v>6089475.18</v>
      </c>
      <c r="H3018" s="14">
        <f t="shared" si="9"/>
        <v>1278789.788</v>
      </c>
      <c r="I3018" s="22">
        <v>182684.26</v>
      </c>
      <c r="J3018" s="22">
        <v>91342.13</v>
      </c>
      <c r="K3018" s="15">
        <f t="shared" si="4"/>
        <v>7642291.358</v>
      </c>
      <c r="L3018" s="45"/>
      <c r="M3018" s="6"/>
    </row>
    <row r="3019" ht="15.75" customHeight="1">
      <c r="A3019" s="162">
        <v>46097.0</v>
      </c>
      <c r="B3019" s="50"/>
      <c r="C3019" s="31" t="s">
        <v>2346</v>
      </c>
      <c r="D3019" s="32" t="s">
        <v>99</v>
      </c>
      <c r="E3019" s="32" t="s">
        <v>3285</v>
      </c>
      <c r="F3019" s="161">
        <v>46107.0</v>
      </c>
      <c r="G3019" s="54">
        <v>3798830.17</v>
      </c>
      <c r="H3019" s="14">
        <f t="shared" si="9"/>
        <v>797754.3357</v>
      </c>
      <c r="I3019" s="22">
        <v>113964.91</v>
      </c>
      <c r="J3019" s="22">
        <v>56982.45</v>
      </c>
      <c r="K3019" s="15">
        <f t="shared" si="4"/>
        <v>4767531.866</v>
      </c>
      <c r="L3019" s="45"/>
      <c r="M3019" s="6"/>
    </row>
    <row r="3020" ht="15.75" customHeight="1">
      <c r="A3020" s="162">
        <v>46097.0</v>
      </c>
      <c r="B3020" s="50"/>
      <c r="C3020" s="31" t="s">
        <v>2346</v>
      </c>
      <c r="D3020" s="32" t="s">
        <v>99</v>
      </c>
      <c r="E3020" s="32" t="s">
        <v>3286</v>
      </c>
      <c r="F3020" s="161">
        <v>46107.0</v>
      </c>
      <c r="G3020" s="54">
        <v>9898380.41</v>
      </c>
      <c r="H3020" s="14">
        <f t="shared" si="9"/>
        <v>2078659.886</v>
      </c>
      <c r="I3020" s="22"/>
      <c r="J3020" s="22">
        <v>148475.71</v>
      </c>
      <c r="K3020" s="15">
        <f t="shared" si="4"/>
        <v>12125516.01</v>
      </c>
      <c r="L3020" s="45"/>
      <c r="M3020" s="6"/>
    </row>
    <row r="3021" ht="15.75" customHeight="1">
      <c r="A3021" s="164">
        <v>46097.0</v>
      </c>
      <c r="B3021" s="56"/>
      <c r="C3021" s="57" t="s">
        <v>268</v>
      </c>
      <c r="D3021" s="57" t="s">
        <v>3148</v>
      </c>
      <c r="E3021" s="58" t="s">
        <v>3287</v>
      </c>
      <c r="F3021" s="178">
        <v>46079.0</v>
      </c>
      <c r="G3021" s="155">
        <v>2249923.0</v>
      </c>
      <c r="H3021" s="9">
        <f t="shared" si="9"/>
        <v>472483.83</v>
      </c>
      <c r="I3021" s="44"/>
      <c r="J3021" s="44">
        <f>44998+67497</f>
        <v>112495</v>
      </c>
      <c r="K3021" s="10">
        <f t="shared" si="4"/>
        <v>2834901.83</v>
      </c>
      <c r="L3021" s="61"/>
      <c r="M3021" s="62"/>
    </row>
    <row r="3022" ht="15.75" customHeight="1">
      <c r="A3022" s="164">
        <v>46097.0</v>
      </c>
      <c r="B3022" s="56"/>
      <c r="C3022" s="57" t="s">
        <v>3288</v>
      </c>
      <c r="D3022" s="57" t="s">
        <v>3029</v>
      </c>
      <c r="E3022" s="57" t="s">
        <v>3289</v>
      </c>
      <c r="F3022" s="178">
        <v>46107.0</v>
      </c>
      <c r="G3022" s="155">
        <v>1.699805E7</v>
      </c>
      <c r="H3022" s="9">
        <f t="shared" si="9"/>
        <v>3569590.5</v>
      </c>
      <c r="I3022" s="44"/>
      <c r="J3022" s="44"/>
      <c r="K3022" s="10">
        <f t="shared" si="4"/>
        <v>20567640.5</v>
      </c>
      <c r="L3022" s="61"/>
      <c r="M3022" s="62"/>
    </row>
    <row r="3023" ht="15.75" customHeight="1">
      <c r="A3023" s="164">
        <v>46097.0</v>
      </c>
      <c r="B3023" s="56"/>
      <c r="C3023" s="57" t="s">
        <v>3288</v>
      </c>
      <c r="D3023" s="57" t="s">
        <v>3029</v>
      </c>
      <c r="E3023" s="57" t="s">
        <v>3290</v>
      </c>
      <c r="F3023" s="178">
        <v>46107.0</v>
      </c>
      <c r="G3023" s="155">
        <v>1.299765E7</v>
      </c>
      <c r="H3023" s="9">
        <f t="shared" si="9"/>
        <v>2729506.5</v>
      </c>
      <c r="I3023" s="44"/>
      <c r="J3023" s="44"/>
      <c r="K3023" s="10">
        <f t="shared" si="4"/>
        <v>15727156.5</v>
      </c>
      <c r="L3023" s="61"/>
      <c r="M3023" s="62"/>
    </row>
    <row r="3024" ht="15.75" customHeight="1">
      <c r="A3024" s="164">
        <v>46097.0</v>
      </c>
      <c r="B3024" s="56"/>
      <c r="C3024" s="57" t="s">
        <v>2374</v>
      </c>
      <c r="D3024" s="57" t="s">
        <v>2834</v>
      </c>
      <c r="E3024" s="58" t="s">
        <v>3291</v>
      </c>
      <c r="F3024" s="178">
        <v>46107.0</v>
      </c>
      <c r="G3024" s="206">
        <v>4122830.0</v>
      </c>
      <c r="H3024" s="9">
        <f t="shared" si="9"/>
        <v>865794.3</v>
      </c>
      <c r="I3024" s="44"/>
      <c r="J3024" s="44"/>
      <c r="K3024" s="10">
        <f t="shared" si="4"/>
        <v>4988624.3</v>
      </c>
      <c r="L3024" s="61"/>
      <c r="M3024" s="62"/>
    </row>
    <row r="3025" ht="15.75" customHeight="1">
      <c r="A3025" s="162">
        <v>46098.0</v>
      </c>
      <c r="B3025" s="50"/>
      <c r="C3025" s="31" t="s">
        <v>657</v>
      </c>
      <c r="D3025" s="32" t="s">
        <v>15</v>
      </c>
      <c r="E3025" s="31" t="s">
        <v>3292</v>
      </c>
      <c r="F3025" s="161">
        <v>46107.0</v>
      </c>
      <c r="G3025" s="54">
        <v>1.222252329E7</v>
      </c>
      <c r="H3025" s="14">
        <f t="shared" si="9"/>
        <v>2566729.891</v>
      </c>
      <c r="I3025" s="22">
        <v>366675.7</v>
      </c>
      <c r="J3025" s="22"/>
      <c r="K3025" s="15">
        <f t="shared" si="4"/>
        <v>15155928.88</v>
      </c>
      <c r="L3025" s="45"/>
      <c r="M3025" s="6"/>
    </row>
    <row r="3026" ht="15.75" customHeight="1">
      <c r="A3026" s="162">
        <v>46098.0</v>
      </c>
      <c r="B3026" s="50"/>
      <c r="C3026" s="31" t="s">
        <v>657</v>
      </c>
      <c r="D3026" s="32" t="s">
        <v>15</v>
      </c>
      <c r="E3026" s="31" t="s">
        <v>3293</v>
      </c>
      <c r="F3026" s="161">
        <v>46107.0</v>
      </c>
      <c r="G3026" s="54">
        <v>8122233.71</v>
      </c>
      <c r="H3026" s="14">
        <f t="shared" si="9"/>
        <v>1705669.079</v>
      </c>
      <c r="I3026" s="22">
        <v>243667.01</v>
      </c>
      <c r="J3026" s="22"/>
      <c r="K3026" s="15">
        <f t="shared" si="4"/>
        <v>10071569.8</v>
      </c>
      <c r="L3026" s="45"/>
      <c r="M3026" s="6"/>
    </row>
    <row r="3027" ht="15.75" customHeight="1">
      <c r="A3027" s="162">
        <v>46098.0</v>
      </c>
      <c r="B3027" s="50"/>
      <c r="C3027" s="31" t="s">
        <v>397</v>
      </c>
      <c r="D3027" s="32" t="s">
        <v>15</v>
      </c>
      <c r="E3027" s="31" t="s">
        <v>3294</v>
      </c>
      <c r="F3027" s="161">
        <v>46107.0</v>
      </c>
      <c r="G3027" s="54">
        <v>6806470.14</v>
      </c>
      <c r="H3027" s="14">
        <f t="shared" si="9"/>
        <v>1429358.729</v>
      </c>
      <c r="I3027" s="22"/>
      <c r="J3027" s="22">
        <v>34032.35</v>
      </c>
      <c r="K3027" s="15">
        <f t="shared" si="4"/>
        <v>8269861.219</v>
      </c>
      <c r="L3027" s="45"/>
      <c r="M3027" s="6"/>
    </row>
    <row r="3028" ht="15.75" customHeight="1">
      <c r="A3028" s="162">
        <v>46098.0</v>
      </c>
      <c r="B3028" s="50"/>
      <c r="C3028" s="31" t="s">
        <v>397</v>
      </c>
      <c r="D3028" s="32" t="s">
        <v>15</v>
      </c>
      <c r="E3028" s="31" t="s">
        <v>3295</v>
      </c>
      <c r="F3028" s="161">
        <v>46107.0</v>
      </c>
      <c r="G3028" s="54">
        <v>8503250.28</v>
      </c>
      <c r="H3028" s="14">
        <f t="shared" si="9"/>
        <v>1785682.559</v>
      </c>
      <c r="I3028" s="22">
        <v>255097.51</v>
      </c>
      <c r="J3028" s="22">
        <v>42516.25</v>
      </c>
      <c r="K3028" s="15">
        <f t="shared" si="4"/>
        <v>10586546.6</v>
      </c>
      <c r="L3028" s="45"/>
      <c r="M3028" s="6"/>
    </row>
    <row r="3029" ht="15.75" customHeight="1">
      <c r="A3029" s="164">
        <v>46098.0</v>
      </c>
      <c r="B3029" s="56"/>
      <c r="C3029" s="57" t="s">
        <v>3288</v>
      </c>
      <c r="D3029" s="57" t="s">
        <v>769</v>
      </c>
      <c r="E3029" s="58">
        <v>1.00313694E8</v>
      </c>
      <c r="F3029" s="178">
        <v>46107.0</v>
      </c>
      <c r="G3029" s="155">
        <v>1.5768E7</v>
      </c>
      <c r="H3029" s="9">
        <f t="shared" si="9"/>
        <v>3311280</v>
      </c>
      <c r="I3029" s="44"/>
      <c r="J3029" s="44"/>
      <c r="K3029" s="10">
        <f t="shared" si="4"/>
        <v>19079280</v>
      </c>
      <c r="L3029" s="61"/>
      <c r="M3029" s="62"/>
    </row>
    <row r="3030" ht="15.75" customHeight="1">
      <c r="A3030" s="164">
        <v>46098.0</v>
      </c>
      <c r="B3030" s="56"/>
      <c r="C3030" s="57" t="s">
        <v>3288</v>
      </c>
      <c r="D3030" s="57" t="s">
        <v>769</v>
      </c>
      <c r="E3030" s="58">
        <v>1.00313693E8</v>
      </c>
      <c r="F3030" s="178">
        <v>46107.0</v>
      </c>
      <c r="G3030" s="155">
        <v>1.5038E7</v>
      </c>
      <c r="H3030" s="9">
        <f t="shared" si="9"/>
        <v>3157980</v>
      </c>
      <c r="I3030" s="44"/>
      <c r="J3030" s="44"/>
      <c r="K3030" s="10">
        <f t="shared" si="4"/>
        <v>18195980</v>
      </c>
      <c r="L3030" s="61"/>
      <c r="M3030" s="62"/>
    </row>
    <row r="3031" ht="15.75" customHeight="1">
      <c r="A3031" s="164">
        <v>46098.0</v>
      </c>
      <c r="B3031" s="56"/>
      <c r="C3031" s="57" t="s">
        <v>3288</v>
      </c>
      <c r="D3031" s="57" t="s">
        <v>769</v>
      </c>
      <c r="E3031" s="58">
        <v>1.00313692E8</v>
      </c>
      <c r="F3031" s="178">
        <v>46107.0</v>
      </c>
      <c r="G3031" s="155">
        <v>1.46E7</v>
      </c>
      <c r="H3031" s="9">
        <f t="shared" si="9"/>
        <v>3066000</v>
      </c>
      <c r="I3031" s="44"/>
      <c r="J3031" s="44"/>
      <c r="K3031" s="10">
        <f t="shared" si="4"/>
        <v>17666000</v>
      </c>
      <c r="L3031" s="61"/>
      <c r="M3031" s="62"/>
    </row>
    <row r="3032" ht="15.75" customHeight="1">
      <c r="A3032" s="164">
        <v>46099.0</v>
      </c>
      <c r="B3032" s="56"/>
      <c r="C3032" s="57" t="s">
        <v>2346</v>
      </c>
      <c r="D3032" s="58" t="s">
        <v>3296</v>
      </c>
      <c r="E3032" s="58" t="s">
        <v>3297</v>
      </c>
      <c r="F3032" s="178">
        <v>46107.0</v>
      </c>
      <c r="G3032" s="155">
        <v>1.212566E7</v>
      </c>
      <c r="H3032" s="9">
        <f t="shared" si="9"/>
        <v>2546388.6</v>
      </c>
      <c r="I3032" s="44"/>
      <c r="J3032" s="44"/>
      <c r="K3032" s="10">
        <f t="shared" si="4"/>
        <v>14672048.6</v>
      </c>
      <c r="L3032" s="61"/>
      <c r="M3032" s="62"/>
    </row>
    <row r="3033" ht="15.75" customHeight="1">
      <c r="A3033" s="164">
        <v>46099.0</v>
      </c>
      <c r="B3033" s="56"/>
      <c r="C3033" s="57" t="s">
        <v>2346</v>
      </c>
      <c r="D3033" s="58" t="s">
        <v>3296</v>
      </c>
      <c r="E3033" s="58" t="s">
        <v>3298</v>
      </c>
      <c r="F3033" s="178">
        <v>46107.0</v>
      </c>
      <c r="G3033" s="155">
        <v>8184550.0</v>
      </c>
      <c r="H3033" s="9">
        <f t="shared" si="9"/>
        <v>1718755.5</v>
      </c>
      <c r="I3033" s="44"/>
      <c r="J3033" s="44"/>
      <c r="K3033" s="10">
        <f t="shared" si="4"/>
        <v>9903305.5</v>
      </c>
      <c r="L3033" s="61"/>
      <c r="M3033" s="62"/>
    </row>
    <row r="3034" ht="15.75" customHeight="1">
      <c r="A3034" s="162">
        <v>46101.0</v>
      </c>
      <c r="B3034" s="50"/>
      <c r="C3034" s="31" t="s">
        <v>171</v>
      </c>
      <c r="D3034" s="32" t="s">
        <v>15</v>
      </c>
      <c r="E3034" s="31" t="s">
        <v>3299</v>
      </c>
      <c r="F3034" s="161">
        <v>46107.0</v>
      </c>
      <c r="G3034" s="54">
        <v>1.223373329E7</v>
      </c>
      <c r="H3034" s="14">
        <f t="shared" si="9"/>
        <v>2569083.991</v>
      </c>
      <c r="I3034" s="22"/>
      <c r="J3034" s="22"/>
      <c r="K3034" s="15">
        <f t="shared" si="4"/>
        <v>14802817.28</v>
      </c>
      <c r="L3034" s="45"/>
      <c r="M3034" s="19" t="s">
        <v>3300</v>
      </c>
    </row>
    <row r="3035" ht="15.75" customHeight="1">
      <c r="A3035" s="162">
        <v>46101.0</v>
      </c>
      <c r="B3035" s="50"/>
      <c r="C3035" s="31" t="s">
        <v>171</v>
      </c>
      <c r="D3035" s="32" t="s">
        <v>15</v>
      </c>
      <c r="E3035" s="31" t="s">
        <v>3301</v>
      </c>
      <c r="F3035" s="161">
        <v>46107.0</v>
      </c>
      <c r="G3035" s="54">
        <v>1.133373382E7</v>
      </c>
      <c r="H3035" s="14">
        <f t="shared" si="9"/>
        <v>2380084.102</v>
      </c>
      <c r="I3035" s="22"/>
      <c r="J3035" s="22"/>
      <c r="K3035" s="15">
        <f t="shared" si="4"/>
        <v>13713817.92</v>
      </c>
      <c r="L3035" s="45"/>
      <c r="M3035" s="19" t="s">
        <v>3300</v>
      </c>
    </row>
    <row r="3036" ht="15.75" customHeight="1">
      <c r="A3036" s="162">
        <v>46101.0</v>
      </c>
      <c r="B3036" s="50"/>
      <c r="C3036" s="31" t="s">
        <v>171</v>
      </c>
      <c r="D3036" s="32" t="s">
        <v>15</v>
      </c>
      <c r="E3036" s="31" t="s">
        <v>3302</v>
      </c>
      <c r="F3036" s="161">
        <v>46107.0</v>
      </c>
      <c r="G3036" s="54">
        <v>1.126063318E7</v>
      </c>
      <c r="H3036" s="14">
        <f t="shared" si="9"/>
        <v>2364732.968</v>
      </c>
      <c r="I3036" s="22"/>
      <c r="J3036" s="22"/>
      <c r="K3036" s="15">
        <f t="shared" si="4"/>
        <v>13625366.15</v>
      </c>
      <c r="L3036" s="45"/>
      <c r="M3036" s="19" t="s">
        <v>3300</v>
      </c>
    </row>
    <row r="3037" ht="15.75" customHeight="1">
      <c r="A3037" s="164">
        <v>46101.0</v>
      </c>
      <c r="B3037" s="56"/>
      <c r="C3037" s="57" t="s">
        <v>3303</v>
      </c>
      <c r="D3037" s="57" t="s">
        <v>1414</v>
      </c>
      <c r="E3037" s="57" t="s">
        <v>3304</v>
      </c>
      <c r="F3037" s="178">
        <v>46107.0</v>
      </c>
      <c r="G3037" s="206">
        <v>9.006911117E7</v>
      </c>
      <c r="H3037" s="214">
        <v>960619.83</v>
      </c>
      <c r="I3037" s="44"/>
      <c r="J3037" s="44"/>
      <c r="K3037" s="10">
        <f t="shared" si="4"/>
        <v>91029731</v>
      </c>
      <c r="L3037" s="61"/>
      <c r="M3037" s="62"/>
    </row>
    <row r="3038" ht="15.75" customHeight="1">
      <c r="A3038" s="162">
        <v>46106.0</v>
      </c>
      <c r="B3038" s="50"/>
      <c r="C3038" s="31" t="s">
        <v>1275</v>
      </c>
      <c r="D3038" s="32" t="s">
        <v>99</v>
      </c>
      <c r="E3038" s="31" t="s">
        <v>3305</v>
      </c>
      <c r="F3038" s="161">
        <v>46107.0</v>
      </c>
      <c r="G3038" s="54">
        <v>9344107.52</v>
      </c>
      <c r="H3038" s="14">
        <f t="shared" ref="H3038:H3529" si="10">G3038*0.21</f>
        <v>1962262.579</v>
      </c>
      <c r="I3038" s="22">
        <v>280323.23</v>
      </c>
      <c r="J3038" s="22"/>
      <c r="K3038" s="15">
        <f t="shared" si="4"/>
        <v>11586693.33</v>
      </c>
      <c r="L3038" s="45"/>
      <c r="M3038" s="6"/>
    </row>
    <row r="3039" ht="15.75" customHeight="1">
      <c r="A3039" s="162">
        <v>46106.0</v>
      </c>
      <c r="B3039" s="50"/>
      <c r="C3039" s="31" t="s">
        <v>1275</v>
      </c>
      <c r="D3039" s="32" t="s">
        <v>99</v>
      </c>
      <c r="E3039" s="31" t="s">
        <v>3306</v>
      </c>
      <c r="F3039" s="161">
        <v>46107.0</v>
      </c>
      <c r="G3039" s="54">
        <v>1.158102564E7</v>
      </c>
      <c r="H3039" s="14">
        <f t="shared" si="10"/>
        <v>2432015.384</v>
      </c>
      <c r="I3039" s="22">
        <v>347430.77</v>
      </c>
      <c r="J3039" s="22"/>
      <c r="K3039" s="15">
        <f t="shared" si="4"/>
        <v>14360471.79</v>
      </c>
      <c r="L3039" s="45"/>
      <c r="M3039" s="6"/>
    </row>
    <row r="3040" ht="15.75" customHeight="1">
      <c r="A3040" s="162">
        <v>46106.0</v>
      </c>
      <c r="B3040" s="50"/>
      <c r="C3040" s="31" t="s">
        <v>1275</v>
      </c>
      <c r="D3040" s="32" t="s">
        <v>15</v>
      </c>
      <c r="E3040" s="31" t="s">
        <v>3307</v>
      </c>
      <c r="F3040" s="161">
        <v>46107.0</v>
      </c>
      <c r="G3040" s="54">
        <v>1.157024829E7</v>
      </c>
      <c r="H3040" s="14">
        <f t="shared" si="10"/>
        <v>2429752.141</v>
      </c>
      <c r="I3040" s="22">
        <v>347107.45</v>
      </c>
      <c r="J3040" s="22"/>
      <c r="K3040" s="15">
        <f t="shared" si="4"/>
        <v>14347107.88</v>
      </c>
      <c r="L3040" s="45"/>
      <c r="M3040" s="6"/>
    </row>
    <row r="3041" ht="15.75" customHeight="1">
      <c r="A3041" s="162">
        <v>46106.0</v>
      </c>
      <c r="B3041" s="50"/>
      <c r="C3041" s="31" t="s">
        <v>1275</v>
      </c>
      <c r="D3041" s="32" t="s">
        <v>15</v>
      </c>
      <c r="E3041" s="31" t="s">
        <v>3308</v>
      </c>
      <c r="F3041" s="161">
        <v>46107.0</v>
      </c>
      <c r="G3041" s="54">
        <v>9001215.48</v>
      </c>
      <c r="H3041" s="14">
        <f t="shared" si="10"/>
        <v>1890255.251</v>
      </c>
      <c r="I3041" s="22">
        <v>270036.46</v>
      </c>
      <c r="J3041" s="22"/>
      <c r="K3041" s="15">
        <f t="shared" si="4"/>
        <v>11161507.19</v>
      </c>
      <c r="L3041" s="45"/>
      <c r="M3041" s="6"/>
    </row>
    <row r="3042" ht="15.75" customHeight="1">
      <c r="A3042" s="162">
        <v>46106.0</v>
      </c>
      <c r="B3042" s="50"/>
      <c r="C3042" s="31" t="s">
        <v>1277</v>
      </c>
      <c r="D3042" s="32" t="s">
        <v>99</v>
      </c>
      <c r="E3042" s="31" t="s">
        <v>3309</v>
      </c>
      <c r="F3042" s="161">
        <v>46107.0</v>
      </c>
      <c r="G3042" s="54">
        <v>7545454.28</v>
      </c>
      <c r="H3042" s="14">
        <f t="shared" si="10"/>
        <v>1584545.399</v>
      </c>
      <c r="I3042" s="22">
        <v>226363.63</v>
      </c>
      <c r="J3042" s="22"/>
      <c r="K3042" s="15">
        <f t="shared" si="4"/>
        <v>9356363.309</v>
      </c>
      <c r="L3042" s="45"/>
      <c r="M3042" s="6"/>
    </row>
    <row r="3043" ht="15.75" customHeight="1">
      <c r="A3043" s="162">
        <v>46106.0</v>
      </c>
      <c r="B3043" s="50"/>
      <c r="C3043" s="31" t="s">
        <v>1277</v>
      </c>
      <c r="D3043" s="32" t="s">
        <v>99</v>
      </c>
      <c r="E3043" s="31" t="s">
        <v>3310</v>
      </c>
      <c r="F3043" s="161">
        <v>46107.0</v>
      </c>
      <c r="G3043" s="54">
        <v>5900827.75</v>
      </c>
      <c r="H3043" s="14">
        <f t="shared" si="10"/>
        <v>1239173.828</v>
      </c>
      <c r="I3043" s="22">
        <v>177024.83</v>
      </c>
      <c r="J3043" s="22"/>
      <c r="K3043" s="15">
        <f t="shared" si="4"/>
        <v>7317026.408</v>
      </c>
      <c r="L3043" s="45"/>
      <c r="M3043" s="6"/>
    </row>
    <row r="3044" ht="15.75" customHeight="1">
      <c r="A3044" s="162">
        <v>46106.0</v>
      </c>
      <c r="B3044" s="50"/>
      <c r="C3044" s="31" t="s">
        <v>1277</v>
      </c>
      <c r="D3044" s="32" t="s">
        <v>15</v>
      </c>
      <c r="E3044" s="31" t="s">
        <v>3311</v>
      </c>
      <c r="F3044" s="161">
        <v>46107.0</v>
      </c>
      <c r="G3044" s="54">
        <v>7001205.43</v>
      </c>
      <c r="H3044" s="14">
        <f t="shared" si="10"/>
        <v>1470253.14</v>
      </c>
      <c r="I3044" s="22">
        <v>210036.16</v>
      </c>
      <c r="J3044" s="22"/>
      <c r="K3044" s="15">
        <f t="shared" si="4"/>
        <v>8681494.73</v>
      </c>
      <c r="L3044" s="45"/>
      <c r="M3044" s="6"/>
    </row>
    <row r="3045" ht="15.75" customHeight="1">
      <c r="A3045" s="162">
        <v>46106.0</v>
      </c>
      <c r="B3045" s="50"/>
      <c r="C3045" s="31" t="s">
        <v>1277</v>
      </c>
      <c r="D3045" s="32" t="s">
        <v>15</v>
      </c>
      <c r="E3045" s="31" t="s">
        <v>3312</v>
      </c>
      <c r="F3045" s="161">
        <v>46107.0</v>
      </c>
      <c r="G3045" s="54">
        <v>6000813.71</v>
      </c>
      <c r="H3045" s="14">
        <f t="shared" si="10"/>
        <v>1260170.879</v>
      </c>
      <c r="I3045" s="22">
        <v>180024.41</v>
      </c>
      <c r="J3045" s="22"/>
      <c r="K3045" s="15">
        <f t="shared" si="4"/>
        <v>7441008.999</v>
      </c>
      <c r="L3045" s="45"/>
      <c r="M3045" s="6"/>
    </row>
    <row r="3046" ht="15.75" customHeight="1">
      <c r="A3046" s="162">
        <v>46106.0</v>
      </c>
      <c r="B3046" s="50"/>
      <c r="C3046" s="31" t="s">
        <v>1279</v>
      </c>
      <c r="D3046" s="32" t="s">
        <v>15</v>
      </c>
      <c r="E3046" s="31" t="s">
        <v>3313</v>
      </c>
      <c r="F3046" s="161">
        <v>46107.0</v>
      </c>
      <c r="G3046" s="54">
        <v>1.550118971E7</v>
      </c>
      <c r="H3046" s="14">
        <f t="shared" si="10"/>
        <v>3255249.839</v>
      </c>
      <c r="I3046" s="22">
        <v>465035.69</v>
      </c>
      <c r="J3046" s="22"/>
      <c r="K3046" s="15">
        <f t="shared" si="4"/>
        <v>19221475.24</v>
      </c>
      <c r="L3046" s="45"/>
      <c r="M3046" s="6"/>
    </row>
    <row r="3047" ht="15.75" customHeight="1">
      <c r="A3047" s="162">
        <v>46106.0</v>
      </c>
      <c r="B3047" s="50"/>
      <c r="C3047" s="31" t="s">
        <v>1279</v>
      </c>
      <c r="D3047" s="32" t="s">
        <v>15</v>
      </c>
      <c r="E3047" s="31" t="s">
        <v>3314</v>
      </c>
      <c r="F3047" s="161">
        <v>46107.0</v>
      </c>
      <c r="G3047" s="54">
        <v>1.490108946E7</v>
      </c>
      <c r="H3047" s="14">
        <f t="shared" si="10"/>
        <v>3129228.787</v>
      </c>
      <c r="I3047" s="22">
        <v>447032.68</v>
      </c>
      <c r="J3047" s="22"/>
      <c r="K3047" s="15">
        <f t="shared" si="4"/>
        <v>18477350.93</v>
      </c>
      <c r="L3047" s="45"/>
      <c r="M3047" s="6"/>
    </row>
    <row r="3048" ht="15.75" customHeight="1">
      <c r="A3048" s="162">
        <v>46106.0</v>
      </c>
      <c r="B3048" s="50"/>
      <c r="C3048" s="31" t="s">
        <v>1279</v>
      </c>
      <c r="D3048" s="32" t="s">
        <v>99</v>
      </c>
      <c r="E3048" s="31" t="s">
        <v>3315</v>
      </c>
      <c r="F3048" s="161">
        <v>46107.0</v>
      </c>
      <c r="G3048" s="54">
        <v>2.086363622E7</v>
      </c>
      <c r="H3048" s="14">
        <f t="shared" si="10"/>
        <v>4381363.606</v>
      </c>
      <c r="I3048" s="22">
        <v>625909.09</v>
      </c>
      <c r="J3048" s="22"/>
      <c r="K3048" s="15">
        <f t="shared" si="4"/>
        <v>25870908.92</v>
      </c>
      <c r="L3048" s="45"/>
      <c r="M3048" s="6"/>
    </row>
    <row r="3049" ht="15.75" customHeight="1">
      <c r="A3049" s="162">
        <v>46106.0</v>
      </c>
      <c r="B3049" s="50"/>
      <c r="C3049" s="31" t="s">
        <v>1279</v>
      </c>
      <c r="D3049" s="32" t="s">
        <v>99</v>
      </c>
      <c r="E3049" s="31" t="s">
        <v>3316</v>
      </c>
      <c r="F3049" s="161">
        <v>46107.0</v>
      </c>
      <c r="G3049" s="54">
        <v>1.485206747E7</v>
      </c>
      <c r="H3049" s="14">
        <f t="shared" si="10"/>
        <v>3118934.169</v>
      </c>
      <c r="I3049" s="22">
        <v>445562.02</v>
      </c>
      <c r="J3049" s="22"/>
      <c r="K3049" s="15">
        <f t="shared" si="4"/>
        <v>18416563.66</v>
      </c>
      <c r="L3049" s="45"/>
      <c r="M3049" s="6"/>
    </row>
    <row r="3050" ht="15.75" customHeight="1">
      <c r="A3050" s="162">
        <v>46106.0</v>
      </c>
      <c r="B3050" s="50"/>
      <c r="C3050" s="31" t="s">
        <v>1281</v>
      </c>
      <c r="D3050" s="32" t="s">
        <v>99</v>
      </c>
      <c r="E3050" s="32" t="s">
        <v>3317</v>
      </c>
      <c r="F3050" s="161">
        <v>46107.0</v>
      </c>
      <c r="G3050" s="54">
        <v>1379339.17</v>
      </c>
      <c r="H3050" s="14">
        <f t="shared" si="10"/>
        <v>289661.2257</v>
      </c>
      <c r="I3050" s="22">
        <v>41380.18</v>
      </c>
      <c r="J3050" s="22"/>
      <c r="K3050" s="15">
        <f t="shared" si="4"/>
        <v>1710380.576</v>
      </c>
      <c r="L3050" s="45"/>
      <c r="M3050" s="6"/>
    </row>
    <row r="3051" ht="15.75" customHeight="1">
      <c r="A3051" s="162">
        <v>46106.0</v>
      </c>
      <c r="B3051" s="50"/>
      <c r="C3051" s="31" t="s">
        <v>1281</v>
      </c>
      <c r="D3051" s="32" t="s">
        <v>99</v>
      </c>
      <c r="E3051" s="31" t="s">
        <v>3318</v>
      </c>
      <c r="F3051" s="161">
        <v>46107.0</v>
      </c>
      <c r="G3051" s="54">
        <v>600414.71</v>
      </c>
      <c r="H3051" s="14">
        <f t="shared" si="10"/>
        <v>126087.0891</v>
      </c>
      <c r="I3051" s="22">
        <v>18012.44</v>
      </c>
      <c r="J3051" s="22"/>
      <c r="K3051" s="15">
        <f t="shared" si="4"/>
        <v>744514.2391</v>
      </c>
      <c r="L3051" s="45"/>
      <c r="M3051" s="6"/>
    </row>
    <row r="3052" ht="15.75" customHeight="1">
      <c r="A3052" s="162">
        <v>46106.0</v>
      </c>
      <c r="B3052" s="50"/>
      <c r="C3052" s="31" t="s">
        <v>1281</v>
      </c>
      <c r="D3052" s="32" t="s">
        <v>15</v>
      </c>
      <c r="E3052" s="31" t="s">
        <v>3319</v>
      </c>
      <c r="F3052" s="161">
        <v>46107.0</v>
      </c>
      <c r="G3052" s="54">
        <v>1100645.26</v>
      </c>
      <c r="H3052" s="14">
        <f t="shared" si="10"/>
        <v>231135.5046</v>
      </c>
      <c r="I3052" s="22">
        <v>33019.36</v>
      </c>
      <c r="J3052" s="22"/>
      <c r="K3052" s="15">
        <f t="shared" si="4"/>
        <v>1364800.125</v>
      </c>
      <c r="L3052" s="45"/>
      <c r="M3052" s="6"/>
    </row>
    <row r="3053" ht="15.75" customHeight="1">
      <c r="A3053" s="162">
        <v>46106.0</v>
      </c>
      <c r="B3053" s="50"/>
      <c r="C3053" s="31" t="s">
        <v>1281</v>
      </c>
      <c r="D3053" s="32" t="s">
        <v>15</v>
      </c>
      <c r="E3053" s="31" t="s">
        <v>3320</v>
      </c>
      <c r="F3053" s="161">
        <v>46107.0</v>
      </c>
      <c r="G3053" s="54">
        <v>350123.26</v>
      </c>
      <c r="H3053" s="14">
        <f t="shared" si="10"/>
        <v>73525.8846</v>
      </c>
      <c r="I3053" s="22">
        <v>10503.7</v>
      </c>
      <c r="J3053" s="22"/>
      <c r="K3053" s="15">
        <f t="shared" si="4"/>
        <v>434152.8446</v>
      </c>
      <c r="L3053" s="45"/>
      <c r="M3053" s="6"/>
    </row>
    <row r="3054" ht="15.75" customHeight="1">
      <c r="A3054" s="162">
        <v>46106.0</v>
      </c>
      <c r="B3054" s="50"/>
      <c r="C3054" s="31" t="s">
        <v>1283</v>
      </c>
      <c r="D3054" s="32" t="s">
        <v>15</v>
      </c>
      <c r="E3054" s="31" t="s">
        <v>3321</v>
      </c>
      <c r="F3054" s="161">
        <v>46107.0</v>
      </c>
      <c r="G3054" s="54">
        <v>1.100131594E7</v>
      </c>
      <c r="H3054" s="14">
        <f t="shared" si="10"/>
        <v>2310276.347</v>
      </c>
      <c r="I3054" s="22">
        <v>330039.48</v>
      </c>
      <c r="J3054" s="22">
        <v>55006.58</v>
      </c>
      <c r="K3054" s="15">
        <f t="shared" si="4"/>
        <v>13696638.35</v>
      </c>
      <c r="L3054" s="45"/>
      <c r="M3054" s="6"/>
    </row>
    <row r="3055" ht="15.75" customHeight="1">
      <c r="A3055" s="162">
        <v>46106.0</v>
      </c>
      <c r="B3055" s="50"/>
      <c r="C3055" s="31" t="s">
        <v>1283</v>
      </c>
      <c r="D3055" s="32" t="s">
        <v>15</v>
      </c>
      <c r="E3055" s="31" t="s">
        <v>3322</v>
      </c>
      <c r="F3055" s="161">
        <v>46107.0</v>
      </c>
      <c r="G3055" s="54">
        <v>6500213.72</v>
      </c>
      <c r="H3055" s="14">
        <f t="shared" si="10"/>
        <v>1365044.881</v>
      </c>
      <c r="I3055" s="22">
        <v>195006.41</v>
      </c>
      <c r="J3055" s="22">
        <v>32501.07</v>
      </c>
      <c r="K3055" s="15">
        <f t="shared" si="4"/>
        <v>8092766.081</v>
      </c>
      <c r="L3055" s="45"/>
      <c r="M3055" s="6"/>
    </row>
    <row r="3056" ht="15.75" customHeight="1">
      <c r="A3056" s="162">
        <v>46106.0</v>
      </c>
      <c r="B3056" s="50"/>
      <c r="C3056" s="31" t="s">
        <v>1283</v>
      </c>
      <c r="D3056" s="32" t="s">
        <v>99</v>
      </c>
      <c r="E3056" s="31" t="s">
        <v>3323</v>
      </c>
      <c r="F3056" s="161">
        <v>46107.0</v>
      </c>
      <c r="G3056" s="54">
        <v>1.214049526E7</v>
      </c>
      <c r="H3056" s="14">
        <f t="shared" si="10"/>
        <v>2549504.005</v>
      </c>
      <c r="I3056" s="22">
        <v>364214.86</v>
      </c>
      <c r="J3056" s="22">
        <v>60702.48</v>
      </c>
      <c r="K3056" s="15">
        <f t="shared" si="4"/>
        <v>15114916.6</v>
      </c>
      <c r="L3056" s="45"/>
      <c r="M3056" s="6"/>
    </row>
    <row r="3057" ht="15.75" customHeight="1">
      <c r="A3057" s="162">
        <v>46106.0</v>
      </c>
      <c r="B3057" s="50"/>
      <c r="C3057" s="31" t="s">
        <v>1283</v>
      </c>
      <c r="D3057" s="32" t="s">
        <v>99</v>
      </c>
      <c r="E3057" s="31" t="s">
        <v>3324</v>
      </c>
      <c r="F3057" s="161">
        <v>46107.0</v>
      </c>
      <c r="G3057" s="54">
        <v>9202479.33</v>
      </c>
      <c r="H3057" s="14">
        <f t="shared" si="10"/>
        <v>1932520.659</v>
      </c>
      <c r="I3057" s="22">
        <v>276074.38</v>
      </c>
      <c r="J3057" s="22">
        <v>46012.4</v>
      </c>
      <c r="K3057" s="15">
        <f t="shared" si="4"/>
        <v>11457086.77</v>
      </c>
      <c r="L3057" s="45"/>
      <c r="M3057" s="6"/>
    </row>
    <row r="3058" ht="15.75" customHeight="1">
      <c r="A3058" s="208">
        <v>46106.0</v>
      </c>
      <c r="B3058" s="158"/>
      <c r="C3058" s="147" t="s">
        <v>635</v>
      </c>
      <c r="D3058" s="148" t="s">
        <v>99</v>
      </c>
      <c r="E3058" s="147" t="s">
        <v>3325</v>
      </c>
      <c r="F3058" s="181">
        <v>46107.0</v>
      </c>
      <c r="G3058" s="209">
        <v>1.090232329E7</v>
      </c>
      <c r="H3058" s="150">
        <f t="shared" si="10"/>
        <v>2289487.891</v>
      </c>
      <c r="I3058" s="151">
        <v>327069.7</v>
      </c>
      <c r="J3058" s="151"/>
      <c r="K3058" s="152">
        <f t="shared" si="4"/>
        <v>13518880.88</v>
      </c>
      <c r="L3058" s="153"/>
      <c r="M3058" s="154"/>
    </row>
    <row r="3059" ht="15.75" customHeight="1">
      <c r="A3059" s="162">
        <v>46106.0</v>
      </c>
      <c r="B3059" s="50"/>
      <c r="C3059" s="31" t="s">
        <v>635</v>
      </c>
      <c r="D3059" s="32" t="s">
        <v>99</v>
      </c>
      <c r="E3059" s="31" t="s">
        <v>3326</v>
      </c>
      <c r="F3059" s="161">
        <v>46107.0</v>
      </c>
      <c r="G3059" s="54">
        <v>7833263.42</v>
      </c>
      <c r="H3059" s="14">
        <f t="shared" si="10"/>
        <v>1644985.318</v>
      </c>
      <c r="I3059" s="22">
        <v>234997.9</v>
      </c>
      <c r="J3059" s="22"/>
      <c r="K3059" s="15">
        <f t="shared" si="4"/>
        <v>9713246.638</v>
      </c>
      <c r="L3059" s="45"/>
      <c r="M3059" s="6"/>
    </row>
    <row r="3060" ht="15.75" customHeight="1">
      <c r="A3060" s="208">
        <v>46106.0</v>
      </c>
      <c r="B3060" s="158"/>
      <c r="C3060" s="147" t="s">
        <v>635</v>
      </c>
      <c r="D3060" s="148" t="s">
        <v>99</v>
      </c>
      <c r="E3060" s="147" t="s">
        <v>3327</v>
      </c>
      <c r="F3060" s="181">
        <v>46107.0</v>
      </c>
      <c r="G3060" s="209">
        <v>1.122122371E7</v>
      </c>
      <c r="H3060" s="150">
        <f t="shared" si="10"/>
        <v>2356456.979</v>
      </c>
      <c r="I3060" s="151">
        <v>336636.71</v>
      </c>
      <c r="J3060" s="151"/>
      <c r="K3060" s="152">
        <f t="shared" si="4"/>
        <v>13914317.4</v>
      </c>
      <c r="L3060" s="153"/>
      <c r="M3060" s="154"/>
    </row>
    <row r="3061" ht="15.75" customHeight="1">
      <c r="A3061" s="162">
        <v>46106.0</v>
      </c>
      <c r="B3061" s="50"/>
      <c r="C3061" s="31" t="s">
        <v>635</v>
      </c>
      <c r="D3061" s="32" t="s">
        <v>99</v>
      </c>
      <c r="E3061" s="31" t="s">
        <v>3328</v>
      </c>
      <c r="F3061" s="161">
        <v>46107.0</v>
      </c>
      <c r="G3061" s="54">
        <v>5332243.85</v>
      </c>
      <c r="H3061" s="14">
        <f t="shared" si="10"/>
        <v>1119771.209</v>
      </c>
      <c r="I3061" s="22">
        <v>159967.32</v>
      </c>
      <c r="J3061" s="22"/>
      <c r="K3061" s="15">
        <f t="shared" si="4"/>
        <v>6611982.379</v>
      </c>
      <c r="L3061" s="45"/>
      <c r="M3061" s="6"/>
    </row>
    <row r="3062" ht="15.75" customHeight="1">
      <c r="A3062" s="208">
        <v>46106.0</v>
      </c>
      <c r="B3062" s="158"/>
      <c r="C3062" s="147" t="s">
        <v>635</v>
      </c>
      <c r="D3062" s="148" t="s">
        <v>99</v>
      </c>
      <c r="E3062" s="147" t="s">
        <v>3329</v>
      </c>
      <c r="F3062" s="181">
        <v>46107.0</v>
      </c>
      <c r="G3062" s="209">
        <v>1.533253322E7</v>
      </c>
      <c r="H3062" s="150">
        <f t="shared" si="10"/>
        <v>3219831.976</v>
      </c>
      <c r="I3062" s="151">
        <v>459976.0</v>
      </c>
      <c r="J3062" s="151"/>
      <c r="K3062" s="152">
        <f t="shared" si="4"/>
        <v>19012341.2</v>
      </c>
      <c r="L3062" s="153"/>
      <c r="M3062" s="154"/>
    </row>
    <row r="3063" ht="15.75" customHeight="1">
      <c r="A3063" s="162">
        <v>46106.0</v>
      </c>
      <c r="B3063" s="50"/>
      <c r="C3063" s="31" t="s">
        <v>635</v>
      </c>
      <c r="D3063" s="32" t="s">
        <v>99</v>
      </c>
      <c r="E3063" s="31" t="s">
        <v>3330</v>
      </c>
      <c r="F3063" s="161">
        <v>46107.0</v>
      </c>
      <c r="G3063" s="54">
        <v>1.723336212E7</v>
      </c>
      <c r="H3063" s="14">
        <f t="shared" si="10"/>
        <v>3619006.045</v>
      </c>
      <c r="I3063" s="22">
        <v>517000.86</v>
      </c>
      <c r="J3063" s="22"/>
      <c r="K3063" s="15">
        <f t="shared" si="4"/>
        <v>21369369.03</v>
      </c>
      <c r="L3063" s="45"/>
      <c r="M3063" s="6"/>
    </row>
    <row r="3064" ht="15.75" customHeight="1">
      <c r="A3064" s="162">
        <v>46106.0</v>
      </c>
      <c r="B3064" s="50"/>
      <c r="C3064" s="31" t="s">
        <v>635</v>
      </c>
      <c r="D3064" s="32" t="s">
        <v>99</v>
      </c>
      <c r="E3064" s="31" t="s">
        <v>3331</v>
      </c>
      <c r="F3064" s="161">
        <v>46107.0</v>
      </c>
      <c r="G3064" s="54">
        <v>1.222336205E7</v>
      </c>
      <c r="H3064" s="14">
        <f t="shared" si="10"/>
        <v>2566906.031</v>
      </c>
      <c r="I3064" s="22">
        <v>366700.86</v>
      </c>
      <c r="J3064" s="22"/>
      <c r="K3064" s="15">
        <f t="shared" si="4"/>
        <v>15156968.94</v>
      </c>
      <c r="L3064" s="45"/>
      <c r="M3064" s="6"/>
    </row>
    <row r="3065" ht="15.75" customHeight="1">
      <c r="A3065" s="162">
        <v>46106.0</v>
      </c>
      <c r="B3065" s="50"/>
      <c r="C3065" s="31" t="s">
        <v>635</v>
      </c>
      <c r="D3065" s="32" t="s">
        <v>15</v>
      </c>
      <c r="E3065" s="31" t="s">
        <v>3332</v>
      </c>
      <c r="F3065" s="161">
        <v>46107.0</v>
      </c>
      <c r="G3065" s="54">
        <v>2.012332212E7</v>
      </c>
      <c r="H3065" s="14">
        <f t="shared" si="10"/>
        <v>4225897.645</v>
      </c>
      <c r="I3065" s="22">
        <v>603699.66</v>
      </c>
      <c r="J3065" s="22"/>
      <c r="K3065" s="15">
        <f t="shared" si="4"/>
        <v>24952919.43</v>
      </c>
      <c r="L3065" s="45"/>
      <c r="M3065" s="6"/>
    </row>
    <row r="3066" ht="15.75" customHeight="1">
      <c r="A3066" s="210">
        <v>46106.0</v>
      </c>
      <c r="B3066" s="184"/>
      <c r="C3066" s="185" t="s">
        <v>635</v>
      </c>
      <c r="D3066" s="186" t="s">
        <v>15</v>
      </c>
      <c r="E3066" s="185" t="s">
        <v>3333</v>
      </c>
      <c r="F3066" s="187">
        <v>46107.0</v>
      </c>
      <c r="G3066" s="211">
        <v>2.474336423E7</v>
      </c>
      <c r="H3066" s="189">
        <f t="shared" si="10"/>
        <v>5196106.488</v>
      </c>
      <c r="I3066" s="190">
        <v>742300.93</v>
      </c>
      <c r="J3066" s="190"/>
      <c r="K3066" s="191">
        <f t="shared" si="4"/>
        <v>30681771.65</v>
      </c>
      <c r="L3066" s="192"/>
      <c r="M3066" s="193"/>
    </row>
    <row r="3067" ht="15.75" customHeight="1">
      <c r="A3067" s="162">
        <v>46106.0</v>
      </c>
      <c r="B3067" s="50"/>
      <c r="C3067" s="31" t="s">
        <v>635</v>
      </c>
      <c r="D3067" s="32" t="s">
        <v>15</v>
      </c>
      <c r="E3067" s="31" t="s">
        <v>3334</v>
      </c>
      <c r="F3067" s="161">
        <v>46107.0</v>
      </c>
      <c r="G3067" s="54">
        <v>2.643354426E7</v>
      </c>
      <c r="H3067" s="14">
        <f t="shared" si="10"/>
        <v>5551044.295</v>
      </c>
      <c r="I3067" s="22">
        <v>793006.33</v>
      </c>
      <c r="J3067" s="22"/>
      <c r="K3067" s="15">
        <f t="shared" si="4"/>
        <v>32777594.88</v>
      </c>
      <c r="L3067" s="45"/>
      <c r="M3067" s="6"/>
    </row>
    <row r="3068" ht="15.75" customHeight="1">
      <c r="A3068" s="162">
        <v>46106.0</v>
      </c>
      <c r="B3068" s="50"/>
      <c r="C3068" s="31" t="s">
        <v>635</v>
      </c>
      <c r="D3068" s="32" t="s">
        <v>15</v>
      </c>
      <c r="E3068" s="31" t="s">
        <v>3335</v>
      </c>
      <c r="F3068" s="161">
        <v>46107.0</v>
      </c>
      <c r="G3068" s="54">
        <v>1.634345329E7</v>
      </c>
      <c r="H3068" s="14">
        <f t="shared" si="10"/>
        <v>3432125.191</v>
      </c>
      <c r="I3068" s="22">
        <v>490303.6</v>
      </c>
      <c r="J3068" s="22"/>
      <c r="K3068" s="15">
        <f t="shared" si="4"/>
        <v>20265882.08</v>
      </c>
      <c r="L3068" s="45"/>
      <c r="M3068" s="6"/>
    </row>
    <row r="3069" ht="15.75" customHeight="1">
      <c r="A3069" s="162">
        <v>46106.0</v>
      </c>
      <c r="B3069" s="50"/>
      <c r="C3069" s="31" t="s">
        <v>635</v>
      </c>
      <c r="D3069" s="32" t="s">
        <v>15</v>
      </c>
      <c r="E3069" s="31" t="s">
        <v>3336</v>
      </c>
      <c r="F3069" s="161">
        <v>46107.0</v>
      </c>
      <c r="G3069" s="54">
        <v>1.023473649E7</v>
      </c>
      <c r="H3069" s="14">
        <f t="shared" si="10"/>
        <v>2149294.663</v>
      </c>
      <c r="I3069" s="22">
        <v>307042.09</v>
      </c>
      <c r="J3069" s="22"/>
      <c r="K3069" s="15">
        <f t="shared" si="4"/>
        <v>12691073.24</v>
      </c>
      <c r="L3069" s="45"/>
      <c r="M3069" s="6"/>
    </row>
    <row r="3070" ht="15.75" customHeight="1">
      <c r="A3070" s="210">
        <v>46106.0</v>
      </c>
      <c r="B3070" s="184"/>
      <c r="C3070" s="185" t="s">
        <v>635</v>
      </c>
      <c r="D3070" s="186" t="s">
        <v>15</v>
      </c>
      <c r="E3070" s="185" t="s">
        <v>3337</v>
      </c>
      <c r="F3070" s="187">
        <v>46107.0</v>
      </c>
      <c r="G3070" s="211">
        <v>1.333354326E7</v>
      </c>
      <c r="H3070" s="189">
        <f t="shared" si="10"/>
        <v>2800044.085</v>
      </c>
      <c r="I3070" s="190">
        <v>400006.3</v>
      </c>
      <c r="J3070" s="190"/>
      <c r="K3070" s="191">
        <f t="shared" si="4"/>
        <v>16533593.64</v>
      </c>
      <c r="L3070" s="192"/>
      <c r="M3070" s="193"/>
    </row>
    <row r="3071" ht="15.75" customHeight="1">
      <c r="A3071" s="162">
        <v>46106.0</v>
      </c>
      <c r="B3071" s="50"/>
      <c r="C3071" s="31" t="s">
        <v>635</v>
      </c>
      <c r="D3071" s="32" t="s">
        <v>15</v>
      </c>
      <c r="E3071" s="31" t="s">
        <v>3338</v>
      </c>
      <c r="F3071" s="161">
        <v>46107.0</v>
      </c>
      <c r="G3071" s="54">
        <v>1.033446311E7</v>
      </c>
      <c r="H3071" s="14">
        <f t="shared" si="10"/>
        <v>2170237.253</v>
      </c>
      <c r="I3071" s="22">
        <v>310033.89</v>
      </c>
      <c r="J3071" s="22"/>
      <c r="K3071" s="15">
        <f t="shared" si="4"/>
        <v>12814734.25</v>
      </c>
      <c r="L3071" s="45"/>
      <c r="M3071" s="6"/>
    </row>
    <row r="3072" ht="15.75" customHeight="1">
      <c r="A3072" s="162">
        <v>46106.0</v>
      </c>
      <c r="B3072" s="50"/>
      <c r="C3072" s="31" t="s">
        <v>171</v>
      </c>
      <c r="D3072" s="32" t="s">
        <v>15</v>
      </c>
      <c r="E3072" s="31" t="s">
        <v>3339</v>
      </c>
      <c r="F3072" s="161">
        <v>46107.0</v>
      </c>
      <c r="G3072" s="54">
        <v>8834744.15</v>
      </c>
      <c r="H3072" s="14">
        <f t="shared" si="10"/>
        <v>1855296.272</v>
      </c>
      <c r="I3072" s="22"/>
      <c r="J3072" s="22"/>
      <c r="K3072" s="15">
        <f t="shared" si="4"/>
        <v>10690040.42</v>
      </c>
      <c r="L3072" s="45"/>
      <c r="M3072" s="19" t="s">
        <v>3300</v>
      </c>
    </row>
    <row r="3073" ht="15.75" customHeight="1">
      <c r="A3073" s="162">
        <v>46106.0</v>
      </c>
      <c r="B3073" s="50"/>
      <c r="C3073" s="31" t="s">
        <v>171</v>
      </c>
      <c r="D3073" s="32" t="s">
        <v>15</v>
      </c>
      <c r="E3073" s="31" t="s">
        <v>3340</v>
      </c>
      <c r="F3073" s="161">
        <v>46107.0</v>
      </c>
      <c r="G3073" s="54">
        <v>1.133338223E7</v>
      </c>
      <c r="H3073" s="14">
        <f t="shared" si="10"/>
        <v>2380010.268</v>
      </c>
      <c r="I3073" s="22"/>
      <c r="J3073" s="22"/>
      <c r="K3073" s="15">
        <f t="shared" si="4"/>
        <v>13713392.5</v>
      </c>
      <c r="L3073" s="45"/>
      <c r="M3073" s="19" t="s">
        <v>3300</v>
      </c>
    </row>
    <row r="3074" ht="15.75" customHeight="1">
      <c r="A3074" s="162">
        <v>46106.0</v>
      </c>
      <c r="B3074" s="50"/>
      <c r="C3074" s="31" t="s">
        <v>171</v>
      </c>
      <c r="D3074" s="32" t="s">
        <v>15</v>
      </c>
      <c r="E3074" s="31" t="s">
        <v>3341</v>
      </c>
      <c r="F3074" s="161">
        <v>46107.0</v>
      </c>
      <c r="G3074" s="54">
        <v>1.055436742E7</v>
      </c>
      <c r="H3074" s="14">
        <f t="shared" si="10"/>
        <v>2216417.158</v>
      </c>
      <c r="I3074" s="22"/>
      <c r="J3074" s="22"/>
      <c r="K3074" s="15">
        <f t="shared" si="4"/>
        <v>12770784.58</v>
      </c>
      <c r="L3074" s="45"/>
      <c r="M3074" s="19" t="s">
        <v>3300</v>
      </c>
    </row>
    <row r="3075" ht="15.75" customHeight="1">
      <c r="A3075" s="164">
        <v>46106.0</v>
      </c>
      <c r="B3075" s="56"/>
      <c r="C3075" s="57" t="s">
        <v>2318</v>
      </c>
      <c r="D3075" s="58" t="s">
        <v>3342</v>
      </c>
      <c r="E3075" s="57" t="s">
        <v>3343</v>
      </c>
      <c r="F3075" s="178">
        <v>46107.0</v>
      </c>
      <c r="G3075" s="155">
        <v>1.1753E7</v>
      </c>
      <c r="H3075" s="9">
        <f t="shared" si="10"/>
        <v>2468130</v>
      </c>
      <c r="I3075" s="44"/>
      <c r="J3075" s="44"/>
      <c r="K3075" s="10">
        <f t="shared" si="4"/>
        <v>14221130</v>
      </c>
      <c r="L3075" s="61"/>
      <c r="M3075" s="62"/>
    </row>
    <row r="3076" ht="15.75" customHeight="1">
      <c r="A3076" s="164">
        <v>46106.0</v>
      </c>
      <c r="B3076" s="56"/>
      <c r="C3076" s="57" t="s">
        <v>2318</v>
      </c>
      <c r="D3076" s="58" t="s">
        <v>3342</v>
      </c>
      <c r="E3076" s="57" t="s">
        <v>3344</v>
      </c>
      <c r="F3076" s="178">
        <v>46107.0</v>
      </c>
      <c r="G3076" s="155">
        <v>1.825E7</v>
      </c>
      <c r="H3076" s="9">
        <f t="shared" si="10"/>
        <v>3832500</v>
      </c>
      <c r="I3076" s="44"/>
      <c r="J3076" s="44"/>
      <c r="K3076" s="10">
        <f t="shared" si="4"/>
        <v>22082500</v>
      </c>
      <c r="L3076" s="61"/>
      <c r="M3076" s="62"/>
    </row>
    <row r="3077" ht="15.75" customHeight="1">
      <c r="A3077" s="162">
        <v>46107.0</v>
      </c>
      <c r="B3077" s="50"/>
      <c r="C3077" s="31" t="s">
        <v>2334</v>
      </c>
      <c r="D3077" s="32" t="s">
        <v>99</v>
      </c>
      <c r="E3077" s="31" t="s">
        <v>3345</v>
      </c>
      <c r="F3077" s="161">
        <v>46107.0</v>
      </c>
      <c r="G3077" s="54">
        <v>2951559.23</v>
      </c>
      <c r="H3077" s="14">
        <f t="shared" si="10"/>
        <v>619827.4383</v>
      </c>
      <c r="I3077" s="22"/>
      <c r="J3077" s="22"/>
      <c r="K3077" s="15">
        <f t="shared" si="4"/>
        <v>3571386.668</v>
      </c>
      <c r="L3077" s="45"/>
      <c r="M3077" s="6"/>
    </row>
    <row r="3078" ht="15.75" customHeight="1">
      <c r="A3078" s="162">
        <v>46107.0</v>
      </c>
      <c r="B3078" s="50"/>
      <c r="C3078" s="31" t="s">
        <v>2334</v>
      </c>
      <c r="D3078" s="32" t="s">
        <v>99</v>
      </c>
      <c r="E3078" s="31" t="s">
        <v>3346</v>
      </c>
      <c r="F3078" s="161">
        <v>46107.0</v>
      </c>
      <c r="G3078" s="54">
        <v>4030161.12</v>
      </c>
      <c r="H3078" s="14">
        <f t="shared" si="10"/>
        <v>846333.8352</v>
      </c>
      <c r="I3078" s="22"/>
      <c r="J3078" s="22"/>
      <c r="K3078" s="15">
        <f t="shared" si="4"/>
        <v>4876494.955</v>
      </c>
      <c r="L3078" s="45"/>
      <c r="M3078" s="6"/>
    </row>
    <row r="3079" ht="15.75" customHeight="1">
      <c r="A3079" s="162">
        <v>46107.0</v>
      </c>
      <c r="B3079" s="50"/>
      <c r="C3079" s="31" t="s">
        <v>2334</v>
      </c>
      <c r="D3079" s="32" t="s">
        <v>99</v>
      </c>
      <c r="E3079" s="31" t="s">
        <v>3347</v>
      </c>
      <c r="F3079" s="161">
        <v>46107.0</v>
      </c>
      <c r="G3079" s="54">
        <v>3264061.07</v>
      </c>
      <c r="H3079" s="14">
        <f t="shared" si="10"/>
        <v>685452.8247</v>
      </c>
      <c r="I3079" s="22"/>
      <c r="J3079" s="22"/>
      <c r="K3079" s="15">
        <f t="shared" si="4"/>
        <v>3949513.895</v>
      </c>
      <c r="L3079" s="45"/>
      <c r="M3079" s="6"/>
    </row>
    <row r="3080" ht="15.75" customHeight="1">
      <c r="A3080" s="162">
        <v>46107.0</v>
      </c>
      <c r="B3080" s="50"/>
      <c r="C3080" s="31" t="s">
        <v>2334</v>
      </c>
      <c r="D3080" s="32" t="s">
        <v>99</v>
      </c>
      <c r="E3080" s="31" t="s">
        <v>3348</v>
      </c>
      <c r="F3080" s="161">
        <v>46107.0</v>
      </c>
      <c r="G3080" s="54">
        <v>2561647.71</v>
      </c>
      <c r="H3080" s="14">
        <f t="shared" si="10"/>
        <v>537946.0191</v>
      </c>
      <c r="I3080" s="22"/>
      <c r="J3080" s="22"/>
      <c r="K3080" s="15">
        <f t="shared" si="4"/>
        <v>3099593.729</v>
      </c>
      <c r="L3080" s="45"/>
      <c r="M3080" s="6"/>
    </row>
    <row r="3081" ht="15.75" customHeight="1">
      <c r="A3081" s="162">
        <v>46107.0</v>
      </c>
      <c r="B3081" s="50"/>
      <c r="C3081" s="31" t="s">
        <v>2334</v>
      </c>
      <c r="D3081" s="32" t="s">
        <v>15</v>
      </c>
      <c r="E3081" s="31" t="s">
        <v>3349</v>
      </c>
      <c r="F3081" s="161">
        <v>46107.0</v>
      </c>
      <c r="G3081" s="54">
        <v>3782012.46</v>
      </c>
      <c r="H3081" s="14">
        <f t="shared" si="10"/>
        <v>794222.6166</v>
      </c>
      <c r="I3081" s="22"/>
      <c r="J3081" s="22"/>
      <c r="K3081" s="15">
        <f t="shared" si="4"/>
        <v>4576235.077</v>
      </c>
      <c r="L3081" s="45"/>
      <c r="M3081" s="6"/>
    </row>
    <row r="3082" ht="15.75" customHeight="1">
      <c r="A3082" s="162">
        <v>46107.0</v>
      </c>
      <c r="B3082" s="50"/>
      <c r="C3082" s="31" t="s">
        <v>2334</v>
      </c>
      <c r="D3082" s="32" t="s">
        <v>15</v>
      </c>
      <c r="E3082" s="31" t="s">
        <v>3350</v>
      </c>
      <c r="F3082" s="161">
        <v>46107.0</v>
      </c>
      <c r="G3082" s="54">
        <v>4126121.05</v>
      </c>
      <c r="H3082" s="14">
        <f t="shared" si="10"/>
        <v>866485.4205</v>
      </c>
      <c r="I3082" s="22"/>
      <c r="J3082" s="22"/>
      <c r="K3082" s="15">
        <f t="shared" si="4"/>
        <v>4992606.471</v>
      </c>
      <c r="L3082" s="45"/>
      <c r="M3082" s="6"/>
    </row>
    <row r="3083" ht="15.75" customHeight="1">
      <c r="A3083" s="162">
        <v>46107.0</v>
      </c>
      <c r="B3083" s="50"/>
      <c r="C3083" s="31" t="s">
        <v>2334</v>
      </c>
      <c r="D3083" s="32" t="s">
        <v>15</v>
      </c>
      <c r="E3083" s="31" t="s">
        <v>3351</v>
      </c>
      <c r="F3083" s="161">
        <v>46107.0</v>
      </c>
      <c r="G3083" s="54">
        <v>3921558.05</v>
      </c>
      <c r="H3083" s="14">
        <f t="shared" si="10"/>
        <v>823527.1905</v>
      </c>
      <c r="I3083" s="22"/>
      <c r="J3083" s="22"/>
      <c r="K3083" s="15">
        <f t="shared" si="4"/>
        <v>4745085.241</v>
      </c>
      <c r="L3083" s="45"/>
      <c r="M3083" s="6"/>
    </row>
    <row r="3084" ht="15.75" customHeight="1">
      <c r="A3084" s="162">
        <v>46107.0</v>
      </c>
      <c r="B3084" s="50"/>
      <c r="C3084" s="31" t="s">
        <v>2334</v>
      </c>
      <c r="D3084" s="32" t="s">
        <v>15</v>
      </c>
      <c r="E3084" s="31" t="s">
        <v>3352</v>
      </c>
      <c r="F3084" s="161">
        <v>46107.0</v>
      </c>
      <c r="G3084" s="54">
        <v>5026189.14</v>
      </c>
      <c r="H3084" s="14">
        <f t="shared" si="10"/>
        <v>1055499.719</v>
      </c>
      <c r="I3084" s="22"/>
      <c r="J3084" s="22"/>
      <c r="K3084" s="15">
        <f t="shared" si="4"/>
        <v>6081688.859</v>
      </c>
      <c r="L3084" s="45"/>
      <c r="M3084" s="6"/>
    </row>
    <row r="3085" ht="15.75" customHeight="1">
      <c r="A3085" s="162">
        <v>46107.0</v>
      </c>
      <c r="B3085" s="50"/>
      <c r="C3085" s="31" t="s">
        <v>171</v>
      </c>
      <c r="D3085" s="32" t="s">
        <v>99</v>
      </c>
      <c r="E3085" s="31" t="s">
        <v>3353</v>
      </c>
      <c r="F3085" s="161">
        <v>46107.0</v>
      </c>
      <c r="G3085" s="54">
        <v>1.133363326E7</v>
      </c>
      <c r="H3085" s="14">
        <f t="shared" si="10"/>
        <v>2380062.985</v>
      </c>
      <c r="I3085" s="22"/>
      <c r="J3085" s="22"/>
      <c r="K3085" s="15">
        <f t="shared" si="4"/>
        <v>13713696.24</v>
      </c>
      <c r="L3085" s="45"/>
      <c r="M3085" s="24">
        <v>46113.0</v>
      </c>
    </row>
    <row r="3086" ht="15.75" customHeight="1">
      <c r="A3086" s="162">
        <v>46107.0</v>
      </c>
      <c r="B3086" s="50"/>
      <c r="C3086" s="31" t="s">
        <v>171</v>
      </c>
      <c r="D3086" s="32" t="s">
        <v>99</v>
      </c>
      <c r="E3086" s="31" t="s">
        <v>3354</v>
      </c>
      <c r="F3086" s="161">
        <v>46107.0</v>
      </c>
      <c r="G3086" s="54">
        <v>8443344.12</v>
      </c>
      <c r="H3086" s="14">
        <f t="shared" si="10"/>
        <v>1773102.265</v>
      </c>
      <c r="I3086" s="22"/>
      <c r="J3086" s="22"/>
      <c r="K3086" s="15">
        <f t="shared" si="4"/>
        <v>10216446.39</v>
      </c>
      <c r="L3086" s="45"/>
      <c r="M3086" s="24">
        <v>46113.0</v>
      </c>
    </row>
    <row r="3087" ht="15.75" customHeight="1">
      <c r="A3087" s="162">
        <v>46107.0</v>
      </c>
      <c r="B3087" s="50"/>
      <c r="C3087" s="31" t="s">
        <v>171</v>
      </c>
      <c r="D3087" s="32" t="s">
        <v>99</v>
      </c>
      <c r="E3087" s="31" t="s">
        <v>3355</v>
      </c>
      <c r="F3087" s="161">
        <v>46107.0</v>
      </c>
      <c r="G3087" s="54">
        <v>1.522335312E7</v>
      </c>
      <c r="H3087" s="14">
        <f t="shared" si="10"/>
        <v>3196904.155</v>
      </c>
      <c r="I3087" s="22"/>
      <c r="J3087" s="22"/>
      <c r="K3087" s="15">
        <f t="shared" si="4"/>
        <v>18420257.28</v>
      </c>
      <c r="L3087" s="45"/>
      <c r="M3087" s="24">
        <v>46113.0</v>
      </c>
    </row>
    <row r="3088" ht="15.75" customHeight="1">
      <c r="A3088" s="162">
        <v>46107.0</v>
      </c>
      <c r="B3088" s="50"/>
      <c r="C3088" s="31" t="s">
        <v>171</v>
      </c>
      <c r="D3088" s="32" t="s">
        <v>99</v>
      </c>
      <c r="E3088" s="31" t="s">
        <v>3356</v>
      </c>
      <c r="F3088" s="161">
        <v>46107.0</v>
      </c>
      <c r="G3088" s="54">
        <v>1.023333713E7</v>
      </c>
      <c r="H3088" s="14">
        <f t="shared" si="10"/>
        <v>2149000.797</v>
      </c>
      <c r="I3088" s="22"/>
      <c r="J3088" s="22"/>
      <c r="K3088" s="15">
        <f t="shared" si="4"/>
        <v>12382337.93</v>
      </c>
      <c r="L3088" s="45"/>
      <c r="M3088" s="24">
        <v>46113.0</v>
      </c>
    </row>
    <row r="3089" ht="15.75" customHeight="1">
      <c r="A3089" s="162">
        <v>46107.0</v>
      </c>
      <c r="B3089" s="50"/>
      <c r="C3089" s="31" t="s">
        <v>3357</v>
      </c>
      <c r="D3089" s="32" t="s">
        <v>99</v>
      </c>
      <c r="E3089" s="31" t="s">
        <v>3358</v>
      </c>
      <c r="F3089" s="161">
        <v>46107.0</v>
      </c>
      <c r="G3089" s="54">
        <v>5233253.95</v>
      </c>
      <c r="H3089" s="14">
        <f t="shared" si="10"/>
        <v>1098983.33</v>
      </c>
      <c r="I3089" s="22">
        <v>156997.62</v>
      </c>
      <c r="J3089" s="22">
        <v>78498.81</v>
      </c>
      <c r="K3089" s="15">
        <f t="shared" si="4"/>
        <v>6567733.71</v>
      </c>
      <c r="L3089" s="45"/>
      <c r="M3089" s="6"/>
    </row>
    <row r="3090" ht="15.75" customHeight="1">
      <c r="A3090" s="162">
        <v>46107.0</v>
      </c>
      <c r="B3090" s="50"/>
      <c r="C3090" s="31" t="s">
        <v>3357</v>
      </c>
      <c r="D3090" s="32" t="s">
        <v>99</v>
      </c>
      <c r="E3090" s="31" t="s">
        <v>3359</v>
      </c>
      <c r="F3090" s="161">
        <v>46107.0</v>
      </c>
      <c r="G3090" s="54">
        <v>2236333.28</v>
      </c>
      <c r="H3090" s="14">
        <f t="shared" si="10"/>
        <v>469629.9888</v>
      </c>
      <c r="I3090" s="22">
        <v>67090.0</v>
      </c>
      <c r="J3090" s="22">
        <v>33545.0</v>
      </c>
      <c r="K3090" s="15">
        <f t="shared" si="4"/>
        <v>2806598.269</v>
      </c>
      <c r="L3090" s="45"/>
      <c r="M3090" s="6"/>
    </row>
    <row r="3091" ht="15.75" customHeight="1">
      <c r="A3091" s="162">
        <v>46107.0</v>
      </c>
      <c r="B3091" s="50"/>
      <c r="C3091" s="31" t="s">
        <v>3357</v>
      </c>
      <c r="D3091" s="32" t="s">
        <v>99</v>
      </c>
      <c r="E3091" s="31" t="s">
        <v>3360</v>
      </c>
      <c r="F3091" s="161">
        <v>46107.0</v>
      </c>
      <c r="G3091" s="54">
        <v>2333226.12</v>
      </c>
      <c r="H3091" s="14">
        <f t="shared" si="10"/>
        <v>489977.4852</v>
      </c>
      <c r="I3091" s="22">
        <v>69996.78</v>
      </c>
      <c r="J3091" s="22">
        <v>34998.39</v>
      </c>
      <c r="K3091" s="15">
        <f t="shared" si="4"/>
        <v>2928198.775</v>
      </c>
      <c r="L3091" s="45"/>
      <c r="M3091" s="6"/>
    </row>
    <row r="3092" ht="15.75" customHeight="1">
      <c r="A3092" s="162">
        <v>46107.0</v>
      </c>
      <c r="B3092" s="50"/>
      <c r="C3092" s="31" t="s">
        <v>3357</v>
      </c>
      <c r="D3092" s="32" t="s">
        <v>99</v>
      </c>
      <c r="E3092" s="31" t="s">
        <v>3361</v>
      </c>
      <c r="F3092" s="161">
        <v>46107.0</v>
      </c>
      <c r="G3092" s="54">
        <v>2733263.12</v>
      </c>
      <c r="H3092" s="14">
        <f t="shared" si="10"/>
        <v>573985.2552</v>
      </c>
      <c r="I3092" s="22">
        <v>81997.89</v>
      </c>
      <c r="J3092" s="22">
        <v>40998.95</v>
      </c>
      <c r="K3092" s="15">
        <f t="shared" si="4"/>
        <v>3430245.215</v>
      </c>
      <c r="L3092" s="45"/>
      <c r="M3092" s="6"/>
    </row>
    <row r="3093" ht="15.75" customHeight="1">
      <c r="A3093" s="162">
        <v>46107.0</v>
      </c>
      <c r="B3093" s="50"/>
      <c r="C3093" s="31" t="s">
        <v>3357</v>
      </c>
      <c r="D3093" s="32" t="s">
        <v>99</v>
      </c>
      <c r="E3093" s="31" t="s">
        <v>3362</v>
      </c>
      <c r="F3093" s="161">
        <v>46107.0</v>
      </c>
      <c r="G3093" s="54">
        <v>2633325.41</v>
      </c>
      <c r="H3093" s="14">
        <f t="shared" si="10"/>
        <v>552998.3361</v>
      </c>
      <c r="I3093" s="22">
        <v>78999.76</v>
      </c>
      <c r="J3093" s="22">
        <v>39499.88</v>
      </c>
      <c r="K3093" s="15">
        <f t="shared" si="4"/>
        <v>3304823.386</v>
      </c>
      <c r="L3093" s="45"/>
      <c r="M3093" s="6"/>
    </row>
    <row r="3094" ht="15.75" customHeight="1">
      <c r="A3094" s="162">
        <v>46107.0</v>
      </c>
      <c r="B3094" s="50"/>
      <c r="C3094" s="31" t="s">
        <v>3357</v>
      </c>
      <c r="D3094" s="32" t="s">
        <v>99</v>
      </c>
      <c r="E3094" s="31" t="s">
        <v>3363</v>
      </c>
      <c r="F3094" s="161">
        <v>46107.0</v>
      </c>
      <c r="G3094" s="54">
        <v>1826676.62</v>
      </c>
      <c r="H3094" s="14">
        <f t="shared" si="10"/>
        <v>383602.0902</v>
      </c>
      <c r="I3094" s="22">
        <v>54800.3</v>
      </c>
      <c r="J3094" s="22">
        <v>27400.15</v>
      </c>
      <c r="K3094" s="15">
        <f t="shared" si="4"/>
        <v>2292479.16</v>
      </c>
      <c r="L3094" s="45"/>
      <c r="M3094" s="6"/>
    </row>
    <row r="3095" ht="15.75" customHeight="1">
      <c r="A3095" s="162">
        <v>46107.0</v>
      </c>
      <c r="B3095" s="50"/>
      <c r="C3095" s="31" t="s">
        <v>3364</v>
      </c>
      <c r="D3095" s="32" t="s">
        <v>99</v>
      </c>
      <c r="E3095" s="31" t="s">
        <v>3365</v>
      </c>
      <c r="F3095" s="161">
        <v>46107.0</v>
      </c>
      <c r="G3095" s="54">
        <v>2004461.26</v>
      </c>
      <c r="H3095" s="14">
        <f t="shared" si="10"/>
        <v>420936.8646</v>
      </c>
      <c r="I3095" s="22"/>
      <c r="J3095" s="22"/>
      <c r="K3095" s="15">
        <f t="shared" si="4"/>
        <v>2425398.125</v>
      </c>
      <c r="L3095" s="45"/>
      <c r="M3095" s="6"/>
    </row>
    <row r="3096" ht="15.75" customHeight="1">
      <c r="A3096" s="162">
        <v>46107.0</v>
      </c>
      <c r="B3096" s="50"/>
      <c r="C3096" s="31" t="s">
        <v>1564</v>
      </c>
      <c r="D3096" s="32" t="s">
        <v>99</v>
      </c>
      <c r="E3096" s="31" t="s">
        <v>3366</v>
      </c>
      <c r="F3096" s="161">
        <v>46107.0</v>
      </c>
      <c r="G3096" s="54">
        <v>7444353.62</v>
      </c>
      <c r="H3096" s="14">
        <f t="shared" si="10"/>
        <v>1563314.26</v>
      </c>
      <c r="I3096" s="22">
        <v>223330.61</v>
      </c>
      <c r="J3096" s="22"/>
      <c r="K3096" s="15">
        <f t="shared" si="4"/>
        <v>9230998.49</v>
      </c>
      <c r="L3096" s="45"/>
      <c r="M3096" s="6"/>
    </row>
    <row r="3097" ht="15.75" customHeight="1">
      <c r="A3097" s="162">
        <v>46107.0</v>
      </c>
      <c r="B3097" s="50"/>
      <c r="C3097" s="31" t="s">
        <v>1564</v>
      </c>
      <c r="D3097" s="32" t="s">
        <v>99</v>
      </c>
      <c r="E3097" s="31" t="s">
        <v>3367</v>
      </c>
      <c r="F3097" s="161">
        <v>46107.0</v>
      </c>
      <c r="G3097" s="54">
        <v>8322233.26</v>
      </c>
      <c r="H3097" s="14">
        <f t="shared" si="10"/>
        <v>1747668.985</v>
      </c>
      <c r="I3097" s="22">
        <v>249667.0</v>
      </c>
      <c r="J3097" s="22"/>
      <c r="K3097" s="15">
        <f t="shared" si="4"/>
        <v>10319569.24</v>
      </c>
      <c r="L3097" s="45"/>
      <c r="M3097" s="6"/>
    </row>
    <row r="3098" ht="15.75" customHeight="1">
      <c r="A3098" s="162">
        <v>46107.0</v>
      </c>
      <c r="B3098" s="50"/>
      <c r="C3098" s="31" t="s">
        <v>1564</v>
      </c>
      <c r="D3098" s="32" t="s">
        <v>99</v>
      </c>
      <c r="E3098" s="31" t="s">
        <v>3368</v>
      </c>
      <c r="F3098" s="161">
        <v>46107.0</v>
      </c>
      <c r="G3098" s="54">
        <v>7333235.33</v>
      </c>
      <c r="H3098" s="14">
        <f t="shared" si="10"/>
        <v>1539979.419</v>
      </c>
      <c r="I3098" s="22">
        <v>219997.06</v>
      </c>
      <c r="J3098" s="22"/>
      <c r="K3098" s="15">
        <f t="shared" si="4"/>
        <v>9093211.809</v>
      </c>
      <c r="L3098" s="45"/>
      <c r="M3098" s="6"/>
    </row>
    <row r="3099" ht="15.75" customHeight="1">
      <c r="A3099" s="162">
        <v>46107.0</v>
      </c>
      <c r="B3099" s="50"/>
      <c r="C3099" s="31" t="s">
        <v>1564</v>
      </c>
      <c r="D3099" s="32" t="s">
        <v>99</v>
      </c>
      <c r="E3099" s="31" t="s">
        <v>3369</v>
      </c>
      <c r="F3099" s="161">
        <v>46107.0</v>
      </c>
      <c r="G3099" s="54">
        <v>6844375.95</v>
      </c>
      <c r="H3099" s="14">
        <f t="shared" si="10"/>
        <v>1437318.95</v>
      </c>
      <c r="I3099" s="22">
        <v>205331.28</v>
      </c>
      <c r="J3099" s="22"/>
      <c r="K3099" s="15">
        <f t="shared" si="4"/>
        <v>8487026.18</v>
      </c>
      <c r="L3099" s="45"/>
      <c r="M3099" s="6"/>
    </row>
    <row r="3100" ht="15.75" customHeight="1">
      <c r="A3100" s="162">
        <v>46107.0</v>
      </c>
      <c r="B3100" s="50"/>
      <c r="C3100" s="31" t="s">
        <v>1564</v>
      </c>
      <c r="D3100" s="32" t="s">
        <v>99</v>
      </c>
      <c r="E3100" s="31" t="s">
        <v>3370</v>
      </c>
      <c r="F3100" s="161">
        <v>46107.0</v>
      </c>
      <c r="G3100" s="54">
        <v>5833373.12</v>
      </c>
      <c r="H3100" s="14">
        <f t="shared" si="10"/>
        <v>1225008.355</v>
      </c>
      <c r="I3100" s="22">
        <v>175001.19</v>
      </c>
      <c r="J3100" s="22"/>
      <c r="K3100" s="15">
        <f t="shared" si="4"/>
        <v>7233382.665</v>
      </c>
      <c r="L3100" s="45"/>
      <c r="M3100" s="6"/>
    </row>
    <row r="3101" ht="15.75" customHeight="1">
      <c r="A3101" s="162">
        <v>46107.0</v>
      </c>
      <c r="B3101" s="50"/>
      <c r="C3101" s="31" t="s">
        <v>1564</v>
      </c>
      <c r="D3101" s="32" t="s">
        <v>99</v>
      </c>
      <c r="E3101" s="31" t="s">
        <v>3371</v>
      </c>
      <c r="F3101" s="161">
        <v>46107.0</v>
      </c>
      <c r="G3101" s="54">
        <v>6233363.23</v>
      </c>
      <c r="H3101" s="14">
        <f t="shared" si="10"/>
        <v>1309006.278</v>
      </c>
      <c r="I3101" s="22">
        <v>187000.9</v>
      </c>
      <c r="J3101" s="22"/>
      <c r="K3101" s="15">
        <f t="shared" si="4"/>
        <v>7729370.408</v>
      </c>
      <c r="L3101" s="45"/>
      <c r="M3101" s="6"/>
    </row>
    <row r="3102" ht="15.75" customHeight="1">
      <c r="A3102" s="162">
        <v>46107.0</v>
      </c>
      <c r="B3102" s="50"/>
      <c r="C3102" s="31" t="s">
        <v>2004</v>
      </c>
      <c r="D3102" s="32" t="s">
        <v>99</v>
      </c>
      <c r="E3102" s="31" t="s">
        <v>3372</v>
      </c>
      <c r="F3102" s="161">
        <v>46107.0</v>
      </c>
      <c r="G3102" s="54">
        <v>5112293.94</v>
      </c>
      <c r="H3102" s="14">
        <f t="shared" si="10"/>
        <v>1073581.727</v>
      </c>
      <c r="I3102" s="22">
        <v>153368.82</v>
      </c>
      <c r="J3102" s="22"/>
      <c r="K3102" s="15">
        <f t="shared" si="4"/>
        <v>6339244.487</v>
      </c>
      <c r="L3102" s="45"/>
      <c r="M3102" s="6"/>
    </row>
    <row r="3103" ht="15.75" customHeight="1">
      <c r="A3103" s="162">
        <v>46107.0</v>
      </c>
      <c r="B3103" s="50"/>
      <c r="C3103" s="31" t="s">
        <v>2004</v>
      </c>
      <c r="D3103" s="32" t="s">
        <v>99</v>
      </c>
      <c r="E3103" s="31" t="s">
        <v>3373</v>
      </c>
      <c r="F3103" s="161">
        <v>46107.0</v>
      </c>
      <c r="G3103" s="54">
        <v>3744463.23</v>
      </c>
      <c r="H3103" s="14">
        <f t="shared" si="10"/>
        <v>786337.2783</v>
      </c>
      <c r="I3103" s="22">
        <v>112333.9</v>
      </c>
      <c r="J3103" s="22"/>
      <c r="K3103" s="15">
        <f t="shared" si="4"/>
        <v>4643134.408</v>
      </c>
      <c r="L3103" s="45"/>
      <c r="M3103" s="6"/>
    </row>
    <row r="3104" ht="15.75" customHeight="1">
      <c r="A3104" s="162">
        <v>46107.0</v>
      </c>
      <c r="B3104" s="50"/>
      <c r="C3104" s="31" t="s">
        <v>2004</v>
      </c>
      <c r="D3104" s="32" t="s">
        <v>99</v>
      </c>
      <c r="E3104" s="31" t="s">
        <v>3374</v>
      </c>
      <c r="F3104" s="161">
        <v>46107.0</v>
      </c>
      <c r="G3104" s="54">
        <v>4743634.29</v>
      </c>
      <c r="H3104" s="14">
        <f t="shared" si="10"/>
        <v>996163.2009</v>
      </c>
      <c r="I3104" s="22">
        <v>142309.03</v>
      </c>
      <c r="J3104" s="22"/>
      <c r="K3104" s="15">
        <f t="shared" si="4"/>
        <v>5882106.521</v>
      </c>
      <c r="L3104" s="45"/>
      <c r="M3104" s="6"/>
    </row>
    <row r="3105" ht="15.75" customHeight="1">
      <c r="A3105" s="162">
        <v>46107.0</v>
      </c>
      <c r="B3105" s="50"/>
      <c r="C3105" s="31" t="s">
        <v>2004</v>
      </c>
      <c r="D3105" s="32" t="s">
        <v>99</v>
      </c>
      <c r="E3105" s="31" t="s">
        <v>3375</v>
      </c>
      <c r="F3105" s="161">
        <v>46107.0</v>
      </c>
      <c r="G3105" s="54">
        <v>3443673.26</v>
      </c>
      <c r="H3105" s="14">
        <f t="shared" si="10"/>
        <v>723171.3846</v>
      </c>
      <c r="I3105" s="22">
        <v>103310.2</v>
      </c>
      <c r="J3105" s="22"/>
      <c r="K3105" s="15">
        <f t="shared" si="4"/>
        <v>4270154.845</v>
      </c>
      <c r="L3105" s="45"/>
      <c r="M3105" s="6"/>
    </row>
    <row r="3106" ht="15.75" customHeight="1">
      <c r="A3106" s="162">
        <v>46107.0</v>
      </c>
      <c r="B3106" s="50"/>
      <c r="C3106" s="31" t="s">
        <v>2004</v>
      </c>
      <c r="D3106" s="32" t="s">
        <v>99</v>
      </c>
      <c r="E3106" s="31" t="s">
        <v>3376</v>
      </c>
      <c r="F3106" s="161">
        <v>46107.0</v>
      </c>
      <c r="G3106" s="54">
        <v>6333235.62</v>
      </c>
      <c r="H3106" s="14">
        <f t="shared" si="10"/>
        <v>1329979.48</v>
      </c>
      <c r="I3106" s="22">
        <v>189997.07</v>
      </c>
      <c r="J3106" s="22"/>
      <c r="K3106" s="15">
        <f t="shared" si="4"/>
        <v>7853212.17</v>
      </c>
      <c r="L3106" s="45"/>
      <c r="M3106" s="6"/>
    </row>
    <row r="3107" ht="15.75" customHeight="1">
      <c r="A3107" s="162">
        <v>46107.0</v>
      </c>
      <c r="B3107" s="50"/>
      <c r="C3107" s="31" t="s">
        <v>2004</v>
      </c>
      <c r="D3107" s="32" t="s">
        <v>99</v>
      </c>
      <c r="E3107" s="31" t="s">
        <v>3377</v>
      </c>
      <c r="F3107" s="161">
        <v>46107.0</v>
      </c>
      <c r="G3107" s="54">
        <v>5443533.08</v>
      </c>
      <c r="H3107" s="14">
        <f t="shared" si="10"/>
        <v>1143141.947</v>
      </c>
      <c r="I3107" s="22">
        <v>163305.99</v>
      </c>
      <c r="J3107" s="22"/>
      <c r="K3107" s="15">
        <f t="shared" si="4"/>
        <v>6749981.017</v>
      </c>
      <c r="L3107" s="45"/>
      <c r="M3107" s="6"/>
    </row>
    <row r="3108" ht="15.75" customHeight="1">
      <c r="A3108" s="164">
        <v>46107.0</v>
      </c>
      <c r="B3108" s="56"/>
      <c r="C3108" s="57" t="s">
        <v>159</v>
      </c>
      <c r="D3108" s="58" t="s">
        <v>99</v>
      </c>
      <c r="E3108" s="57" t="s">
        <v>3378</v>
      </c>
      <c r="F3108" s="178">
        <v>46107.0</v>
      </c>
      <c r="G3108" s="155">
        <v>4010380.29</v>
      </c>
      <c r="H3108" s="9">
        <f t="shared" si="10"/>
        <v>842179.8609</v>
      </c>
      <c r="I3108" s="44">
        <v>120311.41</v>
      </c>
      <c r="J3108" s="44">
        <v>48124.56</v>
      </c>
      <c r="K3108" s="10">
        <f t="shared" si="4"/>
        <v>5020996.121</v>
      </c>
      <c r="L3108" s="61"/>
      <c r="M3108" s="62"/>
    </row>
    <row r="3109" ht="15.75" customHeight="1">
      <c r="A3109" s="164">
        <v>46107.0</v>
      </c>
      <c r="B3109" s="56"/>
      <c r="C3109" s="57" t="s">
        <v>159</v>
      </c>
      <c r="D3109" s="58" t="s">
        <v>15</v>
      </c>
      <c r="E3109" s="57" t="s">
        <v>3379</v>
      </c>
      <c r="F3109" s="178">
        <v>46107.0</v>
      </c>
      <c r="G3109" s="155">
        <v>5002280.52</v>
      </c>
      <c r="H3109" s="9">
        <f t="shared" si="10"/>
        <v>1050478.909</v>
      </c>
      <c r="I3109" s="44"/>
      <c r="J3109" s="44">
        <v>60027.37</v>
      </c>
      <c r="K3109" s="10">
        <f t="shared" si="4"/>
        <v>6112786.799</v>
      </c>
      <c r="L3109" s="61"/>
      <c r="M3109" s="62"/>
    </row>
    <row r="3110" ht="15.75" customHeight="1">
      <c r="A3110" s="164">
        <v>46108.0</v>
      </c>
      <c r="B3110" s="56"/>
      <c r="C3110" s="57" t="s">
        <v>3288</v>
      </c>
      <c r="D3110" s="58" t="s">
        <v>3029</v>
      </c>
      <c r="E3110" s="57" t="s">
        <v>3380</v>
      </c>
      <c r="F3110" s="178">
        <v>46107.0</v>
      </c>
      <c r="G3110" s="155">
        <v>1.10011E7</v>
      </c>
      <c r="H3110" s="9">
        <f t="shared" si="10"/>
        <v>2310231</v>
      </c>
      <c r="I3110" s="44"/>
      <c r="J3110" s="44"/>
      <c r="K3110" s="10">
        <f t="shared" si="4"/>
        <v>13311331</v>
      </c>
      <c r="L3110" s="61"/>
      <c r="M3110" s="62"/>
    </row>
    <row r="3111" ht="15.75" customHeight="1">
      <c r="A3111" s="164">
        <v>46108.0</v>
      </c>
      <c r="B3111" s="56"/>
      <c r="C3111" s="57" t="s">
        <v>3288</v>
      </c>
      <c r="D3111" s="58" t="s">
        <v>3029</v>
      </c>
      <c r="E3111" s="57" t="s">
        <v>3381</v>
      </c>
      <c r="F3111" s="178">
        <v>46107.0</v>
      </c>
      <c r="G3111" s="155">
        <v>1.40014E7</v>
      </c>
      <c r="H3111" s="9">
        <f t="shared" si="10"/>
        <v>2940294</v>
      </c>
      <c r="I3111" s="44"/>
      <c r="J3111" s="44"/>
      <c r="K3111" s="10">
        <f t="shared" si="4"/>
        <v>16941694</v>
      </c>
      <c r="L3111" s="61"/>
      <c r="M3111" s="62"/>
    </row>
    <row r="3112" ht="15.75" customHeight="1">
      <c r="A3112" s="164">
        <v>46108.0</v>
      </c>
      <c r="B3112" s="56"/>
      <c r="C3112" s="57" t="s">
        <v>3288</v>
      </c>
      <c r="D3112" s="58" t="s">
        <v>3029</v>
      </c>
      <c r="E3112" s="57" t="s">
        <v>3382</v>
      </c>
      <c r="F3112" s="178">
        <v>46107.0</v>
      </c>
      <c r="G3112" s="155">
        <v>1.299765E7</v>
      </c>
      <c r="H3112" s="9">
        <f t="shared" si="10"/>
        <v>2729506.5</v>
      </c>
      <c r="I3112" s="44"/>
      <c r="J3112" s="44"/>
      <c r="K3112" s="10">
        <f t="shared" si="4"/>
        <v>15727156.5</v>
      </c>
      <c r="L3112" s="61"/>
      <c r="M3112" s="62"/>
    </row>
    <row r="3113" ht="15.75" customHeight="1">
      <c r="A3113" s="164">
        <v>46108.0</v>
      </c>
      <c r="B3113" s="56"/>
      <c r="C3113" s="57" t="s">
        <v>3288</v>
      </c>
      <c r="D3113" s="58" t="s">
        <v>3029</v>
      </c>
      <c r="E3113" s="57" t="s">
        <v>3383</v>
      </c>
      <c r="F3113" s="178">
        <v>46107.0</v>
      </c>
      <c r="G3113" s="155">
        <v>1.20012E7</v>
      </c>
      <c r="H3113" s="9">
        <f t="shared" si="10"/>
        <v>2520252</v>
      </c>
      <c r="I3113" s="44"/>
      <c r="J3113" s="44"/>
      <c r="K3113" s="10">
        <f t="shared" si="4"/>
        <v>14521452</v>
      </c>
      <c r="L3113" s="61"/>
      <c r="M3113" s="62"/>
    </row>
    <row r="3114" ht="15.75" customHeight="1">
      <c r="A3114" s="162">
        <v>46109.0</v>
      </c>
      <c r="B3114" s="50"/>
      <c r="C3114" s="31" t="s">
        <v>171</v>
      </c>
      <c r="D3114" s="32" t="s">
        <v>99</v>
      </c>
      <c r="E3114" s="31" t="s">
        <v>3384</v>
      </c>
      <c r="F3114" s="161">
        <v>46107.0</v>
      </c>
      <c r="G3114" s="54">
        <v>4958835.14</v>
      </c>
      <c r="H3114" s="14">
        <f t="shared" si="10"/>
        <v>1041355.379</v>
      </c>
      <c r="I3114" s="22"/>
      <c r="J3114" s="22"/>
      <c r="K3114" s="15">
        <f t="shared" si="4"/>
        <v>6000190.519</v>
      </c>
      <c r="L3114" s="45"/>
      <c r="M3114" s="24">
        <v>46113.0</v>
      </c>
    </row>
    <row r="3115" ht="15.75" customHeight="1">
      <c r="A3115" s="164">
        <v>46109.0</v>
      </c>
      <c r="B3115" s="56"/>
      <c r="C3115" s="57" t="s">
        <v>3385</v>
      </c>
      <c r="D3115" s="58" t="s">
        <v>3211</v>
      </c>
      <c r="E3115" s="58" t="s">
        <v>3386</v>
      </c>
      <c r="F3115" s="178">
        <v>46107.0</v>
      </c>
      <c r="G3115" s="155">
        <v>1.002675E7</v>
      </c>
      <c r="H3115" s="9">
        <f t="shared" si="10"/>
        <v>2105617.5</v>
      </c>
      <c r="I3115" s="44"/>
      <c r="J3115" s="44"/>
      <c r="K3115" s="10">
        <f t="shared" si="4"/>
        <v>12132367.5</v>
      </c>
      <c r="L3115" s="61"/>
      <c r="M3115" s="62"/>
    </row>
    <row r="3116" ht="15.75" customHeight="1">
      <c r="A3116" s="162">
        <v>46112.0</v>
      </c>
      <c r="B3116" s="50"/>
      <c r="C3116" s="31" t="s">
        <v>239</v>
      </c>
      <c r="D3116" s="32" t="s">
        <v>15</v>
      </c>
      <c r="E3116" s="31" t="s">
        <v>3387</v>
      </c>
      <c r="F3116" s="161">
        <v>46107.0</v>
      </c>
      <c r="G3116" s="54">
        <v>5333534.05</v>
      </c>
      <c r="H3116" s="14">
        <f t="shared" si="10"/>
        <v>1120042.151</v>
      </c>
      <c r="I3116" s="22">
        <v>160006.02</v>
      </c>
      <c r="J3116" s="22"/>
      <c r="K3116" s="15">
        <f t="shared" si="4"/>
        <v>6613582.221</v>
      </c>
      <c r="L3116" s="45"/>
      <c r="M3116" s="6"/>
    </row>
    <row r="3117" ht="15.75" customHeight="1">
      <c r="A3117" s="162">
        <v>46112.0</v>
      </c>
      <c r="B3117" s="50"/>
      <c r="C3117" s="31" t="s">
        <v>239</v>
      </c>
      <c r="D3117" s="32" t="s">
        <v>15</v>
      </c>
      <c r="E3117" s="31" t="s">
        <v>3388</v>
      </c>
      <c r="F3117" s="161">
        <v>46107.0</v>
      </c>
      <c r="G3117" s="54">
        <v>7111122.41</v>
      </c>
      <c r="H3117" s="14">
        <f t="shared" si="10"/>
        <v>1493335.706</v>
      </c>
      <c r="I3117" s="22">
        <v>213333.67</v>
      </c>
      <c r="J3117" s="22"/>
      <c r="K3117" s="15">
        <f t="shared" si="4"/>
        <v>8817791.786</v>
      </c>
      <c r="L3117" s="45"/>
      <c r="M3117" s="6"/>
    </row>
    <row r="3118" ht="15.75" customHeight="1">
      <c r="A3118" s="162">
        <v>46112.0</v>
      </c>
      <c r="B3118" s="50"/>
      <c r="C3118" s="31" t="s">
        <v>567</v>
      </c>
      <c r="D3118" s="32" t="s">
        <v>15</v>
      </c>
      <c r="E3118" s="31" t="s">
        <v>3389</v>
      </c>
      <c r="F3118" s="161">
        <v>46107.0</v>
      </c>
      <c r="G3118" s="54">
        <v>3.512238407E7</v>
      </c>
      <c r="H3118" s="14">
        <f t="shared" si="10"/>
        <v>7375700.655</v>
      </c>
      <c r="I3118" s="22"/>
      <c r="J3118" s="22"/>
      <c r="K3118" s="15">
        <f t="shared" si="4"/>
        <v>42498084.72</v>
      </c>
      <c r="L3118" s="45"/>
      <c r="M3118" s="6"/>
    </row>
    <row r="3119" ht="15.75" customHeight="1">
      <c r="A3119" s="162">
        <v>46112.0</v>
      </c>
      <c r="B3119" s="50"/>
      <c r="C3119" s="31" t="s">
        <v>567</v>
      </c>
      <c r="D3119" s="32" t="s">
        <v>15</v>
      </c>
      <c r="E3119" s="31" t="s">
        <v>3390</v>
      </c>
      <c r="F3119" s="161">
        <v>46107.0</v>
      </c>
      <c r="G3119" s="54">
        <v>3.021123306E7</v>
      </c>
      <c r="H3119" s="14">
        <f t="shared" si="10"/>
        <v>6344358.943</v>
      </c>
      <c r="I3119" s="22"/>
      <c r="J3119" s="22"/>
      <c r="K3119" s="15">
        <f t="shared" si="4"/>
        <v>36555592</v>
      </c>
      <c r="L3119" s="45"/>
      <c r="M3119" s="6"/>
    </row>
    <row r="3120" ht="15.75" customHeight="1">
      <c r="A3120" s="162">
        <v>46112.0</v>
      </c>
      <c r="B3120" s="50"/>
      <c r="C3120" s="31" t="s">
        <v>567</v>
      </c>
      <c r="D3120" s="32" t="s">
        <v>15</v>
      </c>
      <c r="E3120" s="31" t="s">
        <v>3391</v>
      </c>
      <c r="F3120" s="161">
        <v>46107.0</v>
      </c>
      <c r="G3120" s="54">
        <v>1.533363316E7</v>
      </c>
      <c r="H3120" s="14">
        <f t="shared" si="10"/>
        <v>3220062.964</v>
      </c>
      <c r="I3120" s="22"/>
      <c r="J3120" s="22"/>
      <c r="K3120" s="15">
        <f t="shared" si="4"/>
        <v>18553696.12</v>
      </c>
      <c r="L3120" s="45"/>
      <c r="M3120" s="6"/>
    </row>
    <row r="3121" ht="15.75" customHeight="1">
      <c r="A3121" s="162">
        <v>46112.0</v>
      </c>
      <c r="B3121" s="50"/>
      <c r="C3121" s="31" t="s">
        <v>567</v>
      </c>
      <c r="D3121" s="32" t="s">
        <v>15</v>
      </c>
      <c r="E3121" s="31" t="s">
        <v>3392</v>
      </c>
      <c r="F3121" s="161">
        <v>46107.0</v>
      </c>
      <c r="G3121" s="54">
        <v>2.003338306E7</v>
      </c>
      <c r="H3121" s="14">
        <f t="shared" si="10"/>
        <v>4207010.443</v>
      </c>
      <c r="I3121" s="22"/>
      <c r="J3121" s="22"/>
      <c r="K3121" s="15">
        <f t="shared" si="4"/>
        <v>24240393.5</v>
      </c>
      <c r="L3121" s="45"/>
      <c r="M3121" s="6"/>
    </row>
    <row r="3122" ht="15.75" customHeight="1">
      <c r="A3122" s="162">
        <v>46112.0</v>
      </c>
      <c r="B3122" s="50"/>
      <c r="C3122" s="31" t="s">
        <v>3385</v>
      </c>
      <c r="D3122" s="32" t="s">
        <v>15</v>
      </c>
      <c r="E3122" s="31" t="s">
        <v>3393</v>
      </c>
      <c r="F3122" s="161">
        <v>46107.0</v>
      </c>
      <c r="G3122" s="54">
        <v>9362560.15</v>
      </c>
      <c r="H3122" s="14">
        <f t="shared" si="10"/>
        <v>1966137.632</v>
      </c>
      <c r="I3122" s="22"/>
      <c r="J3122" s="22"/>
      <c r="K3122" s="15">
        <f t="shared" si="4"/>
        <v>11328697.78</v>
      </c>
      <c r="L3122" s="45"/>
      <c r="M3122" s="6"/>
    </row>
    <row r="3123" ht="15.75" customHeight="1">
      <c r="A3123" s="162">
        <v>46112.0</v>
      </c>
      <c r="B3123" s="50"/>
      <c r="C3123" s="31" t="s">
        <v>3385</v>
      </c>
      <c r="D3123" s="32" t="s">
        <v>15</v>
      </c>
      <c r="E3123" s="31" t="s">
        <v>3394</v>
      </c>
      <c r="F3123" s="161">
        <v>46107.0</v>
      </c>
      <c r="G3123" s="54">
        <v>1048460.15</v>
      </c>
      <c r="H3123" s="14">
        <f t="shared" si="10"/>
        <v>220176.6315</v>
      </c>
      <c r="I3123" s="22"/>
      <c r="J3123" s="22"/>
      <c r="K3123" s="15">
        <f t="shared" si="4"/>
        <v>1268636.782</v>
      </c>
      <c r="L3123" s="45"/>
      <c r="M3123" s="6"/>
    </row>
    <row r="3124" ht="15.75" customHeight="1">
      <c r="A3124" s="162">
        <v>46112.0</v>
      </c>
      <c r="B3124" s="50"/>
      <c r="C3124" s="31" t="s">
        <v>3385</v>
      </c>
      <c r="D3124" s="32" t="s">
        <v>15</v>
      </c>
      <c r="E3124" s="31" t="s">
        <v>3395</v>
      </c>
      <c r="F3124" s="161">
        <v>46107.0</v>
      </c>
      <c r="G3124" s="54">
        <v>1441770.51</v>
      </c>
      <c r="H3124" s="14">
        <f t="shared" si="10"/>
        <v>302771.8071</v>
      </c>
      <c r="I3124" s="22"/>
      <c r="J3124" s="22"/>
      <c r="K3124" s="15">
        <f t="shared" si="4"/>
        <v>1744542.317</v>
      </c>
      <c r="L3124" s="45"/>
      <c r="M3124" s="6"/>
    </row>
    <row r="3125" ht="15.75" customHeight="1">
      <c r="A3125" s="162">
        <v>46112.0</v>
      </c>
      <c r="B3125" s="50"/>
      <c r="C3125" s="31" t="s">
        <v>1564</v>
      </c>
      <c r="D3125" s="32" t="s">
        <v>15</v>
      </c>
      <c r="E3125" s="31" t="s">
        <v>3396</v>
      </c>
      <c r="F3125" s="161">
        <v>46107.0</v>
      </c>
      <c r="G3125" s="54">
        <v>6123460.58</v>
      </c>
      <c r="H3125" s="14">
        <f t="shared" si="10"/>
        <v>1285926.722</v>
      </c>
      <c r="I3125" s="22">
        <v>183703.82</v>
      </c>
      <c r="J3125" s="22"/>
      <c r="K3125" s="15">
        <f t="shared" si="4"/>
        <v>7593091.122</v>
      </c>
      <c r="L3125" s="45"/>
      <c r="M3125" s="6"/>
    </row>
    <row r="3126" ht="15.75" customHeight="1">
      <c r="A3126" s="162">
        <v>46112.0</v>
      </c>
      <c r="B3126" s="50"/>
      <c r="C3126" s="31" t="s">
        <v>1564</v>
      </c>
      <c r="D3126" s="32" t="s">
        <v>15</v>
      </c>
      <c r="E3126" s="31" t="s">
        <v>3397</v>
      </c>
      <c r="F3126" s="161">
        <v>46107.0</v>
      </c>
      <c r="G3126" s="54">
        <v>4982350.14</v>
      </c>
      <c r="H3126" s="14">
        <f t="shared" si="10"/>
        <v>1046293.529</v>
      </c>
      <c r="I3126" s="22">
        <v>149470.5</v>
      </c>
      <c r="J3126" s="22"/>
      <c r="K3126" s="15">
        <f t="shared" si="4"/>
        <v>6178114.169</v>
      </c>
      <c r="L3126" s="45"/>
      <c r="M3126" s="6"/>
    </row>
    <row r="3127" ht="15.75" customHeight="1">
      <c r="A3127" s="162">
        <v>46112.0</v>
      </c>
      <c r="B3127" s="50"/>
      <c r="C3127" s="31" t="s">
        <v>1564</v>
      </c>
      <c r="D3127" s="32" t="s">
        <v>15</v>
      </c>
      <c r="E3127" s="31" t="s">
        <v>3398</v>
      </c>
      <c r="F3127" s="161">
        <v>46107.0</v>
      </c>
      <c r="G3127" s="54">
        <v>4898490.15</v>
      </c>
      <c r="H3127" s="14">
        <f t="shared" si="10"/>
        <v>1028682.932</v>
      </c>
      <c r="I3127" s="22">
        <v>146954.7</v>
      </c>
      <c r="J3127" s="22"/>
      <c r="K3127" s="15">
        <f t="shared" si="4"/>
        <v>6074127.782</v>
      </c>
      <c r="L3127" s="45"/>
      <c r="M3127" s="6"/>
    </row>
    <row r="3128" ht="15.75" customHeight="1">
      <c r="A3128" s="162">
        <v>46112.0</v>
      </c>
      <c r="B3128" s="50"/>
      <c r="C3128" s="31" t="s">
        <v>2004</v>
      </c>
      <c r="D3128" s="32" t="s">
        <v>15</v>
      </c>
      <c r="E3128" s="31" t="s">
        <v>3399</v>
      </c>
      <c r="F3128" s="161">
        <v>46107.0</v>
      </c>
      <c r="G3128" s="54">
        <v>5413570.14</v>
      </c>
      <c r="H3128" s="14">
        <f t="shared" si="10"/>
        <v>1136849.729</v>
      </c>
      <c r="I3128" s="22">
        <v>162407.1</v>
      </c>
      <c r="J3128" s="22"/>
      <c r="K3128" s="15">
        <f t="shared" si="4"/>
        <v>6712826.969</v>
      </c>
      <c r="L3128" s="45"/>
      <c r="M3128" s="6"/>
    </row>
    <row r="3129" ht="15.75" customHeight="1">
      <c r="A3129" s="162">
        <v>46112.0</v>
      </c>
      <c r="B3129" s="50"/>
      <c r="C3129" s="31" t="s">
        <v>2004</v>
      </c>
      <c r="D3129" s="32" t="s">
        <v>15</v>
      </c>
      <c r="E3129" s="31" t="s">
        <v>3400</v>
      </c>
      <c r="F3129" s="161">
        <v>46107.0</v>
      </c>
      <c r="G3129" s="54">
        <v>6387460.19</v>
      </c>
      <c r="H3129" s="14">
        <f t="shared" si="10"/>
        <v>1341366.64</v>
      </c>
      <c r="I3129" s="22">
        <v>191623.81</v>
      </c>
      <c r="J3129" s="22"/>
      <c r="K3129" s="15">
        <f t="shared" si="4"/>
        <v>7920450.64</v>
      </c>
      <c r="L3129" s="45"/>
      <c r="M3129" s="6"/>
    </row>
    <row r="3130" ht="15.75" customHeight="1">
      <c r="A3130" s="162">
        <v>46112.0</v>
      </c>
      <c r="B3130" s="50"/>
      <c r="C3130" s="31" t="s">
        <v>2004</v>
      </c>
      <c r="D3130" s="32" t="s">
        <v>15</v>
      </c>
      <c r="E3130" s="31" t="s">
        <v>3401</v>
      </c>
      <c r="F3130" s="161">
        <v>46107.0</v>
      </c>
      <c r="G3130" s="54">
        <v>6228490.28</v>
      </c>
      <c r="H3130" s="14">
        <f t="shared" si="10"/>
        <v>1307982.959</v>
      </c>
      <c r="I3130" s="22">
        <v>186854.71</v>
      </c>
      <c r="J3130" s="22"/>
      <c r="K3130" s="15">
        <f t="shared" si="4"/>
        <v>7723327.949</v>
      </c>
      <c r="L3130" s="45"/>
      <c r="M3130" s="6"/>
    </row>
    <row r="3131" ht="15.75" customHeight="1">
      <c r="A3131" s="162">
        <v>46112.0</v>
      </c>
      <c r="B3131" s="50"/>
      <c r="C3131" s="31" t="s">
        <v>1972</v>
      </c>
      <c r="D3131" s="32" t="s">
        <v>15</v>
      </c>
      <c r="E3131" s="31" t="s">
        <v>3402</v>
      </c>
      <c r="F3131" s="161">
        <v>46107.0</v>
      </c>
      <c r="G3131" s="54">
        <v>5011370.52</v>
      </c>
      <c r="H3131" s="14">
        <f t="shared" si="10"/>
        <v>1052387.809</v>
      </c>
      <c r="I3131" s="22">
        <v>150341.12</v>
      </c>
      <c r="J3131" s="22"/>
      <c r="K3131" s="15">
        <f t="shared" si="4"/>
        <v>6214099.449</v>
      </c>
      <c r="L3131" s="45"/>
      <c r="M3131" s="6"/>
    </row>
    <row r="3132" ht="15.75" customHeight="1">
      <c r="A3132" s="162">
        <v>46112.0</v>
      </c>
      <c r="B3132" s="50"/>
      <c r="C3132" s="31" t="s">
        <v>1972</v>
      </c>
      <c r="D3132" s="32" t="s">
        <v>15</v>
      </c>
      <c r="E3132" s="31" t="s">
        <v>3403</v>
      </c>
      <c r="F3132" s="161">
        <v>46107.0</v>
      </c>
      <c r="G3132" s="54">
        <v>4743550.59</v>
      </c>
      <c r="H3132" s="14">
        <f t="shared" si="10"/>
        <v>996145.6239</v>
      </c>
      <c r="I3132" s="22">
        <v>142306.52</v>
      </c>
      <c r="J3132" s="22"/>
      <c r="K3132" s="15">
        <f t="shared" si="4"/>
        <v>5882002.734</v>
      </c>
      <c r="L3132" s="45"/>
      <c r="M3132" s="6"/>
    </row>
    <row r="3133" ht="15.75" customHeight="1">
      <c r="A3133" s="162">
        <v>46112.0</v>
      </c>
      <c r="B3133" s="50"/>
      <c r="C3133" s="31" t="s">
        <v>1972</v>
      </c>
      <c r="D3133" s="32" t="s">
        <v>15</v>
      </c>
      <c r="E3133" s="31" t="s">
        <v>3404</v>
      </c>
      <c r="F3133" s="161">
        <v>46107.0</v>
      </c>
      <c r="G3133" s="54">
        <v>6253460.85</v>
      </c>
      <c r="H3133" s="14">
        <f t="shared" si="10"/>
        <v>1313226.779</v>
      </c>
      <c r="I3133" s="22">
        <v>187603.83</v>
      </c>
      <c r="J3133" s="22"/>
      <c r="K3133" s="15">
        <f t="shared" si="4"/>
        <v>7754291.459</v>
      </c>
      <c r="L3133" s="45"/>
      <c r="M3133" s="6"/>
    </row>
    <row r="3134" ht="15.75" customHeight="1">
      <c r="A3134" s="164">
        <v>46112.0</v>
      </c>
      <c r="B3134" s="56"/>
      <c r="C3134" s="57" t="s">
        <v>538</v>
      </c>
      <c r="D3134" s="57" t="s">
        <v>2834</v>
      </c>
      <c r="E3134" s="58" t="s">
        <v>3405</v>
      </c>
      <c r="F3134" s="178">
        <v>46107.0</v>
      </c>
      <c r="G3134" s="206">
        <v>8268460.0</v>
      </c>
      <c r="H3134" s="9">
        <f t="shared" si="10"/>
        <v>1736376.6</v>
      </c>
      <c r="I3134" s="44"/>
      <c r="J3134" s="44"/>
      <c r="K3134" s="10">
        <f t="shared" si="4"/>
        <v>10004836.6</v>
      </c>
      <c r="L3134" s="61"/>
      <c r="M3134" s="62"/>
    </row>
    <row r="3135" ht="15.75" customHeight="1">
      <c r="A3135" s="164">
        <v>46112.0</v>
      </c>
      <c r="B3135" s="56"/>
      <c r="C3135" s="57" t="s">
        <v>538</v>
      </c>
      <c r="D3135" s="57" t="s">
        <v>2834</v>
      </c>
      <c r="E3135" s="58" t="s">
        <v>3406</v>
      </c>
      <c r="F3135" s="178">
        <v>46107.0</v>
      </c>
      <c r="G3135" s="206">
        <v>1.2402789E7</v>
      </c>
      <c r="H3135" s="9">
        <f t="shared" si="10"/>
        <v>2604585.69</v>
      </c>
      <c r="I3135" s="44"/>
      <c r="J3135" s="44"/>
      <c r="K3135" s="10">
        <f t="shared" si="4"/>
        <v>15007374.69</v>
      </c>
      <c r="L3135" s="61"/>
      <c r="M3135" s="62"/>
    </row>
    <row r="3136" ht="15.75" customHeight="1">
      <c r="A3136" s="164">
        <v>46112.0</v>
      </c>
      <c r="B3136" s="56"/>
      <c r="C3136" s="57" t="s">
        <v>893</v>
      </c>
      <c r="D3136" s="57" t="s">
        <v>2834</v>
      </c>
      <c r="E3136" s="58" t="s">
        <v>3407</v>
      </c>
      <c r="F3136" s="178">
        <v>46107.0</v>
      </c>
      <c r="G3136" s="206">
        <v>9985600.0</v>
      </c>
      <c r="H3136" s="9">
        <f t="shared" si="10"/>
        <v>2096976</v>
      </c>
      <c r="I3136" s="44"/>
      <c r="J3136" s="44"/>
      <c r="K3136" s="10">
        <f t="shared" si="4"/>
        <v>12082576</v>
      </c>
      <c r="L3136" s="61"/>
      <c r="M3136" s="62"/>
    </row>
    <row r="3137" ht="15.75" customHeight="1">
      <c r="A3137" s="164">
        <v>46112.0</v>
      </c>
      <c r="B3137" s="56"/>
      <c r="C3137" s="57" t="s">
        <v>893</v>
      </c>
      <c r="D3137" s="57" t="s">
        <v>2834</v>
      </c>
      <c r="E3137" s="58" t="s">
        <v>3408</v>
      </c>
      <c r="F3137" s="178">
        <v>46107.0</v>
      </c>
      <c r="G3137" s="206">
        <v>3945600.0</v>
      </c>
      <c r="H3137" s="9">
        <f t="shared" si="10"/>
        <v>828576</v>
      </c>
      <c r="I3137" s="44"/>
      <c r="J3137" s="44"/>
      <c r="K3137" s="10">
        <f t="shared" si="4"/>
        <v>4774176</v>
      </c>
      <c r="L3137" s="61"/>
      <c r="M3137" s="62"/>
    </row>
    <row r="3138" ht="15.75" customHeight="1">
      <c r="A3138" s="164">
        <v>46112.0</v>
      </c>
      <c r="B3138" s="56"/>
      <c r="C3138" s="57" t="s">
        <v>893</v>
      </c>
      <c r="D3138" s="57" t="s">
        <v>2834</v>
      </c>
      <c r="E3138" s="58" t="s">
        <v>3409</v>
      </c>
      <c r="F3138" s="178">
        <v>46107.0</v>
      </c>
      <c r="G3138" s="206">
        <v>5250000.0</v>
      </c>
      <c r="H3138" s="9">
        <f t="shared" si="10"/>
        <v>1102500</v>
      </c>
      <c r="I3138" s="44"/>
      <c r="J3138" s="44"/>
      <c r="K3138" s="10">
        <f t="shared" si="4"/>
        <v>6352500</v>
      </c>
      <c r="L3138" s="61"/>
      <c r="M3138" s="62"/>
    </row>
    <row r="3139" ht="15.75" customHeight="1">
      <c r="A3139" s="164">
        <v>46112.0</v>
      </c>
      <c r="B3139" s="56"/>
      <c r="C3139" s="57" t="s">
        <v>893</v>
      </c>
      <c r="D3139" s="57" t="s">
        <v>2834</v>
      </c>
      <c r="E3139" s="58" t="s">
        <v>3410</v>
      </c>
      <c r="F3139" s="178">
        <v>46107.0</v>
      </c>
      <c r="G3139" s="206">
        <v>2153800.0</v>
      </c>
      <c r="H3139" s="9">
        <f t="shared" si="10"/>
        <v>452298</v>
      </c>
      <c r="I3139" s="44"/>
      <c r="J3139" s="44"/>
      <c r="K3139" s="10">
        <f t="shared" si="4"/>
        <v>2606098</v>
      </c>
      <c r="L3139" s="61"/>
      <c r="M3139" s="62"/>
    </row>
    <row r="3140" ht="15.75" customHeight="1">
      <c r="A3140" s="164">
        <v>46112.0</v>
      </c>
      <c r="B3140" s="56"/>
      <c r="C3140" s="57" t="s">
        <v>2837</v>
      </c>
      <c r="D3140" s="57" t="s">
        <v>2834</v>
      </c>
      <c r="E3140" s="58" t="s">
        <v>3411</v>
      </c>
      <c r="F3140" s="178">
        <v>46107.0</v>
      </c>
      <c r="G3140" s="206">
        <v>6502350.0</v>
      </c>
      <c r="H3140" s="9">
        <f t="shared" si="10"/>
        <v>1365493.5</v>
      </c>
      <c r="I3140" s="44"/>
      <c r="J3140" s="44"/>
      <c r="K3140" s="10">
        <f t="shared" si="4"/>
        <v>7867843.5</v>
      </c>
      <c r="L3140" s="61"/>
      <c r="M3140" s="62"/>
    </row>
    <row r="3141" ht="15.75" customHeight="1">
      <c r="A3141" s="164">
        <v>46112.0</v>
      </c>
      <c r="B3141" s="56"/>
      <c r="C3141" s="57" t="s">
        <v>3412</v>
      </c>
      <c r="D3141" s="58" t="s">
        <v>1021</v>
      </c>
      <c r="E3141" s="57" t="s">
        <v>3413</v>
      </c>
      <c r="F3141" s="178">
        <v>46107.0</v>
      </c>
      <c r="G3141" s="206">
        <v>5025785.13</v>
      </c>
      <c r="H3141" s="9">
        <f t="shared" si="10"/>
        <v>1055414.877</v>
      </c>
      <c r="I3141" s="44"/>
      <c r="J3141" s="44"/>
      <c r="K3141" s="10">
        <f t="shared" si="4"/>
        <v>6081200.007</v>
      </c>
      <c r="L3141" s="61"/>
      <c r="M3141" s="62"/>
    </row>
    <row r="3142" ht="15.75" customHeight="1">
      <c r="A3142" s="164">
        <v>46112.0</v>
      </c>
      <c r="B3142" s="56"/>
      <c r="C3142" s="57" t="s">
        <v>3412</v>
      </c>
      <c r="D3142" s="58" t="s">
        <v>1021</v>
      </c>
      <c r="E3142" s="57" t="s">
        <v>3414</v>
      </c>
      <c r="F3142" s="178">
        <v>46107.0</v>
      </c>
      <c r="G3142" s="206">
        <v>5044958.68</v>
      </c>
      <c r="H3142" s="9">
        <f t="shared" si="10"/>
        <v>1059441.323</v>
      </c>
      <c r="I3142" s="44"/>
      <c r="J3142" s="44"/>
      <c r="K3142" s="10">
        <f t="shared" si="4"/>
        <v>6104400.003</v>
      </c>
      <c r="L3142" s="61"/>
      <c r="M3142" s="62"/>
    </row>
    <row r="3143" ht="15.75" customHeight="1">
      <c r="A3143" s="164">
        <v>46112.0</v>
      </c>
      <c r="B3143" s="56"/>
      <c r="C3143" s="57" t="s">
        <v>3412</v>
      </c>
      <c r="D3143" s="58" t="s">
        <v>1021</v>
      </c>
      <c r="E3143" s="57" t="s">
        <v>3415</v>
      </c>
      <c r="F3143" s="178">
        <v>46107.0</v>
      </c>
      <c r="G3143" s="206">
        <v>3.055338843E7</v>
      </c>
      <c r="H3143" s="9">
        <f t="shared" si="10"/>
        <v>6416211.57</v>
      </c>
      <c r="I3143" s="44"/>
      <c r="J3143" s="44"/>
      <c r="K3143" s="10">
        <f t="shared" si="4"/>
        <v>36969600</v>
      </c>
      <c r="L3143" s="61"/>
      <c r="M3143" s="62"/>
    </row>
    <row r="3144" ht="15.75" customHeight="1">
      <c r="A3144" s="164">
        <v>46112.0</v>
      </c>
      <c r="B3144" s="56"/>
      <c r="C3144" s="57" t="s">
        <v>3412</v>
      </c>
      <c r="D3144" s="58" t="s">
        <v>1021</v>
      </c>
      <c r="E3144" s="57" t="s">
        <v>3416</v>
      </c>
      <c r="F3144" s="178">
        <v>46107.0</v>
      </c>
      <c r="G3144" s="206">
        <v>5028892.56</v>
      </c>
      <c r="H3144" s="9">
        <f t="shared" si="10"/>
        <v>1056067.438</v>
      </c>
      <c r="I3144" s="44"/>
      <c r="J3144" s="44"/>
      <c r="K3144" s="10">
        <f t="shared" si="4"/>
        <v>6084959.998</v>
      </c>
      <c r="L3144" s="61"/>
      <c r="M3144" s="62"/>
    </row>
    <row r="3145" ht="15.75" customHeight="1">
      <c r="A3145" s="164">
        <v>46112.0</v>
      </c>
      <c r="B3145" s="56"/>
      <c r="C3145" s="57" t="s">
        <v>3412</v>
      </c>
      <c r="D3145" s="58" t="s">
        <v>1021</v>
      </c>
      <c r="E3145" s="57" t="s">
        <v>3417</v>
      </c>
      <c r="F3145" s="178">
        <v>46107.0</v>
      </c>
      <c r="G3145" s="206">
        <v>5008264.46</v>
      </c>
      <c r="H3145" s="9">
        <f t="shared" si="10"/>
        <v>1051735.537</v>
      </c>
      <c r="I3145" s="44"/>
      <c r="J3145" s="44"/>
      <c r="K3145" s="10">
        <f t="shared" si="4"/>
        <v>6059999.997</v>
      </c>
      <c r="L3145" s="61"/>
      <c r="M3145" s="62"/>
    </row>
    <row r="3146" ht="15.75" customHeight="1">
      <c r="A3146" s="162">
        <v>46114.0</v>
      </c>
      <c r="B3146" s="50"/>
      <c r="C3146" s="31" t="s">
        <v>1727</v>
      </c>
      <c r="D3146" s="32" t="s">
        <v>15</v>
      </c>
      <c r="E3146" s="31" t="s">
        <v>3418</v>
      </c>
      <c r="F3146" s="134">
        <v>46138.0</v>
      </c>
      <c r="G3146" s="54">
        <v>1.119105122E7</v>
      </c>
      <c r="H3146" s="14">
        <f t="shared" si="10"/>
        <v>2350120.756</v>
      </c>
      <c r="I3146" s="22">
        <v>335731.54</v>
      </c>
      <c r="J3146" s="22">
        <v>179056.82</v>
      </c>
      <c r="K3146" s="15">
        <f t="shared" si="4"/>
        <v>14055960.34</v>
      </c>
      <c r="L3146" s="45"/>
      <c r="M3146" s="6"/>
    </row>
    <row r="3147" ht="15.75" customHeight="1">
      <c r="A3147" s="164">
        <v>46118.0</v>
      </c>
      <c r="B3147" s="56"/>
      <c r="C3147" s="57" t="s">
        <v>969</v>
      </c>
      <c r="D3147" s="57" t="s">
        <v>2863</v>
      </c>
      <c r="E3147" s="58" t="s">
        <v>3419</v>
      </c>
      <c r="F3147" s="178">
        <v>46107.0</v>
      </c>
      <c r="G3147" s="206">
        <v>1.6556E7</v>
      </c>
      <c r="H3147" s="9">
        <f t="shared" si="10"/>
        <v>3476760</v>
      </c>
      <c r="I3147" s="44"/>
      <c r="J3147" s="44"/>
      <c r="K3147" s="10">
        <f t="shared" si="4"/>
        <v>20032760</v>
      </c>
      <c r="L3147" s="61"/>
      <c r="M3147" s="62"/>
    </row>
    <row r="3148" ht="15.75" customHeight="1">
      <c r="A3148" s="164">
        <v>46118.0</v>
      </c>
      <c r="B3148" s="56"/>
      <c r="C3148" s="57" t="s">
        <v>969</v>
      </c>
      <c r="D3148" s="57" t="s">
        <v>2863</v>
      </c>
      <c r="E3148" s="58" t="s">
        <v>3420</v>
      </c>
      <c r="F3148" s="137">
        <v>46138.0</v>
      </c>
      <c r="G3148" s="206">
        <v>9506000.0</v>
      </c>
      <c r="H3148" s="9">
        <f t="shared" si="10"/>
        <v>1996260</v>
      </c>
      <c r="I3148" s="44"/>
      <c r="J3148" s="44"/>
      <c r="K3148" s="10">
        <f t="shared" si="4"/>
        <v>11502260</v>
      </c>
      <c r="L3148" s="61"/>
      <c r="M3148" s="62"/>
    </row>
    <row r="3149" ht="15.75" customHeight="1">
      <c r="A3149" s="162">
        <v>46118.0</v>
      </c>
      <c r="B3149" s="50"/>
      <c r="C3149" s="31" t="s">
        <v>16</v>
      </c>
      <c r="D3149" s="32" t="s">
        <v>99</v>
      </c>
      <c r="E3149" s="31" t="s">
        <v>3421</v>
      </c>
      <c r="F3149" s="134">
        <v>46138.0</v>
      </c>
      <c r="G3149" s="54">
        <v>1.035237211E7</v>
      </c>
      <c r="H3149" s="14">
        <f t="shared" si="10"/>
        <v>2173998.143</v>
      </c>
      <c r="I3149" s="22">
        <v>310571.16</v>
      </c>
      <c r="J3149" s="22"/>
      <c r="K3149" s="15">
        <f t="shared" si="4"/>
        <v>12836941.41</v>
      </c>
      <c r="L3149" s="45"/>
      <c r="M3149" s="6"/>
    </row>
    <row r="3150" ht="15.75" customHeight="1">
      <c r="A3150" s="162">
        <v>46118.0</v>
      </c>
      <c r="B3150" s="50"/>
      <c r="C3150" s="32" t="s">
        <v>53</v>
      </c>
      <c r="D3150" s="32" t="s">
        <v>15</v>
      </c>
      <c r="E3150" s="31" t="s">
        <v>3422</v>
      </c>
      <c r="F3150" s="134">
        <v>46138.0</v>
      </c>
      <c r="G3150" s="54">
        <v>3625173.71</v>
      </c>
      <c r="H3150" s="14">
        <f t="shared" si="10"/>
        <v>761286.4791</v>
      </c>
      <c r="I3150" s="22"/>
      <c r="J3150" s="22"/>
      <c r="K3150" s="15">
        <f t="shared" si="4"/>
        <v>4386460.189</v>
      </c>
      <c r="L3150" s="45"/>
      <c r="M3150" s="6"/>
    </row>
    <row r="3151" ht="15.75" customHeight="1">
      <c r="A3151" s="162">
        <v>46118.0</v>
      </c>
      <c r="B3151" s="50"/>
      <c r="C3151" s="32" t="s">
        <v>53</v>
      </c>
      <c r="D3151" s="32" t="s">
        <v>99</v>
      </c>
      <c r="E3151" s="31" t="s">
        <v>3423</v>
      </c>
      <c r="F3151" s="134">
        <v>46138.0</v>
      </c>
      <c r="G3151" s="207">
        <f>4043570.16/1.21</f>
        <v>3341793.521</v>
      </c>
      <c r="H3151" s="14">
        <f t="shared" si="10"/>
        <v>701776.6393</v>
      </c>
      <c r="I3151" s="22"/>
      <c r="J3151" s="22"/>
      <c r="K3151" s="15">
        <f t="shared" si="4"/>
        <v>4043570.16</v>
      </c>
      <c r="L3151" s="45"/>
      <c r="M3151" s="6"/>
    </row>
    <row r="3152" ht="15.75" customHeight="1">
      <c r="A3152" s="162">
        <v>46119.0</v>
      </c>
      <c r="B3152" s="50"/>
      <c r="C3152" s="31" t="s">
        <v>1112</v>
      </c>
      <c r="D3152" s="32" t="s">
        <v>99</v>
      </c>
      <c r="E3152" s="32" t="s">
        <v>3424</v>
      </c>
      <c r="F3152" s="134">
        <v>46138.0</v>
      </c>
      <c r="G3152" s="54">
        <v>1.325837052E7</v>
      </c>
      <c r="H3152" s="14">
        <f t="shared" si="10"/>
        <v>2784257.809</v>
      </c>
      <c r="I3152" s="22"/>
      <c r="J3152" s="22"/>
      <c r="K3152" s="15">
        <f t="shared" si="4"/>
        <v>16042628.33</v>
      </c>
      <c r="L3152" s="45"/>
      <c r="M3152" s="6"/>
    </row>
    <row r="3153" ht="15.75" customHeight="1">
      <c r="A3153" s="162">
        <v>46119.0</v>
      </c>
      <c r="B3153" s="50"/>
      <c r="C3153" s="31" t="s">
        <v>1112</v>
      </c>
      <c r="D3153" s="32" t="s">
        <v>99</v>
      </c>
      <c r="E3153" s="32" t="s">
        <v>3425</v>
      </c>
      <c r="F3153" s="134">
        <v>46138.0</v>
      </c>
      <c r="G3153" s="54">
        <v>1.472155011E7</v>
      </c>
      <c r="H3153" s="14">
        <f t="shared" si="10"/>
        <v>3091525.523</v>
      </c>
      <c r="I3153" s="22"/>
      <c r="J3153" s="22"/>
      <c r="K3153" s="15">
        <f t="shared" si="4"/>
        <v>17813075.63</v>
      </c>
      <c r="L3153" s="45"/>
      <c r="M3153" s="6"/>
    </row>
    <row r="3154" ht="15.75" customHeight="1">
      <c r="A3154" s="162">
        <v>46119.0</v>
      </c>
      <c r="B3154" s="50"/>
      <c r="C3154" s="31" t="s">
        <v>1112</v>
      </c>
      <c r="D3154" s="32" t="s">
        <v>99</v>
      </c>
      <c r="E3154" s="32" t="s">
        <v>3426</v>
      </c>
      <c r="F3154" s="134">
        <v>46138.0</v>
      </c>
      <c r="G3154" s="54">
        <v>1.302948075E7</v>
      </c>
      <c r="H3154" s="14">
        <f t="shared" si="10"/>
        <v>2736190.958</v>
      </c>
      <c r="I3154" s="22"/>
      <c r="J3154" s="22"/>
      <c r="K3154" s="15">
        <f t="shared" si="4"/>
        <v>15765671.71</v>
      </c>
      <c r="L3154" s="45"/>
      <c r="M3154" s="6"/>
    </row>
    <row r="3155" ht="15.75" customHeight="1">
      <c r="A3155" s="162">
        <v>46119.0</v>
      </c>
      <c r="B3155" s="50"/>
      <c r="C3155" s="31" t="s">
        <v>1112</v>
      </c>
      <c r="D3155" s="32" t="s">
        <v>15</v>
      </c>
      <c r="E3155" s="31" t="s">
        <v>3427</v>
      </c>
      <c r="F3155" s="134">
        <v>46138.0</v>
      </c>
      <c r="G3155" s="54">
        <v>1.312646011E7</v>
      </c>
      <c r="H3155" s="14">
        <f t="shared" si="10"/>
        <v>2756556.623</v>
      </c>
      <c r="I3155" s="22"/>
      <c r="J3155" s="22"/>
      <c r="K3155" s="15">
        <f t="shared" si="4"/>
        <v>15883016.73</v>
      </c>
      <c r="L3155" s="45"/>
      <c r="M3155" s="6"/>
    </row>
    <row r="3156" ht="15.75" customHeight="1">
      <c r="A3156" s="162">
        <v>46119.0</v>
      </c>
      <c r="B3156" s="50"/>
      <c r="C3156" s="31" t="s">
        <v>1112</v>
      </c>
      <c r="D3156" s="32" t="s">
        <v>15</v>
      </c>
      <c r="E3156" s="31" t="s">
        <v>3428</v>
      </c>
      <c r="F3156" s="134">
        <v>46138.0</v>
      </c>
      <c r="G3156" s="54">
        <v>1.425368082E7</v>
      </c>
      <c r="H3156" s="14">
        <f t="shared" si="10"/>
        <v>2993272.972</v>
      </c>
      <c r="I3156" s="22"/>
      <c r="J3156" s="22"/>
      <c r="K3156" s="15">
        <f t="shared" si="4"/>
        <v>17246953.79</v>
      </c>
      <c r="L3156" s="45"/>
      <c r="M3156" s="6"/>
    </row>
    <row r="3157" ht="15.75" customHeight="1">
      <c r="A3157" s="162">
        <v>46119.0</v>
      </c>
      <c r="B3157" s="50"/>
      <c r="C3157" s="31" t="s">
        <v>1112</v>
      </c>
      <c r="D3157" s="32" t="s">
        <v>15</v>
      </c>
      <c r="E3157" s="31" t="s">
        <v>3429</v>
      </c>
      <c r="F3157" s="134">
        <v>46138.0</v>
      </c>
      <c r="G3157" s="54">
        <v>1.284469012E7</v>
      </c>
      <c r="H3157" s="14">
        <f t="shared" si="10"/>
        <v>2697384.925</v>
      </c>
      <c r="I3157" s="22"/>
      <c r="J3157" s="22"/>
      <c r="K3157" s="15">
        <f t="shared" si="4"/>
        <v>15542075.05</v>
      </c>
      <c r="L3157" s="45"/>
      <c r="M3157" s="6"/>
    </row>
    <row r="3158" ht="15.75" customHeight="1">
      <c r="A3158" s="162">
        <v>46119.0</v>
      </c>
      <c r="B3158" s="50"/>
      <c r="C3158" s="31" t="s">
        <v>1564</v>
      </c>
      <c r="D3158" s="32" t="s">
        <v>99</v>
      </c>
      <c r="E3158" s="31" t="s">
        <v>3430</v>
      </c>
      <c r="F3158" s="134">
        <v>46138.0</v>
      </c>
      <c r="G3158" s="54">
        <v>9934373.28</v>
      </c>
      <c r="H3158" s="14">
        <f t="shared" si="10"/>
        <v>2086218.389</v>
      </c>
      <c r="I3158" s="22">
        <v>298031.2</v>
      </c>
      <c r="J3158" s="22"/>
      <c r="K3158" s="15">
        <f t="shared" si="4"/>
        <v>12318622.87</v>
      </c>
      <c r="L3158" s="45"/>
      <c r="M3158" s="6"/>
    </row>
    <row r="3159" ht="15.75" customHeight="1">
      <c r="A3159" s="162">
        <v>46119.0</v>
      </c>
      <c r="B3159" s="50"/>
      <c r="C3159" s="31" t="s">
        <v>1564</v>
      </c>
      <c r="D3159" s="32" t="s">
        <v>99</v>
      </c>
      <c r="E3159" s="31" t="s">
        <v>3431</v>
      </c>
      <c r="F3159" s="134">
        <v>46138.0</v>
      </c>
      <c r="G3159" s="54">
        <v>8431017.21</v>
      </c>
      <c r="H3159" s="14">
        <f t="shared" si="10"/>
        <v>1770513.614</v>
      </c>
      <c r="I3159" s="22">
        <v>252930.52</v>
      </c>
      <c r="J3159" s="22"/>
      <c r="K3159" s="15">
        <f t="shared" si="4"/>
        <v>10454461.34</v>
      </c>
      <c r="L3159" s="45"/>
      <c r="M3159" s="6"/>
    </row>
    <row r="3160" ht="15.75" customHeight="1">
      <c r="A3160" s="162">
        <v>46119.0</v>
      </c>
      <c r="B3160" s="50"/>
      <c r="C3160" s="31" t="s">
        <v>1564</v>
      </c>
      <c r="D3160" s="32" t="s">
        <v>99</v>
      </c>
      <c r="E3160" s="31" t="s">
        <v>3432</v>
      </c>
      <c r="F3160" s="134">
        <v>46138.0</v>
      </c>
      <c r="G3160" s="54">
        <v>6644533.28</v>
      </c>
      <c r="H3160" s="14">
        <f t="shared" si="10"/>
        <v>1395351.989</v>
      </c>
      <c r="I3160" s="22">
        <v>199336.0</v>
      </c>
      <c r="J3160" s="22"/>
      <c r="K3160" s="15">
        <f t="shared" si="4"/>
        <v>8239221.269</v>
      </c>
      <c r="L3160" s="45"/>
      <c r="M3160" s="6"/>
    </row>
    <row r="3161" ht="15.75" customHeight="1">
      <c r="A3161" s="162">
        <v>46119.0</v>
      </c>
      <c r="B3161" s="50"/>
      <c r="C3161" s="31" t="s">
        <v>1564</v>
      </c>
      <c r="D3161" s="32" t="s">
        <v>99</v>
      </c>
      <c r="E3161" s="31" t="s">
        <v>3433</v>
      </c>
      <c r="F3161" s="134">
        <v>46138.0</v>
      </c>
      <c r="G3161" s="54">
        <v>7572927.15</v>
      </c>
      <c r="H3161" s="14">
        <f t="shared" si="10"/>
        <v>1590314.702</v>
      </c>
      <c r="I3161" s="22">
        <v>227187.81</v>
      </c>
      <c r="J3161" s="22"/>
      <c r="K3161" s="15">
        <f t="shared" si="4"/>
        <v>9390429.662</v>
      </c>
      <c r="L3161" s="45"/>
      <c r="M3161" s="6"/>
    </row>
    <row r="3162" ht="15.75" customHeight="1">
      <c r="A3162" s="162">
        <v>46119.0</v>
      </c>
      <c r="B3162" s="50"/>
      <c r="C3162" s="31" t="s">
        <v>1564</v>
      </c>
      <c r="D3162" s="32" t="s">
        <v>99</v>
      </c>
      <c r="E3162" s="31" t="s">
        <v>3434</v>
      </c>
      <c r="F3162" s="134">
        <v>46138.0</v>
      </c>
      <c r="G3162" s="54">
        <v>1.279546041E7</v>
      </c>
      <c r="H3162" s="14">
        <f t="shared" si="10"/>
        <v>2687046.686</v>
      </c>
      <c r="I3162" s="22">
        <v>383863.81</v>
      </c>
      <c r="J3162" s="22"/>
      <c r="K3162" s="15">
        <f t="shared" si="4"/>
        <v>15866370.91</v>
      </c>
      <c r="L3162" s="45"/>
      <c r="M3162" s="6"/>
    </row>
    <row r="3163" ht="15.75" customHeight="1">
      <c r="A3163" s="164">
        <v>46119.0</v>
      </c>
      <c r="B3163" s="56"/>
      <c r="C3163" s="57" t="s">
        <v>3435</v>
      </c>
      <c r="D3163" s="58" t="s">
        <v>99</v>
      </c>
      <c r="E3163" s="57" t="s">
        <v>3436</v>
      </c>
      <c r="F3163" s="137">
        <v>46138.0</v>
      </c>
      <c r="G3163" s="155">
        <v>6633634.25</v>
      </c>
      <c r="H3163" s="9">
        <f t="shared" si="10"/>
        <v>1393063.193</v>
      </c>
      <c r="I3163" s="44">
        <v>199009.03</v>
      </c>
      <c r="J3163" s="44">
        <v>99504.51</v>
      </c>
      <c r="K3163" s="10">
        <f t="shared" si="4"/>
        <v>8325210.983</v>
      </c>
      <c r="L3163" s="61"/>
      <c r="M3163" s="62"/>
    </row>
    <row r="3164" ht="15.75" customHeight="1">
      <c r="A3164" s="164">
        <v>46119.0</v>
      </c>
      <c r="B3164" s="56"/>
      <c r="C3164" s="57" t="s">
        <v>3435</v>
      </c>
      <c r="D3164" s="58" t="s">
        <v>99</v>
      </c>
      <c r="E3164" s="57" t="s">
        <v>3437</v>
      </c>
      <c r="F3164" s="137">
        <v>46138.0</v>
      </c>
      <c r="G3164" s="155">
        <v>1.072062651E7</v>
      </c>
      <c r="H3164" s="9">
        <f t="shared" si="10"/>
        <v>2251331.567</v>
      </c>
      <c r="I3164" s="44">
        <v>321618.8</v>
      </c>
      <c r="J3164" s="44">
        <v>160809.4</v>
      </c>
      <c r="K3164" s="10">
        <f t="shared" si="4"/>
        <v>13454386.28</v>
      </c>
      <c r="L3164" s="61"/>
      <c r="M3164" s="62"/>
    </row>
    <row r="3165" ht="15.75" customHeight="1">
      <c r="A3165" s="164">
        <v>46119.0</v>
      </c>
      <c r="B3165" s="56"/>
      <c r="C3165" s="57" t="s">
        <v>3435</v>
      </c>
      <c r="D3165" s="58" t="s">
        <v>99</v>
      </c>
      <c r="E3165" s="57" t="s">
        <v>3438</v>
      </c>
      <c r="F3165" s="137">
        <v>46138.0</v>
      </c>
      <c r="G3165" s="155">
        <v>7733436.52</v>
      </c>
      <c r="H3165" s="9">
        <f t="shared" si="10"/>
        <v>1624021.669</v>
      </c>
      <c r="I3165" s="44">
        <v>232003.1</v>
      </c>
      <c r="J3165" s="44">
        <v>116001.55</v>
      </c>
      <c r="K3165" s="10">
        <f t="shared" si="4"/>
        <v>9705462.839</v>
      </c>
      <c r="L3165" s="61"/>
      <c r="M3165" s="62"/>
    </row>
    <row r="3166" ht="15.75" customHeight="1">
      <c r="A3166" s="164">
        <v>46119.0</v>
      </c>
      <c r="B3166" s="56"/>
      <c r="C3166" s="57" t="s">
        <v>3435</v>
      </c>
      <c r="D3166" s="58" t="s">
        <v>99</v>
      </c>
      <c r="E3166" s="57" t="s">
        <v>3439</v>
      </c>
      <c r="F3166" s="137">
        <v>46138.0</v>
      </c>
      <c r="G3166" s="155">
        <v>7726944.12</v>
      </c>
      <c r="H3166" s="9">
        <f t="shared" si="10"/>
        <v>1622658.265</v>
      </c>
      <c r="I3166" s="44">
        <v>231808.32</v>
      </c>
      <c r="J3166" s="44">
        <v>115904.16</v>
      </c>
      <c r="K3166" s="10">
        <f t="shared" si="4"/>
        <v>9697314.865</v>
      </c>
      <c r="L3166" s="61"/>
      <c r="M3166" s="62"/>
    </row>
    <row r="3167" ht="15.75" customHeight="1">
      <c r="A3167" s="164">
        <v>46119.0</v>
      </c>
      <c r="B3167" s="56"/>
      <c r="C3167" s="57" t="s">
        <v>3435</v>
      </c>
      <c r="D3167" s="58" t="s">
        <v>99</v>
      </c>
      <c r="E3167" s="57" t="s">
        <v>3440</v>
      </c>
      <c r="F3167" s="137">
        <v>46138.0</v>
      </c>
      <c r="G3167" s="155">
        <v>1.264337015E7</v>
      </c>
      <c r="H3167" s="9">
        <f t="shared" si="10"/>
        <v>2655107.732</v>
      </c>
      <c r="I3167" s="44">
        <v>379301.1</v>
      </c>
      <c r="J3167" s="44">
        <v>189650.55</v>
      </c>
      <c r="K3167" s="10">
        <f t="shared" si="4"/>
        <v>15867429.53</v>
      </c>
      <c r="L3167" s="61"/>
      <c r="M3167" s="62"/>
    </row>
    <row r="3168" ht="15.75" customHeight="1">
      <c r="A3168" s="162">
        <v>46120.0</v>
      </c>
      <c r="B3168" s="50"/>
      <c r="C3168" s="31" t="s">
        <v>1854</v>
      </c>
      <c r="D3168" s="32" t="s">
        <v>99</v>
      </c>
      <c r="E3168" s="31" t="s">
        <v>3441</v>
      </c>
      <c r="F3168" s="134">
        <v>46138.0</v>
      </c>
      <c r="G3168" s="54">
        <v>1.483373311E7</v>
      </c>
      <c r="H3168" s="14">
        <f t="shared" si="10"/>
        <v>3115083.953</v>
      </c>
      <c r="I3168" s="22"/>
      <c r="J3168" s="22">
        <v>741686.66</v>
      </c>
      <c r="K3168" s="15">
        <f t="shared" si="4"/>
        <v>18690503.72</v>
      </c>
      <c r="L3168" s="61"/>
      <c r="M3168" s="62"/>
    </row>
    <row r="3169" ht="15.75" customHeight="1">
      <c r="A3169" s="162">
        <v>46120.0</v>
      </c>
      <c r="B3169" s="50"/>
      <c r="C3169" s="31" t="s">
        <v>1854</v>
      </c>
      <c r="D3169" s="32" t="s">
        <v>99</v>
      </c>
      <c r="E3169" s="31" t="s">
        <v>3442</v>
      </c>
      <c r="F3169" s="134">
        <v>46138.0</v>
      </c>
      <c r="G3169" s="54">
        <v>1.633325608E7</v>
      </c>
      <c r="H3169" s="14">
        <f t="shared" si="10"/>
        <v>3429983.777</v>
      </c>
      <c r="I3169" s="22"/>
      <c r="J3169" s="22">
        <v>816662.8</v>
      </c>
      <c r="K3169" s="15">
        <f t="shared" si="4"/>
        <v>20579902.66</v>
      </c>
      <c r="L3169" s="61"/>
      <c r="M3169" s="62"/>
    </row>
    <row r="3170" ht="15.75" customHeight="1">
      <c r="A3170" s="162">
        <v>46120.0</v>
      </c>
      <c r="B3170" s="50"/>
      <c r="C3170" s="31" t="s">
        <v>1854</v>
      </c>
      <c r="D3170" s="32" t="s">
        <v>99</v>
      </c>
      <c r="E3170" s="31" t="s">
        <v>3443</v>
      </c>
      <c r="F3170" s="134">
        <v>46138.0</v>
      </c>
      <c r="G3170" s="54">
        <v>1.689333314E7</v>
      </c>
      <c r="H3170" s="14">
        <f t="shared" si="10"/>
        <v>3547599.959</v>
      </c>
      <c r="I3170" s="22"/>
      <c r="J3170" s="22">
        <v>844666.66</v>
      </c>
      <c r="K3170" s="15">
        <f t="shared" si="4"/>
        <v>21285599.76</v>
      </c>
      <c r="L3170" s="61"/>
      <c r="M3170" s="62"/>
    </row>
    <row r="3171" ht="15.75" customHeight="1">
      <c r="A3171" s="162">
        <v>46120.0</v>
      </c>
      <c r="B3171" s="50"/>
      <c r="C3171" s="31" t="s">
        <v>1854</v>
      </c>
      <c r="D3171" s="32" t="s">
        <v>99</v>
      </c>
      <c r="E3171" s="31" t="s">
        <v>3444</v>
      </c>
      <c r="F3171" s="134">
        <v>46138.0</v>
      </c>
      <c r="G3171" s="54">
        <v>1.811133308E7</v>
      </c>
      <c r="H3171" s="14">
        <f t="shared" si="10"/>
        <v>3803379.947</v>
      </c>
      <c r="I3171" s="22"/>
      <c r="J3171" s="22">
        <v>905566.65</v>
      </c>
      <c r="K3171" s="15">
        <f t="shared" si="4"/>
        <v>22820279.68</v>
      </c>
      <c r="L3171" s="61"/>
      <c r="M3171" s="62"/>
    </row>
    <row r="3172" ht="15.75" customHeight="1">
      <c r="A3172" s="162">
        <v>46120.0</v>
      </c>
      <c r="B3172" s="50"/>
      <c r="C3172" s="31" t="s">
        <v>1854</v>
      </c>
      <c r="D3172" s="32" t="s">
        <v>99</v>
      </c>
      <c r="E3172" s="31" t="s">
        <v>3445</v>
      </c>
      <c r="F3172" s="134">
        <v>46138.0</v>
      </c>
      <c r="G3172" s="54">
        <v>1.192333807E7</v>
      </c>
      <c r="H3172" s="14">
        <f t="shared" si="10"/>
        <v>2503900.995</v>
      </c>
      <c r="I3172" s="22"/>
      <c r="J3172" s="22">
        <v>596166.9</v>
      </c>
      <c r="K3172" s="15">
        <f t="shared" si="4"/>
        <v>15023405.96</v>
      </c>
      <c r="L3172" s="61"/>
      <c r="M3172" s="62"/>
    </row>
    <row r="3173" ht="15.75" customHeight="1">
      <c r="A3173" s="162">
        <v>46120.0</v>
      </c>
      <c r="B3173" s="50"/>
      <c r="C3173" s="31" t="s">
        <v>1854</v>
      </c>
      <c r="D3173" s="32" t="s">
        <v>99</v>
      </c>
      <c r="E3173" s="31" t="s">
        <v>3446</v>
      </c>
      <c r="F3173" s="134">
        <v>46138.0</v>
      </c>
      <c r="G3173" s="54">
        <v>2.87554455E7</v>
      </c>
      <c r="H3173" s="14">
        <f t="shared" si="10"/>
        <v>6038643.555</v>
      </c>
      <c r="I3173" s="22">
        <v>862663.37</v>
      </c>
      <c r="J3173" s="22">
        <v>1437772.28</v>
      </c>
      <c r="K3173" s="15">
        <f t="shared" si="4"/>
        <v>37094524.71</v>
      </c>
      <c r="L3173" s="61"/>
      <c r="M3173" s="62"/>
    </row>
    <row r="3174" ht="15.75" customHeight="1">
      <c r="A3174" s="162">
        <v>46120.0</v>
      </c>
      <c r="B3174" s="50"/>
      <c r="C3174" s="31" t="s">
        <v>1854</v>
      </c>
      <c r="D3174" s="32" t="s">
        <v>99</v>
      </c>
      <c r="E3174" s="31" t="s">
        <v>3447</v>
      </c>
      <c r="F3174" s="134">
        <v>46138.0</v>
      </c>
      <c r="G3174" s="54">
        <v>2.822293725E7</v>
      </c>
      <c r="H3174" s="14">
        <f t="shared" si="10"/>
        <v>5926816.823</v>
      </c>
      <c r="I3174" s="22">
        <v>846688.12</v>
      </c>
      <c r="J3174" s="22">
        <v>1411146.86</v>
      </c>
      <c r="K3174" s="15">
        <f t="shared" si="4"/>
        <v>36407589.05</v>
      </c>
      <c r="L3174" s="61"/>
      <c r="M3174" s="62"/>
    </row>
    <row r="3175" ht="15.75" customHeight="1">
      <c r="A3175" s="162">
        <v>46120.0</v>
      </c>
      <c r="B3175" s="50"/>
      <c r="C3175" s="31" t="s">
        <v>1854</v>
      </c>
      <c r="D3175" s="32" t="s">
        <v>15</v>
      </c>
      <c r="E3175" s="31" t="s">
        <v>3448</v>
      </c>
      <c r="F3175" s="134">
        <v>46138.0</v>
      </c>
      <c r="G3175" s="54">
        <v>1.290333314E7</v>
      </c>
      <c r="H3175" s="14">
        <f t="shared" si="10"/>
        <v>2709699.959</v>
      </c>
      <c r="I3175" s="22"/>
      <c r="J3175" s="22">
        <v>645166.66</v>
      </c>
      <c r="K3175" s="15">
        <f t="shared" si="4"/>
        <v>16258199.76</v>
      </c>
      <c r="L3175" s="61"/>
      <c r="M3175" s="62"/>
    </row>
    <row r="3176" ht="15.75" customHeight="1">
      <c r="A3176" s="162">
        <v>46120.0</v>
      </c>
      <c r="B3176" s="50"/>
      <c r="C3176" s="31" t="s">
        <v>1854</v>
      </c>
      <c r="D3176" s="32" t="s">
        <v>15</v>
      </c>
      <c r="E3176" s="31" t="s">
        <v>3449</v>
      </c>
      <c r="F3176" s="134">
        <v>46138.0</v>
      </c>
      <c r="G3176" s="54">
        <v>2.611233617E7</v>
      </c>
      <c r="H3176" s="14">
        <f t="shared" si="10"/>
        <v>5483590.596</v>
      </c>
      <c r="I3176" s="22"/>
      <c r="J3176" s="22">
        <v>1305616.81</v>
      </c>
      <c r="K3176" s="15">
        <f t="shared" si="4"/>
        <v>32901543.58</v>
      </c>
      <c r="L3176" s="61"/>
      <c r="M3176" s="62"/>
    </row>
    <row r="3177" ht="15.75" customHeight="1">
      <c r="A3177" s="162">
        <v>46120.0</v>
      </c>
      <c r="B3177" s="50"/>
      <c r="C3177" s="31" t="s">
        <v>1854</v>
      </c>
      <c r="D3177" s="32" t="s">
        <v>15</v>
      </c>
      <c r="E3177" s="31" t="s">
        <v>3450</v>
      </c>
      <c r="F3177" s="134">
        <v>46138.0</v>
      </c>
      <c r="G3177" s="54">
        <v>3.68881272E7</v>
      </c>
      <c r="H3177" s="14">
        <f t="shared" si="10"/>
        <v>7746506.712</v>
      </c>
      <c r="I3177" s="22">
        <v>1106643.82</v>
      </c>
      <c r="J3177" s="22">
        <v>1844406.36</v>
      </c>
      <c r="K3177" s="15">
        <f t="shared" si="4"/>
        <v>47585684.09</v>
      </c>
      <c r="L3177" s="61"/>
      <c r="M3177" s="62"/>
    </row>
    <row r="3178" ht="15.75" customHeight="1">
      <c r="A3178" s="162">
        <v>46120.0</v>
      </c>
      <c r="B3178" s="50"/>
      <c r="C3178" s="31" t="s">
        <v>1854</v>
      </c>
      <c r="D3178" s="32" t="s">
        <v>15</v>
      </c>
      <c r="E3178" s="31" t="s">
        <v>3451</v>
      </c>
      <c r="F3178" s="134">
        <v>46138.0</v>
      </c>
      <c r="G3178" s="54">
        <v>1.662335307E7</v>
      </c>
      <c r="H3178" s="14">
        <f t="shared" si="10"/>
        <v>3490904.145</v>
      </c>
      <c r="I3178" s="22"/>
      <c r="J3178" s="22">
        <v>831167.65</v>
      </c>
      <c r="K3178" s="15">
        <f t="shared" si="4"/>
        <v>20945424.86</v>
      </c>
      <c r="L3178" s="61"/>
      <c r="M3178" s="62"/>
    </row>
    <row r="3179" ht="15.75" customHeight="1">
      <c r="A3179" s="162">
        <v>46120.0</v>
      </c>
      <c r="B3179" s="50"/>
      <c r="C3179" s="31" t="s">
        <v>1854</v>
      </c>
      <c r="D3179" s="32" t="s">
        <v>15</v>
      </c>
      <c r="E3179" s="31" t="s">
        <v>3452</v>
      </c>
      <c r="F3179" s="134">
        <v>46138.0</v>
      </c>
      <c r="G3179" s="54">
        <v>1.576565612E7</v>
      </c>
      <c r="H3179" s="14">
        <f t="shared" si="10"/>
        <v>3310787.785</v>
      </c>
      <c r="I3179" s="22"/>
      <c r="J3179" s="22">
        <v>788282.81</v>
      </c>
      <c r="K3179" s="15">
        <f t="shared" si="4"/>
        <v>19864726.72</v>
      </c>
      <c r="L3179" s="61"/>
      <c r="M3179" s="62"/>
    </row>
    <row r="3180" ht="15.75" customHeight="1">
      <c r="A3180" s="162">
        <v>46120.0</v>
      </c>
      <c r="B3180" s="50"/>
      <c r="C3180" s="31" t="s">
        <v>1854</v>
      </c>
      <c r="D3180" s="32" t="s">
        <v>15</v>
      </c>
      <c r="E3180" s="31" t="s">
        <v>3453</v>
      </c>
      <c r="F3180" s="134">
        <v>46138.0</v>
      </c>
      <c r="G3180" s="54">
        <v>1.384473307E7</v>
      </c>
      <c r="H3180" s="14">
        <f t="shared" si="10"/>
        <v>2907393.945</v>
      </c>
      <c r="I3180" s="22"/>
      <c r="J3180" s="22">
        <v>692236.65</v>
      </c>
      <c r="K3180" s="15">
        <f t="shared" si="4"/>
        <v>17444363.66</v>
      </c>
      <c r="L3180" s="61"/>
      <c r="M3180" s="62"/>
    </row>
    <row r="3181" ht="15.75" customHeight="1">
      <c r="A3181" s="162">
        <v>46120.0</v>
      </c>
      <c r="B3181" s="50"/>
      <c r="C3181" s="31" t="s">
        <v>1854</v>
      </c>
      <c r="D3181" s="32" t="s">
        <v>15</v>
      </c>
      <c r="E3181" s="31" t="s">
        <v>3454</v>
      </c>
      <c r="F3181" s="134">
        <v>46138.0</v>
      </c>
      <c r="G3181" s="54">
        <v>3.61921248E7</v>
      </c>
      <c r="H3181" s="14">
        <f t="shared" si="10"/>
        <v>7600346.208</v>
      </c>
      <c r="I3181" s="22">
        <v>1085763.74</v>
      </c>
      <c r="J3181" s="22">
        <v>1809606.24</v>
      </c>
      <c r="K3181" s="15">
        <f t="shared" si="4"/>
        <v>46687840.99</v>
      </c>
      <c r="L3181" s="61"/>
      <c r="M3181" s="62"/>
    </row>
    <row r="3182" ht="15.75" customHeight="1">
      <c r="A3182" s="162">
        <v>46120.0</v>
      </c>
      <c r="B3182" s="50"/>
      <c r="C3182" s="31" t="s">
        <v>1854</v>
      </c>
      <c r="D3182" s="32" t="s">
        <v>15</v>
      </c>
      <c r="E3182" s="31" t="s">
        <v>3455</v>
      </c>
      <c r="F3182" s="134">
        <v>46138.0</v>
      </c>
      <c r="G3182" s="54">
        <v>1.313785704E7</v>
      </c>
      <c r="H3182" s="14">
        <f t="shared" si="10"/>
        <v>2758949.978</v>
      </c>
      <c r="I3182" s="22">
        <v>394135.71</v>
      </c>
      <c r="J3182" s="22">
        <v>656892.85</v>
      </c>
      <c r="K3182" s="15">
        <f t="shared" si="4"/>
        <v>16947835.58</v>
      </c>
      <c r="L3182" s="61"/>
      <c r="M3182" s="62"/>
    </row>
    <row r="3183" ht="15.75" customHeight="1">
      <c r="A3183" s="162">
        <v>46120.0</v>
      </c>
      <c r="B3183" s="50"/>
      <c r="C3183" s="31" t="s">
        <v>1858</v>
      </c>
      <c r="D3183" s="32" t="s">
        <v>99</v>
      </c>
      <c r="E3183" s="31" t="s">
        <v>3456</v>
      </c>
      <c r="F3183" s="134">
        <v>46138.0</v>
      </c>
      <c r="G3183" s="54">
        <v>9047064.6</v>
      </c>
      <c r="H3183" s="14">
        <f t="shared" si="10"/>
        <v>1899883.566</v>
      </c>
      <c r="I3183" s="22">
        <v>271411.94</v>
      </c>
      <c r="J3183" s="22">
        <v>36188.26</v>
      </c>
      <c r="K3183" s="15">
        <f t="shared" si="4"/>
        <v>11254548.37</v>
      </c>
      <c r="L3183" s="45"/>
      <c r="M3183" s="6"/>
    </row>
    <row r="3184" ht="15.75" customHeight="1">
      <c r="A3184" s="162">
        <v>46120.0</v>
      </c>
      <c r="B3184" s="50"/>
      <c r="C3184" s="31" t="s">
        <v>1858</v>
      </c>
      <c r="D3184" s="32" t="s">
        <v>99</v>
      </c>
      <c r="E3184" s="31" t="s">
        <v>3457</v>
      </c>
      <c r="F3184" s="134">
        <v>46138.0</v>
      </c>
      <c r="G3184" s="54">
        <v>1.0640284E7</v>
      </c>
      <c r="H3184" s="14">
        <f t="shared" si="10"/>
        <v>2234459.64</v>
      </c>
      <c r="I3184" s="22">
        <v>319208.52</v>
      </c>
      <c r="J3184" s="22">
        <v>42561.14</v>
      </c>
      <c r="K3184" s="15">
        <f t="shared" si="4"/>
        <v>13236513.3</v>
      </c>
      <c r="L3184" s="45"/>
      <c r="M3184" s="6"/>
    </row>
    <row r="3185" ht="15.75" customHeight="1">
      <c r="A3185" s="162">
        <v>46120.0</v>
      </c>
      <c r="B3185" s="50"/>
      <c r="C3185" s="31" t="s">
        <v>1858</v>
      </c>
      <c r="D3185" s="32" t="s">
        <v>15</v>
      </c>
      <c r="E3185" s="31" t="s">
        <v>3458</v>
      </c>
      <c r="F3185" s="134">
        <v>46138.0</v>
      </c>
      <c r="G3185" s="54">
        <v>3.480415015E7</v>
      </c>
      <c r="H3185" s="14">
        <f t="shared" si="10"/>
        <v>7308871.532</v>
      </c>
      <c r="I3185" s="22">
        <v>1044124.5</v>
      </c>
      <c r="J3185" s="22">
        <v>139216.6</v>
      </c>
      <c r="K3185" s="15">
        <f t="shared" si="4"/>
        <v>43296362.78</v>
      </c>
      <c r="L3185" s="45"/>
      <c r="M3185" s="6"/>
    </row>
    <row r="3186" ht="15.75" customHeight="1">
      <c r="A3186" s="162">
        <v>46120.0</v>
      </c>
      <c r="B3186" s="50"/>
      <c r="C3186" s="31" t="s">
        <v>1861</v>
      </c>
      <c r="D3186" s="32" t="s">
        <v>99</v>
      </c>
      <c r="E3186" s="31" t="s">
        <v>3459</v>
      </c>
      <c r="F3186" s="134">
        <v>46138.0</v>
      </c>
      <c r="G3186" s="54">
        <v>3.31932854E7</v>
      </c>
      <c r="H3186" s="14">
        <f t="shared" si="10"/>
        <v>6970589.934</v>
      </c>
      <c r="I3186" s="22">
        <v>995798.56</v>
      </c>
      <c r="J3186" s="22">
        <v>663865.71</v>
      </c>
      <c r="K3186" s="15">
        <f t="shared" si="4"/>
        <v>41823539.6</v>
      </c>
      <c r="L3186" s="45"/>
      <c r="M3186" s="6"/>
    </row>
    <row r="3187" ht="15.75" customHeight="1">
      <c r="A3187" s="162">
        <v>46120.0</v>
      </c>
      <c r="B3187" s="50"/>
      <c r="C3187" s="31" t="s">
        <v>1861</v>
      </c>
      <c r="D3187" s="32" t="s">
        <v>15</v>
      </c>
      <c r="E3187" s="31" t="s">
        <v>3460</v>
      </c>
      <c r="F3187" s="134">
        <v>46138.0</v>
      </c>
      <c r="G3187" s="54">
        <v>2.768977616E7</v>
      </c>
      <c r="H3187" s="14">
        <f t="shared" si="10"/>
        <v>5814852.994</v>
      </c>
      <c r="I3187" s="22">
        <v>830693.28</v>
      </c>
      <c r="J3187" s="22">
        <v>553795.52</v>
      </c>
      <c r="K3187" s="15">
        <f t="shared" si="4"/>
        <v>34889117.95</v>
      </c>
      <c r="L3187" s="45"/>
      <c r="M3187" s="6"/>
    </row>
    <row r="3188" ht="15.75" customHeight="1">
      <c r="A3188" s="162">
        <v>46120.0</v>
      </c>
      <c r="B3188" s="50"/>
      <c r="C3188" s="31" t="s">
        <v>1861</v>
      </c>
      <c r="D3188" s="32" t="s">
        <v>15</v>
      </c>
      <c r="E3188" s="31" t="s">
        <v>3461</v>
      </c>
      <c r="F3188" s="134">
        <v>46138.0</v>
      </c>
      <c r="G3188" s="54">
        <v>2.599690545E7</v>
      </c>
      <c r="H3188" s="14">
        <f t="shared" si="10"/>
        <v>5459350.145</v>
      </c>
      <c r="I3188" s="22">
        <v>779907.16</v>
      </c>
      <c r="J3188" s="22">
        <v>519938.11</v>
      </c>
      <c r="K3188" s="15">
        <f t="shared" si="4"/>
        <v>32756100.86</v>
      </c>
      <c r="L3188" s="45"/>
      <c r="M3188" s="6"/>
    </row>
    <row r="3189" ht="15.75" customHeight="1">
      <c r="A3189" s="162">
        <v>46120.0</v>
      </c>
      <c r="B3189" s="50"/>
      <c r="C3189" s="31" t="s">
        <v>3462</v>
      </c>
      <c r="D3189" s="32" t="s">
        <v>99</v>
      </c>
      <c r="E3189" s="31" t="s">
        <v>3463</v>
      </c>
      <c r="F3189" s="134">
        <v>46138.0</v>
      </c>
      <c r="G3189" s="54">
        <v>1.935837041E7</v>
      </c>
      <c r="H3189" s="14">
        <f t="shared" si="10"/>
        <v>4065257.786</v>
      </c>
      <c r="I3189" s="22">
        <v>580751.11</v>
      </c>
      <c r="J3189" s="22">
        <v>96791.85</v>
      </c>
      <c r="K3189" s="15">
        <f t="shared" si="4"/>
        <v>24101171.16</v>
      </c>
      <c r="L3189" s="45"/>
      <c r="M3189" s="6"/>
    </row>
    <row r="3190" ht="15.75" customHeight="1">
      <c r="A3190" s="162">
        <v>46120.0</v>
      </c>
      <c r="B3190" s="50"/>
      <c r="C3190" s="31" t="s">
        <v>3462</v>
      </c>
      <c r="D3190" s="32" t="s">
        <v>99</v>
      </c>
      <c r="E3190" s="31" t="s">
        <v>3464</v>
      </c>
      <c r="F3190" s="134">
        <v>46138.0</v>
      </c>
      <c r="G3190" s="54">
        <v>2.021758041E7</v>
      </c>
      <c r="H3190" s="14">
        <f t="shared" si="10"/>
        <v>4245691.886</v>
      </c>
      <c r="I3190" s="22">
        <v>606527.41</v>
      </c>
      <c r="J3190" s="22">
        <v>101087.9</v>
      </c>
      <c r="K3190" s="15">
        <f t="shared" si="4"/>
        <v>25170887.61</v>
      </c>
      <c r="L3190" s="45"/>
      <c r="M3190" s="6"/>
    </row>
    <row r="3191" ht="15.75" customHeight="1">
      <c r="A3191" s="162">
        <v>46120.0</v>
      </c>
      <c r="B3191" s="50"/>
      <c r="C3191" s="31" t="s">
        <v>3462</v>
      </c>
      <c r="D3191" s="32" t="s">
        <v>99</v>
      </c>
      <c r="E3191" s="31" t="s">
        <v>3465</v>
      </c>
      <c r="F3191" s="134">
        <v>46138.0</v>
      </c>
      <c r="G3191" s="54">
        <v>2.343379012E7</v>
      </c>
      <c r="H3191" s="14">
        <f t="shared" si="10"/>
        <v>4921095.925</v>
      </c>
      <c r="I3191" s="22">
        <v>703013.7</v>
      </c>
      <c r="J3191" s="22">
        <v>117168.95</v>
      </c>
      <c r="K3191" s="15">
        <f t="shared" si="4"/>
        <v>29175068.7</v>
      </c>
      <c r="L3191" s="45"/>
      <c r="M3191" s="6"/>
    </row>
    <row r="3192" ht="15.75" customHeight="1">
      <c r="A3192" s="162">
        <v>46120.0</v>
      </c>
      <c r="B3192" s="50"/>
      <c r="C3192" s="32" t="s">
        <v>122</v>
      </c>
      <c r="D3192" s="32" t="s">
        <v>15</v>
      </c>
      <c r="E3192" s="31" t="s">
        <v>3466</v>
      </c>
      <c r="F3192" s="134">
        <v>46138.0</v>
      </c>
      <c r="G3192" s="54">
        <v>6003611.61</v>
      </c>
      <c r="H3192" s="14">
        <f t="shared" si="10"/>
        <v>1260758.438</v>
      </c>
      <c r="I3192" s="22"/>
      <c r="J3192" s="22"/>
      <c r="K3192" s="15">
        <f t="shared" si="4"/>
        <v>7264370.048</v>
      </c>
      <c r="L3192" s="45"/>
      <c r="M3192" s="6"/>
    </row>
    <row r="3193" ht="15.75" customHeight="1">
      <c r="A3193" s="162">
        <v>46121.0</v>
      </c>
      <c r="B3193" s="50"/>
      <c r="C3193" s="31" t="s">
        <v>22</v>
      </c>
      <c r="D3193" s="32" t="s">
        <v>15</v>
      </c>
      <c r="E3193" s="31" t="s">
        <v>3467</v>
      </c>
      <c r="F3193" s="134">
        <v>46138.0</v>
      </c>
      <c r="G3193" s="54">
        <v>1.310245022E7</v>
      </c>
      <c r="H3193" s="14">
        <f t="shared" si="10"/>
        <v>2751514.546</v>
      </c>
      <c r="I3193" s="22">
        <v>393073.51</v>
      </c>
      <c r="J3193" s="22">
        <v>209639.2</v>
      </c>
      <c r="K3193" s="15">
        <f t="shared" si="4"/>
        <v>16456677.48</v>
      </c>
      <c r="L3193" s="45"/>
      <c r="M3193" s="6"/>
    </row>
    <row r="3194" ht="15.75" customHeight="1">
      <c r="A3194" s="162">
        <v>46121.0</v>
      </c>
      <c r="B3194" s="50"/>
      <c r="C3194" s="31" t="s">
        <v>22</v>
      </c>
      <c r="D3194" s="32" t="s">
        <v>15</v>
      </c>
      <c r="E3194" s="31" t="s">
        <v>3468</v>
      </c>
      <c r="F3194" s="134">
        <v>46138.0</v>
      </c>
      <c r="G3194" s="54">
        <v>1.274590089E7</v>
      </c>
      <c r="H3194" s="14">
        <f t="shared" si="10"/>
        <v>2676639.187</v>
      </c>
      <c r="I3194" s="22">
        <v>382377.03</v>
      </c>
      <c r="J3194" s="22">
        <v>203934.41</v>
      </c>
      <c r="K3194" s="15">
        <f t="shared" si="4"/>
        <v>16008851.52</v>
      </c>
      <c r="L3194" s="45"/>
      <c r="M3194" s="6"/>
    </row>
    <row r="3195" ht="15.75" customHeight="1">
      <c r="A3195" s="162">
        <v>46121.0</v>
      </c>
      <c r="B3195" s="50"/>
      <c r="C3195" s="31" t="s">
        <v>22</v>
      </c>
      <c r="D3195" s="32" t="s">
        <v>15</v>
      </c>
      <c r="E3195" s="31" t="s">
        <v>3469</v>
      </c>
      <c r="F3195" s="134">
        <v>46138.0</v>
      </c>
      <c r="G3195" s="54">
        <v>1.220578062E7</v>
      </c>
      <c r="H3195" s="14">
        <f t="shared" si="10"/>
        <v>2563213.93</v>
      </c>
      <c r="I3195" s="22">
        <v>366173.42</v>
      </c>
      <c r="J3195" s="22">
        <v>195292.49</v>
      </c>
      <c r="K3195" s="15">
        <f t="shared" si="4"/>
        <v>15330460.46</v>
      </c>
      <c r="L3195" s="45"/>
      <c r="M3195" s="6"/>
    </row>
    <row r="3196" ht="15.75" customHeight="1">
      <c r="A3196" s="162">
        <v>46121.0</v>
      </c>
      <c r="B3196" s="50"/>
      <c r="C3196" s="31" t="s">
        <v>22</v>
      </c>
      <c r="D3196" s="32" t="s">
        <v>15</v>
      </c>
      <c r="E3196" s="31" t="s">
        <v>3470</v>
      </c>
      <c r="F3196" s="134">
        <v>46138.0</v>
      </c>
      <c r="G3196" s="54">
        <v>1.241265023E7</v>
      </c>
      <c r="H3196" s="14">
        <f t="shared" si="10"/>
        <v>2606656.548</v>
      </c>
      <c r="I3196" s="22">
        <v>372379.51</v>
      </c>
      <c r="J3196" s="22">
        <v>198602.4</v>
      </c>
      <c r="K3196" s="15">
        <f t="shared" si="4"/>
        <v>15590288.69</v>
      </c>
      <c r="L3196" s="45"/>
      <c r="M3196" s="6"/>
    </row>
    <row r="3197" ht="15.75" customHeight="1">
      <c r="A3197" s="162">
        <v>46121.0</v>
      </c>
      <c r="B3197" s="50"/>
      <c r="C3197" s="31" t="s">
        <v>216</v>
      </c>
      <c r="D3197" s="32" t="s">
        <v>15</v>
      </c>
      <c r="E3197" s="31" t="s">
        <v>3471</v>
      </c>
      <c r="F3197" s="134">
        <v>46138.0</v>
      </c>
      <c r="G3197" s="54">
        <v>1.279280045E7</v>
      </c>
      <c r="H3197" s="14">
        <f t="shared" si="10"/>
        <v>2686488.095</v>
      </c>
      <c r="I3197" s="22">
        <v>383784.01</v>
      </c>
      <c r="J3197" s="22">
        <v>767568.03</v>
      </c>
      <c r="K3197" s="15">
        <f t="shared" si="4"/>
        <v>16630640.58</v>
      </c>
      <c r="L3197" s="45"/>
      <c r="M3197" s="6"/>
    </row>
    <row r="3198" ht="15.75" customHeight="1">
      <c r="A3198" s="162">
        <v>46121.0</v>
      </c>
      <c r="B3198" s="50"/>
      <c r="C3198" s="31" t="s">
        <v>216</v>
      </c>
      <c r="D3198" s="32" t="s">
        <v>15</v>
      </c>
      <c r="E3198" s="31" t="s">
        <v>3472</v>
      </c>
      <c r="F3198" s="134">
        <v>46138.0</v>
      </c>
      <c r="G3198" s="54">
        <v>1.372560082E7</v>
      </c>
      <c r="H3198" s="14">
        <f t="shared" si="10"/>
        <v>2882376.172</v>
      </c>
      <c r="I3198" s="22">
        <v>411768.02</v>
      </c>
      <c r="J3198" s="22">
        <v>823536.05</v>
      </c>
      <c r="K3198" s="15">
        <f t="shared" si="4"/>
        <v>17843281.06</v>
      </c>
      <c r="L3198" s="45"/>
      <c r="M3198" s="6"/>
    </row>
    <row r="3199" ht="15.75" customHeight="1">
      <c r="A3199" s="162">
        <v>46121.0</v>
      </c>
      <c r="B3199" s="50"/>
      <c r="C3199" s="31" t="s">
        <v>216</v>
      </c>
      <c r="D3199" s="32" t="s">
        <v>15</v>
      </c>
      <c r="E3199" s="31" t="s">
        <v>3473</v>
      </c>
      <c r="F3199" s="134">
        <v>46138.0</v>
      </c>
      <c r="G3199" s="54">
        <v>1.239950149E7</v>
      </c>
      <c r="H3199" s="14">
        <f t="shared" si="10"/>
        <v>2603895.313</v>
      </c>
      <c r="I3199" s="22">
        <v>371985.04</v>
      </c>
      <c r="J3199" s="22">
        <v>743970.09</v>
      </c>
      <c r="K3199" s="15">
        <f t="shared" si="4"/>
        <v>16119351.93</v>
      </c>
      <c r="L3199" s="45"/>
      <c r="M3199" s="6"/>
    </row>
    <row r="3200" ht="15.75" customHeight="1">
      <c r="A3200" s="162">
        <v>46121.0</v>
      </c>
      <c r="B3200" s="50"/>
      <c r="C3200" s="31" t="s">
        <v>216</v>
      </c>
      <c r="D3200" s="32" t="s">
        <v>15</v>
      </c>
      <c r="E3200" s="31" t="s">
        <v>3474</v>
      </c>
      <c r="F3200" s="134">
        <v>46138.0</v>
      </c>
      <c r="G3200" s="54">
        <v>1.310564087E7</v>
      </c>
      <c r="H3200" s="14">
        <f t="shared" si="10"/>
        <v>2752184.583</v>
      </c>
      <c r="I3200" s="22">
        <v>393169.23</v>
      </c>
      <c r="J3200" s="22">
        <v>786338.45</v>
      </c>
      <c r="K3200" s="15">
        <f t="shared" si="4"/>
        <v>17037333.13</v>
      </c>
      <c r="L3200" s="45"/>
      <c r="M3200" s="6"/>
    </row>
    <row r="3201" ht="15.75" customHeight="1">
      <c r="A3201" s="162">
        <v>46121.0</v>
      </c>
      <c r="B3201" s="50"/>
      <c r="C3201" s="31" t="s">
        <v>221</v>
      </c>
      <c r="D3201" s="32" t="s">
        <v>15</v>
      </c>
      <c r="E3201" s="31" t="s">
        <v>3475</v>
      </c>
      <c r="F3201" s="134">
        <v>46138.0</v>
      </c>
      <c r="G3201" s="54">
        <v>2.32842729E7</v>
      </c>
      <c r="H3201" s="14">
        <f t="shared" si="10"/>
        <v>4889697.309</v>
      </c>
      <c r="I3201" s="22"/>
      <c r="J3201" s="22">
        <v>1164213.65</v>
      </c>
      <c r="K3201" s="15">
        <f t="shared" si="4"/>
        <v>29338183.86</v>
      </c>
      <c r="L3201" s="45"/>
      <c r="M3201" s="6"/>
    </row>
    <row r="3202" ht="15.75" customHeight="1">
      <c r="A3202" s="162">
        <v>46121.0</v>
      </c>
      <c r="B3202" s="50"/>
      <c r="C3202" s="31" t="s">
        <v>221</v>
      </c>
      <c r="D3202" s="32" t="s">
        <v>15</v>
      </c>
      <c r="E3202" s="31" t="s">
        <v>3476</v>
      </c>
      <c r="F3202" s="134">
        <v>46138.0</v>
      </c>
      <c r="G3202" s="54">
        <v>1.281230215E7</v>
      </c>
      <c r="H3202" s="14">
        <f t="shared" si="10"/>
        <v>2690583.452</v>
      </c>
      <c r="I3202" s="22"/>
      <c r="J3202" s="22">
        <v>640615.11</v>
      </c>
      <c r="K3202" s="15">
        <f t="shared" si="4"/>
        <v>16143500.71</v>
      </c>
      <c r="L3202" s="45"/>
      <c r="M3202" s="6"/>
    </row>
    <row r="3203" ht="15.75" customHeight="1">
      <c r="A3203" s="162">
        <v>46121.0</v>
      </c>
      <c r="B3203" s="50"/>
      <c r="C3203" s="31" t="s">
        <v>221</v>
      </c>
      <c r="D3203" s="32" t="s">
        <v>15</v>
      </c>
      <c r="E3203" s="31" t="s">
        <v>3477</v>
      </c>
      <c r="F3203" s="134">
        <v>46138.0</v>
      </c>
      <c r="G3203" s="54">
        <v>1.290578126E7</v>
      </c>
      <c r="H3203" s="14">
        <f t="shared" si="10"/>
        <v>2710214.065</v>
      </c>
      <c r="I3203" s="22"/>
      <c r="J3203" s="22">
        <v>645289.06</v>
      </c>
      <c r="K3203" s="15">
        <f t="shared" si="4"/>
        <v>16261284.38</v>
      </c>
      <c r="L3203" s="45"/>
      <c r="M3203" s="6"/>
    </row>
    <row r="3204" ht="15.75" customHeight="1">
      <c r="A3204" s="162">
        <v>46121.0</v>
      </c>
      <c r="B3204" s="50"/>
      <c r="C3204" s="31" t="s">
        <v>221</v>
      </c>
      <c r="D3204" s="32" t="s">
        <v>15</v>
      </c>
      <c r="E3204" s="31" t="s">
        <v>3478</v>
      </c>
      <c r="F3204" s="134">
        <v>46138.0</v>
      </c>
      <c r="G3204" s="54">
        <v>1.310540219E7</v>
      </c>
      <c r="H3204" s="14">
        <f t="shared" si="10"/>
        <v>2752134.46</v>
      </c>
      <c r="I3204" s="22"/>
      <c r="J3204" s="22">
        <v>655270.11</v>
      </c>
      <c r="K3204" s="15">
        <f t="shared" si="4"/>
        <v>16512806.76</v>
      </c>
      <c r="L3204" s="45"/>
      <c r="M3204" s="6"/>
    </row>
    <row r="3205" ht="15.75" customHeight="1">
      <c r="A3205" s="162">
        <v>46121.0</v>
      </c>
      <c r="B3205" s="50"/>
      <c r="C3205" s="31" t="s">
        <v>2842</v>
      </c>
      <c r="D3205" s="32" t="s">
        <v>15</v>
      </c>
      <c r="E3205" s="31" t="s">
        <v>3479</v>
      </c>
      <c r="F3205" s="134">
        <v>46138.0</v>
      </c>
      <c r="G3205" s="54">
        <v>1.438790058E7</v>
      </c>
      <c r="H3205" s="14">
        <f t="shared" si="10"/>
        <v>3021459.122</v>
      </c>
      <c r="I3205" s="22">
        <v>431637.02</v>
      </c>
      <c r="J3205" s="22">
        <v>359697.51</v>
      </c>
      <c r="K3205" s="15">
        <f t="shared" si="4"/>
        <v>18200694.23</v>
      </c>
      <c r="L3205" s="45"/>
      <c r="M3205" s="6"/>
    </row>
    <row r="3206" ht="15.75" customHeight="1">
      <c r="A3206" s="162">
        <v>46121.0</v>
      </c>
      <c r="B3206" s="50"/>
      <c r="C3206" s="31" t="s">
        <v>541</v>
      </c>
      <c r="D3206" s="32" t="s">
        <v>15</v>
      </c>
      <c r="E3206" s="31" t="s">
        <v>3480</v>
      </c>
      <c r="F3206" s="134">
        <v>46138.0</v>
      </c>
      <c r="G3206" s="54">
        <v>1.251657008E7</v>
      </c>
      <c r="H3206" s="14">
        <f t="shared" si="10"/>
        <v>2628479.717</v>
      </c>
      <c r="I3206" s="22"/>
      <c r="J3206" s="22"/>
      <c r="K3206" s="15">
        <f t="shared" si="4"/>
        <v>15145049.8</v>
      </c>
      <c r="L3206" s="45"/>
      <c r="M3206" s="6"/>
    </row>
    <row r="3207" ht="15.75" customHeight="1">
      <c r="A3207" s="162">
        <v>46121.0</v>
      </c>
      <c r="B3207" s="50"/>
      <c r="C3207" s="31" t="s">
        <v>2842</v>
      </c>
      <c r="D3207" s="32" t="s">
        <v>15</v>
      </c>
      <c r="E3207" s="31" t="s">
        <v>3481</v>
      </c>
      <c r="F3207" s="134">
        <v>46138.0</v>
      </c>
      <c r="G3207" s="54">
        <v>1.372560214E7</v>
      </c>
      <c r="H3207" s="14">
        <f t="shared" si="10"/>
        <v>2882376.449</v>
      </c>
      <c r="I3207" s="22">
        <v>411768.06</v>
      </c>
      <c r="J3207" s="22">
        <v>343140.05</v>
      </c>
      <c r="K3207" s="15">
        <f t="shared" si="4"/>
        <v>17362886.7</v>
      </c>
      <c r="L3207" s="45"/>
      <c r="M3207" s="6"/>
    </row>
    <row r="3208" ht="15.75" customHeight="1">
      <c r="A3208" s="162">
        <v>46121.0</v>
      </c>
      <c r="B3208" s="50"/>
      <c r="C3208" s="31" t="s">
        <v>216</v>
      </c>
      <c r="D3208" s="32" t="s">
        <v>15</v>
      </c>
      <c r="E3208" s="31" t="s">
        <v>3482</v>
      </c>
      <c r="F3208" s="134">
        <v>46138.0</v>
      </c>
      <c r="G3208" s="54">
        <v>1.310233509E7</v>
      </c>
      <c r="H3208" s="14">
        <f t="shared" si="10"/>
        <v>2751490.369</v>
      </c>
      <c r="I3208" s="22">
        <v>393070.05</v>
      </c>
      <c r="J3208" s="22">
        <v>786140.11</v>
      </c>
      <c r="K3208" s="15">
        <f t="shared" si="4"/>
        <v>17033035.62</v>
      </c>
      <c r="L3208" s="45"/>
      <c r="M3208" s="6"/>
    </row>
    <row r="3209" ht="15.75" customHeight="1">
      <c r="A3209" s="162">
        <v>46121.0</v>
      </c>
      <c r="B3209" s="50"/>
      <c r="C3209" s="31" t="s">
        <v>22</v>
      </c>
      <c r="D3209" s="32" t="s">
        <v>15</v>
      </c>
      <c r="E3209" s="31" t="s">
        <v>3483</v>
      </c>
      <c r="F3209" s="134">
        <v>46138.0</v>
      </c>
      <c r="G3209" s="54">
        <v>1.285743028E7</v>
      </c>
      <c r="H3209" s="14">
        <f t="shared" si="10"/>
        <v>2700060.359</v>
      </c>
      <c r="I3209" s="22">
        <v>385722.91</v>
      </c>
      <c r="J3209" s="22">
        <v>205718.88</v>
      </c>
      <c r="K3209" s="15">
        <f t="shared" si="4"/>
        <v>16148932.43</v>
      </c>
      <c r="L3209" s="45"/>
      <c r="M3209" s="6"/>
    </row>
    <row r="3210" ht="15.75" customHeight="1">
      <c r="A3210" s="162">
        <v>46121.0</v>
      </c>
      <c r="B3210" s="50"/>
      <c r="C3210" s="31" t="s">
        <v>221</v>
      </c>
      <c r="D3210" s="32" t="s">
        <v>15</v>
      </c>
      <c r="E3210" s="31" t="s">
        <v>3484</v>
      </c>
      <c r="F3210" s="134">
        <v>46138.0</v>
      </c>
      <c r="G3210" s="54">
        <v>1.310964152E7</v>
      </c>
      <c r="H3210" s="14">
        <f t="shared" si="10"/>
        <v>2753024.719</v>
      </c>
      <c r="I3210" s="22"/>
      <c r="J3210" s="22">
        <v>655482.08</v>
      </c>
      <c r="K3210" s="15">
        <f t="shared" si="4"/>
        <v>16518148.32</v>
      </c>
      <c r="L3210" s="45"/>
      <c r="M3210" s="6"/>
    </row>
    <row r="3211" ht="15.75" customHeight="1">
      <c r="A3211" s="162">
        <v>46121.0</v>
      </c>
      <c r="B3211" s="50"/>
      <c r="C3211" s="31" t="s">
        <v>64</v>
      </c>
      <c r="D3211" s="32" t="s">
        <v>99</v>
      </c>
      <c r="E3211" s="31" t="s">
        <v>3485</v>
      </c>
      <c r="F3211" s="134">
        <v>46138.0</v>
      </c>
      <c r="G3211" s="54">
        <v>1.051935012E7</v>
      </c>
      <c r="H3211" s="14">
        <f t="shared" si="10"/>
        <v>2209063.525</v>
      </c>
      <c r="I3211" s="22">
        <v>315580.5</v>
      </c>
      <c r="J3211" s="22"/>
      <c r="K3211" s="15">
        <f t="shared" si="4"/>
        <v>13043994.15</v>
      </c>
      <c r="L3211" s="45"/>
      <c r="M3211" s="6"/>
    </row>
    <row r="3212" ht="15.75" customHeight="1">
      <c r="A3212" s="162">
        <v>46122.0</v>
      </c>
      <c r="B3212" s="50"/>
      <c r="C3212" s="31" t="s">
        <v>1685</v>
      </c>
      <c r="D3212" s="32" t="s">
        <v>15</v>
      </c>
      <c r="E3212" s="31" t="s">
        <v>3486</v>
      </c>
      <c r="F3212" s="134">
        <v>46138.0</v>
      </c>
      <c r="G3212" s="54">
        <v>1.200235059E7</v>
      </c>
      <c r="H3212" s="14">
        <f t="shared" si="10"/>
        <v>2520493.624</v>
      </c>
      <c r="I3212" s="22">
        <v>360070.52</v>
      </c>
      <c r="J3212" s="22"/>
      <c r="K3212" s="15">
        <f t="shared" si="4"/>
        <v>14882914.73</v>
      </c>
      <c r="L3212" s="45"/>
      <c r="M3212" s="6"/>
    </row>
    <row r="3213" ht="15.75" customHeight="1">
      <c r="A3213" s="162">
        <v>46122.0</v>
      </c>
      <c r="B3213" s="50"/>
      <c r="C3213" s="31" t="s">
        <v>22</v>
      </c>
      <c r="D3213" s="32" t="s">
        <v>99</v>
      </c>
      <c r="E3213" s="31" t="s">
        <v>3487</v>
      </c>
      <c r="F3213" s="134">
        <v>46138.0</v>
      </c>
      <c r="G3213" s="54">
        <v>1.285576025E7</v>
      </c>
      <c r="H3213" s="14">
        <f t="shared" si="10"/>
        <v>2699709.653</v>
      </c>
      <c r="I3213" s="22">
        <v>385672.81</v>
      </c>
      <c r="J3213" s="22">
        <v>205692.16</v>
      </c>
      <c r="K3213" s="15">
        <f t="shared" si="4"/>
        <v>16146834.87</v>
      </c>
      <c r="L3213" s="45"/>
      <c r="M3213" s="6"/>
    </row>
    <row r="3214" ht="15.75" customHeight="1">
      <c r="A3214" s="162">
        <v>46122.0</v>
      </c>
      <c r="B3214" s="50"/>
      <c r="C3214" s="31" t="s">
        <v>22</v>
      </c>
      <c r="D3214" s="32" t="s">
        <v>99</v>
      </c>
      <c r="E3214" s="31" t="s">
        <v>3488</v>
      </c>
      <c r="F3214" s="134">
        <v>46138.0</v>
      </c>
      <c r="G3214" s="54">
        <v>1.299580015E7</v>
      </c>
      <c r="H3214" s="14">
        <f t="shared" si="10"/>
        <v>2729118.032</v>
      </c>
      <c r="I3214" s="22">
        <v>389874.0</v>
      </c>
      <c r="J3214" s="22">
        <v>207932.8</v>
      </c>
      <c r="K3214" s="15">
        <f t="shared" si="4"/>
        <v>16322724.98</v>
      </c>
      <c r="L3214" s="45"/>
      <c r="M3214" s="6"/>
    </row>
    <row r="3215" ht="15.75" customHeight="1">
      <c r="A3215" s="162">
        <v>46122.0</v>
      </c>
      <c r="B3215" s="50"/>
      <c r="C3215" s="31" t="s">
        <v>22</v>
      </c>
      <c r="D3215" s="32" t="s">
        <v>99</v>
      </c>
      <c r="E3215" s="31" t="s">
        <v>3489</v>
      </c>
      <c r="F3215" s="134">
        <v>46138.0</v>
      </c>
      <c r="G3215" s="54">
        <v>1.311052018E7</v>
      </c>
      <c r="H3215" s="14">
        <f t="shared" si="10"/>
        <v>2753209.238</v>
      </c>
      <c r="I3215" s="22">
        <v>393315.61</v>
      </c>
      <c r="J3215" s="22">
        <v>209768.32</v>
      </c>
      <c r="K3215" s="15">
        <f t="shared" si="4"/>
        <v>16466813.35</v>
      </c>
      <c r="L3215" s="45"/>
      <c r="M3215" s="6"/>
    </row>
    <row r="3216" ht="15.75" customHeight="1">
      <c r="A3216" s="162">
        <v>46122.0</v>
      </c>
      <c r="B3216" s="50"/>
      <c r="C3216" s="31" t="s">
        <v>221</v>
      </c>
      <c r="D3216" s="32" t="s">
        <v>99</v>
      </c>
      <c r="E3216" s="31" t="s">
        <v>3490</v>
      </c>
      <c r="F3216" s="134">
        <v>46138.0</v>
      </c>
      <c r="G3216" s="54">
        <v>1.289642015E7</v>
      </c>
      <c r="H3216" s="14">
        <f t="shared" si="10"/>
        <v>2708248.232</v>
      </c>
      <c r="I3216" s="22">
        <v>386892.6</v>
      </c>
      <c r="J3216" s="22">
        <v>644821.01</v>
      </c>
      <c r="K3216" s="15">
        <f t="shared" si="4"/>
        <v>16636381.99</v>
      </c>
      <c r="L3216" s="45"/>
      <c r="M3216" s="6"/>
    </row>
    <row r="3217" ht="15.75" customHeight="1">
      <c r="A3217" s="162">
        <v>46122.0</v>
      </c>
      <c r="B3217" s="50"/>
      <c r="C3217" s="31" t="s">
        <v>221</v>
      </c>
      <c r="D3217" s="32" t="s">
        <v>99</v>
      </c>
      <c r="E3217" s="31" t="s">
        <v>3491</v>
      </c>
      <c r="F3217" s="134">
        <v>46138.0</v>
      </c>
      <c r="G3217" s="54">
        <v>1.296570045E7</v>
      </c>
      <c r="H3217" s="14">
        <f t="shared" si="10"/>
        <v>2722797.095</v>
      </c>
      <c r="I3217" s="22">
        <v>388971.01</v>
      </c>
      <c r="J3217" s="22">
        <v>648285.02</v>
      </c>
      <c r="K3217" s="15">
        <f t="shared" si="4"/>
        <v>16725753.57</v>
      </c>
      <c r="L3217" s="45"/>
      <c r="M3217" s="6"/>
    </row>
    <row r="3218" ht="15.75" customHeight="1">
      <c r="A3218" s="162">
        <v>46122.0</v>
      </c>
      <c r="B3218" s="50"/>
      <c r="C3218" s="31" t="s">
        <v>221</v>
      </c>
      <c r="D3218" s="32" t="s">
        <v>99</v>
      </c>
      <c r="E3218" s="31" t="s">
        <v>3492</v>
      </c>
      <c r="F3218" s="134">
        <v>46138.0</v>
      </c>
      <c r="G3218" s="54">
        <v>1.310245019E7</v>
      </c>
      <c r="H3218" s="14">
        <f t="shared" si="10"/>
        <v>2751514.54</v>
      </c>
      <c r="I3218" s="22">
        <v>393073.51</v>
      </c>
      <c r="J3218" s="22">
        <v>655122.51</v>
      </c>
      <c r="K3218" s="15">
        <f t="shared" si="4"/>
        <v>16902160.75</v>
      </c>
      <c r="L3218" s="45"/>
      <c r="M3218" s="6"/>
    </row>
    <row r="3219" ht="15.75" customHeight="1">
      <c r="A3219" s="162">
        <v>46122.0</v>
      </c>
      <c r="B3219" s="50"/>
      <c r="C3219" s="31" t="s">
        <v>216</v>
      </c>
      <c r="D3219" s="32" t="s">
        <v>99</v>
      </c>
      <c r="E3219" s="31" t="s">
        <v>3493</v>
      </c>
      <c r="F3219" s="134">
        <v>46138.0</v>
      </c>
      <c r="G3219" s="54">
        <v>1.310863056E7</v>
      </c>
      <c r="H3219" s="14">
        <f t="shared" si="10"/>
        <v>2752812.418</v>
      </c>
      <c r="I3219" s="22">
        <v>393258.92</v>
      </c>
      <c r="J3219" s="22">
        <v>786517.83</v>
      </c>
      <c r="K3219" s="15">
        <f t="shared" si="4"/>
        <v>17041219.73</v>
      </c>
      <c r="L3219" s="45"/>
      <c r="M3219" s="6"/>
    </row>
    <row r="3220" ht="15.75" customHeight="1">
      <c r="A3220" s="162">
        <v>46122.0</v>
      </c>
      <c r="B3220" s="50"/>
      <c r="C3220" s="31" t="s">
        <v>216</v>
      </c>
      <c r="D3220" s="32" t="s">
        <v>99</v>
      </c>
      <c r="E3220" s="31" t="s">
        <v>3494</v>
      </c>
      <c r="F3220" s="134">
        <v>46138.0</v>
      </c>
      <c r="G3220" s="54">
        <v>1.311045026E7</v>
      </c>
      <c r="H3220" s="14">
        <f t="shared" si="10"/>
        <v>2753194.555</v>
      </c>
      <c r="I3220" s="22">
        <v>393313.51</v>
      </c>
      <c r="J3220" s="22">
        <v>786627.02</v>
      </c>
      <c r="K3220" s="15">
        <f t="shared" si="4"/>
        <v>17043585.34</v>
      </c>
      <c r="L3220" s="45"/>
      <c r="M3220" s="6"/>
    </row>
    <row r="3221" ht="15.75" customHeight="1">
      <c r="A3221" s="162">
        <v>46122.0</v>
      </c>
      <c r="B3221" s="50"/>
      <c r="C3221" s="31" t="s">
        <v>216</v>
      </c>
      <c r="D3221" s="32" t="s">
        <v>99</v>
      </c>
      <c r="E3221" s="31" t="s">
        <v>3495</v>
      </c>
      <c r="F3221" s="134">
        <v>46138.0</v>
      </c>
      <c r="G3221" s="54">
        <v>1.295587041E7</v>
      </c>
      <c r="H3221" s="14">
        <f t="shared" si="10"/>
        <v>2720732.786</v>
      </c>
      <c r="I3221" s="22">
        <v>388676.11</v>
      </c>
      <c r="J3221" s="22">
        <v>777352.22</v>
      </c>
      <c r="K3221" s="15">
        <f t="shared" si="4"/>
        <v>16842631.53</v>
      </c>
      <c r="L3221" s="45"/>
      <c r="M3221" s="6"/>
    </row>
    <row r="3222" ht="15.75" customHeight="1">
      <c r="A3222" s="162">
        <v>46122.0</v>
      </c>
      <c r="B3222" s="50"/>
      <c r="C3222" s="31" t="s">
        <v>567</v>
      </c>
      <c r="D3222" s="32" t="s">
        <v>99</v>
      </c>
      <c r="E3222" s="31" t="s">
        <v>3496</v>
      </c>
      <c r="F3222" s="134">
        <v>46138.0</v>
      </c>
      <c r="G3222" s="54">
        <v>5.000142652E7</v>
      </c>
      <c r="H3222" s="14">
        <f t="shared" si="10"/>
        <v>10500299.57</v>
      </c>
      <c r="I3222" s="22"/>
      <c r="J3222" s="22"/>
      <c r="K3222" s="15">
        <f t="shared" si="4"/>
        <v>60501726.09</v>
      </c>
      <c r="L3222" s="45"/>
      <c r="M3222" s="6"/>
    </row>
    <row r="3223" ht="15.75" customHeight="1">
      <c r="A3223" s="162">
        <v>46122.0</v>
      </c>
      <c r="B3223" s="50"/>
      <c r="C3223" s="31" t="s">
        <v>567</v>
      </c>
      <c r="D3223" s="32" t="s">
        <v>99</v>
      </c>
      <c r="E3223" s="31" t="s">
        <v>3497</v>
      </c>
      <c r="F3223" s="134">
        <v>46138.0</v>
      </c>
      <c r="G3223" s="54">
        <v>2.000105537E7</v>
      </c>
      <c r="H3223" s="14">
        <f t="shared" si="10"/>
        <v>4200221.628</v>
      </c>
      <c r="I3223" s="22"/>
      <c r="J3223" s="22"/>
      <c r="K3223" s="15">
        <f t="shared" si="4"/>
        <v>24201277</v>
      </c>
      <c r="L3223" s="45"/>
      <c r="M3223" s="6"/>
    </row>
    <row r="3224" ht="15.75" customHeight="1">
      <c r="A3224" s="162">
        <v>46122.0</v>
      </c>
      <c r="B3224" s="50"/>
      <c r="C3224" s="31" t="s">
        <v>567</v>
      </c>
      <c r="D3224" s="32" t="s">
        <v>99</v>
      </c>
      <c r="E3224" s="31" t="s">
        <v>3498</v>
      </c>
      <c r="F3224" s="134">
        <v>46138.0</v>
      </c>
      <c r="G3224" s="54">
        <v>3.000121562E7</v>
      </c>
      <c r="H3224" s="14">
        <f t="shared" si="10"/>
        <v>6300255.28</v>
      </c>
      <c r="I3224" s="22"/>
      <c r="J3224" s="22"/>
      <c r="K3224" s="15">
        <f t="shared" si="4"/>
        <v>36301470.9</v>
      </c>
      <c r="L3224" s="45"/>
      <c r="M3224" s="6"/>
    </row>
    <row r="3225" ht="15.75" customHeight="1">
      <c r="A3225" s="162">
        <v>46122.0</v>
      </c>
      <c r="B3225" s="50"/>
      <c r="C3225" s="31" t="s">
        <v>1842</v>
      </c>
      <c r="D3225" s="32" t="s">
        <v>99</v>
      </c>
      <c r="E3225" s="31" t="s">
        <v>3499</v>
      </c>
      <c r="F3225" s="134">
        <v>46138.0</v>
      </c>
      <c r="G3225" s="54">
        <v>2.924266015E7</v>
      </c>
      <c r="H3225" s="14">
        <f t="shared" si="10"/>
        <v>6140958.632</v>
      </c>
      <c r="I3225" s="22"/>
      <c r="J3225" s="22"/>
      <c r="K3225" s="15">
        <f t="shared" si="4"/>
        <v>35383618.78</v>
      </c>
      <c r="L3225" s="45"/>
      <c r="M3225" s="6"/>
    </row>
    <row r="3226" ht="15.75" customHeight="1">
      <c r="A3226" s="162">
        <v>46122.0</v>
      </c>
      <c r="B3226" s="50"/>
      <c r="C3226" s="31" t="s">
        <v>2842</v>
      </c>
      <c r="D3226" s="32" t="s">
        <v>99</v>
      </c>
      <c r="E3226" s="31" t="s">
        <v>3500</v>
      </c>
      <c r="F3226" s="134">
        <v>46138.0</v>
      </c>
      <c r="G3226" s="54">
        <v>1.455980095E7</v>
      </c>
      <c r="H3226" s="14">
        <f t="shared" si="10"/>
        <v>3057558.2</v>
      </c>
      <c r="I3226" s="22">
        <v>436794.03</v>
      </c>
      <c r="J3226" s="22">
        <v>363995.02</v>
      </c>
      <c r="K3226" s="15">
        <f t="shared" si="4"/>
        <v>18418148.2</v>
      </c>
      <c r="L3226" s="45"/>
      <c r="M3226" s="6"/>
    </row>
    <row r="3227" ht="15.75" customHeight="1">
      <c r="A3227" s="162">
        <v>46122.0</v>
      </c>
      <c r="B3227" s="50"/>
      <c r="C3227" s="31" t="s">
        <v>2842</v>
      </c>
      <c r="D3227" s="32" t="s">
        <v>99</v>
      </c>
      <c r="E3227" s="31" t="s">
        <v>3501</v>
      </c>
      <c r="F3227" s="134">
        <v>46138.0</v>
      </c>
      <c r="G3227" s="54">
        <v>1.390142052E7</v>
      </c>
      <c r="H3227" s="14">
        <f t="shared" si="10"/>
        <v>2919298.309</v>
      </c>
      <c r="I3227" s="22">
        <v>417042.62</v>
      </c>
      <c r="J3227" s="22">
        <v>347535.51</v>
      </c>
      <c r="K3227" s="15">
        <f t="shared" si="4"/>
        <v>17585296.96</v>
      </c>
      <c r="L3227" s="45"/>
      <c r="M3227" s="6"/>
    </row>
    <row r="3228" ht="15.75" customHeight="1">
      <c r="A3228" s="208">
        <v>46125.0</v>
      </c>
      <c r="B3228" s="158"/>
      <c r="C3228" s="147" t="s">
        <v>635</v>
      </c>
      <c r="D3228" s="148" t="s">
        <v>99</v>
      </c>
      <c r="E3228" s="147" t="s">
        <v>3502</v>
      </c>
      <c r="F3228" s="215">
        <v>46138.0</v>
      </c>
      <c r="G3228" s="209">
        <v>1.333364352E7</v>
      </c>
      <c r="H3228" s="150">
        <f t="shared" si="10"/>
        <v>2800065.139</v>
      </c>
      <c r="I3228" s="151">
        <v>400009.31</v>
      </c>
      <c r="J3228" s="151"/>
      <c r="K3228" s="152">
        <f t="shared" si="4"/>
        <v>16533717.97</v>
      </c>
      <c r="L3228" s="153"/>
      <c r="M3228" s="154"/>
    </row>
    <row r="3229" ht="15.75" customHeight="1">
      <c r="A3229" s="208">
        <v>46125.0</v>
      </c>
      <c r="B3229" s="158"/>
      <c r="C3229" s="147" t="s">
        <v>635</v>
      </c>
      <c r="D3229" s="148" t="s">
        <v>99</v>
      </c>
      <c r="E3229" s="147" t="s">
        <v>3503</v>
      </c>
      <c r="F3229" s="215">
        <v>46138.0</v>
      </c>
      <c r="G3229" s="209">
        <v>1.432237622E7</v>
      </c>
      <c r="H3229" s="150">
        <f t="shared" si="10"/>
        <v>3007699.006</v>
      </c>
      <c r="I3229" s="151">
        <v>429671.29</v>
      </c>
      <c r="J3229" s="151"/>
      <c r="K3229" s="152">
        <f t="shared" si="4"/>
        <v>17759746.52</v>
      </c>
      <c r="L3229" s="153"/>
      <c r="M3229" s="154"/>
    </row>
    <row r="3230" ht="15.75" customHeight="1">
      <c r="A3230" s="208">
        <v>46125.0</v>
      </c>
      <c r="B3230" s="158"/>
      <c r="C3230" s="147" t="s">
        <v>635</v>
      </c>
      <c r="D3230" s="148" t="s">
        <v>99</v>
      </c>
      <c r="E3230" s="147" t="s">
        <v>3504</v>
      </c>
      <c r="F3230" s="215">
        <v>46138.0</v>
      </c>
      <c r="G3230" s="209">
        <v>1.522353312E7</v>
      </c>
      <c r="H3230" s="150">
        <f t="shared" si="10"/>
        <v>3196941.955</v>
      </c>
      <c r="I3230" s="151">
        <v>456705.99</v>
      </c>
      <c r="J3230" s="151"/>
      <c r="K3230" s="152">
        <f t="shared" si="4"/>
        <v>18877181.07</v>
      </c>
      <c r="L3230" s="153"/>
      <c r="M3230" s="154"/>
    </row>
    <row r="3231" ht="15.75" customHeight="1">
      <c r="A3231" s="208">
        <v>46125.0</v>
      </c>
      <c r="B3231" s="158"/>
      <c r="C3231" s="147" t="s">
        <v>635</v>
      </c>
      <c r="D3231" s="148" t="s">
        <v>99</v>
      </c>
      <c r="E3231" s="147" t="s">
        <v>3505</v>
      </c>
      <c r="F3231" s="215">
        <v>46138.0</v>
      </c>
      <c r="G3231" s="209">
        <v>1.044363329E7</v>
      </c>
      <c r="H3231" s="150">
        <f t="shared" si="10"/>
        <v>2193162.991</v>
      </c>
      <c r="I3231" s="151">
        <v>313309.0</v>
      </c>
      <c r="J3231" s="151"/>
      <c r="K3231" s="152">
        <f t="shared" si="4"/>
        <v>12950105.28</v>
      </c>
      <c r="L3231" s="153"/>
      <c r="M3231" s="154"/>
    </row>
    <row r="3232" ht="15.75" customHeight="1">
      <c r="A3232" s="208">
        <v>46125.0</v>
      </c>
      <c r="B3232" s="158"/>
      <c r="C3232" s="147" t="s">
        <v>635</v>
      </c>
      <c r="D3232" s="148" t="s">
        <v>99</v>
      </c>
      <c r="E3232" s="147" t="s">
        <v>3506</v>
      </c>
      <c r="F3232" s="215">
        <v>46138.0</v>
      </c>
      <c r="G3232" s="209">
        <v>8833367.71</v>
      </c>
      <c r="H3232" s="150">
        <f t="shared" si="10"/>
        <v>1855007.219</v>
      </c>
      <c r="I3232" s="151">
        <v>265001.03</v>
      </c>
      <c r="J3232" s="151"/>
      <c r="K3232" s="152">
        <f t="shared" si="4"/>
        <v>10953375.96</v>
      </c>
      <c r="L3232" s="153"/>
      <c r="M3232" s="154"/>
    </row>
    <row r="3233" ht="15.75" customHeight="1">
      <c r="A3233" s="208">
        <v>46125.0</v>
      </c>
      <c r="B3233" s="158"/>
      <c r="C3233" s="147" t="s">
        <v>635</v>
      </c>
      <c r="D3233" s="148" t="s">
        <v>99</v>
      </c>
      <c r="E3233" s="147" t="s">
        <v>3507</v>
      </c>
      <c r="F3233" s="215">
        <v>46138.0</v>
      </c>
      <c r="G3233" s="209">
        <v>6222235.68</v>
      </c>
      <c r="H3233" s="150">
        <f t="shared" si="10"/>
        <v>1306669.493</v>
      </c>
      <c r="I3233" s="151">
        <v>186667.07</v>
      </c>
      <c r="J3233" s="151"/>
      <c r="K3233" s="152">
        <f t="shared" si="4"/>
        <v>7715572.243</v>
      </c>
      <c r="L3233" s="153"/>
      <c r="M3233" s="154"/>
    </row>
    <row r="3234" ht="15.75" customHeight="1">
      <c r="A3234" s="208">
        <v>46125.0</v>
      </c>
      <c r="B3234" s="158"/>
      <c r="C3234" s="147" t="s">
        <v>635</v>
      </c>
      <c r="D3234" s="148" t="s">
        <v>99</v>
      </c>
      <c r="E3234" s="147" t="s">
        <v>3508</v>
      </c>
      <c r="F3234" s="215">
        <v>46138.0</v>
      </c>
      <c r="G3234" s="209">
        <v>9911237.12</v>
      </c>
      <c r="H3234" s="150">
        <f t="shared" si="10"/>
        <v>2081359.795</v>
      </c>
      <c r="I3234" s="151">
        <v>297337.11</v>
      </c>
      <c r="J3234" s="151"/>
      <c r="K3234" s="152">
        <f t="shared" si="4"/>
        <v>12289934.03</v>
      </c>
      <c r="L3234" s="153"/>
      <c r="M3234" s="154"/>
    </row>
    <row r="3235" ht="15.75" customHeight="1">
      <c r="A3235" s="210">
        <v>46125.0</v>
      </c>
      <c r="B3235" s="184"/>
      <c r="C3235" s="185" t="s">
        <v>635</v>
      </c>
      <c r="D3235" s="186" t="s">
        <v>15</v>
      </c>
      <c r="E3235" s="185" t="s">
        <v>3509</v>
      </c>
      <c r="F3235" s="216">
        <v>46138.0</v>
      </c>
      <c r="G3235" s="211">
        <v>2.933437415E7</v>
      </c>
      <c r="H3235" s="189">
        <f t="shared" si="10"/>
        <v>6160218.572</v>
      </c>
      <c r="I3235" s="190">
        <v>880031.22</v>
      </c>
      <c r="J3235" s="190"/>
      <c r="K3235" s="191">
        <f t="shared" si="4"/>
        <v>36374623.94</v>
      </c>
      <c r="L3235" s="192"/>
      <c r="M3235" s="193"/>
    </row>
    <row r="3236" ht="15.75" customHeight="1">
      <c r="A3236" s="210">
        <v>46125.0</v>
      </c>
      <c r="B3236" s="184"/>
      <c r="C3236" s="185" t="s">
        <v>635</v>
      </c>
      <c r="D3236" s="186" t="s">
        <v>15</v>
      </c>
      <c r="E3236" s="185" t="s">
        <v>3510</v>
      </c>
      <c r="F3236" s="216">
        <v>46138.0</v>
      </c>
      <c r="G3236" s="211">
        <v>1.923347482E7</v>
      </c>
      <c r="H3236" s="189">
        <f t="shared" si="10"/>
        <v>4039029.712</v>
      </c>
      <c r="I3236" s="190">
        <v>577004.24</v>
      </c>
      <c r="J3236" s="190"/>
      <c r="K3236" s="191">
        <f t="shared" si="4"/>
        <v>23849508.77</v>
      </c>
      <c r="L3236" s="192"/>
      <c r="M3236" s="193"/>
    </row>
    <row r="3237" ht="15.75" customHeight="1">
      <c r="A3237" s="210">
        <v>46125.0</v>
      </c>
      <c r="B3237" s="184"/>
      <c r="C3237" s="185" t="s">
        <v>635</v>
      </c>
      <c r="D3237" s="186" t="s">
        <v>15</v>
      </c>
      <c r="E3237" s="185" t="s">
        <v>3511</v>
      </c>
      <c r="F3237" s="216">
        <v>46138.0</v>
      </c>
      <c r="G3237" s="211">
        <v>2.334464428E7</v>
      </c>
      <c r="H3237" s="189">
        <f t="shared" si="10"/>
        <v>4902375.299</v>
      </c>
      <c r="I3237" s="190">
        <v>700339.33</v>
      </c>
      <c r="J3237" s="190"/>
      <c r="K3237" s="191">
        <f t="shared" si="4"/>
        <v>28947358.91</v>
      </c>
      <c r="L3237" s="192"/>
      <c r="M3237" s="193"/>
    </row>
    <row r="3238" ht="15.75" customHeight="1">
      <c r="A3238" s="210">
        <v>46125.0</v>
      </c>
      <c r="B3238" s="184"/>
      <c r="C3238" s="185" t="s">
        <v>635</v>
      </c>
      <c r="D3238" s="186" t="s">
        <v>15</v>
      </c>
      <c r="E3238" s="185" t="s">
        <v>3512</v>
      </c>
      <c r="F3238" s="216">
        <v>46138.0</v>
      </c>
      <c r="G3238" s="211">
        <v>9233633.59</v>
      </c>
      <c r="H3238" s="189">
        <f t="shared" si="10"/>
        <v>1939063.054</v>
      </c>
      <c r="I3238" s="190">
        <v>277009.01</v>
      </c>
      <c r="J3238" s="190"/>
      <c r="K3238" s="191">
        <f t="shared" si="4"/>
        <v>11449705.65</v>
      </c>
      <c r="L3238" s="192"/>
      <c r="M3238" s="193"/>
    </row>
    <row r="3239" ht="15.75" customHeight="1">
      <c r="A3239" s="210">
        <v>46125.0</v>
      </c>
      <c r="B3239" s="184"/>
      <c r="C3239" s="185" t="s">
        <v>635</v>
      </c>
      <c r="D3239" s="186" t="s">
        <v>15</v>
      </c>
      <c r="E3239" s="185" t="s">
        <v>3513</v>
      </c>
      <c r="F3239" s="216">
        <v>46138.0</v>
      </c>
      <c r="G3239" s="211">
        <v>1.022338396E7</v>
      </c>
      <c r="H3239" s="189">
        <f t="shared" si="10"/>
        <v>2146910.632</v>
      </c>
      <c r="I3239" s="190">
        <v>306701.52</v>
      </c>
      <c r="J3239" s="190"/>
      <c r="K3239" s="191">
        <f t="shared" si="4"/>
        <v>12676996.11</v>
      </c>
      <c r="L3239" s="192"/>
      <c r="M3239" s="193"/>
    </row>
    <row r="3240" ht="15.75" customHeight="1">
      <c r="A3240" s="210">
        <v>46125.0</v>
      </c>
      <c r="B3240" s="184"/>
      <c r="C3240" s="185" t="s">
        <v>635</v>
      </c>
      <c r="D3240" s="186" t="s">
        <v>15</v>
      </c>
      <c r="E3240" s="185" t="s">
        <v>3514</v>
      </c>
      <c r="F3240" s="216">
        <v>46138.0</v>
      </c>
      <c r="G3240" s="211">
        <v>1.133346452E7</v>
      </c>
      <c r="H3240" s="189">
        <f t="shared" si="10"/>
        <v>2380027.549</v>
      </c>
      <c r="I3240" s="190">
        <v>340003.94</v>
      </c>
      <c r="J3240" s="190"/>
      <c r="K3240" s="191">
        <f t="shared" si="4"/>
        <v>14053496.01</v>
      </c>
      <c r="L3240" s="192"/>
      <c r="M3240" s="193"/>
    </row>
    <row r="3241" ht="15.75" customHeight="1">
      <c r="A3241" s="210">
        <v>46125.0</v>
      </c>
      <c r="B3241" s="184"/>
      <c r="C3241" s="185" t="s">
        <v>635</v>
      </c>
      <c r="D3241" s="186" t="s">
        <v>15</v>
      </c>
      <c r="E3241" s="185" t="s">
        <v>3515</v>
      </c>
      <c r="F3241" s="216">
        <v>46138.0</v>
      </c>
      <c r="G3241" s="211">
        <v>2.334464459E7</v>
      </c>
      <c r="H3241" s="189">
        <f t="shared" si="10"/>
        <v>4902375.364</v>
      </c>
      <c r="I3241" s="190">
        <v>700339.34</v>
      </c>
      <c r="J3241" s="190"/>
      <c r="K3241" s="191">
        <f t="shared" si="4"/>
        <v>28947359.29</v>
      </c>
      <c r="L3241" s="192"/>
      <c r="M3241" s="193"/>
    </row>
    <row r="3242" ht="15.75" customHeight="1">
      <c r="A3242" s="162">
        <v>46125.0</v>
      </c>
      <c r="B3242" s="50"/>
      <c r="C3242" s="31" t="s">
        <v>1183</v>
      </c>
      <c r="D3242" s="32" t="s">
        <v>15</v>
      </c>
      <c r="E3242" s="31" t="s">
        <v>3516</v>
      </c>
      <c r="F3242" s="134">
        <v>46138.0</v>
      </c>
      <c r="G3242" s="54">
        <v>9041227.29</v>
      </c>
      <c r="H3242" s="14">
        <f t="shared" si="10"/>
        <v>1898657.731</v>
      </c>
      <c r="I3242" s="22">
        <v>271236.82</v>
      </c>
      <c r="J3242" s="22"/>
      <c r="K3242" s="15">
        <f t="shared" si="4"/>
        <v>11211121.84</v>
      </c>
      <c r="L3242" s="45"/>
      <c r="M3242" s="6"/>
    </row>
    <row r="3243" ht="15.75" customHeight="1">
      <c r="A3243" s="162">
        <v>46125.0</v>
      </c>
      <c r="B3243" s="50"/>
      <c r="C3243" s="31" t="s">
        <v>1183</v>
      </c>
      <c r="D3243" s="32" t="s">
        <v>15</v>
      </c>
      <c r="E3243" s="31" t="s">
        <v>3517</v>
      </c>
      <c r="F3243" s="134">
        <v>46138.0</v>
      </c>
      <c r="G3243" s="54">
        <v>1.100223348E7</v>
      </c>
      <c r="H3243" s="14">
        <f t="shared" si="10"/>
        <v>2310469.031</v>
      </c>
      <c r="I3243" s="22">
        <v>330067.0</v>
      </c>
      <c r="J3243" s="22"/>
      <c r="K3243" s="15">
        <f t="shared" si="4"/>
        <v>13642769.51</v>
      </c>
      <c r="L3243" s="45"/>
      <c r="M3243" s="6"/>
    </row>
    <row r="3244" ht="15.75" customHeight="1">
      <c r="A3244" s="162">
        <v>46125.0</v>
      </c>
      <c r="B3244" s="50"/>
      <c r="C3244" s="31" t="s">
        <v>1183</v>
      </c>
      <c r="D3244" s="32" t="s">
        <v>99</v>
      </c>
      <c r="E3244" s="31" t="s">
        <v>3518</v>
      </c>
      <c r="F3244" s="134">
        <v>46138.0</v>
      </c>
      <c r="G3244" s="54">
        <v>1.498346029E7</v>
      </c>
      <c r="H3244" s="14">
        <f t="shared" si="10"/>
        <v>3146526.661</v>
      </c>
      <c r="I3244" s="22">
        <v>449503.81</v>
      </c>
      <c r="J3244" s="22"/>
      <c r="K3244" s="15">
        <f t="shared" si="4"/>
        <v>18579490.76</v>
      </c>
      <c r="L3244" s="45"/>
      <c r="M3244" s="6"/>
    </row>
    <row r="3245" ht="15.75" customHeight="1">
      <c r="A3245" s="162">
        <v>46125.0</v>
      </c>
      <c r="B3245" s="50"/>
      <c r="C3245" s="32" t="s">
        <v>171</v>
      </c>
      <c r="D3245" s="32" t="s">
        <v>15</v>
      </c>
      <c r="E3245" s="31" t="s">
        <v>3519</v>
      </c>
      <c r="F3245" s="134">
        <v>46138.0</v>
      </c>
      <c r="G3245" s="54">
        <v>7733483.29</v>
      </c>
      <c r="H3245" s="14">
        <f t="shared" si="10"/>
        <v>1624031.491</v>
      </c>
      <c r="I3245" s="22"/>
      <c r="J3245" s="22"/>
      <c r="K3245" s="15">
        <f t="shared" si="4"/>
        <v>9357514.781</v>
      </c>
      <c r="L3245" s="45"/>
      <c r="M3245" s="6"/>
    </row>
    <row r="3246" ht="15.75" customHeight="1">
      <c r="A3246" s="162">
        <v>46125.0</v>
      </c>
      <c r="B3246" s="50"/>
      <c r="C3246" s="32" t="s">
        <v>171</v>
      </c>
      <c r="D3246" s="32" t="s">
        <v>15</v>
      </c>
      <c r="E3246" s="31" t="s">
        <v>3520</v>
      </c>
      <c r="F3246" s="134">
        <v>46138.0</v>
      </c>
      <c r="G3246" s="54">
        <v>9923373.15</v>
      </c>
      <c r="H3246" s="14">
        <f t="shared" si="10"/>
        <v>2083908.362</v>
      </c>
      <c r="I3246" s="22"/>
      <c r="J3246" s="22"/>
      <c r="K3246" s="15">
        <f t="shared" si="4"/>
        <v>12007281.51</v>
      </c>
      <c r="L3246" s="45"/>
      <c r="M3246" s="6"/>
    </row>
    <row r="3247" ht="15.75" customHeight="1">
      <c r="A3247" s="162">
        <v>46125.0</v>
      </c>
      <c r="B3247" s="50"/>
      <c r="C3247" s="32" t="s">
        <v>171</v>
      </c>
      <c r="D3247" s="32" t="s">
        <v>15</v>
      </c>
      <c r="E3247" s="31" t="s">
        <v>3521</v>
      </c>
      <c r="F3247" s="134">
        <v>46138.0</v>
      </c>
      <c r="G3247" s="54">
        <v>1.113463329E7</v>
      </c>
      <c r="H3247" s="14">
        <f t="shared" si="10"/>
        <v>2338272.991</v>
      </c>
      <c r="I3247" s="22"/>
      <c r="J3247" s="22"/>
      <c r="K3247" s="15">
        <f t="shared" si="4"/>
        <v>13472906.28</v>
      </c>
      <c r="L3247" s="45"/>
      <c r="M3247" s="6"/>
    </row>
    <row r="3248" ht="15.75" customHeight="1">
      <c r="A3248" s="162">
        <v>46125.0</v>
      </c>
      <c r="B3248" s="50"/>
      <c r="C3248" s="32" t="s">
        <v>171</v>
      </c>
      <c r="D3248" s="32" t="s">
        <v>15</v>
      </c>
      <c r="E3248" s="31" t="s">
        <v>3522</v>
      </c>
      <c r="F3248" s="134">
        <v>46138.0</v>
      </c>
      <c r="G3248" s="54">
        <v>1.294433312E7</v>
      </c>
      <c r="H3248" s="14">
        <f t="shared" si="10"/>
        <v>2718309.955</v>
      </c>
      <c r="I3248" s="22"/>
      <c r="J3248" s="22"/>
      <c r="K3248" s="15">
        <f t="shared" si="4"/>
        <v>15662643.08</v>
      </c>
      <c r="L3248" s="45"/>
      <c r="M3248" s="6"/>
    </row>
    <row r="3249" ht="15.75" customHeight="1">
      <c r="A3249" s="162">
        <v>46126.0</v>
      </c>
      <c r="B3249" s="50"/>
      <c r="C3249" s="31" t="s">
        <v>1136</v>
      </c>
      <c r="D3249" s="32" t="s">
        <v>99</v>
      </c>
      <c r="E3249" s="31" t="s">
        <v>3523</v>
      </c>
      <c r="F3249" s="134">
        <v>46138.0</v>
      </c>
      <c r="G3249" s="54">
        <v>4.99953702E7</v>
      </c>
      <c r="H3249" s="14">
        <f t="shared" si="10"/>
        <v>10499027.74</v>
      </c>
      <c r="I3249" s="22">
        <v>1499861.11</v>
      </c>
      <c r="J3249" s="22">
        <v>2499768.51</v>
      </c>
      <c r="K3249" s="15">
        <f t="shared" si="4"/>
        <v>64494027.56</v>
      </c>
      <c r="L3249" s="45"/>
      <c r="M3249" s="6"/>
    </row>
    <row r="3250" ht="15.75" customHeight="1">
      <c r="A3250" s="162">
        <v>46126.0</v>
      </c>
      <c r="B3250" s="50"/>
      <c r="C3250" s="31" t="s">
        <v>1136</v>
      </c>
      <c r="D3250" s="32" t="s">
        <v>15</v>
      </c>
      <c r="E3250" s="31" t="s">
        <v>3524</v>
      </c>
      <c r="F3250" s="134">
        <v>46138.0</v>
      </c>
      <c r="G3250" s="54">
        <v>4.99980776E7</v>
      </c>
      <c r="H3250" s="14">
        <f t="shared" si="10"/>
        <v>10499596.3</v>
      </c>
      <c r="I3250" s="22">
        <v>1499942.33</v>
      </c>
      <c r="J3250" s="22">
        <v>2499903.88</v>
      </c>
      <c r="K3250" s="15">
        <f t="shared" si="4"/>
        <v>64497520.11</v>
      </c>
      <c r="L3250" s="45"/>
      <c r="M3250" s="6"/>
    </row>
    <row r="3251" ht="15.75" customHeight="1">
      <c r="A3251" s="162">
        <v>46127.0</v>
      </c>
      <c r="B3251" s="50"/>
      <c r="C3251" s="31" t="s">
        <v>1136</v>
      </c>
      <c r="D3251" s="32" t="s">
        <v>15</v>
      </c>
      <c r="E3251" s="31" t="s">
        <v>3525</v>
      </c>
      <c r="F3251" s="134">
        <v>46138.0</v>
      </c>
      <c r="G3251" s="54">
        <v>5.000169855E7</v>
      </c>
      <c r="H3251" s="14">
        <f t="shared" si="10"/>
        <v>10500356.7</v>
      </c>
      <c r="I3251" s="22">
        <v>1500050.96</v>
      </c>
      <c r="J3251" s="22">
        <v>2500084.93</v>
      </c>
      <c r="K3251" s="15">
        <f t="shared" si="4"/>
        <v>64502191.14</v>
      </c>
      <c r="L3251" s="45"/>
      <c r="M3251" s="6"/>
    </row>
    <row r="3252" ht="15.75" customHeight="1">
      <c r="A3252" s="162">
        <v>46127.0</v>
      </c>
      <c r="B3252" s="50"/>
      <c r="C3252" s="31" t="s">
        <v>1136</v>
      </c>
      <c r="D3252" s="32" t="s">
        <v>99</v>
      </c>
      <c r="E3252" s="31" t="s">
        <v>3526</v>
      </c>
      <c r="F3252" s="134">
        <v>46138.0</v>
      </c>
      <c r="G3252" s="54">
        <v>4.999898781E7</v>
      </c>
      <c r="H3252" s="14">
        <f t="shared" si="10"/>
        <v>10499787.44</v>
      </c>
      <c r="I3252" s="22">
        <v>1499969.63</v>
      </c>
      <c r="J3252" s="22">
        <v>2499949.39</v>
      </c>
      <c r="K3252" s="15">
        <f t="shared" si="4"/>
        <v>64498694.27</v>
      </c>
      <c r="L3252" s="45"/>
      <c r="M3252" s="6"/>
    </row>
    <row r="3253" ht="15.75" customHeight="1">
      <c r="A3253" s="162">
        <v>46128.0</v>
      </c>
      <c r="B3253" s="50"/>
      <c r="C3253" s="31" t="s">
        <v>1136</v>
      </c>
      <c r="D3253" s="32" t="s">
        <v>99</v>
      </c>
      <c r="E3253" s="31" t="s">
        <v>3527</v>
      </c>
      <c r="F3253" s="134">
        <v>46138.0</v>
      </c>
      <c r="G3253" s="54">
        <v>5.000984064E7</v>
      </c>
      <c r="H3253" s="14">
        <f t="shared" si="10"/>
        <v>10502066.53</v>
      </c>
      <c r="I3253" s="22">
        <v>1500295.22</v>
      </c>
      <c r="J3253" s="22">
        <v>2500492.03</v>
      </c>
      <c r="K3253" s="15">
        <f t="shared" si="4"/>
        <v>64512694.42</v>
      </c>
      <c r="L3253" s="45"/>
      <c r="M3253" s="6"/>
    </row>
    <row r="3254" ht="15.75" customHeight="1">
      <c r="A3254" s="162">
        <v>46128.0</v>
      </c>
      <c r="B3254" s="50"/>
      <c r="C3254" s="31" t="s">
        <v>1136</v>
      </c>
      <c r="D3254" s="32" t="s">
        <v>15</v>
      </c>
      <c r="E3254" s="31" t="s">
        <v>3528</v>
      </c>
      <c r="F3254" s="134">
        <v>46138.0</v>
      </c>
      <c r="G3254" s="54">
        <v>4.99980776E7</v>
      </c>
      <c r="H3254" s="14">
        <f t="shared" si="10"/>
        <v>10499596.3</v>
      </c>
      <c r="I3254" s="22">
        <v>1499942.33</v>
      </c>
      <c r="J3254" s="22">
        <v>2499903.88</v>
      </c>
      <c r="K3254" s="15">
        <f t="shared" si="4"/>
        <v>64497520.11</v>
      </c>
      <c r="L3254" s="45"/>
      <c r="M3254" s="6"/>
    </row>
    <row r="3255" ht="15.75" customHeight="1">
      <c r="A3255" s="162">
        <v>46128.0</v>
      </c>
      <c r="B3255" s="50"/>
      <c r="C3255" s="31" t="s">
        <v>1285</v>
      </c>
      <c r="D3255" s="32" t="s">
        <v>15</v>
      </c>
      <c r="E3255" s="31" t="s">
        <v>3529</v>
      </c>
      <c r="F3255" s="134">
        <v>46138.0</v>
      </c>
      <c r="G3255" s="54">
        <v>3512350.15</v>
      </c>
      <c r="H3255" s="14">
        <f t="shared" si="10"/>
        <v>737593.5315</v>
      </c>
      <c r="I3255" s="22"/>
      <c r="J3255" s="22"/>
      <c r="K3255" s="15">
        <f t="shared" si="4"/>
        <v>4249943.682</v>
      </c>
      <c r="L3255" s="45"/>
      <c r="M3255" s="6"/>
    </row>
    <row r="3256" ht="15.75" customHeight="1">
      <c r="A3256" s="162">
        <v>46128.0</v>
      </c>
      <c r="B3256" s="50"/>
      <c r="C3256" s="31" t="s">
        <v>2221</v>
      </c>
      <c r="D3256" s="32" t="s">
        <v>99</v>
      </c>
      <c r="E3256" s="31" t="s">
        <v>3530</v>
      </c>
      <c r="F3256" s="134">
        <v>46138.0</v>
      </c>
      <c r="G3256" s="54">
        <v>1.362251091E7</v>
      </c>
      <c r="H3256" s="14">
        <f t="shared" si="10"/>
        <v>2860727.291</v>
      </c>
      <c r="I3256" s="22">
        <v>408675.33</v>
      </c>
      <c r="J3256" s="22"/>
      <c r="K3256" s="15">
        <f t="shared" si="4"/>
        <v>16891913.53</v>
      </c>
      <c r="L3256" s="45"/>
      <c r="M3256" s="6"/>
    </row>
    <row r="3257" ht="15.75" customHeight="1">
      <c r="A3257" s="162">
        <v>46128.0</v>
      </c>
      <c r="B3257" s="50"/>
      <c r="C3257" s="31" t="s">
        <v>2221</v>
      </c>
      <c r="D3257" s="32" t="s">
        <v>99</v>
      </c>
      <c r="E3257" s="31" t="s">
        <v>3531</v>
      </c>
      <c r="F3257" s="134">
        <v>46138.0</v>
      </c>
      <c r="G3257" s="54">
        <v>1.637748909E7</v>
      </c>
      <c r="H3257" s="14">
        <f t="shared" si="10"/>
        <v>3439272.709</v>
      </c>
      <c r="I3257" s="22">
        <v>491324.67</v>
      </c>
      <c r="J3257" s="22"/>
      <c r="K3257" s="15">
        <f t="shared" si="4"/>
        <v>20308086.47</v>
      </c>
      <c r="L3257" s="45"/>
      <c r="M3257" s="6"/>
    </row>
    <row r="3258" ht="15.75" customHeight="1">
      <c r="A3258" s="162">
        <v>46129.0</v>
      </c>
      <c r="B3258" s="50"/>
      <c r="C3258" s="31" t="s">
        <v>1312</v>
      </c>
      <c r="D3258" s="32" t="s">
        <v>15</v>
      </c>
      <c r="E3258" s="31" t="s">
        <v>3532</v>
      </c>
      <c r="F3258" s="134">
        <v>46138.0</v>
      </c>
      <c r="G3258" s="54">
        <v>2100263.51</v>
      </c>
      <c r="H3258" s="14">
        <f t="shared" si="10"/>
        <v>441055.3371</v>
      </c>
      <c r="I3258" s="22">
        <v>63007.91</v>
      </c>
      <c r="J3258" s="22"/>
      <c r="K3258" s="15">
        <f t="shared" si="4"/>
        <v>2604326.757</v>
      </c>
      <c r="L3258" s="45"/>
      <c r="M3258" s="6"/>
    </row>
    <row r="3259" ht="15.75" customHeight="1">
      <c r="A3259" s="162">
        <v>46129.0</v>
      </c>
      <c r="B3259" s="50"/>
      <c r="C3259" s="31" t="s">
        <v>1312</v>
      </c>
      <c r="D3259" s="32" t="s">
        <v>15</v>
      </c>
      <c r="E3259" s="31" t="s">
        <v>3533</v>
      </c>
      <c r="F3259" s="134">
        <v>46138.0</v>
      </c>
      <c r="G3259" s="54">
        <v>2050112.36</v>
      </c>
      <c r="H3259" s="14">
        <f t="shared" si="10"/>
        <v>430523.5956</v>
      </c>
      <c r="I3259" s="22">
        <v>61503.37</v>
      </c>
      <c r="J3259" s="22"/>
      <c r="K3259" s="15">
        <f t="shared" si="4"/>
        <v>2542139.326</v>
      </c>
      <c r="L3259" s="45"/>
      <c r="M3259" s="6"/>
    </row>
    <row r="3260" ht="15.75" customHeight="1">
      <c r="A3260" s="162">
        <v>46129.0</v>
      </c>
      <c r="B3260" s="50"/>
      <c r="C3260" s="31" t="s">
        <v>1312</v>
      </c>
      <c r="D3260" s="32" t="s">
        <v>99</v>
      </c>
      <c r="E3260" s="31" t="s">
        <v>3534</v>
      </c>
      <c r="F3260" s="134">
        <v>46138.0</v>
      </c>
      <c r="G3260" s="54">
        <v>2052893.05</v>
      </c>
      <c r="H3260" s="14">
        <f t="shared" si="10"/>
        <v>431107.5405</v>
      </c>
      <c r="I3260" s="22">
        <v>61586.79</v>
      </c>
      <c r="J3260" s="22"/>
      <c r="K3260" s="15">
        <f t="shared" si="4"/>
        <v>2545587.381</v>
      </c>
      <c r="L3260" s="45"/>
      <c r="M3260" s="6"/>
    </row>
    <row r="3261" ht="15.75" customHeight="1">
      <c r="A3261" s="162">
        <v>46129.0</v>
      </c>
      <c r="B3261" s="50"/>
      <c r="C3261" s="31" t="s">
        <v>1312</v>
      </c>
      <c r="D3261" s="32" t="s">
        <v>99</v>
      </c>
      <c r="E3261" s="31" t="s">
        <v>3535</v>
      </c>
      <c r="F3261" s="134">
        <v>46138.0</v>
      </c>
      <c r="G3261" s="54">
        <v>2102893.27</v>
      </c>
      <c r="H3261" s="14">
        <f t="shared" si="10"/>
        <v>441607.5867</v>
      </c>
      <c r="I3261" s="22">
        <v>63086.8</v>
      </c>
      <c r="J3261" s="22"/>
      <c r="K3261" s="15">
        <f t="shared" si="4"/>
        <v>2607587.657</v>
      </c>
      <c r="L3261" s="45"/>
      <c r="M3261" s="6"/>
    </row>
    <row r="3262" ht="15.75" customHeight="1">
      <c r="A3262" s="162">
        <v>46129.0</v>
      </c>
      <c r="B3262" s="50"/>
      <c r="C3262" s="31" t="s">
        <v>3536</v>
      </c>
      <c r="D3262" s="32" t="s">
        <v>15</v>
      </c>
      <c r="E3262" s="31" t="s">
        <v>3537</v>
      </c>
      <c r="F3262" s="134">
        <v>46138.0</v>
      </c>
      <c r="G3262" s="54">
        <v>4001022.14</v>
      </c>
      <c r="H3262" s="14">
        <f t="shared" si="10"/>
        <v>840214.6494</v>
      </c>
      <c r="I3262" s="22">
        <v>120030.66</v>
      </c>
      <c r="J3262" s="22"/>
      <c r="K3262" s="15">
        <f t="shared" si="4"/>
        <v>4961267.449</v>
      </c>
      <c r="L3262" s="45"/>
      <c r="M3262" s="6"/>
    </row>
    <row r="3263" ht="15.75" customHeight="1">
      <c r="A3263" s="162">
        <v>46129.0</v>
      </c>
      <c r="B3263" s="50"/>
      <c r="C3263" s="31" t="s">
        <v>3536</v>
      </c>
      <c r="D3263" s="32" t="s">
        <v>15</v>
      </c>
      <c r="E3263" s="31" t="s">
        <v>3538</v>
      </c>
      <c r="F3263" s="134">
        <v>46138.0</v>
      </c>
      <c r="G3263" s="54">
        <v>4100826.15</v>
      </c>
      <c r="H3263" s="14">
        <f t="shared" si="10"/>
        <v>861173.4915</v>
      </c>
      <c r="I3263" s="22">
        <v>123024.78</v>
      </c>
      <c r="J3263" s="22"/>
      <c r="K3263" s="15">
        <f t="shared" si="4"/>
        <v>5085024.422</v>
      </c>
      <c r="L3263" s="45"/>
      <c r="M3263" s="6"/>
    </row>
    <row r="3264" ht="15.75" customHeight="1">
      <c r="A3264" s="162">
        <v>46129.0</v>
      </c>
      <c r="B3264" s="50"/>
      <c r="C3264" s="31" t="s">
        <v>3536</v>
      </c>
      <c r="D3264" s="32" t="s">
        <v>99</v>
      </c>
      <c r="E3264" s="31" t="s">
        <v>3539</v>
      </c>
      <c r="F3264" s="134">
        <v>46138.0</v>
      </c>
      <c r="G3264" s="54">
        <v>4164021.52</v>
      </c>
      <c r="H3264" s="14">
        <f t="shared" si="10"/>
        <v>874444.5192</v>
      </c>
      <c r="I3264" s="22">
        <v>124920.65</v>
      </c>
      <c r="J3264" s="22"/>
      <c r="K3264" s="15">
        <f t="shared" si="4"/>
        <v>5163386.689</v>
      </c>
      <c r="L3264" s="45"/>
      <c r="M3264" s="6"/>
    </row>
    <row r="3265" ht="15.75" customHeight="1">
      <c r="A3265" s="162">
        <v>46129.0</v>
      </c>
      <c r="B3265" s="50"/>
      <c r="C3265" s="31" t="s">
        <v>3536</v>
      </c>
      <c r="D3265" s="32" t="s">
        <v>99</v>
      </c>
      <c r="E3265" s="31" t="s">
        <v>3540</v>
      </c>
      <c r="F3265" s="134">
        <v>46138.0</v>
      </c>
      <c r="G3265" s="54">
        <v>4264463.11</v>
      </c>
      <c r="H3265" s="14">
        <f t="shared" si="10"/>
        <v>895537.2531</v>
      </c>
      <c r="I3265" s="22">
        <v>127933.89</v>
      </c>
      <c r="J3265" s="22"/>
      <c r="K3265" s="15">
        <f t="shared" si="4"/>
        <v>5287934.253</v>
      </c>
      <c r="L3265" s="45"/>
      <c r="M3265" s="6"/>
    </row>
    <row r="3266" ht="15.75" customHeight="1">
      <c r="A3266" s="162">
        <v>46129.0</v>
      </c>
      <c r="B3266" s="50"/>
      <c r="C3266" s="31" t="s">
        <v>1277</v>
      </c>
      <c r="D3266" s="32" t="s">
        <v>15</v>
      </c>
      <c r="E3266" s="31" t="s">
        <v>3541</v>
      </c>
      <c r="F3266" s="134">
        <v>46138.0</v>
      </c>
      <c r="G3266" s="54">
        <v>8123002.16</v>
      </c>
      <c r="H3266" s="14">
        <f t="shared" si="10"/>
        <v>1705830.454</v>
      </c>
      <c r="I3266" s="22">
        <v>243690.06</v>
      </c>
      <c r="J3266" s="22"/>
      <c r="K3266" s="15">
        <f t="shared" si="4"/>
        <v>10072522.67</v>
      </c>
      <c r="L3266" s="45"/>
      <c r="M3266" s="6"/>
    </row>
    <row r="3267" ht="15.75" customHeight="1">
      <c r="A3267" s="162">
        <v>46129.0</v>
      </c>
      <c r="B3267" s="50"/>
      <c r="C3267" s="31" t="s">
        <v>1277</v>
      </c>
      <c r="D3267" s="32" t="s">
        <v>15</v>
      </c>
      <c r="E3267" s="31" t="s">
        <v>3542</v>
      </c>
      <c r="F3267" s="134">
        <v>46138.0</v>
      </c>
      <c r="G3267" s="54">
        <v>6123333.51</v>
      </c>
      <c r="H3267" s="14">
        <f t="shared" si="10"/>
        <v>1285900.037</v>
      </c>
      <c r="I3267" s="22">
        <v>183700.01</v>
      </c>
      <c r="J3267" s="22"/>
      <c r="K3267" s="15">
        <f t="shared" si="4"/>
        <v>7592933.557</v>
      </c>
      <c r="L3267" s="45"/>
      <c r="M3267" s="6"/>
    </row>
    <row r="3268" ht="15.75" customHeight="1">
      <c r="A3268" s="162">
        <v>46129.0</v>
      </c>
      <c r="B3268" s="50"/>
      <c r="C3268" s="31" t="s">
        <v>1277</v>
      </c>
      <c r="D3268" s="32" t="s">
        <v>99</v>
      </c>
      <c r="E3268" s="31" t="s">
        <v>3543</v>
      </c>
      <c r="F3268" s="134">
        <v>46138.0</v>
      </c>
      <c r="G3268" s="54">
        <v>6603940.23</v>
      </c>
      <c r="H3268" s="14">
        <f t="shared" si="10"/>
        <v>1386827.448</v>
      </c>
      <c r="I3268" s="22">
        <v>198118.21</v>
      </c>
      <c r="J3268" s="22"/>
      <c r="K3268" s="15">
        <f t="shared" si="4"/>
        <v>8188885.888</v>
      </c>
      <c r="L3268" s="45"/>
      <c r="M3268" s="6"/>
    </row>
    <row r="3269" ht="15.75" customHeight="1">
      <c r="A3269" s="162">
        <v>46129.0</v>
      </c>
      <c r="B3269" s="50"/>
      <c r="C3269" s="31" t="s">
        <v>1277</v>
      </c>
      <c r="D3269" s="32" t="s">
        <v>99</v>
      </c>
      <c r="E3269" s="31" t="s">
        <v>3544</v>
      </c>
      <c r="F3269" s="134">
        <v>46138.0</v>
      </c>
      <c r="G3269" s="54">
        <v>8075347.11</v>
      </c>
      <c r="H3269" s="14">
        <f t="shared" si="10"/>
        <v>1695822.893</v>
      </c>
      <c r="I3269" s="22">
        <v>242260.41</v>
      </c>
      <c r="J3269" s="22"/>
      <c r="K3269" s="15">
        <f t="shared" si="4"/>
        <v>10013430.41</v>
      </c>
      <c r="L3269" s="45"/>
      <c r="M3269" s="6"/>
    </row>
    <row r="3270" ht="15.75" customHeight="1">
      <c r="A3270" s="162">
        <v>46129.0</v>
      </c>
      <c r="B3270" s="50"/>
      <c r="C3270" s="31" t="s">
        <v>1279</v>
      </c>
      <c r="D3270" s="32" t="s">
        <v>15</v>
      </c>
      <c r="E3270" s="31" t="s">
        <v>3545</v>
      </c>
      <c r="F3270" s="134">
        <v>46138.0</v>
      </c>
      <c r="G3270" s="54">
        <v>1.712002546E7</v>
      </c>
      <c r="H3270" s="14">
        <f t="shared" si="10"/>
        <v>3595205.347</v>
      </c>
      <c r="I3270" s="22">
        <v>513600.76</v>
      </c>
      <c r="J3270" s="22"/>
      <c r="K3270" s="15">
        <f t="shared" si="4"/>
        <v>21228831.57</v>
      </c>
      <c r="L3270" s="45"/>
      <c r="M3270" s="6"/>
    </row>
    <row r="3271" ht="15.75" customHeight="1">
      <c r="A3271" s="162">
        <v>46129.0</v>
      </c>
      <c r="B3271" s="50"/>
      <c r="C3271" s="31" t="s">
        <v>1279</v>
      </c>
      <c r="D3271" s="32" t="s">
        <v>15</v>
      </c>
      <c r="E3271" s="31" t="s">
        <v>3546</v>
      </c>
      <c r="F3271" s="134">
        <v>46138.0</v>
      </c>
      <c r="G3271" s="54">
        <v>1.532233322E7</v>
      </c>
      <c r="H3271" s="14">
        <f t="shared" si="10"/>
        <v>3217689.976</v>
      </c>
      <c r="I3271" s="22">
        <v>459670.0</v>
      </c>
      <c r="J3271" s="22"/>
      <c r="K3271" s="15">
        <f t="shared" si="4"/>
        <v>18999693.2</v>
      </c>
      <c r="L3271" s="45"/>
      <c r="M3271" s="6"/>
    </row>
    <row r="3272" ht="15.75" customHeight="1">
      <c r="A3272" s="162">
        <v>46129.0</v>
      </c>
      <c r="B3272" s="50"/>
      <c r="C3272" s="31" t="s">
        <v>1279</v>
      </c>
      <c r="D3272" s="32" t="s">
        <v>99</v>
      </c>
      <c r="E3272" s="31" t="s">
        <v>3547</v>
      </c>
      <c r="F3272" s="134">
        <v>46138.0</v>
      </c>
      <c r="G3272" s="54">
        <v>1.924363678E7</v>
      </c>
      <c r="H3272" s="14">
        <f t="shared" si="10"/>
        <v>4041163.724</v>
      </c>
      <c r="I3272" s="22">
        <v>577309.1</v>
      </c>
      <c r="J3272" s="22"/>
      <c r="K3272" s="15">
        <f t="shared" si="4"/>
        <v>23862109.6</v>
      </c>
      <c r="L3272" s="45"/>
      <c r="M3272" s="6"/>
    </row>
    <row r="3273" ht="15.75" customHeight="1">
      <c r="A3273" s="162">
        <v>46129.0</v>
      </c>
      <c r="B3273" s="50"/>
      <c r="C3273" s="31" t="s">
        <v>1279</v>
      </c>
      <c r="D3273" s="32" t="s">
        <v>99</v>
      </c>
      <c r="E3273" s="31" t="s">
        <v>3548</v>
      </c>
      <c r="F3273" s="134">
        <v>46138.0</v>
      </c>
      <c r="G3273" s="54">
        <v>1.442973304E7</v>
      </c>
      <c r="H3273" s="14">
        <f t="shared" si="10"/>
        <v>3030243.938</v>
      </c>
      <c r="I3273" s="22">
        <v>432891.99</v>
      </c>
      <c r="J3273" s="22"/>
      <c r="K3273" s="15">
        <f t="shared" si="4"/>
        <v>17892868.97</v>
      </c>
      <c r="L3273" s="45"/>
      <c r="M3273" s="6"/>
    </row>
    <row r="3274" ht="15.75" customHeight="1">
      <c r="A3274" s="162">
        <v>46129.0</v>
      </c>
      <c r="B3274" s="50"/>
      <c r="C3274" s="31" t="s">
        <v>1281</v>
      </c>
      <c r="D3274" s="32" t="s">
        <v>15</v>
      </c>
      <c r="E3274" s="31" t="s">
        <v>3549</v>
      </c>
      <c r="F3274" s="134">
        <v>46138.0</v>
      </c>
      <c r="G3274" s="54">
        <v>1210369.11</v>
      </c>
      <c r="H3274" s="14">
        <f t="shared" si="10"/>
        <v>254177.5131</v>
      </c>
      <c r="I3274" s="22">
        <v>36311.07</v>
      </c>
      <c r="J3274" s="22"/>
      <c r="K3274" s="15">
        <f t="shared" si="4"/>
        <v>1500857.693</v>
      </c>
      <c r="L3274" s="45"/>
      <c r="M3274" s="6"/>
    </row>
    <row r="3275" ht="15.75" customHeight="1">
      <c r="A3275" s="162">
        <v>46129.0</v>
      </c>
      <c r="B3275" s="50"/>
      <c r="C3275" s="31" t="s">
        <v>1281</v>
      </c>
      <c r="D3275" s="32" t="s">
        <v>15</v>
      </c>
      <c r="E3275" s="31" t="s">
        <v>3550</v>
      </c>
      <c r="F3275" s="134">
        <v>46138.0</v>
      </c>
      <c r="G3275" s="54">
        <v>371901.22</v>
      </c>
      <c r="H3275" s="14">
        <f t="shared" si="10"/>
        <v>78099.2562</v>
      </c>
      <c r="I3275" s="22">
        <v>11157.04</v>
      </c>
      <c r="J3275" s="22"/>
      <c r="K3275" s="15">
        <f t="shared" si="4"/>
        <v>461157.5162</v>
      </c>
      <c r="L3275" s="45"/>
      <c r="M3275" s="6"/>
    </row>
    <row r="3276" ht="15.75" customHeight="1">
      <c r="A3276" s="162">
        <v>46129.0</v>
      </c>
      <c r="B3276" s="50"/>
      <c r="C3276" s="31" t="s">
        <v>1281</v>
      </c>
      <c r="D3276" s="32" t="s">
        <v>99</v>
      </c>
      <c r="E3276" s="31" t="s">
        <v>3551</v>
      </c>
      <c r="F3276" s="134">
        <v>46138.0</v>
      </c>
      <c r="G3276" s="54">
        <v>1269339.21</v>
      </c>
      <c r="H3276" s="14">
        <f t="shared" si="10"/>
        <v>266561.2341</v>
      </c>
      <c r="I3276" s="22">
        <v>38080.18</v>
      </c>
      <c r="J3276" s="22"/>
      <c r="K3276" s="15">
        <f t="shared" si="4"/>
        <v>1573980.624</v>
      </c>
      <c r="L3276" s="45"/>
      <c r="M3276" s="6"/>
    </row>
    <row r="3277" ht="15.75" customHeight="1">
      <c r="A3277" s="162">
        <v>46129.0</v>
      </c>
      <c r="B3277" s="50"/>
      <c r="C3277" s="31" t="s">
        <v>1281</v>
      </c>
      <c r="D3277" s="32" t="s">
        <v>99</v>
      </c>
      <c r="E3277" s="31" t="s">
        <v>3552</v>
      </c>
      <c r="F3277" s="134">
        <v>46138.0</v>
      </c>
      <c r="G3277" s="54">
        <v>371901.03</v>
      </c>
      <c r="H3277" s="14">
        <f t="shared" si="10"/>
        <v>78099.2163</v>
      </c>
      <c r="I3277" s="22">
        <v>11157.03</v>
      </c>
      <c r="J3277" s="22"/>
      <c r="K3277" s="15">
        <f t="shared" si="4"/>
        <v>461157.2763</v>
      </c>
      <c r="L3277" s="45"/>
      <c r="M3277" s="6"/>
    </row>
    <row r="3278" ht="15.75" customHeight="1">
      <c r="A3278" s="162">
        <v>46129.0</v>
      </c>
      <c r="B3278" s="50"/>
      <c r="C3278" s="31" t="s">
        <v>1283</v>
      </c>
      <c r="D3278" s="32" t="s">
        <v>15</v>
      </c>
      <c r="E3278" s="31" t="s">
        <v>3553</v>
      </c>
      <c r="F3278" s="134">
        <v>46138.0</v>
      </c>
      <c r="G3278" s="54">
        <v>1.050075439E7</v>
      </c>
      <c r="H3278" s="14">
        <f t="shared" si="10"/>
        <v>2205158.422</v>
      </c>
      <c r="I3278" s="22">
        <v>315022.63</v>
      </c>
      <c r="J3278" s="22">
        <v>52503.77</v>
      </c>
      <c r="K3278" s="15">
        <f t="shared" si="4"/>
        <v>13073439.21</v>
      </c>
      <c r="L3278" s="45"/>
      <c r="M3278" s="6"/>
    </row>
    <row r="3279" ht="15.75" customHeight="1">
      <c r="A3279" s="162">
        <v>46129.0</v>
      </c>
      <c r="B3279" s="50"/>
      <c r="C3279" s="31" t="s">
        <v>1283</v>
      </c>
      <c r="D3279" s="32" t="s">
        <v>15</v>
      </c>
      <c r="E3279" s="31" t="s">
        <v>3554</v>
      </c>
      <c r="F3279" s="134">
        <v>46138.0</v>
      </c>
      <c r="G3279" s="54">
        <v>7530630.52</v>
      </c>
      <c r="H3279" s="14">
        <f t="shared" si="10"/>
        <v>1581432.409</v>
      </c>
      <c r="I3279" s="22">
        <v>225918.92</v>
      </c>
      <c r="J3279" s="22">
        <v>37653.15</v>
      </c>
      <c r="K3279" s="15">
        <f t="shared" si="4"/>
        <v>9375634.999</v>
      </c>
      <c r="L3279" s="45"/>
      <c r="M3279" s="6"/>
    </row>
    <row r="3280" ht="15.75" customHeight="1">
      <c r="A3280" s="162">
        <v>46129.0</v>
      </c>
      <c r="B3280" s="50"/>
      <c r="C3280" s="31" t="s">
        <v>1283</v>
      </c>
      <c r="D3280" s="32" t="s">
        <v>99</v>
      </c>
      <c r="E3280" s="31" t="s">
        <v>3555</v>
      </c>
      <c r="F3280" s="134">
        <v>46138.0</v>
      </c>
      <c r="G3280" s="54">
        <v>1.098760317E7</v>
      </c>
      <c r="H3280" s="14">
        <f t="shared" si="10"/>
        <v>2307396.666</v>
      </c>
      <c r="I3280" s="22">
        <v>329628.1</v>
      </c>
      <c r="J3280" s="22">
        <v>54938.02</v>
      </c>
      <c r="K3280" s="15">
        <f t="shared" si="4"/>
        <v>13679565.96</v>
      </c>
      <c r="L3280" s="45"/>
      <c r="M3280" s="6"/>
    </row>
    <row r="3281" ht="15.75" customHeight="1">
      <c r="A3281" s="162">
        <v>46129.0</v>
      </c>
      <c r="B3281" s="50"/>
      <c r="C3281" s="31" t="s">
        <v>1283</v>
      </c>
      <c r="D3281" s="32" t="s">
        <v>99</v>
      </c>
      <c r="E3281" s="31" t="s">
        <v>3556</v>
      </c>
      <c r="F3281" s="134">
        <v>46138.0</v>
      </c>
      <c r="G3281" s="54">
        <v>8171849.13</v>
      </c>
      <c r="H3281" s="14">
        <f t="shared" si="10"/>
        <v>1716088.317</v>
      </c>
      <c r="I3281" s="22">
        <v>245155.47</v>
      </c>
      <c r="J3281" s="22">
        <v>40859.25</v>
      </c>
      <c r="K3281" s="15">
        <f t="shared" si="4"/>
        <v>10173952.17</v>
      </c>
      <c r="L3281" s="45"/>
      <c r="M3281" s="6"/>
    </row>
    <row r="3282" ht="15.75" customHeight="1">
      <c r="A3282" s="162">
        <v>46132.0</v>
      </c>
      <c r="B3282" s="50"/>
      <c r="C3282" s="32" t="s">
        <v>171</v>
      </c>
      <c r="D3282" s="32" t="s">
        <v>99</v>
      </c>
      <c r="E3282" s="31" t="s">
        <v>3557</v>
      </c>
      <c r="F3282" s="134">
        <v>46138.0</v>
      </c>
      <c r="G3282" s="54">
        <v>1.250021362E7</v>
      </c>
      <c r="H3282" s="14">
        <f t="shared" si="10"/>
        <v>2625044.86</v>
      </c>
      <c r="I3282" s="22"/>
      <c r="J3282" s="22"/>
      <c r="K3282" s="15">
        <f t="shared" si="4"/>
        <v>15125258.48</v>
      </c>
      <c r="L3282" s="45"/>
      <c r="M3282" s="6"/>
    </row>
    <row r="3283" ht="15.75" customHeight="1">
      <c r="A3283" s="162">
        <v>46132.0</v>
      </c>
      <c r="B3283" s="50"/>
      <c r="C3283" s="32" t="s">
        <v>171</v>
      </c>
      <c r="D3283" s="32" t="s">
        <v>99</v>
      </c>
      <c r="E3283" s="31" t="s">
        <v>3558</v>
      </c>
      <c r="F3283" s="134">
        <v>46138.0</v>
      </c>
      <c r="G3283" s="54">
        <v>1.250030216E7</v>
      </c>
      <c r="H3283" s="14">
        <f t="shared" si="10"/>
        <v>2625063.454</v>
      </c>
      <c r="I3283" s="22"/>
      <c r="J3283" s="22"/>
      <c r="K3283" s="15">
        <f t="shared" si="4"/>
        <v>15125365.61</v>
      </c>
      <c r="L3283" s="45"/>
      <c r="M3283" s="6"/>
    </row>
    <row r="3284" ht="15.75" customHeight="1">
      <c r="A3284" s="162">
        <v>46133.0</v>
      </c>
      <c r="B3284" s="50"/>
      <c r="C3284" s="31" t="s">
        <v>3559</v>
      </c>
      <c r="D3284" s="32" t="s">
        <v>99</v>
      </c>
      <c r="E3284" s="31" t="s">
        <v>3560</v>
      </c>
      <c r="F3284" s="134">
        <v>46138.0</v>
      </c>
      <c r="G3284" s="54">
        <v>1908570.12</v>
      </c>
      <c r="H3284" s="14">
        <f t="shared" si="10"/>
        <v>400799.7252</v>
      </c>
      <c r="I3284" s="22">
        <v>57257.1</v>
      </c>
      <c r="J3284" s="22">
        <v>5725.71</v>
      </c>
      <c r="K3284" s="15">
        <f t="shared" si="4"/>
        <v>2372352.655</v>
      </c>
      <c r="L3284" s="45"/>
      <c r="M3284" s="6"/>
    </row>
    <row r="3285" ht="15.75" customHeight="1">
      <c r="A3285" s="162">
        <v>46133.0</v>
      </c>
      <c r="B3285" s="50"/>
      <c r="C3285" s="31" t="s">
        <v>3561</v>
      </c>
      <c r="D3285" s="32" t="s">
        <v>15</v>
      </c>
      <c r="E3285" s="31" t="s">
        <v>3562</v>
      </c>
      <c r="F3285" s="134">
        <v>46138.0</v>
      </c>
      <c r="G3285" s="54">
        <v>2507760.15</v>
      </c>
      <c r="H3285" s="14">
        <f t="shared" si="10"/>
        <v>526629.6315</v>
      </c>
      <c r="I3285" s="22"/>
      <c r="J3285" s="22"/>
      <c r="K3285" s="15">
        <f t="shared" si="4"/>
        <v>3034389.782</v>
      </c>
      <c r="L3285" s="45"/>
      <c r="M3285" s="6"/>
    </row>
    <row r="3286" ht="15.75" customHeight="1">
      <c r="A3286" s="162">
        <v>46133.0</v>
      </c>
      <c r="B3286" s="50"/>
      <c r="C3286" s="31" t="s">
        <v>3559</v>
      </c>
      <c r="D3286" s="32" t="s">
        <v>15</v>
      </c>
      <c r="E3286" s="31" t="s">
        <v>3563</v>
      </c>
      <c r="F3286" s="134">
        <v>46138.0</v>
      </c>
      <c r="G3286" s="54">
        <v>2893460.25</v>
      </c>
      <c r="H3286" s="14">
        <f t="shared" si="10"/>
        <v>607626.6525</v>
      </c>
      <c r="I3286" s="22">
        <v>86803.81</v>
      </c>
      <c r="J3286" s="22">
        <v>8680.38</v>
      </c>
      <c r="K3286" s="15">
        <f t="shared" si="4"/>
        <v>3596571.093</v>
      </c>
      <c r="L3286" s="45"/>
      <c r="M3286" s="6"/>
    </row>
    <row r="3287" ht="15.75" customHeight="1">
      <c r="A3287" s="162">
        <v>46133.0</v>
      </c>
      <c r="B3287" s="50"/>
      <c r="C3287" s="31" t="s">
        <v>497</v>
      </c>
      <c r="D3287" s="32" t="s">
        <v>15</v>
      </c>
      <c r="E3287" s="31" t="s">
        <v>3564</v>
      </c>
      <c r="F3287" s="134">
        <v>46138.0</v>
      </c>
      <c r="G3287" s="54">
        <v>5000754.15</v>
      </c>
      <c r="H3287" s="14">
        <f t="shared" si="10"/>
        <v>1050158.372</v>
      </c>
      <c r="I3287" s="22"/>
      <c r="J3287" s="22"/>
      <c r="K3287" s="15">
        <f t="shared" si="4"/>
        <v>6050912.522</v>
      </c>
      <c r="L3287" s="45"/>
      <c r="M3287" s="6"/>
    </row>
    <row r="3288" ht="15.75" customHeight="1">
      <c r="A3288" s="162">
        <v>46133.0</v>
      </c>
      <c r="B3288" s="50"/>
      <c r="C3288" s="31" t="s">
        <v>491</v>
      </c>
      <c r="D3288" s="32" t="s">
        <v>99</v>
      </c>
      <c r="E3288" s="31" t="s">
        <v>3565</v>
      </c>
      <c r="F3288" s="134">
        <v>46138.0</v>
      </c>
      <c r="G3288" s="54">
        <v>2.883344707E7</v>
      </c>
      <c r="H3288" s="14">
        <f t="shared" si="10"/>
        <v>6055023.885</v>
      </c>
      <c r="I3288" s="22">
        <v>865003.41</v>
      </c>
      <c r="J3288" s="22">
        <v>144167.24</v>
      </c>
      <c r="K3288" s="15">
        <f t="shared" si="4"/>
        <v>35897641.6</v>
      </c>
      <c r="L3288" s="45"/>
      <c r="M3288" s="6"/>
    </row>
    <row r="3289" ht="15.75" customHeight="1">
      <c r="A3289" s="162">
        <v>46133.0</v>
      </c>
      <c r="B3289" s="50"/>
      <c r="C3289" s="31" t="s">
        <v>491</v>
      </c>
      <c r="D3289" s="32" t="s">
        <v>99</v>
      </c>
      <c r="E3289" s="31" t="s">
        <v>3566</v>
      </c>
      <c r="F3289" s="134">
        <v>46138.0</v>
      </c>
      <c r="G3289" s="54">
        <v>3.332264303E7</v>
      </c>
      <c r="H3289" s="14">
        <f t="shared" si="10"/>
        <v>6997755.036</v>
      </c>
      <c r="I3289" s="22">
        <v>999679.29</v>
      </c>
      <c r="J3289" s="22">
        <v>166613.22</v>
      </c>
      <c r="K3289" s="15">
        <f t="shared" si="4"/>
        <v>41486690.58</v>
      </c>
      <c r="L3289" s="45"/>
      <c r="M3289" s="6"/>
    </row>
    <row r="3290" ht="15.75" customHeight="1">
      <c r="A3290" s="162">
        <v>46133.0</v>
      </c>
      <c r="B3290" s="50"/>
      <c r="C3290" s="31" t="s">
        <v>491</v>
      </c>
      <c r="D3290" s="32" t="s">
        <v>99</v>
      </c>
      <c r="E3290" s="31" t="s">
        <v>3567</v>
      </c>
      <c r="F3290" s="134">
        <v>46138.0</v>
      </c>
      <c r="G3290" s="54">
        <v>3.822433412E7</v>
      </c>
      <c r="H3290" s="14">
        <f t="shared" si="10"/>
        <v>8027110.165</v>
      </c>
      <c r="I3290" s="22">
        <v>1146730.02</v>
      </c>
      <c r="J3290" s="22">
        <v>191121.67</v>
      </c>
      <c r="K3290" s="15">
        <f t="shared" si="4"/>
        <v>47589295.98</v>
      </c>
      <c r="L3290" s="45"/>
      <c r="M3290" s="6"/>
    </row>
    <row r="3291" ht="15.75" customHeight="1">
      <c r="A3291" s="162">
        <v>46133.0</v>
      </c>
      <c r="B3291" s="50"/>
      <c r="C3291" s="31" t="s">
        <v>491</v>
      </c>
      <c r="D3291" s="32" t="s">
        <v>15</v>
      </c>
      <c r="E3291" s="31" t="s">
        <v>3568</v>
      </c>
      <c r="F3291" s="134">
        <v>46138.0</v>
      </c>
      <c r="G3291" s="54">
        <v>2.734633305E7</v>
      </c>
      <c r="H3291" s="14">
        <f t="shared" si="10"/>
        <v>5742729.941</v>
      </c>
      <c r="I3291" s="22">
        <v>820389.99</v>
      </c>
      <c r="J3291" s="22">
        <v>136731.67</v>
      </c>
      <c r="K3291" s="15">
        <f t="shared" si="4"/>
        <v>34046184.65</v>
      </c>
      <c r="L3291" s="45"/>
      <c r="M3291" s="6"/>
    </row>
    <row r="3292" ht="15.75" customHeight="1">
      <c r="A3292" s="162">
        <v>46133.0</v>
      </c>
      <c r="B3292" s="50"/>
      <c r="C3292" s="31" t="s">
        <v>491</v>
      </c>
      <c r="D3292" s="32" t="s">
        <v>15</v>
      </c>
      <c r="E3292" s="31" t="s">
        <v>3569</v>
      </c>
      <c r="F3292" s="134">
        <v>46138.0</v>
      </c>
      <c r="G3292" s="54">
        <v>3.347233311E7</v>
      </c>
      <c r="H3292" s="14">
        <f t="shared" si="10"/>
        <v>7029189.953</v>
      </c>
      <c r="I3292" s="22">
        <v>1004169.99</v>
      </c>
      <c r="J3292" s="22">
        <v>167361.67</v>
      </c>
      <c r="K3292" s="15">
        <f t="shared" si="4"/>
        <v>41673054.72</v>
      </c>
      <c r="L3292" s="45"/>
      <c r="M3292" s="6"/>
    </row>
    <row r="3293" ht="15.75" customHeight="1">
      <c r="A3293" s="162">
        <v>46133.0</v>
      </c>
      <c r="B3293" s="50"/>
      <c r="C3293" s="31" t="s">
        <v>491</v>
      </c>
      <c r="D3293" s="32" t="s">
        <v>15</v>
      </c>
      <c r="E3293" s="31" t="s">
        <v>3570</v>
      </c>
      <c r="F3293" s="134">
        <v>46138.0</v>
      </c>
      <c r="G3293" s="54">
        <v>2.034446315E7</v>
      </c>
      <c r="H3293" s="14">
        <f t="shared" si="10"/>
        <v>4272337.262</v>
      </c>
      <c r="I3293" s="22">
        <v>610333.89</v>
      </c>
      <c r="J3293" s="22">
        <v>101722.32</v>
      </c>
      <c r="K3293" s="15">
        <f t="shared" si="4"/>
        <v>25328856.62</v>
      </c>
      <c r="L3293" s="45"/>
      <c r="M3293" s="6"/>
    </row>
    <row r="3294" ht="15.75" customHeight="1">
      <c r="A3294" s="162">
        <v>46134.0</v>
      </c>
      <c r="B3294" s="50"/>
      <c r="C3294" s="31" t="s">
        <v>2004</v>
      </c>
      <c r="D3294" s="32" t="s">
        <v>99</v>
      </c>
      <c r="E3294" s="31" t="s">
        <v>3571</v>
      </c>
      <c r="F3294" s="134">
        <v>46138.0</v>
      </c>
      <c r="G3294" s="54">
        <v>5522533.05</v>
      </c>
      <c r="H3294" s="14">
        <f t="shared" si="10"/>
        <v>1159731.941</v>
      </c>
      <c r="I3294" s="22">
        <v>165675.99</v>
      </c>
      <c r="J3294" s="22"/>
      <c r="K3294" s="15">
        <f t="shared" si="4"/>
        <v>6847940.981</v>
      </c>
      <c r="L3294" s="45"/>
      <c r="M3294" s="6"/>
    </row>
    <row r="3295" ht="15.75" customHeight="1">
      <c r="A3295" s="162">
        <v>46134.0</v>
      </c>
      <c r="B3295" s="50"/>
      <c r="C3295" s="31" t="s">
        <v>2004</v>
      </c>
      <c r="D3295" s="32" t="s">
        <v>99</v>
      </c>
      <c r="E3295" s="31" t="s">
        <v>3572</v>
      </c>
      <c r="F3295" s="134">
        <v>46138.0</v>
      </c>
      <c r="G3295" s="54">
        <v>3344643.21</v>
      </c>
      <c r="H3295" s="14">
        <f t="shared" si="10"/>
        <v>702375.0741</v>
      </c>
      <c r="I3295" s="22">
        <v>100339.3</v>
      </c>
      <c r="J3295" s="22"/>
      <c r="K3295" s="15">
        <f t="shared" si="4"/>
        <v>4147357.584</v>
      </c>
      <c r="L3295" s="45"/>
      <c r="M3295" s="6"/>
    </row>
    <row r="3296" ht="15.75" customHeight="1">
      <c r="A3296" s="162">
        <v>46134.0</v>
      </c>
      <c r="B3296" s="50"/>
      <c r="C3296" s="31" t="s">
        <v>2004</v>
      </c>
      <c r="D3296" s="32" t="s">
        <v>99</v>
      </c>
      <c r="E3296" s="31" t="s">
        <v>3573</v>
      </c>
      <c r="F3296" s="134">
        <v>46138.0</v>
      </c>
      <c r="G3296" s="54">
        <v>7873373.21</v>
      </c>
      <c r="H3296" s="14">
        <f t="shared" si="10"/>
        <v>1653408.374</v>
      </c>
      <c r="I3296" s="22">
        <v>236201.2</v>
      </c>
      <c r="J3296" s="22"/>
      <c r="K3296" s="15">
        <f t="shared" si="4"/>
        <v>9762982.784</v>
      </c>
      <c r="L3296" s="45"/>
      <c r="M3296" s="6"/>
    </row>
    <row r="3297" ht="15.75" customHeight="1">
      <c r="A3297" s="162">
        <v>46134.0</v>
      </c>
      <c r="B3297" s="50"/>
      <c r="C3297" s="31" t="s">
        <v>1564</v>
      </c>
      <c r="D3297" s="32" t="s">
        <v>99</v>
      </c>
      <c r="E3297" s="31" t="s">
        <v>3574</v>
      </c>
      <c r="F3297" s="134">
        <v>46138.0</v>
      </c>
      <c r="G3297" s="54">
        <v>8333362.12</v>
      </c>
      <c r="H3297" s="14">
        <f t="shared" si="10"/>
        <v>1750006.045</v>
      </c>
      <c r="I3297" s="22">
        <v>250000.86</v>
      </c>
      <c r="J3297" s="22"/>
      <c r="K3297" s="15">
        <f t="shared" si="4"/>
        <v>10333369.03</v>
      </c>
      <c r="L3297" s="45"/>
      <c r="M3297" s="6"/>
    </row>
    <row r="3298" ht="15.75" customHeight="1">
      <c r="A3298" s="162">
        <v>46134.0</v>
      </c>
      <c r="B3298" s="50"/>
      <c r="C3298" s="31" t="s">
        <v>1564</v>
      </c>
      <c r="D3298" s="32" t="s">
        <v>99</v>
      </c>
      <c r="E3298" s="31" t="s">
        <v>3575</v>
      </c>
      <c r="F3298" s="134">
        <v>46138.0</v>
      </c>
      <c r="G3298" s="54">
        <v>3821653.23</v>
      </c>
      <c r="H3298" s="14">
        <f t="shared" si="10"/>
        <v>802547.1783</v>
      </c>
      <c r="I3298" s="22">
        <v>114649.6</v>
      </c>
      <c r="J3298" s="22"/>
      <c r="K3298" s="15">
        <f t="shared" si="4"/>
        <v>4738850.008</v>
      </c>
      <c r="L3298" s="45"/>
      <c r="M3298" s="6"/>
    </row>
    <row r="3299" ht="15.75" customHeight="1">
      <c r="A3299" s="162">
        <v>46134.0</v>
      </c>
      <c r="B3299" s="50"/>
      <c r="C3299" s="31" t="s">
        <v>1564</v>
      </c>
      <c r="D3299" s="32" t="s">
        <v>99</v>
      </c>
      <c r="E3299" s="31" t="s">
        <v>3576</v>
      </c>
      <c r="F3299" s="134">
        <v>46138.0</v>
      </c>
      <c r="G3299" s="54">
        <v>4434364.05</v>
      </c>
      <c r="H3299" s="14">
        <f t="shared" si="10"/>
        <v>931216.4505</v>
      </c>
      <c r="I3299" s="22">
        <v>133030.92</v>
      </c>
      <c r="J3299" s="22"/>
      <c r="K3299" s="15">
        <f t="shared" si="4"/>
        <v>5498611.421</v>
      </c>
      <c r="L3299" s="45"/>
      <c r="M3299" s="6"/>
    </row>
    <row r="3300" ht="15.75" customHeight="1">
      <c r="A3300" s="162">
        <v>46134.0</v>
      </c>
      <c r="B3300" s="50"/>
      <c r="C3300" s="31" t="s">
        <v>1972</v>
      </c>
      <c r="D3300" s="32" t="s">
        <v>99</v>
      </c>
      <c r="E3300" s="31" t="s">
        <v>3577</v>
      </c>
      <c r="F3300" s="134">
        <v>46138.0</v>
      </c>
      <c r="G3300" s="54">
        <v>7336463.08</v>
      </c>
      <c r="H3300" s="14">
        <f t="shared" si="10"/>
        <v>1540657.247</v>
      </c>
      <c r="I3300" s="22">
        <v>220093.89</v>
      </c>
      <c r="J3300" s="22"/>
      <c r="K3300" s="15">
        <f t="shared" si="4"/>
        <v>9097214.217</v>
      </c>
      <c r="L3300" s="45"/>
      <c r="M3300" s="6"/>
    </row>
    <row r="3301" ht="15.75" customHeight="1">
      <c r="A3301" s="162">
        <v>46134.0</v>
      </c>
      <c r="B3301" s="50"/>
      <c r="C3301" s="31" t="s">
        <v>1972</v>
      </c>
      <c r="D3301" s="32" t="s">
        <v>99</v>
      </c>
      <c r="E3301" s="31" t="s">
        <v>3578</v>
      </c>
      <c r="F3301" s="134">
        <v>46138.0</v>
      </c>
      <c r="G3301" s="54">
        <v>2545464.25</v>
      </c>
      <c r="H3301" s="14">
        <f t="shared" si="10"/>
        <v>534547.4925</v>
      </c>
      <c r="I3301" s="22">
        <v>76363.93</v>
      </c>
      <c r="J3301" s="22"/>
      <c r="K3301" s="15">
        <f t="shared" si="4"/>
        <v>3156375.673</v>
      </c>
      <c r="L3301" s="45"/>
      <c r="M3301" s="6"/>
    </row>
    <row r="3302" ht="15.75" customHeight="1">
      <c r="A3302" s="162">
        <v>46134.0</v>
      </c>
      <c r="B3302" s="50"/>
      <c r="C3302" s="31" t="s">
        <v>1972</v>
      </c>
      <c r="D3302" s="32" t="s">
        <v>99</v>
      </c>
      <c r="E3302" s="31" t="s">
        <v>3579</v>
      </c>
      <c r="F3302" s="134">
        <v>46138.0</v>
      </c>
      <c r="G3302" s="54">
        <v>6643533.26</v>
      </c>
      <c r="H3302" s="14">
        <f t="shared" si="10"/>
        <v>1395141.985</v>
      </c>
      <c r="I3302" s="22">
        <v>199306.0</v>
      </c>
      <c r="J3302" s="22"/>
      <c r="K3302" s="15">
        <f t="shared" si="4"/>
        <v>8237981.245</v>
      </c>
      <c r="L3302" s="45"/>
      <c r="M3302" s="6"/>
    </row>
    <row r="3303" ht="15.75" customHeight="1">
      <c r="A3303" s="162">
        <v>46134.0</v>
      </c>
      <c r="B3303" s="50"/>
      <c r="C3303" s="31" t="s">
        <v>3580</v>
      </c>
      <c r="D3303" s="32" t="s">
        <v>99</v>
      </c>
      <c r="E3303" s="31" t="s">
        <v>3581</v>
      </c>
      <c r="F3303" s="134">
        <v>46138.0</v>
      </c>
      <c r="G3303" s="54">
        <v>1.645454712E7</v>
      </c>
      <c r="H3303" s="14">
        <f t="shared" si="10"/>
        <v>3455454.895</v>
      </c>
      <c r="I3303" s="22">
        <v>493636.41</v>
      </c>
      <c r="J3303" s="22"/>
      <c r="K3303" s="15">
        <f t="shared" si="4"/>
        <v>20403638.43</v>
      </c>
      <c r="L3303" s="45"/>
      <c r="M3303" s="6"/>
    </row>
    <row r="3304" ht="15.75" customHeight="1">
      <c r="A3304" s="162">
        <v>46134.0</v>
      </c>
      <c r="B3304" s="50"/>
      <c r="C3304" s="31" t="s">
        <v>3580</v>
      </c>
      <c r="D3304" s="32" t="s">
        <v>15</v>
      </c>
      <c r="E3304" s="31" t="s">
        <v>3582</v>
      </c>
      <c r="F3304" s="134">
        <v>46138.0</v>
      </c>
      <c r="G3304" s="54">
        <v>1.821843605E7</v>
      </c>
      <c r="H3304" s="14">
        <f t="shared" si="10"/>
        <v>3825871.571</v>
      </c>
      <c r="I3304" s="22">
        <v>546553.08</v>
      </c>
      <c r="J3304" s="22"/>
      <c r="K3304" s="15">
        <f t="shared" si="4"/>
        <v>22590860.7</v>
      </c>
      <c r="L3304" s="45"/>
      <c r="M3304" s="6"/>
    </row>
    <row r="3305" ht="15.75" customHeight="1">
      <c r="A3305" s="162">
        <v>46134.0</v>
      </c>
      <c r="B3305" s="50"/>
      <c r="C3305" s="31" t="s">
        <v>3580</v>
      </c>
      <c r="D3305" s="32" t="s">
        <v>15</v>
      </c>
      <c r="E3305" s="31" t="s">
        <v>3583</v>
      </c>
      <c r="F3305" s="134">
        <v>46138.0</v>
      </c>
      <c r="G3305" s="54">
        <v>1.233363305E7</v>
      </c>
      <c r="H3305" s="14">
        <f t="shared" si="10"/>
        <v>2590062.941</v>
      </c>
      <c r="I3305" s="22">
        <v>370008.99</v>
      </c>
      <c r="J3305" s="22"/>
      <c r="K3305" s="15">
        <f t="shared" si="4"/>
        <v>15293704.98</v>
      </c>
      <c r="L3305" s="45"/>
      <c r="M3305" s="6"/>
    </row>
    <row r="3306" ht="15.75" customHeight="1">
      <c r="A3306" s="162">
        <v>46134.0</v>
      </c>
      <c r="B3306" s="50"/>
      <c r="C3306" s="31" t="s">
        <v>3580</v>
      </c>
      <c r="D3306" s="32" t="s">
        <v>99</v>
      </c>
      <c r="E3306" s="31" t="s">
        <v>3584</v>
      </c>
      <c r="F3306" s="134">
        <v>46138.0</v>
      </c>
      <c r="G3306" s="54">
        <v>1.304463505E7</v>
      </c>
      <c r="H3306" s="14">
        <f t="shared" si="10"/>
        <v>2739373.361</v>
      </c>
      <c r="I3306" s="22">
        <v>391339.05</v>
      </c>
      <c r="J3306" s="22"/>
      <c r="K3306" s="15">
        <f t="shared" si="4"/>
        <v>16175347.46</v>
      </c>
      <c r="L3306" s="45"/>
      <c r="M3306" s="6"/>
    </row>
    <row r="3307" ht="15.75" customHeight="1">
      <c r="A3307" s="162">
        <v>46134.0</v>
      </c>
      <c r="B3307" s="50"/>
      <c r="C3307" s="31" t="s">
        <v>3580</v>
      </c>
      <c r="D3307" s="32" t="s">
        <v>15</v>
      </c>
      <c r="E3307" s="31" t="s">
        <v>3585</v>
      </c>
      <c r="F3307" s="134">
        <v>46138.0</v>
      </c>
      <c r="G3307" s="54">
        <v>1.023362805E7</v>
      </c>
      <c r="H3307" s="14">
        <f t="shared" si="10"/>
        <v>2149061.891</v>
      </c>
      <c r="I3307" s="22">
        <v>307008.84</v>
      </c>
      <c r="J3307" s="22"/>
      <c r="K3307" s="15">
        <f t="shared" si="4"/>
        <v>12689698.78</v>
      </c>
      <c r="L3307" s="45"/>
      <c r="M3307" s="6"/>
    </row>
    <row r="3308" ht="15.75" customHeight="1">
      <c r="A3308" s="162">
        <v>46134.0</v>
      </c>
      <c r="B3308" s="50"/>
      <c r="C3308" s="31" t="s">
        <v>3580</v>
      </c>
      <c r="D3308" s="32" t="s">
        <v>99</v>
      </c>
      <c r="E3308" s="31" t="s">
        <v>3586</v>
      </c>
      <c r="F3308" s="134">
        <v>46138.0</v>
      </c>
      <c r="G3308" s="54">
        <v>3002338.05</v>
      </c>
      <c r="H3308" s="14">
        <f t="shared" si="10"/>
        <v>630490.9905</v>
      </c>
      <c r="I3308" s="22"/>
      <c r="J3308" s="22"/>
      <c r="K3308" s="15">
        <f t="shared" si="4"/>
        <v>3632829.041</v>
      </c>
      <c r="L3308" s="45"/>
      <c r="M3308" s="6"/>
    </row>
    <row r="3309" ht="15.75" customHeight="1">
      <c r="A3309" s="162">
        <v>46134.0</v>
      </c>
      <c r="B3309" s="50"/>
      <c r="C3309" s="31" t="s">
        <v>3580</v>
      </c>
      <c r="D3309" s="32" t="s">
        <v>99</v>
      </c>
      <c r="E3309" s="31" t="s">
        <v>3587</v>
      </c>
      <c r="F3309" s="134">
        <v>46138.0</v>
      </c>
      <c r="G3309" s="54">
        <v>1.123363305E7</v>
      </c>
      <c r="H3309" s="14">
        <f t="shared" si="10"/>
        <v>2359062.941</v>
      </c>
      <c r="I3309" s="22">
        <v>337008.99</v>
      </c>
      <c r="J3309" s="22"/>
      <c r="K3309" s="15">
        <f t="shared" si="4"/>
        <v>13929704.98</v>
      </c>
      <c r="L3309" s="45"/>
      <c r="M3309" s="6"/>
    </row>
    <row r="3310" ht="15.75" customHeight="1">
      <c r="A3310" s="162">
        <v>46134.0</v>
      </c>
      <c r="B3310" s="50"/>
      <c r="C3310" s="31" t="s">
        <v>3580</v>
      </c>
      <c r="D3310" s="32" t="s">
        <v>99</v>
      </c>
      <c r="E3310" s="31" t="s">
        <v>3588</v>
      </c>
      <c r="F3310" s="134">
        <v>46138.0</v>
      </c>
      <c r="G3310" s="54">
        <v>1.800063317E7</v>
      </c>
      <c r="H3310" s="14">
        <f t="shared" si="10"/>
        <v>3780132.966</v>
      </c>
      <c r="I3310" s="22">
        <v>540019.0</v>
      </c>
      <c r="J3310" s="22"/>
      <c r="K3310" s="15">
        <f t="shared" si="4"/>
        <v>22320785.14</v>
      </c>
      <c r="L3310" s="45"/>
      <c r="M3310" s="6"/>
    </row>
    <row r="3311" ht="15.75" customHeight="1">
      <c r="A3311" s="162">
        <v>46134.0</v>
      </c>
      <c r="B3311" s="50"/>
      <c r="C3311" s="31" t="s">
        <v>3580</v>
      </c>
      <c r="D3311" s="32" t="s">
        <v>15</v>
      </c>
      <c r="E3311" s="31" t="s">
        <v>3589</v>
      </c>
      <c r="F3311" s="134">
        <v>46138.0</v>
      </c>
      <c r="G3311" s="54">
        <v>9333633.05</v>
      </c>
      <c r="H3311" s="14">
        <f t="shared" si="10"/>
        <v>1960062.941</v>
      </c>
      <c r="I3311" s="22">
        <v>280008.99</v>
      </c>
      <c r="J3311" s="22"/>
      <c r="K3311" s="15">
        <f t="shared" si="4"/>
        <v>11573704.98</v>
      </c>
      <c r="L3311" s="45"/>
      <c r="M3311" s="6"/>
    </row>
    <row r="3312" ht="15.75" customHeight="1">
      <c r="A3312" s="162">
        <v>46134.0</v>
      </c>
      <c r="B3312" s="50"/>
      <c r="C3312" s="31" t="s">
        <v>1842</v>
      </c>
      <c r="D3312" s="32" t="s">
        <v>15</v>
      </c>
      <c r="E3312" s="31" t="s">
        <v>3590</v>
      </c>
      <c r="F3312" s="134">
        <v>46138.0</v>
      </c>
      <c r="G3312" s="54">
        <v>2.417825015E7</v>
      </c>
      <c r="H3312" s="14">
        <f t="shared" si="10"/>
        <v>5077432.532</v>
      </c>
      <c r="I3312" s="22"/>
      <c r="J3312" s="22">
        <v>169247.75</v>
      </c>
      <c r="K3312" s="15">
        <f t="shared" si="4"/>
        <v>29424930.43</v>
      </c>
      <c r="L3312" s="45"/>
      <c r="M3312" s="6"/>
    </row>
    <row r="3313" ht="15.75" customHeight="1">
      <c r="A3313" s="162">
        <v>46134.0</v>
      </c>
      <c r="B3313" s="50"/>
      <c r="C3313" s="31" t="s">
        <v>1842</v>
      </c>
      <c r="D3313" s="32" t="s">
        <v>15</v>
      </c>
      <c r="E3313" s="31" t="s">
        <v>3591</v>
      </c>
      <c r="F3313" s="134">
        <v>46138.0</v>
      </c>
      <c r="G3313" s="54">
        <v>2.387336015E7</v>
      </c>
      <c r="H3313" s="14">
        <f t="shared" si="10"/>
        <v>5013405.632</v>
      </c>
      <c r="I3313" s="22"/>
      <c r="J3313" s="22">
        <v>167113.52</v>
      </c>
      <c r="K3313" s="15">
        <f t="shared" si="4"/>
        <v>29053879.3</v>
      </c>
      <c r="L3313" s="45"/>
      <c r="M3313" s="6"/>
    </row>
    <row r="3314" ht="15.75" customHeight="1">
      <c r="A3314" s="162">
        <v>46134.0</v>
      </c>
      <c r="B3314" s="50"/>
      <c r="C3314" s="31" t="s">
        <v>3592</v>
      </c>
      <c r="D3314" s="32" t="s">
        <v>99</v>
      </c>
      <c r="E3314" s="31" t="s">
        <v>3593</v>
      </c>
      <c r="F3314" s="134">
        <v>46138.0</v>
      </c>
      <c r="G3314" s="54">
        <v>1.521989005E7</v>
      </c>
      <c r="H3314" s="14">
        <f t="shared" si="10"/>
        <v>3196176.911</v>
      </c>
      <c r="I3314" s="22"/>
      <c r="J3314" s="22">
        <v>60879.56</v>
      </c>
      <c r="K3314" s="15">
        <f t="shared" si="4"/>
        <v>18476946.52</v>
      </c>
      <c r="L3314" s="45"/>
      <c r="M3314" s="6"/>
    </row>
    <row r="3315" ht="15.75" customHeight="1">
      <c r="A3315" s="162">
        <v>46135.0</v>
      </c>
      <c r="B3315" s="50"/>
      <c r="C3315" s="31" t="s">
        <v>3594</v>
      </c>
      <c r="D3315" s="32" t="s">
        <v>99</v>
      </c>
      <c r="E3315" s="31" t="s">
        <v>3595</v>
      </c>
      <c r="F3315" s="134">
        <v>46138.0</v>
      </c>
      <c r="G3315" s="54">
        <v>3.124930205E7</v>
      </c>
      <c r="H3315" s="14">
        <f t="shared" si="10"/>
        <v>6562353.431</v>
      </c>
      <c r="I3315" s="22">
        <v>937479.06</v>
      </c>
      <c r="J3315" s="22"/>
      <c r="K3315" s="15">
        <f t="shared" si="4"/>
        <v>38749134.54</v>
      </c>
      <c r="L3315" s="45"/>
      <c r="M3315" s="6"/>
    </row>
    <row r="3316" ht="15.75" customHeight="1">
      <c r="A3316" s="162">
        <v>46135.0</v>
      </c>
      <c r="B3316" s="50"/>
      <c r="C3316" s="31" t="s">
        <v>3596</v>
      </c>
      <c r="D3316" s="32" t="s">
        <v>99</v>
      </c>
      <c r="E3316" s="31" t="s">
        <v>3597</v>
      </c>
      <c r="F3316" s="134">
        <v>46138.0</v>
      </c>
      <c r="G3316" s="54">
        <v>5843570.27</v>
      </c>
      <c r="H3316" s="14">
        <f t="shared" si="10"/>
        <v>1227149.757</v>
      </c>
      <c r="I3316" s="22"/>
      <c r="J3316" s="22">
        <v>292178.51</v>
      </c>
      <c r="K3316" s="15">
        <f t="shared" si="4"/>
        <v>7362898.537</v>
      </c>
      <c r="L3316" s="45"/>
      <c r="M3316" s="6"/>
    </row>
    <row r="3317" ht="15.75" customHeight="1">
      <c r="A3317" s="162">
        <v>46135.0</v>
      </c>
      <c r="B3317" s="50"/>
      <c r="C3317" s="31" t="s">
        <v>3596</v>
      </c>
      <c r="D3317" s="32" t="s">
        <v>99</v>
      </c>
      <c r="E3317" s="31" t="s">
        <v>3598</v>
      </c>
      <c r="F3317" s="134">
        <v>46138.0</v>
      </c>
      <c r="G3317" s="54">
        <v>4269570.26</v>
      </c>
      <c r="H3317" s="14">
        <f t="shared" si="10"/>
        <v>896609.7546</v>
      </c>
      <c r="I3317" s="22"/>
      <c r="J3317" s="22">
        <v>213478.51</v>
      </c>
      <c r="K3317" s="15">
        <f t="shared" si="4"/>
        <v>5379658.525</v>
      </c>
      <c r="L3317" s="45"/>
      <c r="M3317" s="6"/>
    </row>
    <row r="3318" ht="15.75" customHeight="1">
      <c r="A3318" s="162">
        <v>46135.0</v>
      </c>
      <c r="B3318" s="50"/>
      <c r="C3318" s="31" t="s">
        <v>3068</v>
      </c>
      <c r="D3318" s="32" t="s">
        <v>99</v>
      </c>
      <c r="E3318" s="31" t="s">
        <v>3599</v>
      </c>
      <c r="F3318" s="134">
        <v>46138.0</v>
      </c>
      <c r="G3318" s="54">
        <v>1.532226505E7</v>
      </c>
      <c r="H3318" s="14">
        <f t="shared" si="10"/>
        <v>3217675.661</v>
      </c>
      <c r="I3318" s="22"/>
      <c r="J3318" s="22"/>
      <c r="K3318" s="15">
        <f t="shared" si="4"/>
        <v>18539940.71</v>
      </c>
      <c r="L3318" s="45"/>
      <c r="M3318" s="6"/>
    </row>
    <row r="3319" ht="15.75" customHeight="1">
      <c r="A3319" s="164">
        <v>46135.0</v>
      </c>
      <c r="B3319" s="56"/>
      <c r="C3319" s="57" t="s">
        <v>171</v>
      </c>
      <c r="D3319" s="58" t="s">
        <v>99</v>
      </c>
      <c r="E3319" s="57" t="s">
        <v>3600</v>
      </c>
      <c r="F3319" s="137">
        <v>46138.0</v>
      </c>
      <c r="G3319" s="155">
        <v>2.022373326E7</v>
      </c>
      <c r="H3319" s="9">
        <f t="shared" si="10"/>
        <v>4246983.985</v>
      </c>
      <c r="I3319" s="44"/>
      <c r="J3319" s="44"/>
      <c r="K3319" s="10">
        <f t="shared" si="4"/>
        <v>24470717.24</v>
      </c>
      <c r="L3319" s="61"/>
      <c r="M3319" s="62"/>
    </row>
    <row r="3320" ht="15.75" customHeight="1">
      <c r="A3320" s="162">
        <v>46135.0</v>
      </c>
      <c r="B3320" s="50"/>
      <c r="C3320" s="31" t="s">
        <v>171</v>
      </c>
      <c r="D3320" s="32" t="s">
        <v>15</v>
      </c>
      <c r="E3320" s="31" t="s">
        <v>3601</v>
      </c>
      <c r="F3320" s="134">
        <v>46138.0</v>
      </c>
      <c r="G3320" s="54">
        <v>2.079123226E7</v>
      </c>
      <c r="H3320" s="14">
        <f t="shared" si="10"/>
        <v>4366158.775</v>
      </c>
      <c r="I3320" s="22"/>
      <c r="J3320" s="22"/>
      <c r="K3320" s="15">
        <f t="shared" si="4"/>
        <v>25157391.03</v>
      </c>
      <c r="L3320" s="45"/>
      <c r="M3320" s="6"/>
    </row>
    <row r="3321" ht="15.75" customHeight="1">
      <c r="A3321" s="164">
        <v>46135.0</v>
      </c>
      <c r="B3321" s="56"/>
      <c r="C3321" s="58" t="s">
        <v>3602</v>
      </c>
      <c r="D3321" s="58" t="s">
        <v>1021</v>
      </c>
      <c r="E3321" s="119" t="s">
        <v>3603</v>
      </c>
      <c r="F3321" s="137">
        <v>46138.0</v>
      </c>
      <c r="G3321" s="131">
        <v>8243801.65</v>
      </c>
      <c r="H3321" s="9">
        <f t="shared" si="10"/>
        <v>1731198.347</v>
      </c>
      <c r="I3321" s="44"/>
      <c r="J3321" s="44"/>
      <c r="K3321" s="10">
        <f t="shared" si="4"/>
        <v>9974999.997</v>
      </c>
      <c r="L3321" s="61"/>
      <c r="M3321" s="62"/>
    </row>
    <row r="3322" ht="15.75" customHeight="1">
      <c r="A3322" s="164">
        <v>46135.0</v>
      </c>
      <c r="B3322" s="56"/>
      <c r="C3322" s="58" t="s">
        <v>3604</v>
      </c>
      <c r="D3322" s="58" t="s">
        <v>3605</v>
      </c>
      <c r="E3322" s="57" t="s">
        <v>3606</v>
      </c>
      <c r="F3322" s="137">
        <v>46138.0</v>
      </c>
      <c r="G3322" s="155">
        <v>1.298983152E7</v>
      </c>
      <c r="H3322" s="9">
        <f t="shared" si="10"/>
        <v>2727864.619</v>
      </c>
      <c r="I3322" s="44"/>
      <c r="J3322" s="44"/>
      <c r="K3322" s="10">
        <f t="shared" si="4"/>
        <v>15717696.14</v>
      </c>
      <c r="L3322" s="61"/>
      <c r="M3322" s="62"/>
    </row>
    <row r="3323" ht="15.75" customHeight="1">
      <c r="A3323" s="162">
        <v>46136.0</v>
      </c>
      <c r="B3323" s="50"/>
      <c r="C3323" s="31" t="s">
        <v>2958</v>
      </c>
      <c r="D3323" s="32" t="s">
        <v>15</v>
      </c>
      <c r="E3323" s="31" t="s">
        <v>3607</v>
      </c>
      <c r="F3323" s="134">
        <v>46138.0</v>
      </c>
      <c r="G3323" s="54">
        <v>9633530.15</v>
      </c>
      <c r="H3323" s="14">
        <f t="shared" si="10"/>
        <v>2023041.332</v>
      </c>
      <c r="I3323" s="22">
        <v>289005.9</v>
      </c>
      <c r="J3323" s="22"/>
      <c r="K3323" s="15">
        <f t="shared" si="4"/>
        <v>11945577.38</v>
      </c>
      <c r="L3323" s="45"/>
      <c r="M3323" s="6"/>
    </row>
    <row r="3324" ht="15.75" customHeight="1">
      <c r="A3324" s="162">
        <v>46136.0</v>
      </c>
      <c r="B3324" s="50"/>
      <c r="C3324" s="31" t="s">
        <v>2958</v>
      </c>
      <c r="D3324" s="32" t="s">
        <v>15</v>
      </c>
      <c r="E3324" s="31" t="s">
        <v>3608</v>
      </c>
      <c r="F3324" s="134">
        <v>46138.0</v>
      </c>
      <c r="G3324" s="54">
        <v>1.038458015E7</v>
      </c>
      <c r="H3324" s="14">
        <f t="shared" si="10"/>
        <v>2180761.832</v>
      </c>
      <c r="I3324" s="22">
        <v>311537.4</v>
      </c>
      <c r="J3324" s="22"/>
      <c r="K3324" s="15">
        <f t="shared" si="4"/>
        <v>12876879.38</v>
      </c>
      <c r="L3324" s="45"/>
      <c r="M3324" s="6"/>
    </row>
    <row r="3325" ht="15.75" customHeight="1">
      <c r="A3325" s="164">
        <v>46136.0</v>
      </c>
      <c r="B3325" s="56"/>
      <c r="C3325" s="57" t="s">
        <v>45</v>
      </c>
      <c r="D3325" s="58" t="s">
        <v>15</v>
      </c>
      <c r="E3325" s="57" t="s">
        <v>3609</v>
      </c>
      <c r="F3325" s="137">
        <v>46138.0</v>
      </c>
      <c r="G3325" s="155">
        <v>6002360.15</v>
      </c>
      <c r="H3325" s="9">
        <f t="shared" si="10"/>
        <v>1260495.632</v>
      </c>
      <c r="I3325" s="44"/>
      <c r="J3325" s="44"/>
      <c r="K3325" s="10">
        <f t="shared" si="4"/>
        <v>7262855.782</v>
      </c>
      <c r="L3325" s="61"/>
      <c r="M3325" s="62"/>
    </row>
    <row r="3326" ht="15.75" customHeight="1">
      <c r="A3326" s="164">
        <v>46136.0</v>
      </c>
      <c r="B3326" s="56"/>
      <c r="C3326" s="58" t="s">
        <v>3604</v>
      </c>
      <c r="D3326" s="58" t="s">
        <v>3605</v>
      </c>
      <c r="E3326" s="57" t="s">
        <v>3610</v>
      </c>
      <c r="F3326" s="137">
        <v>46138.0</v>
      </c>
      <c r="G3326" s="155">
        <v>1.197631548E7</v>
      </c>
      <c r="H3326" s="9">
        <f t="shared" si="10"/>
        <v>2515026.251</v>
      </c>
      <c r="I3326" s="44"/>
      <c r="J3326" s="44"/>
      <c r="K3326" s="10">
        <f t="shared" si="4"/>
        <v>14491341.73</v>
      </c>
      <c r="L3326" s="61"/>
      <c r="M3326" s="62"/>
    </row>
    <row r="3327" ht="15.75" customHeight="1">
      <c r="A3327" s="162">
        <v>46140.0</v>
      </c>
      <c r="B3327" s="50"/>
      <c r="C3327" s="31" t="s">
        <v>3063</v>
      </c>
      <c r="D3327" s="32" t="s">
        <v>15</v>
      </c>
      <c r="E3327" s="31" t="s">
        <v>3611</v>
      </c>
      <c r="F3327" s="134">
        <v>46138.0</v>
      </c>
      <c r="G3327" s="54">
        <v>4953570.12</v>
      </c>
      <c r="H3327" s="14">
        <f t="shared" si="10"/>
        <v>1040249.725</v>
      </c>
      <c r="I3327" s="22">
        <v>148607.1</v>
      </c>
      <c r="J3327" s="22"/>
      <c r="K3327" s="15">
        <f t="shared" si="4"/>
        <v>6142426.945</v>
      </c>
      <c r="L3327" s="45"/>
      <c r="M3327" s="6"/>
    </row>
    <row r="3328" ht="15.75" customHeight="1">
      <c r="A3328" s="162">
        <v>46140.0</v>
      </c>
      <c r="B3328" s="50"/>
      <c r="C3328" s="31" t="s">
        <v>3063</v>
      </c>
      <c r="D3328" s="32" t="s">
        <v>15</v>
      </c>
      <c r="E3328" s="31" t="s">
        <v>3612</v>
      </c>
      <c r="F3328" s="134">
        <v>46138.0</v>
      </c>
      <c r="G3328" s="54">
        <v>5214580.12</v>
      </c>
      <c r="H3328" s="14">
        <f t="shared" si="10"/>
        <v>1095061.825</v>
      </c>
      <c r="I3328" s="22">
        <v>156437.4</v>
      </c>
      <c r="J3328" s="22"/>
      <c r="K3328" s="15">
        <f t="shared" si="4"/>
        <v>6466079.345</v>
      </c>
      <c r="L3328" s="45"/>
      <c r="M3328" s="6"/>
    </row>
    <row r="3329" ht="15.75" customHeight="1">
      <c r="A3329" s="162">
        <v>46140.0</v>
      </c>
      <c r="B3329" s="50"/>
      <c r="C3329" s="31" t="s">
        <v>3063</v>
      </c>
      <c r="D3329" s="32" t="s">
        <v>15</v>
      </c>
      <c r="E3329" s="31" t="s">
        <v>3613</v>
      </c>
      <c r="F3329" s="134">
        <v>46138.0</v>
      </c>
      <c r="G3329" s="54">
        <v>4752380.16</v>
      </c>
      <c r="H3329" s="14">
        <f t="shared" si="10"/>
        <v>997999.8336</v>
      </c>
      <c r="I3329" s="22">
        <v>142571.4</v>
      </c>
      <c r="J3329" s="22"/>
      <c r="K3329" s="15">
        <f t="shared" si="4"/>
        <v>5892951.394</v>
      </c>
      <c r="L3329" s="45"/>
      <c r="M3329" s="6"/>
    </row>
    <row r="3330" ht="15.75" customHeight="1">
      <c r="A3330" s="164">
        <v>46140.0</v>
      </c>
      <c r="B3330" s="56"/>
      <c r="C3330" s="57" t="s">
        <v>3364</v>
      </c>
      <c r="D3330" s="58" t="s">
        <v>15</v>
      </c>
      <c r="E3330" s="57" t="s">
        <v>3614</v>
      </c>
      <c r="F3330" s="137">
        <v>46138.0</v>
      </c>
      <c r="G3330" s="155">
        <v>2003440.07</v>
      </c>
      <c r="H3330" s="9">
        <f t="shared" si="10"/>
        <v>420722.4147</v>
      </c>
      <c r="I3330" s="44"/>
      <c r="J3330" s="44"/>
      <c r="K3330" s="10">
        <f t="shared" si="4"/>
        <v>2424162.485</v>
      </c>
      <c r="L3330" s="61"/>
      <c r="M3330" s="62"/>
    </row>
    <row r="3331" ht="15.75" customHeight="1">
      <c r="A3331" s="162">
        <v>46140.0</v>
      </c>
      <c r="B3331" s="50"/>
      <c r="C3331" s="31" t="s">
        <v>2318</v>
      </c>
      <c r="D3331" s="32" t="s">
        <v>3012</v>
      </c>
      <c r="E3331" s="31" t="s">
        <v>3615</v>
      </c>
      <c r="F3331" s="134">
        <v>46138.0</v>
      </c>
      <c r="G3331" s="54">
        <v>2.0075E7</v>
      </c>
      <c r="H3331" s="14">
        <f t="shared" si="10"/>
        <v>4215750</v>
      </c>
      <c r="I3331" s="22"/>
      <c r="J3331" s="22"/>
      <c r="K3331" s="15">
        <f t="shared" si="4"/>
        <v>24290750</v>
      </c>
      <c r="L3331" s="45"/>
      <c r="M3331" s="6"/>
    </row>
    <row r="3332" ht="15.75" customHeight="1">
      <c r="A3332" s="162">
        <v>46140.0</v>
      </c>
      <c r="B3332" s="50"/>
      <c r="C3332" s="31" t="s">
        <v>2318</v>
      </c>
      <c r="D3332" s="32" t="s">
        <v>3012</v>
      </c>
      <c r="E3332" s="31" t="s">
        <v>3616</v>
      </c>
      <c r="F3332" s="134">
        <v>46138.0</v>
      </c>
      <c r="G3332" s="54">
        <v>9125000.0</v>
      </c>
      <c r="H3332" s="14">
        <f t="shared" si="10"/>
        <v>1916250</v>
      </c>
      <c r="I3332" s="22"/>
      <c r="J3332" s="22"/>
      <c r="K3332" s="15">
        <f t="shared" si="4"/>
        <v>11041250</v>
      </c>
      <c r="L3332" s="45"/>
      <c r="M3332" s="6"/>
    </row>
    <row r="3333" ht="15.75" customHeight="1">
      <c r="A3333" s="162">
        <v>46140.0</v>
      </c>
      <c r="B3333" s="50"/>
      <c r="C3333" s="31" t="s">
        <v>2318</v>
      </c>
      <c r="D3333" s="32" t="s">
        <v>3012</v>
      </c>
      <c r="E3333" s="31" t="s">
        <v>3617</v>
      </c>
      <c r="F3333" s="134">
        <v>46138.0</v>
      </c>
      <c r="G3333" s="54">
        <v>1.080035E7</v>
      </c>
      <c r="H3333" s="14">
        <f t="shared" si="10"/>
        <v>2268073.5</v>
      </c>
      <c r="I3333" s="22"/>
      <c r="J3333" s="22"/>
      <c r="K3333" s="15">
        <f t="shared" si="4"/>
        <v>13068423.5</v>
      </c>
      <c r="L3333" s="45"/>
      <c r="M3333" s="6"/>
    </row>
    <row r="3334" ht="15.75" customHeight="1">
      <c r="A3334" s="162">
        <v>46141.0</v>
      </c>
      <c r="B3334" s="50"/>
      <c r="C3334" s="31" t="s">
        <v>239</v>
      </c>
      <c r="D3334" s="32" t="s">
        <v>15</v>
      </c>
      <c r="E3334" s="31" t="s">
        <v>3618</v>
      </c>
      <c r="F3334" s="134">
        <v>46138.0</v>
      </c>
      <c r="G3334" s="54">
        <v>3902233.01</v>
      </c>
      <c r="H3334" s="14">
        <f t="shared" si="10"/>
        <v>819468.9321</v>
      </c>
      <c r="I3334" s="22">
        <v>117066.99</v>
      </c>
      <c r="J3334" s="22"/>
      <c r="K3334" s="15">
        <f t="shared" si="4"/>
        <v>4838768.932</v>
      </c>
      <c r="L3334" s="45"/>
      <c r="M3334" s="6"/>
    </row>
    <row r="3335" ht="15.75" customHeight="1">
      <c r="A3335" s="162">
        <v>46141.0</v>
      </c>
      <c r="B3335" s="50"/>
      <c r="C3335" s="31" t="s">
        <v>239</v>
      </c>
      <c r="D3335" s="32" t="s">
        <v>15</v>
      </c>
      <c r="E3335" s="31" t="s">
        <v>3619</v>
      </c>
      <c r="F3335" s="134">
        <v>46138.0</v>
      </c>
      <c r="G3335" s="54">
        <v>4733263.05</v>
      </c>
      <c r="H3335" s="14">
        <f t="shared" si="10"/>
        <v>993985.2405</v>
      </c>
      <c r="I3335" s="22">
        <v>141997.89</v>
      </c>
      <c r="J3335" s="22"/>
      <c r="K3335" s="15">
        <f t="shared" si="4"/>
        <v>5869246.181</v>
      </c>
      <c r="L3335" s="45"/>
      <c r="M3335" s="6"/>
    </row>
    <row r="3336" ht="15.75" customHeight="1">
      <c r="A3336" s="162">
        <v>46141.0</v>
      </c>
      <c r="B3336" s="50"/>
      <c r="C3336" s="31" t="s">
        <v>239</v>
      </c>
      <c r="D3336" s="32" t="s">
        <v>15</v>
      </c>
      <c r="E3336" s="31" t="s">
        <v>3620</v>
      </c>
      <c r="F3336" s="134">
        <v>46138.0</v>
      </c>
      <c r="G3336" s="54">
        <v>2833374.08</v>
      </c>
      <c r="H3336" s="14">
        <f t="shared" si="10"/>
        <v>595008.5568</v>
      </c>
      <c r="I3336" s="22"/>
      <c r="J3336" s="22"/>
      <c r="K3336" s="15">
        <f t="shared" si="4"/>
        <v>3428382.637</v>
      </c>
      <c r="L3336" s="45"/>
      <c r="M3336" s="6"/>
    </row>
    <row r="3337" ht="15.75" customHeight="1">
      <c r="A3337" s="162">
        <v>46141.0</v>
      </c>
      <c r="B3337" s="50"/>
      <c r="C3337" s="31" t="s">
        <v>239</v>
      </c>
      <c r="D3337" s="32" t="s">
        <v>15</v>
      </c>
      <c r="E3337" s="31" t="s">
        <v>3621</v>
      </c>
      <c r="F3337" s="134">
        <v>46138.0</v>
      </c>
      <c r="G3337" s="54">
        <v>3455474.05</v>
      </c>
      <c r="H3337" s="14">
        <f t="shared" si="10"/>
        <v>725649.5505</v>
      </c>
      <c r="I3337" s="22">
        <v>103664.22</v>
      </c>
      <c r="J3337" s="22"/>
      <c r="K3337" s="15">
        <f t="shared" si="4"/>
        <v>4284787.821</v>
      </c>
      <c r="L3337" s="45"/>
      <c r="M3337" s="6"/>
    </row>
    <row r="3338" ht="15.75" customHeight="1">
      <c r="A3338" s="162">
        <v>46141.0</v>
      </c>
      <c r="B3338" s="50"/>
      <c r="C3338" s="31" t="s">
        <v>2346</v>
      </c>
      <c r="D3338" s="32" t="s">
        <v>99</v>
      </c>
      <c r="E3338" s="32" t="s">
        <v>3622</v>
      </c>
      <c r="F3338" s="134">
        <v>46138.0</v>
      </c>
      <c r="G3338" s="54">
        <v>1.133373305E7</v>
      </c>
      <c r="H3338" s="14">
        <f t="shared" si="10"/>
        <v>2380083.941</v>
      </c>
      <c r="I3338" s="22">
        <v>340011.99</v>
      </c>
      <c r="J3338" s="22">
        <v>170006.0</v>
      </c>
      <c r="K3338" s="15">
        <f t="shared" si="4"/>
        <v>14223834.98</v>
      </c>
      <c r="L3338" s="45"/>
      <c r="M3338" s="6"/>
    </row>
    <row r="3339" ht="15.75" customHeight="1">
      <c r="A3339" s="162">
        <v>46141.0</v>
      </c>
      <c r="B3339" s="50"/>
      <c r="C3339" s="31" t="s">
        <v>2346</v>
      </c>
      <c r="D3339" s="32" t="s">
        <v>99</v>
      </c>
      <c r="E3339" s="32" t="s">
        <v>3623</v>
      </c>
      <c r="F3339" s="134">
        <v>46138.0</v>
      </c>
      <c r="G3339" s="54">
        <v>9333723.04</v>
      </c>
      <c r="H3339" s="14">
        <f t="shared" si="10"/>
        <v>1960081.838</v>
      </c>
      <c r="I3339" s="22">
        <v>280011.69</v>
      </c>
      <c r="J3339" s="22">
        <v>140005.85</v>
      </c>
      <c r="K3339" s="15">
        <f t="shared" si="4"/>
        <v>11713822.42</v>
      </c>
      <c r="L3339" s="45"/>
      <c r="M3339" s="6"/>
    </row>
    <row r="3340" ht="15.75" customHeight="1">
      <c r="A3340" s="162">
        <v>46141.0</v>
      </c>
      <c r="B3340" s="50"/>
      <c r="C3340" s="31" t="s">
        <v>2346</v>
      </c>
      <c r="D3340" s="32" t="s">
        <v>99</v>
      </c>
      <c r="E3340" s="32" t="s">
        <v>3624</v>
      </c>
      <c r="F3340" s="134">
        <v>46138.0</v>
      </c>
      <c r="G3340" s="54">
        <v>1.263344401E7</v>
      </c>
      <c r="H3340" s="14">
        <f t="shared" si="10"/>
        <v>2653023.242</v>
      </c>
      <c r="I3340" s="22">
        <v>379003.32</v>
      </c>
      <c r="J3340" s="22">
        <v>189501.66</v>
      </c>
      <c r="K3340" s="15">
        <f t="shared" si="4"/>
        <v>15854972.23</v>
      </c>
      <c r="L3340" s="45"/>
      <c r="M3340" s="6"/>
    </row>
    <row r="3341" ht="15.75" customHeight="1">
      <c r="A3341" s="162">
        <v>46141.0</v>
      </c>
      <c r="B3341" s="50"/>
      <c r="C3341" s="31" t="s">
        <v>2346</v>
      </c>
      <c r="D3341" s="32" t="s">
        <v>99</v>
      </c>
      <c r="E3341" s="32" t="s">
        <v>3625</v>
      </c>
      <c r="F3341" s="134">
        <v>46138.0</v>
      </c>
      <c r="G3341" s="54">
        <v>8223633.15</v>
      </c>
      <c r="H3341" s="14">
        <f t="shared" si="10"/>
        <v>1726962.962</v>
      </c>
      <c r="I3341" s="22">
        <v>246708.99</v>
      </c>
      <c r="J3341" s="22">
        <v>123354.5</v>
      </c>
      <c r="K3341" s="15">
        <f t="shared" si="4"/>
        <v>10320659.6</v>
      </c>
      <c r="L3341" s="45"/>
      <c r="M3341" s="6"/>
    </row>
    <row r="3342" ht="15.75" customHeight="1">
      <c r="A3342" s="162">
        <v>46141.0</v>
      </c>
      <c r="B3342" s="50"/>
      <c r="C3342" s="31" t="s">
        <v>2318</v>
      </c>
      <c r="D3342" s="31" t="s">
        <v>3626</v>
      </c>
      <c r="E3342" s="32" t="s">
        <v>3627</v>
      </c>
      <c r="F3342" s="134">
        <v>46138.0</v>
      </c>
      <c r="G3342" s="54">
        <v>8942500.0</v>
      </c>
      <c r="H3342" s="14">
        <f t="shared" si="10"/>
        <v>1877925</v>
      </c>
      <c r="I3342" s="22"/>
      <c r="J3342" s="22"/>
      <c r="K3342" s="15">
        <f t="shared" si="4"/>
        <v>10820425</v>
      </c>
      <c r="L3342" s="45"/>
      <c r="M3342" s="6"/>
    </row>
    <row r="3343" ht="15.75" customHeight="1">
      <c r="A3343" s="162">
        <v>46141.0</v>
      </c>
      <c r="B3343" s="50"/>
      <c r="C3343" s="31" t="s">
        <v>2318</v>
      </c>
      <c r="D3343" s="31" t="s">
        <v>3626</v>
      </c>
      <c r="E3343" s="32" t="s">
        <v>3628</v>
      </c>
      <c r="F3343" s="134">
        <v>46138.0</v>
      </c>
      <c r="G3343" s="54">
        <v>9307500.0</v>
      </c>
      <c r="H3343" s="14">
        <f t="shared" si="10"/>
        <v>1954575</v>
      </c>
      <c r="I3343" s="22"/>
      <c r="J3343" s="22"/>
      <c r="K3343" s="15">
        <f t="shared" si="4"/>
        <v>11262075</v>
      </c>
      <c r="L3343" s="45"/>
      <c r="M3343" s="6"/>
    </row>
    <row r="3344" ht="15.75" customHeight="1">
      <c r="A3344" s="162">
        <v>46142.0</v>
      </c>
      <c r="B3344" s="50"/>
      <c r="C3344" s="31" t="s">
        <v>2447</v>
      </c>
      <c r="D3344" s="32" t="s">
        <v>99</v>
      </c>
      <c r="E3344" s="32" t="s">
        <v>3629</v>
      </c>
      <c r="F3344" s="134">
        <v>46138.0</v>
      </c>
      <c r="G3344" s="54">
        <v>1.723363315E7</v>
      </c>
      <c r="H3344" s="14">
        <f t="shared" si="10"/>
        <v>3619062.962</v>
      </c>
      <c r="I3344" s="22"/>
      <c r="J3344" s="22"/>
      <c r="K3344" s="15">
        <f t="shared" si="4"/>
        <v>20852696.11</v>
      </c>
      <c r="L3344" s="45"/>
      <c r="M3344" s="6"/>
    </row>
    <row r="3345" ht="15.75" customHeight="1">
      <c r="A3345" s="162">
        <v>46142.0</v>
      </c>
      <c r="B3345" s="50"/>
      <c r="C3345" s="31" t="s">
        <v>2447</v>
      </c>
      <c r="D3345" s="32" t="s">
        <v>99</v>
      </c>
      <c r="E3345" s="31" t="s">
        <v>3630</v>
      </c>
      <c r="F3345" s="134">
        <v>46138.0</v>
      </c>
      <c r="G3345" s="54">
        <v>2.033352315E7</v>
      </c>
      <c r="H3345" s="14">
        <f t="shared" si="10"/>
        <v>4270039.862</v>
      </c>
      <c r="I3345" s="22"/>
      <c r="J3345" s="22"/>
      <c r="K3345" s="15">
        <f t="shared" si="4"/>
        <v>24603563.01</v>
      </c>
      <c r="L3345" s="45"/>
      <c r="M3345" s="6"/>
    </row>
    <row r="3346" ht="15.75" customHeight="1">
      <c r="A3346" s="162">
        <v>46142.0</v>
      </c>
      <c r="B3346" s="50"/>
      <c r="C3346" s="31" t="s">
        <v>2447</v>
      </c>
      <c r="D3346" s="32" t="s">
        <v>99</v>
      </c>
      <c r="E3346" s="32" t="s">
        <v>3631</v>
      </c>
      <c r="F3346" s="134">
        <v>46138.0</v>
      </c>
      <c r="G3346" s="54">
        <v>1.622353317E7</v>
      </c>
      <c r="H3346" s="14">
        <f t="shared" si="10"/>
        <v>3406941.966</v>
      </c>
      <c r="I3346" s="22"/>
      <c r="J3346" s="22"/>
      <c r="K3346" s="15">
        <f t="shared" si="4"/>
        <v>19630475.14</v>
      </c>
      <c r="L3346" s="45"/>
      <c r="M3346" s="6"/>
    </row>
    <row r="3347" ht="15.75" customHeight="1">
      <c r="A3347" s="162">
        <v>46142.0</v>
      </c>
      <c r="B3347" s="50"/>
      <c r="C3347" s="31" t="s">
        <v>2447</v>
      </c>
      <c r="D3347" s="32" t="s">
        <v>99</v>
      </c>
      <c r="E3347" s="32" t="s">
        <v>3632</v>
      </c>
      <c r="F3347" s="134">
        <v>46138.0</v>
      </c>
      <c r="G3347" s="54">
        <v>1.723336305E7</v>
      </c>
      <c r="H3347" s="14">
        <f t="shared" si="10"/>
        <v>3619006.241</v>
      </c>
      <c r="I3347" s="22"/>
      <c r="J3347" s="22"/>
      <c r="K3347" s="15">
        <f t="shared" si="4"/>
        <v>20852369.29</v>
      </c>
      <c r="L3347" s="45"/>
      <c r="M3347" s="6"/>
    </row>
    <row r="3348" ht="15.75" customHeight="1">
      <c r="A3348" s="162">
        <v>46142.0</v>
      </c>
      <c r="B3348" s="50"/>
      <c r="C3348" s="31" t="s">
        <v>2447</v>
      </c>
      <c r="D3348" s="32" t="s">
        <v>99</v>
      </c>
      <c r="E3348" s="32" t="s">
        <v>3633</v>
      </c>
      <c r="F3348" s="134">
        <v>46138.0</v>
      </c>
      <c r="G3348" s="54">
        <v>3.22334668E7</v>
      </c>
      <c r="H3348" s="14">
        <f t="shared" si="10"/>
        <v>6769028.028</v>
      </c>
      <c r="I3348" s="22">
        <v>967004.0</v>
      </c>
      <c r="J3348" s="22"/>
      <c r="K3348" s="15">
        <f t="shared" si="4"/>
        <v>39969498.83</v>
      </c>
      <c r="L3348" s="45"/>
      <c r="M3348" s="6"/>
    </row>
    <row r="3349" ht="15.75" customHeight="1">
      <c r="A3349" s="162">
        <v>46142.0</v>
      </c>
      <c r="B3349" s="50"/>
      <c r="C3349" s="31" t="s">
        <v>2447</v>
      </c>
      <c r="D3349" s="32" t="s">
        <v>99</v>
      </c>
      <c r="E3349" s="32" t="s">
        <v>3634</v>
      </c>
      <c r="F3349" s="134">
        <v>46138.0</v>
      </c>
      <c r="G3349" s="54">
        <v>3.822364033E7</v>
      </c>
      <c r="H3349" s="14">
        <f t="shared" si="10"/>
        <v>8026964.469</v>
      </c>
      <c r="I3349" s="22">
        <v>1146709.21</v>
      </c>
      <c r="J3349" s="22"/>
      <c r="K3349" s="15">
        <f t="shared" si="4"/>
        <v>47397314.01</v>
      </c>
      <c r="L3349" s="45"/>
      <c r="M3349" s="6"/>
    </row>
    <row r="3350" ht="15.75" customHeight="1">
      <c r="A3350" s="164">
        <v>46142.0</v>
      </c>
      <c r="B3350" s="56"/>
      <c r="C3350" s="57" t="s">
        <v>2753</v>
      </c>
      <c r="D3350" s="58" t="s">
        <v>15</v>
      </c>
      <c r="E3350" s="57" t="s">
        <v>3635</v>
      </c>
      <c r="F3350" s="137">
        <v>46138.0</v>
      </c>
      <c r="G3350" s="155">
        <v>1.357958018E7</v>
      </c>
      <c r="H3350" s="9">
        <f t="shared" si="10"/>
        <v>2851711.838</v>
      </c>
      <c r="I3350" s="44"/>
      <c r="J3350" s="44"/>
      <c r="K3350" s="10">
        <f t="shared" si="4"/>
        <v>16431292.02</v>
      </c>
      <c r="L3350" s="61"/>
      <c r="M3350" s="62"/>
    </row>
    <row r="3351" ht="15.75" customHeight="1">
      <c r="A3351" s="162">
        <v>46142.0</v>
      </c>
      <c r="B3351" s="50"/>
      <c r="C3351" s="31" t="s">
        <v>1136</v>
      </c>
      <c r="D3351" s="32" t="s">
        <v>15</v>
      </c>
      <c r="E3351" s="31" t="s">
        <v>3636</v>
      </c>
      <c r="F3351" s="134">
        <v>46138.0</v>
      </c>
      <c r="G3351" s="54">
        <v>3.33344657E7</v>
      </c>
      <c r="H3351" s="14">
        <f t="shared" si="10"/>
        <v>7000237.797</v>
      </c>
      <c r="I3351" s="22">
        <v>1000033.97</v>
      </c>
      <c r="J3351" s="22">
        <v>1666723.29</v>
      </c>
      <c r="K3351" s="15">
        <f t="shared" si="4"/>
        <v>43001460.76</v>
      </c>
      <c r="L3351" s="45"/>
      <c r="M3351" s="6"/>
    </row>
    <row r="3352" ht="15.75" customHeight="1">
      <c r="A3352" s="162">
        <v>46142.0</v>
      </c>
      <c r="B3352" s="50"/>
      <c r="C3352" s="31" t="s">
        <v>1136</v>
      </c>
      <c r="D3352" s="32" t="s">
        <v>15</v>
      </c>
      <c r="E3352" s="31" t="s">
        <v>3637</v>
      </c>
      <c r="F3352" s="134">
        <v>46138.0</v>
      </c>
      <c r="G3352" s="54">
        <v>3.333084475E7</v>
      </c>
      <c r="H3352" s="14">
        <f t="shared" si="10"/>
        <v>6999477.398</v>
      </c>
      <c r="I3352" s="22">
        <v>999925.34</v>
      </c>
      <c r="J3352" s="22">
        <v>1666542.24</v>
      </c>
      <c r="K3352" s="15">
        <f t="shared" si="4"/>
        <v>42996789.73</v>
      </c>
      <c r="L3352" s="45"/>
      <c r="M3352" s="6"/>
    </row>
    <row r="3353" ht="15.75" customHeight="1">
      <c r="A3353" s="162">
        <v>46142.0</v>
      </c>
      <c r="B3353" s="50"/>
      <c r="C3353" s="31" t="s">
        <v>1136</v>
      </c>
      <c r="D3353" s="32" t="s">
        <v>15</v>
      </c>
      <c r="E3353" s="31" t="s">
        <v>3638</v>
      </c>
      <c r="F3353" s="134">
        <v>46138.0</v>
      </c>
      <c r="G3353" s="54">
        <v>3.33344657E7</v>
      </c>
      <c r="H3353" s="14">
        <f t="shared" si="10"/>
        <v>7000237.797</v>
      </c>
      <c r="I3353" s="22">
        <v>1000033.97</v>
      </c>
      <c r="J3353" s="22">
        <v>1666723.29</v>
      </c>
      <c r="K3353" s="15">
        <f t="shared" si="4"/>
        <v>43001460.76</v>
      </c>
      <c r="L3353" s="45"/>
      <c r="M3353" s="6"/>
    </row>
    <row r="3354" ht="15.75" customHeight="1">
      <c r="A3354" s="162">
        <v>46142.0</v>
      </c>
      <c r="B3354" s="50"/>
      <c r="C3354" s="31" t="s">
        <v>2613</v>
      </c>
      <c r="D3354" s="32" t="s">
        <v>15</v>
      </c>
      <c r="E3354" s="31" t="s">
        <v>3639</v>
      </c>
      <c r="F3354" s="134">
        <v>46138.0</v>
      </c>
      <c r="G3354" s="54">
        <v>9355780.15</v>
      </c>
      <c r="H3354" s="14">
        <f t="shared" si="10"/>
        <v>1964713.832</v>
      </c>
      <c r="I3354" s="22">
        <v>280673.4</v>
      </c>
      <c r="J3354" s="22"/>
      <c r="K3354" s="15">
        <f t="shared" si="4"/>
        <v>11601167.38</v>
      </c>
      <c r="L3354" s="45"/>
      <c r="M3354" s="6"/>
    </row>
    <row r="3355" ht="15.75" customHeight="1">
      <c r="A3355" s="164">
        <v>46142.0</v>
      </c>
      <c r="B3355" s="56"/>
      <c r="C3355" s="57" t="s">
        <v>111</v>
      </c>
      <c r="D3355" s="58" t="s">
        <v>15</v>
      </c>
      <c r="E3355" s="58" t="s">
        <v>1461</v>
      </c>
      <c r="F3355" s="137">
        <v>46138.0</v>
      </c>
      <c r="G3355" s="206">
        <v>1.4435334E7</v>
      </c>
      <c r="H3355" s="9">
        <f t="shared" si="10"/>
        <v>3031420.14</v>
      </c>
      <c r="I3355" s="44">
        <v>433060.02</v>
      </c>
      <c r="J3355" s="44"/>
      <c r="K3355" s="10">
        <f t="shared" si="4"/>
        <v>17899814.16</v>
      </c>
      <c r="L3355" s="61"/>
      <c r="M3355" s="62"/>
    </row>
    <row r="3356" ht="15.75" customHeight="1">
      <c r="A3356" s="164">
        <v>46142.0</v>
      </c>
      <c r="B3356" s="56"/>
      <c r="C3356" s="57" t="s">
        <v>159</v>
      </c>
      <c r="D3356" s="58" t="s">
        <v>15</v>
      </c>
      <c r="E3356" s="58" t="s">
        <v>3640</v>
      </c>
      <c r="F3356" s="137">
        <v>46138.0</v>
      </c>
      <c r="G3356" s="206">
        <v>5000854.5</v>
      </c>
      <c r="H3356" s="9">
        <f t="shared" si="10"/>
        <v>1050179.445</v>
      </c>
      <c r="I3356" s="44">
        <v>210035.9</v>
      </c>
      <c r="J3356" s="44"/>
      <c r="K3356" s="10">
        <f t="shared" si="4"/>
        <v>6261069.845</v>
      </c>
      <c r="L3356" s="61"/>
      <c r="M3356" s="62"/>
    </row>
    <row r="3357" ht="15.75" customHeight="1">
      <c r="A3357" s="164">
        <v>46142.0</v>
      </c>
      <c r="B3357" s="56"/>
      <c r="C3357" s="57" t="s">
        <v>111</v>
      </c>
      <c r="D3357" s="58" t="s">
        <v>15</v>
      </c>
      <c r="E3357" s="58" t="s">
        <v>3641</v>
      </c>
      <c r="F3357" s="137">
        <v>46138.0</v>
      </c>
      <c r="G3357" s="206">
        <v>1.123333326E7</v>
      </c>
      <c r="H3357" s="9">
        <f t="shared" si="10"/>
        <v>2358999.985</v>
      </c>
      <c r="I3357" s="44">
        <v>336999.99</v>
      </c>
      <c r="J3357" s="44"/>
      <c r="K3357" s="10">
        <f t="shared" si="4"/>
        <v>13929333.23</v>
      </c>
      <c r="L3357" s="61"/>
      <c r="M3357" s="62"/>
    </row>
    <row r="3358" ht="15.75" customHeight="1">
      <c r="A3358" s="162">
        <v>46142.0</v>
      </c>
      <c r="B3358" s="50"/>
      <c r="C3358" s="31" t="s">
        <v>1796</v>
      </c>
      <c r="D3358" s="32" t="s">
        <v>15</v>
      </c>
      <c r="E3358" s="32" t="s">
        <v>3642</v>
      </c>
      <c r="F3358" s="134">
        <v>46138.0</v>
      </c>
      <c r="G3358" s="207">
        <v>1.001226023E7</v>
      </c>
      <c r="H3358" s="14">
        <f t="shared" si="10"/>
        <v>2102574.648</v>
      </c>
      <c r="I3358" s="22">
        <v>50061.3</v>
      </c>
      <c r="J3358" s="22"/>
      <c r="K3358" s="15">
        <f t="shared" si="4"/>
        <v>12164896.18</v>
      </c>
      <c r="L3358" s="61"/>
      <c r="M3358" s="62"/>
    </row>
    <row r="3359" ht="15.75" customHeight="1">
      <c r="A3359" s="164">
        <v>46142.0</v>
      </c>
      <c r="B3359" s="56"/>
      <c r="C3359" s="57" t="s">
        <v>111</v>
      </c>
      <c r="D3359" s="58" t="s">
        <v>15</v>
      </c>
      <c r="E3359" s="58" t="s">
        <v>3643</v>
      </c>
      <c r="F3359" s="137">
        <v>46138.0</v>
      </c>
      <c r="G3359" s="206">
        <v>1.333263295E7</v>
      </c>
      <c r="H3359" s="9">
        <f t="shared" si="10"/>
        <v>2799852.92</v>
      </c>
      <c r="I3359" s="44">
        <v>399978.99</v>
      </c>
      <c r="J3359" s="44"/>
      <c r="K3359" s="10">
        <f t="shared" si="4"/>
        <v>16532464.86</v>
      </c>
      <c r="L3359" s="61"/>
      <c r="M3359" s="62"/>
    </row>
    <row r="3360" ht="15.75" customHeight="1">
      <c r="A3360" s="164">
        <v>46142.0</v>
      </c>
      <c r="B3360" s="56"/>
      <c r="C3360" s="57" t="s">
        <v>111</v>
      </c>
      <c r="D3360" s="58" t="s">
        <v>15</v>
      </c>
      <c r="E3360" s="58" t="s">
        <v>3644</v>
      </c>
      <c r="F3360" s="137">
        <v>46138.0</v>
      </c>
      <c r="G3360" s="206">
        <v>2.02443633E7</v>
      </c>
      <c r="H3360" s="9">
        <f t="shared" si="10"/>
        <v>4251316.293</v>
      </c>
      <c r="I3360" s="44">
        <v>607330.9</v>
      </c>
      <c r="J3360" s="44"/>
      <c r="K3360" s="10">
        <f t="shared" si="4"/>
        <v>25103010.49</v>
      </c>
      <c r="L3360" s="61"/>
      <c r="M3360" s="62"/>
    </row>
    <row r="3361" ht="15.75" customHeight="1">
      <c r="A3361" s="162">
        <v>46142.0</v>
      </c>
      <c r="B3361" s="50"/>
      <c r="C3361" s="31" t="s">
        <v>2318</v>
      </c>
      <c r="D3361" s="32" t="s">
        <v>15</v>
      </c>
      <c r="E3361" s="32" t="s">
        <v>3645</v>
      </c>
      <c r="F3361" s="134">
        <v>46138.0</v>
      </c>
      <c r="G3361" s="207">
        <v>1.751607365E7</v>
      </c>
      <c r="H3361" s="14">
        <f t="shared" si="10"/>
        <v>3678375.467</v>
      </c>
      <c r="I3361" s="22">
        <v>525482.21</v>
      </c>
      <c r="J3361" s="22"/>
      <c r="K3361" s="15">
        <f t="shared" si="4"/>
        <v>21719931.33</v>
      </c>
      <c r="L3361" s="45"/>
      <c r="M3361" s="6"/>
    </row>
    <row r="3362" ht="15.75" customHeight="1">
      <c r="A3362" s="164">
        <v>46142.0</v>
      </c>
      <c r="B3362" s="56"/>
      <c r="C3362" s="57" t="s">
        <v>111</v>
      </c>
      <c r="D3362" s="58" t="s">
        <v>15</v>
      </c>
      <c r="E3362" s="58" t="s">
        <v>3646</v>
      </c>
      <c r="F3362" s="137">
        <v>46138.0</v>
      </c>
      <c r="G3362" s="206">
        <v>1.723363275E7</v>
      </c>
      <c r="H3362" s="9">
        <f t="shared" si="10"/>
        <v>3619062.878</v>
      </c>
      <c r="I3362" s="44">
        <v>517008.98</v>
      </c>
      <c r="J3362" s="44"/>
      <c r="K3362" s="10">
        <f t="shared" si="4"/>
        <v>21369704.61</v>
      </c>
      <c r="L3362" s="61"/>
      <c r="M3362" s="62"/>
    </row>
    <row r="3363" ht="15.75" customHeight="1">
      <c r="A3363" s="162">
        <v>46142.0</v>
      </c>
      <c r="B3363" s="50"/>
      <c r="C3363" s="31" t="s">
        <v>2318</v>
      </c>
      <c r="D3363" s="32" t="s">
        <v>15</v>
      </c>
      <c r="E3363" s="32" t="s">
        <v>3647</v>
      </c>
      <c r="F3363" s="134">
        <v>46138.0</v>
      </c>
      <c r="G3363" s="207">
        <v>1.75337488E7</v>
      </c>
      <c r="H3363" s="14">
        <f t="shared" si="10"/>
        <v>3682087.248</v>
      </c>
      <c r="I3363" s="22">
        <v>526012.46</v>
      </c>
      <c r="J3363" s="22"/>
      <c r="K3363" s="15">
        <f t="shared" si="4"/>
        <v>21741848.51</v>
      </c>
      <c r="L3363" s="45"/>
      <c r="M3363" s="6"/>
    </row>
    <row r="3364" ht="15.75" customHeight="1">
      <c r="A3364" s="162">
        <v>46142.0</v>
      </c>
      <c r="B3364" s="50"/>
      <c r="C3364" s="31" t="s">
        <v>2318</v>
      </c>
      <c r="D3364" s="32" t="s">
        <v>15</v>
      </c>
      <c r="E3364" s="32" t="s">
        <v>3648</v>
      </c>
      <c r="F3364" s="134">
        <v>46138.0</v>
      </c>
      <c r="G3364" s="207">
        <v>1.74983985E7</v>
      </c>
      <c r="H3364" s="14">
        <f t="shared" si="10"/>
        <v>3674663.685</v>
      </c>
      <c r="I3364" s="22">
        <v>524951.96</v>
      </c>
      <c r="J3364" s="22"/>
      <c r="K3364" s="15">
        <f t="shared" si="4"/>
        <v>21698014.15</v>
      </c>
      <c r="L3364" s="45"/>
      <c r="M3364" s="6"/>
    </row>
    <row r="3365" ht="15.75" customHeight="1">
      <c r="A3365" s="164">
        <v>46142.0</v>
      </c>
      <c r="B3365" s="56"/>
      <c r="C3365" s="57" t="s">
        <v>111</v>
      </c>
      <c r="D3365" s="58" t="s">
        <v>15</v>
      </c>
      <c r="E3365" s="58" t="s">
        <v>1738</v>
      </c>
      <c r="F3365" s="137">
        <v>46138.0</v>
      </c>
      <c r="G3365" s="206">
        <v>1.244453275E7</v>
      </c>
      <c r="H3365" s="9">
        <f t="shared" si="10"/>
        <v>2613351.878</v>
      </c>
      <c r="I3365" s="44">
        <v>373335.98</v>
      </c>
      <c r="J3365" s="44"/>
      <c r="K3365" s="10">
        <f t="shared" si="4"/>
        <v>15431220.61</v>
      </c>
      <c r="L3365" s="61"/>
      <c r="M3365" s="62"/>
    </row>
    <row r="3366" ht="15.75" customHeight="1">
      <c r="A3366" s="162">
        <v>46142.0</v>
      </c>
      <c r="B3366" s="50"/>
      <c r="C3366" s="31" t="s">
        <v>2318</v>
      </c>
      <c r="D3366" s="32" t="s">
        <v>15</v>
      </c>
      <c r="E3366" s="32" t="s">
        <v>1741</v>
      </c>
      <c r="F3366" s="134">
        <v>46138.0</v>
      </c>
      <c r="G3366" s="207">
        <v>1.744537305E7</v>
      </c>
      <c r="H3366" s="14">
        <f t="shared" si="10"/>
        <v>3663528.341</v>
      </c>
      <c r="I3366" s="22">
        <v>523361.19</v>
      </c>
      <c r="J3366" s="22"/>
      <c r="K3366" s="15">
        <f t="shared" si="4"/>
        <v>21632262.58</v>
      </c>
      <c r="L3366" s="45"/>
      <c r="M3366" s="6"/>
    </row>
    <row r="3367" ht="15.75" customHeight="1">
      <c r="A3367" s="162">
        <v>46142.0</v>
      </c>
      <c r="B3367" s="50"/>
      <c r="C3367" s="31" t="s">
        <v>2318</v>
      </c>
      <c r="D3367" s="31" t="s">
        <v>3626</v>
      </c>
      <c r="E3367" s="32" t="s">
        <v>3649</v>
      </c>
      <c r="F3367" s="134">
        <v>46138.0</v>
      </c>
      <c r="G3367" s="207">
        <v>1.825E7</v>
      </c>
      <c r="H3367" s="14">
        <f t="shared" si="10"/>
        <v>3832500</v>
      </c>
      <c r="I3367" s="22"/>
      <c r="J3367" s="22"/>
      <c r="K3367" s="15">
        <f t="shared" si="4"/>
        <v>22082500</v>
      </c>
      <c r="L3367" s="45"/>
      <c r="M3367" s="6"/>
    </row>
    <row r="3368" ht="15.75" customHeight="1">
      <c r="A3368" s="162">
        <v>46142.0</v>
      </c>
      <c r="B3368" s="50"/>
      <c r="C3368" s="31" t="s">
        <v>2318</v>
      </c>
      <c r="D3368" s="31" t="s">
        <v>3626</v>
      </c>
      <c r="E3368" s="32" t="s">
        <v>3650</v>
      </c>
      <c r="F3368" s="134">
        <v>46138.0</v>
      </c>
      <c r="G3368" s="207">
        <v>1.825E7</v>
      </c>
      <c r="H3368" s="14">
        <f t="shared" si="10"/>
        <v>3832500</v>
      </c>
      <c r="I3368" s="22"/>
      <c r="J3368" s="22"/>
      <c r="K3368" s="15">
        <f t="shared" si="4"/>
        <v>22082500</v>
      </c>
      <c r="L3368" s="45"/>
      <c r="M3368" s="6"/>
    </row>
    <row r="3369" ht="15.75" customHeight="1">
      <c r="A3369" s="162">
        <v>46142.0</v>
      </c>
      <c r="B3369" s="50"/>
      <c r="C3369" s="31" t="s">
        <v>2318</v>
      </c>
      <c r="D3369" s="32" t="s">
        <v>3651</v>
      </c>
      <c r="E3369" s="32" t="s">
        <v>3652</v>
      </c>
      <c r="F3369" s="134">
        <v>46138.0</v>
      </c>
      <c r="G3369" s="54">
        <v>1.2775E7</v>
      </c>
      <c r="H3369" s="14">
        <f t="shared" si="10"/>
        <v>2682750</v>
      </c>
      <c r="I3369" s="22"/>
      <c r="J3369" s="22"/>
      <c r="K3369" s="15">
        <f t="shared" si="4"/>
        <v>15457750</v>
      </c>
      <c r="L3369" s="45"/>
      <c r="M3369" s="6"/>
    </row>
    <row r="3370" ht="15.75" customHeight="1">
      <c r="A3370" s="162">
        <v>46142.0</v>
      </c>
      <c r="B3370" s="50"/>
      <c r="C3370" s="31" t="s">
        <v>2318</v>
      </c>
      <c r="D3370" s="32" t="s">
        <v>3651</v>
      </c>
      <c r="E3370" s="32" t="s">
        <v>3653</v>
      </c>
      <c r="F3370" s="134">
        <v>46138.0</v>
      </c>
      <c r="G3370" s="54">
        <v>1.825E7</v>
      </c>
      <c r="H3370" s="14">
        <f t="shared" si="10"/>
        <v>3832500</v>
      </c>
      <c r="I3370" s="22"/>
      <c r="J3370" s="22"/>
      <c r="K3370" s="15">
        <f t="shared" si="4"/>
        <v>22082500</v>
      </c>
      <c r="L3370" s="45"/>
      <c r="M3370" s="6"/>
    </row>
    <row r="3371" ht="15.75" customHeight="1">
      <c r="A3371" s="162">
        <v>46142.0</v>
      </c>
      <c r="B3371" s="50"/>
      <c r="C3371" s="31" t="s">
        <v>2318</v>
      </c>
      <c r="D3371" s="32" t="s">
        <v>3651</v>
      </c>
      <c r="E3371" s="32" t="s">
        <v>3654</v>
      </c>
      <c r="F3371" s="134">
        <v>46138.0</v>
      </c>
      <c r="G3371" s="54">
        <v>5975050.0</v>
      </c>
      <c r="H3371" s="14">
        <f t="shared" si="10"/>
        <v>1254760.5</v>
      </c>
      <c r="I3371" s="22"/>
      <c r="J3371" s="22"/>
      <c r="K3371" s="15">
        <f t="shared" si="4"/>
        <v>7229810.5</v>
      </c>
      <c r="L3371" s="45"/>
      <c r="M3371" s="6"/>
    </row>
    <row r="3372" ht="15.75" customHeight="1">
      <c r="A3372" s="162">
        <v>46142.0</v>
      </c>
      <c r="B3372" s="50"/>
      <c r="C3372" s="31" t="s">
        <v>2318</v>
      </c>
      <c r="D3372" s="32" t="s">
        <v>2714</v>
      </c>
      <c r="E3372" s="31" t="s">
        <v>3655</v>
      </c>
      <c r="F3372" s="134">
        <v>46138.0</v>
      </c>
      <c r="G3372" s="54">
        <v>1.022E7</v>
      </c>
      <c r="H3372" s="14">
        <f t="shared" si="10"/>
        <v>2146200</v>
      </c>
      <c r="I3372" s="22"/>
      <c r="J3372" s="22"/>
      <c r="K3372" s="15">
        <f t="shared" si="4"/>
        <v>12366200</v>
      </c>
      <c r="L3372" s="45"/>
      <c r="M3372" s="6"/>
    </row>
    <row r="3373" ht="15.75" customHeight="1">
      <c r="A3373" s="162">
        <v>46142.0</v>
      </c>
      <c r="B3373" s="50"/>
      <c r="C3373" s="31" t="s">
        <v>2318</v>
      </c>
      <c r="D3373" s="32" t="s">
        <v>2714</v>
      </c>
      <c r="E3373" s="31" t="s">
        <v>3656</v>
      </c>
      <c r="F3373" s="134">
        <v>46138.0</v>
      </c>
      <c r="G3373" s="54">
        <v>8781900.0</v>
      </c>
      <c r="H3373" s="14">
        <f t="shared" si="10"/>
        <v>1844199</v>
      </c>
      <c r="I3373" s="22"/>
      <c r="J3373" s="22"/>
      <c r="K3373" s="15">
        <f t="shared" si="4"/>
        <v>10626099</v>
      </c>
      <c r="L3373" s="45"/>
      <c r="M3373" s="6"/>
    </row>
    <row r="3374" ht="15.75" customHeight="1">
      <c r="A3374" s="162">
        <v>46142.0</v>
      </c>
      <c r="B3374" s="50"/>
      <c r="C3374" s="31" t="s">
        <v>2318</v>
      </c>
      <c r="D3374" s="32" t="s">
        <v>77</v>
      </c>
      <c r="E3374" s="31" t="s">
        <v>3657</v>
      </c>
      <c r="F3374" s="139">
        <v>46138.0</v>
      </c>
      <c r="G3374" s="54">
        <v>9125000.0</v>
      </c>
      <c r="H3374" s="14">
        <f t="shared" si="10"/>
        <v>1916250</v>
      </c>
      <c r="I3374" s="22"/>
      <c r="J3374" s="22"/>
      <c r="K3374" s="15">
        <f t="shared" si="4"/>
        <v>11041250</v>
      </c>
      <c r="L3374" s="45"/>
      <c r="M3374" s="6"/>
    </row>
    <row r="3375" ht="15.75" customHeight="1">
      <c r="A3375" s="162">
        <v>46142.0</v>
      </c>
      <c r="B3375" s="50"/>
      <c r="C3375" s="31" t="s">
        <v>2318</v>
      </c>
      <c r="D3375" s="32" t="s">
        <v>77</v>
      </c>
      <c r="E3375" s="31" t="s">
        <v>3658</v>
      </c>
      <c r="F3375" s="139">
        <v>46138.0</v>
      </c>
      <c r="G3375" s="54">
        <v>9490000.0</v>
      </c>
      <c r="H3375" s="14">
        <f t="shared" si="10"/>
        <v>1992900</v>
      </c>
      <c r="I3375" s="22"/>
      <c r="J3375" s="22"/>
      <c r="K3375" s="15">
        <f t="shared" si="4"/>
        <v>11482900</v>
      </c>
      <c r="L3375" s="45"/>
      <c r="M3375" s="6"/>
    </row>
    <row r="3376" ht="15.75" customHeight="1">
      <c r="A3376" s="162">
        <v>46142.0</v>
      </c>
      <c r="B3376" s="50"/>
      <c r="C3376" s="31" t="s">
        <v>2318</v>
      </c>
      <c r="D3376" s="32" t="s">
        <v>77</v>
      </c>
      <c r="E3376" s="31" t="s">
        <v>3659</v>
      </c>
      <c r="F3376" s="139">
        <v>46138.0</v>
      </c>
      <c r="G3376" s="54">
        <v>1.022E7</v>
      </c>
      <c r="H3376" s="14">
        <f t="shared" si="10"/>
        <v>2146200</v>
      </c>
      <c r="I3376" s="22"/>
      <c r="J3376" s="22"/>
      <c r="K3376" s="15">
        <f t="shared" si="4"/>
        <v>12366200</v>
      </c>
      <c r="L3376" s="45"/>
      <c r="M3376" s="6"/>
    </row>
    <row r="3377" ht="15.75" customHeight="1">
      <c r="A3377" s="162">
        <v>46142.0</v>
      </c>
      <c r="B3377" s="50"/>
      <c r="C3377" s="31" t="s">
        <v>2318</v>
      </c>
      <c r="D3377" s="32" t="s">
        <v>77</v>
      </c>
      <c r="E3377" s="31" t="s">
        <v>3660</v>
      </c>
      <c r="F3377" s="139">
        <v>46138.0</v>
      </c>
      <c r="G3377" s="54">
        <v>1.716595E7</v>
      </c>
      <c r="H3377" s="14">
        <f t="shared" si="10"/>
        <v>3604849.5</v>
      </c>
      <c r="I3377" s="22"/>
      <c r="J3377" s="22"/>
      <c r="K3377" s="15">
        <f t="shared" si="4"/>
        <v>20770799.5</v>
      </c>
      <c r="L3377" s="45"/>
      <c r="M3377" s="6"/>
    </row>
    <row r="3378" ht="15.75" customHeight="1">
      <c r="A3378" s="162">
        <v>46142.0</v>
      </c>
      <c r="B3378" s="50"/>
      <c r="C3378" s="31" t="s">
        <v>2318</v>
      </c>
      <c r="D3378" s="32" t="s">
        <v>3012</v>
      </c>
      <c r="E3378" s="31" t="s">
        <v>3661</v>
      </c>
      <c r="F3378" s="139">
        <v>46138.0</v>
      </c>
      <c r="G3378" s="54">
        <v>1.00375E7</v>
      </c>
      <c r="H3378" s="14">
        <f t="shared" si="10"/>
        <v>2107875</v>
      </c>
      <c r="I3378" s="22"/>
      <c r="J3378" s="22"/>
      <c r="K3378" s="15">
        <f t="shared" si="4"/>
        <v>12145375</v>
      </c>
      <c r="L3378" s="45"/>
      <c r="M3378" s="6"/>
    </row>
    <row r="3379" ht="15.75" customHeight="1">
      <c r="A3379" s="162">
        <v>46142.0</v>
      </c>
      <c r="B3379" s="50"/>
      <c r="C3379" s="31" t="s">
        <v>2318</v>
      </c>
      <c r="D3379" s="32" t="s">
        <v>3012</v>
      </c>
      <c r="E3379" s="31" t="s">
        <v>3662</v>
      </c>
      <c r="F3379" s="139">
        <v>46138.0</v>
      </c>
      <c r="G3379" s="54">
        <v>9964500.0</v>
      </c>
      <c r="H3379" s="14">
        <f t="shared" si="10"/>
        <v>2092545</v>
      </c>
      <c r="I3379" s="22"/>
      <c r="J3379" s="22"/>
      <c r="K3379" s="15">
        <f t="shared" si="4"/>
        <v>12057045</v>
      </c>
      <c r="L3379" s="45"/>
      <c r="M3379" s="6"/>
    </row>
    <row r="3380" ht="15.75" customHeight="1">
      <c r="A3380" s="162">
        <v>46142.0</v>
      </c>
      <c r="B3380" s="50"/>
      <c r="C3380" s="31" t="s">
        <v>2318</v>
      </c>
      <c r="D3380" s="31" t="s">
        <v>3626</v>
      </c>
      <c r="E3380" s="32" t="s">
        <v>3663</v>
      </c>
      <c r="F3380" s="139">
        <v>46138.0</v>
      </c>
      <c r="G3380" s="207">
        <v>1.825E7</v>
      </c>
      <c r="H3380" s="14">
        <f t="shared" si="10"/>
        <v>3832500</v>
      </c>
      <c r="I3380" s="22"/>
      <c r="J3380" s="22"/>
      <c r="K3380" s="15">
        <f t="shared" si="4"/>
        <v>22082500</v>
      </c>
      <c r="L3380" s="45"/>
      <c r="M3380" s="6"/>
    </row>
    <row r="3381" ht="15.75" customHeight="1">
      <c r="A3381" s="162">
        <v>46142.0</v>
      </c>
      <c r="B3381" s="50"/>
      <c r="C3381" s="31" t="s">
        <v>2318</v>
      </c>
      <c r="D3381" s="31" t="s">
        <v>3626</v>
      </c>
      <c r="E3381" s="32" t="s">
        <v>3664</v>
      </c>
      <c r="F3381" s="139">
        <v>46138.0</v>
      </c>
      <c r="G3381" s="207">
        <v>1.825E7</v>
      </c>
      <c r="H3381" s="14">
        <f t="shared" si="10"/>
        <v>3832500</v>
      </c>
      <c r="I3381" s="22"/>
      <c r="J3381" s="22"/>
      <c r="K3381" s="15">
        <f t="shared" si="4"/>
        <v>22082500</v>
      </c>
      <c r="L3381" s="45"/>
      <c r="M3381" s="6"/>
    </row>
    <row r="3382" ht="15.75" customHeight="1">
      <c r="A3382" s="162">
        <v>46146.0</v>
      </c>
      <c r="B3382" s="50"/>
      <c r="C3382" s="31" t="s">
        <v>1842</v>
      </c>
      <c r="D3382" s="32" t="s">
        <v>15</v>
      </c>
      <c r="E3382" s="31" t="s">
        <v>3665</v>
      </c>
      <c r="F3382" s="139">
        <v>46168.0</v>
      </c>
      <c r="G3382" s="54">
        <v>2.435836015E7</v>
      </c>
      <c r="H3382" s="14">
        <f t="shared" si="10"/>
        <v>5115255.632</v>
      </c>
      <c r="I3382" s="22"/>
      <c r="J3382" s="22">
        <v>170508.52</v>
      </c>
      <c r="K3382" s="15">
        <f t="shared" si="4"/>
        <v>29644124.3</v>
      </c>
      <c r="L3382" s="45"/>
      <c r="M3382" s="6"/>
    </row>
    <row r="3383" ht="15.75" customHeight="1">
      <c r="A3383" s="162">
        <v>46146.0</v>
      </c>
      <c r="B3383" s="50"/>
      <c r="C3383" s="31" t="s">
        <v>1842</v>
      </c>
      <c r="D3383" s="32" t="s">
        <v>15</v>
      </c>
      <c r="E3383" s="31" t="s">
        <v>3666</v>
      </c>
      <c r="F3383" s="139">
        <v>46168.0</v>
      </c>
      <c r="G3383" s="54">
        <v>2.397257012E7</v>
      </c>
      <c r="H3383" s="14">
        <f t="shared" si="10"/>
        <v>5034239.725</v>
      </c>
      <c r="I3383" s="22"/>
      <c r="J3383" s="22">
        <v>167807.99</v>
      </c>
      <c r="K3383" s="15">
        <f t="shared" si="4"/>
        <v>29174617.84</v>
      </c>
      <c r="L3383" s="45"/>
      <c r="M3383" s="6"/>
    </row>
    <row r="3384" ht="15.75" customHeight="1">
      <c r="A3384" s="162">
        <v>46146.0</v>
      </c>
      <c r="B3384" s="50"/>
      <c r="C3384" s="31" t="s">
        <v>1842</v>
      </c>
      <c r="D3384" s="32" t="s">
        <v>99</v>
      </c>
      <c r="E3384" s="31" t="s">
        <v>3667</v>
      </c>
      <c r="F3384" s="139">
        <v>46168.0</v>
      </c>
      <c r="G3384" s="54">
        <v>2.993468015E7</v>
      </c>
      <c r="H3384" s="14">
        <f t="shared" si="10"/>
        <v>6286282.832</v>
      </c>
      <c r="I3384" s="22"/>
      <c r="J3384" s="22"/>
      <c r="K3384" s="15">
        <f t="shared" si="4"/>
        <v>36220962.98</v>
      </c>
      <c r="L3384" s="45"/>
      <c r="M3384" s="6"/>
    </row>
    <row r="3385" ht="15.75" customHeight="1">
      <c r="A3385" s="162">
        <v>46146.0</v>
      </c>
      <c r="B3385" s="50"/>
      <c r="C3385" s="31" t="s">
        <v>171</v>
      </c>
      <c r="D3385" s="32" t="s">
        <v>99</v>
      </c>
      <c r="E3385" s="31" t="s">
        <v>3668</v>
      </c>
      <c r="F3385" s="139">
        <v>46168.0</v>
      </c>
      <c r="G3385" s="54">
        <v>1.223364312E7</v>
      </c>
      <c r="H3385" s="14">
        <f t="shared" si="10"/>
        <v>2569065.055</v>
      </c>
      <c r="I3385" s="22"/>
      <c r="J3385" s="22"/>
      <c r="K3385" s="15">
        <f t="shared" si="4"/>
        <v>14802708.18</v>
      </c>
      <c r="L3385" s="45"/>
      <c r="M3385" s="6"/>
    </row>
    <row r="3386" ht="15.75" customHeight="1">
      <c r="A3386" s="162">
        <v>46146.0</v>
      </c>
      <c r="B3386" s="50"/>
      <c r="C3386" s="31" t="s">
        <v>171</v>
      </c>
      <c r="D3386" s="32" t="s">
        <v>99</v>
      </c>
      <c r="E3386" s="31" t="s">
        <v>3669</v>
      </c>
      <c r="F3386" s="139">
        <v>46168.0</v>
      </c>
      <c r="G3386" s="54">
        <v>1.833363323E7</v>
      </c>
      <c r="H3386" s="14">
        <f t="shared" si="10"/>
        <v>3850062.978</v>
      </c>
      <c r="I3386" s="22"/>
      <c r="J3386" s="22"/>
      <c r="K3386" s="15">
        <f t="shared" si="4"/>
        <v>22183696.21</v>
      </c>
      <c r="L3386" s="45"/>
      <c r="M3386" s="6"/>
    </row>
    <row r="3387" ht="15.75" customHeight="1">
      <c r="A3387" s="162">
        <v>46146.0</v>
      </c>
      <c r="B3387" s="50"/>
      <c r="C3387" s="31" t="s">
        <v>171</v>
      </c>
      <c r="D3387" s="32" t="s">
        <v>99</v>
      </c>
      <c r="E3387" s="31" t="s">
        <v>3670</v>
      </c>
      <c r="F3387" s="139">
        <v>46168.0</v>
      </c>
      <c r="G3387" s="54">
        <v>1.533234369E7</v>
      </c>
      <c r="H3387" s="14">
        <f t="shared" si="10"/>
        <v>3219792.175</v>
      </c>
      <c r="I3387" s="22"/>
      <c r="J3387" s="22"/>
      <c r="K3387" s="15">
        <f t="shared" si="4"/>
        <v>18552135.86</v>
      </c>
      <c r="L3387" s="45"/>
      <c r="M3387" s="6"/>
    </row>
    <row r="3388" ht="15.75" customHeight="1">
      <c r="A3388" s="162">
        <v>46146.0</v>
      </c>
      <c r="B3388" s="50"/>
      <c r="C3388" s="31" t="s">
        <v>171</v>
      </c>
      <c r="D3388" s="32" t="s">
        <v>99</v>
      </c>
      <c r="E3388" s="31" t="s">
        <v>3671</v>
      </c>
      <c r="F3388" s="139">
        <v>46168.0</v>
      </c>
      <c r="G3388" s="54">
        <v>1.588733812E7</v>
      </c>
      <c r="H3388" s="14">
        <f t="shared" si="10"/>
        <v>3336341.005</v>
      </c>
      <c r="I3388" s="22"/>
      <c r="J3388" s="22"/>
      <c r="K3388" s="15">
        <f t="shared" si="4"/>
        <v>19223679.13</v>
      </c>
      <c r="L3388" s="45"/>
      <c r="M3388" s="6"/>
    </row>
    <row r="3389" ht="15.75" customHeight="1">
      <c r="A3389" s="162">
        <v>46147.0</v>
      </c>
      <c r="B3389" s="50"/>
      <c r="C3389" s="31" t="s">
        <v>1854</v>
      </c>
      <c r="D3389" s="32" t="s">
        <v>99</v>
      </c>
      <c r="E3389" s="31" t="s">
        <v>3672</v>
      </c>
      <c r="F3389" s="139">
        <v>46168.0</v>
      </c>
      <c r="G3389" s="54">
        <v>1.823353312E7</v>
      </c>
      <c r="H3389" s="14">
        <f t="shared" si="10"/>
        <v>3829041.955</v>
      </c>
      <c r="I3389" s="22"/>
      <c r="J3389" s="22">
        <v>911676.66</v>
      </c>
      <c r="K3389" s="15">
        <f t="shared" si="4"/>
        <v>22974251.74</v>
      </c>
      <c r="L3389" s="45"/>
      <c r="M3389" s="6"/>
    </row>
    <row r="3390" ht="15.75" customHeight="1">
      <c r="A3390" s="162">
        <v>46147.0</v>
      </c>
      <c r="B3390" s="50"/>
      <c r="C3390" s="31" t="s">
        <v>1854</v>
      </c>
      <c r="D3390" s="32" t="s">
        <v>99</v>
      </c>
      <c r="E3390" s="31" t="s">
        <v>3673</v>
      </c>
      <c r="F3390" s="139">
        <v>46168.0</v>
      </c>
      <c r="G3390" s="54">
        <v>1.380054826E7</v>
      </c>
      <c r="H3390" s="14">
        <f t="shared" si="10"/>
        <v>2898115.135</v>
      </c>
      <c r="I3390" s="22"/>
      <c r="J3390" s="22">
        <v>690027.41</v>
      </c>
      <c r="K3390" s="15">
        <f t="shared" si="4"/>
        <v>17388690.8</v>
      </c>
      <c r="L3390" s="45"/>
      <c r="M3390" s="6"/>
    </row>
    <row r="3391" ht="15.75" customHeight="1">
      <c r="A3391" s="162">
        <v>46147.0</v>
      </c>
      <c r="B3391" s="50"/>
      <c r="C3391" s="31" t="s">
        <v>1854</v>
      </c>
      <c r="D3391" s="32" t="s">
        <v>99</v>
      </c>
      <c r="E3391" s="31" t="s">
        <v>3674</v>
      </c>
      <c r="F3391" s="139">
        <v>46168.0</v>
      </c>
      <c r="G3391" s="54">
        <v>1.722363341E7</v>
      </c>
      <c r="H3391" s="14">
        <f t="shared" si="10"/>
        <v>3616963.016</v>
      </c>
      <c r="I3391" s="22"/>
      <c r="J3391" s="22">
        <v>861181.67</v>
      </c>
      <c r="K3391" s="15">
        <f t="shared" si="4"/>
        <v>21701778.1</v>
      </c>
      <c r="L3391" s="45"/>
      <c r="M3391" s="6"/>
    </row>
    <row r="3392" ht="15.75" customHeight="1">
      <c r="A3392" s="162">
        <v>46147.0</v>
      </c>
      <c r="B3392" s="50"/>
      <c r="C3392" s="31" t="s">
        <v>1854</v>
      </c>
      <c r="D3392" s="32" t="s">
        <v>99</v>
      </c>
      <c r="E3392" s="31" t="s">
        <v>3675</v>
      </c>
      <c r="F3392" s="139">
        <v>46168.0</v>
      </c>
      <c r="G3392" s="54">
        <v>1.533233315E7</v>
      </c>
      <c r="H3392" s="14">
        <f t="shared" si="10"/>
        <v>3219789.962</v>
      </c>
      <c r="I3392" s="22"/>
      <c r="J3392" s="22">
        <v>766616.66</v>
      </c>
      <c r="K3392" s="15">
        <f t="shared" si="4"/>
        <v>19318739.77</v>
      </c>
      <c r="L3392" s="45"/>
      <c r="M3392" s="6"/>
    </row>
    <row r="3393" ht="15.75" customHeight="1">
      <c r="A3393" s="162">
        <v>46147.0</v>
      </c>
      <c r="B3393" s="50"/>
      <c r="C3393" s="31" t="s">
        <v>1854</v>
      </c>
      <c r="D3393" s="32" t="s">
        <v>15</v>
      </c>
      <c r="E3393" s="31" t="s">
        <v>3676</v>
      </c>
      <c r="F3393" s="139">
        <v>46168.0</v>
      </c>
      <c r="G3393" s="54">
        <v>2.633252305E7</v>
      </c>
      <c r="H3393" s="14">
        <f t="shared" si="10"/>
        <v>5529829.841</v>
      </c>
      <c r="I3393" s="22"/>
      <c r="J3393" s="22">
        <v>1316626.15</v>
      </c>
      <c r="K3393" s="15">
        <f t="shared" si="4"/>
        <v>33178979.04</v>
      </c>
      <c r="L3393" s="45"/>
      <c r="M3393" s="6"/>
    </row>
    <row r="3394" ht="15.75" customHeight="1">
      <c r="A3394" s="162">
        <v>46147.0</v>
      </c>
      <c r="B3394" s="50"/>
      <c r="C3394" s="31" t="s">
        <v>1854</v>
      </c>
      <c r="D3394" s="32" t="s">
        <v>15</v>
      </c>
      <c r="E3394" s="31" t="s">
        <v>3677</v>
      </c>
      <c r="F3394" s="139">
        <v>46168.0</v>
      </c>
      <c r="G3394" s="54">
        <v>1.722363305E7</v>
      </c>
      <c r="H3394" s="14">
        <f t="shared" si="10"/>
        <v>3616962.941</v>
      </c>
      <c r="I3394" s="22"/>
      <c r="J3394" s="22">
        <v>861181.65</v>
      </c>
      <c r="K3394" s="15">
        <f t="shared" si="4"/>
        <v>21701777.64</v>
      </c>
      <c r="L3394" s="45"/>
      <c r="M3394" s="6"/>
    </row>
    <row r="3395" ht="15.75" customHeight="1">
      <c r="A3395" s="162">
        <v>46147.0</v>
      </c>
      <c r="B3395" s="50"/>
      <c r="C3395" s="31" t="s">
        <v>1854</v>
      </c>
      <c r="D3395" s="32" t="s">
        <v>15</v>
      </c>
      <c r="E3395" s="31" t="s">
        <v>3678</v>
      </c>
      <c r="F3395" s="139">
        <v>46168.0</v>
      </c>
      <c r="G3395" s="54">
        <v>1.533373805E7</v>
      </c>
      <c r="H3395" s="14">
        <f t="shared" si="10"/>
        <v>3220084.991</v>
      </c>
      <c r="I3395" s="22"/>
      <c r="J3395" s="22">
        <v>766686.9</v>
      </c>
      <c r="K3395" s="15">
        <f t="shared" si="4"/>
        <v>19320509.94</v>
      </c>
      <c r="L3395" s="45"/>
      <c r="M3395" s="6"/>
    </row>
    <row r="3396" ht="15.75" customHeight="1">
      <c r="A3396" s="162">
        <v>46147.0</v>
      </c>
      <c r="B3396" s="50"/>
      <c r="C3396" s="31" t="s">
        <v>1854</v>
      </c>
      <c r="D3396" s="32" t="s">
        <v>15</v>
      </c>
      <c r="E3396" s="31" t="s">
        <v>3679</v>
      </c>
      <c r="F3396" s="139">
        <v>46168.0</v>
      </c>
      <c r="G3396" s="54">
        <v>2.57523404E7</v>
      </c>
      <c r="H3396" s="14">
        <f t="shared" si="10"/>
        <v>5407991.484</v>
      </c>
      <c r="I3396" s="22">
        <v>772570.21</v>
      </c>
      <c r="J3396" s="22">
        <v>1287617.02</v>
      </c>
      <c r="K3396" s="15">
        <f t="shared" si="4"/>
        <v>33220519.11</v>
      </c>
      <c r="L3396" s="45"/>
      <c r="M3396" s="6"/>
    </row>
    <row r="3397" ht="15.75" customHeight="1">
      <c r="A3397" s="162">
        <v>46147.0</v>
      </c>
      <c r="B3397" s="50"/>
      <c r="C3397" s="31" t="s">
        <v>1854</v>
      </c>
      <c r="D3397" s="32" t="s">
        <v>15</v>
      </c>
      <c r="E3397" s="31" t="s">
        <v>3680</v>
      </c>
      <c r="F3397" s="139">
        <v>46168.0</v>
      </c>
      <c r="G3397" s="54">
        <v>2.64483496E7</v>
      </c>
      <c r="H3397" s="14">
        <f t="shared" si="10"/>
        <v>5554153.416</v>
      </c>
      <c r="I3397" s="22">
        <v>793450.49</v>
      </c>
      <c r="J3397" s="22">
        <v>1322417.48</v>
      </c>
      <c r="K3397" s="15">
        <f t="shared" si="4"/>
        <v>34118370.99</v>
      </c>
      <c r="L3397" s="45"/>
      <c r="M3397" s="6"/>
    </row>
    <row r="3398" ht="15.75" customHeight="1">
      <c r="A3398" s="162">
        <v>46147.0</v>
      </c>
      <c r="B3398" s="50"/>
      <c r="C3398" s="31" t="s">
        <v>1854</v>
      </c>
      <c r="D3398" s="32" t="s">
        <v>15</v>
      </c>
      <c r="E3398" s="31" t="s">
        <v>3681</v>
      </c>
      <c r="F3398" s="139">
        <v>46168.0</v>
      </c>
      <c r="G3398" s="54">
        <v>1.633353307E7</v>
      </c>
      <c r="H3398" s="14">
        <f t="shared" si="10"/>
        <v>3430041.945</v>
      </c>
      <c r="I3398" s="22"/>
      <c r="J3398" s="22">
        <v>816676.65</v>
      </c>
      <c r="K3398" s="15">
        <f t="shared" si="4"/>
        <v>20580251.66</v>
      </c>
      <c r="L3398" s="45"/>
      <c r="M3398" s="6"/>
    </row>
    <row r="3399" ht="15.75" customHeight="1">
      <c r="A3399" s="162">
        <v>46147.0</v>
      </c>
      <c r="B3399" s="50"/>
      <c r="C3399" s="31" t="s">
        <v>1854</v>
      </c>
      <c r="D3399" s="32" t="s">
        <v>15</v>
      </c>
      <c r="E3399" s="31" t="s">
        <v>3682</v>
      </c>
      <c r="F3399" s="139">
        <v>46168.0</v>
      </c>
      <c r="G3399" s="54">
        <v>1.923353212E7</v>
      </c>
      <c r="H3399" s="14">
        <f t="shared" si="10"/>
        <v>4039041.745</v>
      </c>
      <c r="I3399" s="22"/>
      <c r="J3399" s="22">
        <v>961676.61</v>
      </c>
      <c r="K3399" s="15">
        <f t="shared" si="4"/>
        <v>24234250.48</v>
      </c>
      <c r="L3399" s="45"/>
      <c r="M3399" s="6"/>
    </row>
    <row r="3400" ht="15.75" customHeight="1">
      <c r="A3400" s="162">
        <v>46147.0</v>
      </c>
      <c r="B3400" s="50"/>
      <c r="C3400" s="31" t="s">
        <v>1854</v>
      </c>
      <c r="D3400" s="32" t="s">
        <v>15</v>
      </c>
      <c r="E3400" s="31" t="s">
        <v>3683</v>
      </c>
      <c r="F3400" s="139">
        <v>46168.0</v>
      </c>
      <c r="G3400" s="54">
        <v>1.633235215E7</v>
      </c>
      <c r="H3400" s="14">
        <f t="shared" si="10"/>
        <v>3429793.952</v>
      </c>
      <c r="I3400" s="22"/>
      <c r="J3400" s="22">
        <v>816617.61</v>
      </c>
      <c r="K3400" s="15">
        <f t="shared" si="4"/>
        <v>20578763.71</v>
      </c>
      <c r="L3400" s="45"/>
      <c r="M3400" s="6"/>
    </row>
    <row r="3401" ht="15.75" customHeight="1">
      <c r="A3401" s="162">
        <v>46147.0</v>
      </c>
      <c r="B3401" s="50"/>
      <c r="C3401" s="31" t="s">
        <v>1854</v>
      </c>
      <c r="D3401" s="32" t="s">
        <v>15</v>
      </c>
      <c r="E3401" s="31" t="s">
        <v>3684</v>
      </c>
      <c r="F3401" s="139">
        <v>46168.0</v>
      </c>
      <c r="G3401" s="54">
        <v>1.405568568E7</v>
      </c>
      <c r="H3401" s="14">
        <f t="shared" si="10"/>
        <v>2951693.993</v>
      </c>
      <c r="I3401" s="22">
        <v>421670.57</v>
      </c>
      <c r="J3401" s="22">
        <v>702784.28</v>
      </c>
      <c r="K3401" s="15">
        <f t="shared" si="4"/>
        <v>18131834.52</v>
      </c>
      <c r="L3401" s="45"/>
      <c r="M3401" s="6"/>
    </row>
    <row r="3402" ht="15.75" customHeight="1">
      <c r="A3402" s="162">
        <v>46147.0</v>
      </c>
      <c r="B3402" s="50"/>
      <c r="C3402" s="31" t="s">
        <v>1854</v>
      </c>
      <c r="D3402" s="32" t="s">
        <v>15</v>
      </c>
      <c r="E3402" s="31" t="s">
        <v>3685</v>
      </c>
      <c r="F3402" s="139">
        <v>46168.0</v>
      </c>
      <c r="G3402" s="54">
        <v>2.295903465E7</v>
      </c>
      <c r="H3402" s="14">
        <f t="shared" si="10"/>
        <v>4821397.277</v>
      </c>
      <c r="I3402" s="22">
        <v>688771.04</v>
      </c>
      <c r="J3402" s="22">
        <v>1147951.73</v>
      </c>
      <c r="K3402" s="15">
        <f t="shared" si="4"/>
        <v>29617154.7</v>
      </c>
      <c r="L3402" s="45"/>
      <c r="M3402" s="6"/>
    </row>
    <row r="3403" ht="15.75" customHeight="1">
      <c r="A3403" s="162">
        <v>46147.0</v>
      </c>
      <c r="B3403" s="50"/>
      <c r="C3403" s="31" t="s">
        <v>1854</v>
      </c>
      <c r="D3403" s="32" t="s">
        <v>15</v>
      </c>
      <c r="E3403" s="31" t="s">
        <v>3686</v>
      </c>
      <c r="F3403" s="139">
        <v>46168.0</v>
      </c>
      <c r="G3403" s="54">
        <v>2.57523404E7</v>
      </c>
      <c r="H3403" s="14">
        <f t="shared" si="10"/>
        <v>5407991.484</v>
      </c>
      <c r="I3403" s="22">
        <v>772570.21</v>
      </c>
      <c r="J3403" s="22">
        <v>1287617.02</v>
      </c>
      <c r="K3403" s="15">
        <f t="shared" si="4"/>
        <v>33220519.11</v>
      </c>
      <c r="L3403" s="45"/>
      <c r="M3403" s="6"/>
    </row>
    <row r="3404" ht="15.75" customHeight="1">
      <c r="A3404" s="162">
        <v>46147.0</v>
      </c>
      <c r="B3404" s="50"/>
      <c r="C3404" s="31" t="s">
        <v>1854</v>
      </c>
      <c r="D3404" s="32" t="s">
        <v>15</v>
      </c>
      <c r="E3404" s="31" t="s">
        <v>3687</v>
      </c>
      <c r="F3404" s="139">
        <v>46168.0</v>
      </c>
      <c r="G3404" s="54">
        <v>2.295903465E7</v>
      </c>
      <c r="H3404" s="14">
        <f t="shared" si="10"/>
        <v>4821397.277</v>
      </c>
      <c r="I3404" s="22">
        <v>688771.04</v>
      </c>
      <c r="J3404" s="22">
        <v>1147951.73</v>
      </c>
      <c r="K3404" s="15">
        <f t="shared" si="4"/>
        <v>29617154.7</v>
      </c>
      <c r="L3404" s="45"/>
      <c r="M3404" s="6"/>
    </row>
    <row r="3405" ht="15.75" customHeight="1">
      <c r="A3405" s="162">
        <v>46147.0</v>
      </c>
      <c r="B3405" s="50"/>
      <c r="C3405" s="31" t="s">
        <v>1854</v>
      </c>
      <c r="D3405" s="32" t="s">
        <v>15</v>
      </c>
      <c r="E3405" s="31" t="s">
        <v>3688</v>
      </c>
      <c r="F3405" s="139">
        <v>46168.0</v>
      </c>
      <c r="G3405" s="54">
        <v>2.23385202E7</v>
      </c>
      <c r="H3405" s="14">
        <f t="shared" si="10"/>
        <v>4691089.242</v>
      </c>
      <c r="I3405" s="22">
        <v>670155.61</v>
      </c>
      <c r="J3405" s="22">
        <v>1116926.01</v>
      </c>
      <c r="K3405" s="15">
        <f t="shared" si="4"/>
        <v>28816691.06</v>
      </c>
      <c r="L3405" s="45"/>
      <c r="M3405" s="62"/>
    </row>
    <row r="3406" ht="15.75" customHeight="1">
      <c r="A3406" s="162">
        <v>46147.0</v>
      </c>
      <c r="B3406" s="50"/>
      <c r="C3406" s="31" t="s">
        <v>1858</v>
      </c>
      <c r="D3406" s="32" t="s">
        <v>15</v>
      </c>
      <c r="E3406" s="31" t="s">
        <v>3689</v>
      </c>
      <c r="F3406" s="139">
        <v>46168.0</v>
      </c>
      <c r="G3406" s="54">
        <v>1.41122352E7</v>
      </c>
      <c r="H3406" s="14">
        <f t="shared" si="10"/>
        <v>2963569.392</v>
      </c>
      <c r="I3406" s="22">
        <v>423367.06</v>
      </c>
      <c r="J3406" s="22">
        <v>56448.94</v>
      </c>
      <c r="K3406" s="15">
        <f t="shared" si="4"/>
        <v>17555620.59</v>
      </c>
      <c r="L3406" s="45"/>
      <c r="M3406" s="6"/>
    </row>
    <row r="3407" ht="15.75" customHeight="1">
      <c r="A3407" s="162">
        <v>46147.0</v>
      </c>
      <c r="B3407" s="50"/>
      <c r="C3407" s="31" t="s">
        <v>1858</v>
      </c>
      <c r="D3407" s="32" t="s">
        <v>15</v>
      </c>
      <c r="E3407" s="31" t="s">
        <v>3690</v>
      </c>
      <c r="F3407" s="139">
        <v>46168.0</v>
      </c>
      <c r="G3407" s="54">
        <v>1.114289988E7</v>
      </c>
      <c r="H3407" s="14">
        <f t="shared" si="10"/>
        <v>2340008.975</v>
      </c>
      <c r="I3407" s="22">
        <v>334287.0</v>
      </c>
      <c r="J3407" s="22">
        <v>44571.6</v>
      </c>
      <c r="K3407" s="15">
        <f t="shared" si="4"/>
        <v>13861767.45</v>
      </c>
      <c r="L3407" s="45"/>
      <c r="M3407" s="6"/>
    </row>
    <row r="3408" ht="15.75" customHeight="1">
      <c r="A3408" s="162">
        <v>46147.0</v>
      </c>
      <c r="B3408" s="50"/>
      <c r="C3408" s="31" t="s">
        <v>1858</v>
      </c>
      <c r="D3408" s="32" t="s">
        <v>15</v>
      </c>
      <c r="E3408" s="31" t="s">
        <v>3691</v>
      </c>
      <c r="F3408" s="139">
        <v>46168.0</v>
      </c>
      <c r="G3408" s="54">
        <v>1.98181188E7</v>
      </c>
      <c r="H3408" s="14">
        <f t="shared" si="10"/>
        <v>4161804.948</v>
      </c>
      <c r="I3408" s="22">
        <v>594543.56</v>
      </c>
      <c r="J3408" s="22">
        <v>79272.48</v>
      </c>
      <c r="K3408" s="15">
        <f t="shared" si="4"/>
        <v>24653739.79</v>
      </c>
      <c r="L3408" s="61"/>
      <c r="M3408" s="62"/>
    </row>
    <row r="3409" ht="15.75" customHeight="1">
      <c r="A3409" s="162">
        <v>46147.0</v>
      </c>
      <c r="B3409" s="50"/>
      <c r="C3409" s="31" t="s">
        <v>1858</v>
      </c>
      <c r="D3409" s="32" t="s">
        <v>15</v>
      </c>
      <c r="E3409" s="31" t="s">
        <v>3692</v>
      </c>
      <c r="F3409" s="139">
        <v>46168.0</v>
      </c>
      <c r="G3409" s="54">
        <v>1.915751484E7</v>
      </c>
      <c r="H3409" s="14">
        <f t="shared" si="10"/>
        <v>4023078.116</v>
      </c>
      <c r="I3409" s="22">
        <v>574725.45</v>
      </c>
      <c r="J3409" s="22">
        <v>76630.06</v>
      </c>
      <c r="K3409" s="15">
        <f t="shared" si="4"/>
        <v>23831948.47</v>
      </c>
      <c r="L3409" s="61"/>
      <c r="M3409" s="62"/>
    </row>
    <row r="3410" ht="15.75" customHeight="1">
      <c r="A3410" s="162">
        <v>46147.0</v>
      </c>
      <c r="B3410" s="50"/>
      <c r="C3410" s="31" t="s">
        <v>1861</v>
      </c>
      <c r="D3410" s="32" t="s">
        <v>99</v>
      </c>
      <c r="E3410" s="31" t="s">
        <v>3693</v>
      </c>
      <c r="F3410" s="139">
        <v>46168.0</v>
      </c>
      <c r="G3410" s="54">
        <v>3.11521416E7</v>
      </c>
      <c r="H3410" s="14">
        <f t="shared" si="10"/>
        <v>6541949.736</v>
      </c>
      <c r="I3410" s="22">
        <v>934564.25</v>
      </c>
      <c r="J3410" s="22">
        <v>623042.83</v>
      </c>
      <c r="K3410" s="15">
        <f t="shared" si="4"/>
        <v>39251698.42</v>
      </c>
      <c r="L3410" s="45"/>
      <c r="M3410" s="6"/>
    </row>
    <row r="3411" ht="15.75" customHeight="1">
      <c r="A3411" s="162">
        <v>46147.0</v>
      </c>
      <c r="B3411" s="50"/>
      <c r="C3411" s="31" t="s">
        <v>1861</v>
      </c>
      <c r="D3411" s="32" t="s">
        <v>99</v>
      </c>
      <c r="E3411" s="31" t="s">
        <v>3694</v>
      </c>
      <c r="F3411" s="139">
        <v>46168.0</v>
      </c>
      <c r="G3411" s="54">
        <v>3.553191675E7</v>
      </c>
      <c r="H3411" s="14">
        <f t="shared" si="10"/>
        <v>7461702.518</v>
      </c>
      <c r="I3411" s="22">
        <v>1065957.5</v>
      </c>
      <c r="J3411" s="22">
        <v>710638.34</v>
      </c>
      <c r="K3411" s="15">
        <f t="shared" si="4"/>
        <v>44770215.11</v>
      </c>
      <c r="L3411" s="61"/>
      <c r="M3411" s="62"/>
    </row>
    <row r="3412" ht="15.75" customHeight="1">
      <c r="A3412" s="162">
        <v>46147.0</v>
      </c>
      <c r="B3412" s="50"/>
      <c r="C3412" s="31" t="s">
        <v>1861</v>
      </c>
      <c r="D3412" s="32" t="s">
        <v>99</v>
      </c>
      <c r="E3412" s="31" t="s">
        <v>3695</v>
      </c>
      <c r="F3412" s="139">
        <v>46168.0</v>
      </c>
      <c r="G3412" s="54">
        <v>3.405798126E7</v>
      </c>
      <c r="H3412" s="14">
        <f t="shared" si="10"/>
        <v>7152176.065</v>
      </c>
      <c r="I3412" s="22">
        <v>1021739.44</v>
      </c>
      <c r="J3412" s="22">
        <v>681159.63</v>
      </c>
      <c r="K3412" s="15">
        <f t="shared" si="4"/>
        <v>42913056.39</v>
      </c>
      <c r="L3412" s="45"/>
      <c r="M3412" s="6"/>
    </row>
    <row r="3413" ht="15.75" customHeight="1">
      <c r="A3413" s="162">
        <v>46147.0</v>
      </c>
      <c r="B3413" s="50"/>
      <c r="C3413" s="31" t="s">
        <v>211</v>
      </c>
      <c r="D3413" s="32" t="s">
        <v>99</v>
      </c>
      <c r="E3413" s="31" t="s">
        <v>3696</v>
      </c>
      <c r="F3413" s="139">
        <v>46168.0</v>
      </c>
      <c r="G3413" s="54">
        <f>4121460/1.21</f>
        <v>3406165.289</v>
      </c>
      <c r="H3413" s="14">
        <f t="shared" si="10"/>
        <v>715294.7107</v>
      </c>
      <c r="I3413" s="22"/>
      <c r="J3413" s="22"/>
      <c r="K3413" s="15">
        <f t="shared" si="4"/>
        <v>4121460</v>
      </c>
      <c r="L3413" s="45"/>
      <c r="M3413" s="6"/>
    </row>
    <row r="3414" ht="15.75" customHeight="1">
      <c r="A3414" s="162">
        <v>46147.0</v>
      </c>
      <c r="B3414" s="50"/>
      <c r="C3414" s="31" t="s">
        <v>211</v>
      </c>
      <c r="D3414" s="32" t="s">
        <v>99</v>
      </c>
      <c r="E3414" s="31" t="s">
        <v>3697</v>
      </c>
      <c r="F3414" s="139">
        <v>46168.0</v>
      </c>
      <c r="G3414" s="54">
        <f>4497579.99/1.21</f>
        <v>3717008.256</v>
      </c>
      <c r="H3414" s="14">
        <f t="shared" si="10"/>
        <v>780571.7338</v>
      </c>
      <c r="I3414" s="22"/>
      <c r="J3414" s="22"/>
      <c r="K3414" s="15">
        <f t="shared" si="4"/>
        <v>4497579.99</v>
      </c>
      <c r="L3414" s="45"/>
      <c r="M3414" s="6"/>
    </row>
    <row r="3415" ht="15.75" customHeight="1">
      <c r="A3415" s="217">
        <v>46148.0</v>
      </c>
      <c r="B3415" s="56"/>
      <c r="C3415" s="57" t="s">
        <v>2318</v>
      </c>
      <c r="D3415" s="57" t="s">
        <v>3626</v>
      </c>
      <c r="E3415" s="58" t="s">
        <v>3698</v>
      </c>
      <c r="F3415" s="136">
        <v>46168.0</v>
      </c>
      <c r="G3415" s="206">
        <v>1.035E7</v>
      </c>
      <c r="H3415" s="9">
        <f t="shared" si="10"/>
        <v>2173500</v>
      </c>
      <c r="I3415" s="44"/>
      <c r="J3415" s="44"/>
      <c r="K3415" s="10">
        <f t="shared" si="4"/>
        <v>12523500</v>
      </c>
      <c r="L3415" s="61"/>
      <c r="M3415" s="62"/>
    </row>
    <row r="3416" ht="15.75" customHeight="1">
      <c r="A3416" s="162">
        <v>46148.0</v>
      </c>
      <c r="B3416" s="50"/>
      <c r="C3416" s="31" t="s">
        <v>1112</v>
      </c>
      <c r="D3416" s="32" t="s">
        <v>99</v>
      </c>
      <c r="E3416" s="32" t="s">
        <v>3699</v>
      </c>
      <c r="F3416" s="139">
        <v>46168.0</v>
      </c>
      <c r="G3416" s="54">
        <v>1.429368025E7</v>
      </c>
      <c r="H3416" s="14">
        <f t="shared" si="10"/>
        <v>3001672.853</v>
      </c>
      <c r="I3416" s="22"/>
      <c r="J3416" s="22"/>
      <c r="K3416" s="15">
        <f t="shared" si="4"/>
        <v>17295353.1</v>
      </c>
      <c r="L3416" s="45"/>
      <c r="M3416" s="6"/>
    </row>
    <row r="3417" ht="15.75" customHeight="1">
      <c r="A3417" s="162">
        <v>46148.0</v>
      </c>
      <c r="B3417" s="50"/>
      <c r="C3417" s="31" t="s">
        <v>1112</v>
      </c>
      <c r="D3417" s="32" t="s">
        <v>99</v>
      </c>
      <c r="E3417" s="32" t="s">
        <v>3700</v>
      </c>
      <c r="F3417" s="139">
        <v>46168.0</v>
      </c>
      <c r="G3417" s="54">
        <v>1.418129041E7</v>
      </c>
      <c r="H3417" s="14">
        <f t="shared" si="10"/>
        <v>2978070.986</v>
      </c>
      <c r="I3417" s="22"/>
      <c r="J3417" s="22"/>
      <c r="K3417" s="15">
        <f t="shared" si="4"/>
        <v>17159361.4</v>
      </c>
      <c r="L3417" s="45"/>
      <c r="M3417" s="6"/>
    </row>
    <row r="3418" ht="15.75" customHeight="1">
      <c r="A3418" s="162">
        <v>46148.0</v>
      </c>
      <c r="B3418" s="50"/>
      <c r="C3418" s="31" t="s">
        <v>1112</v>
      </c>
      <c r="D3418" s="32" t="s">
        <v>99</v>
      </c>
      <c r="E3418" s="32" t="s">
        <v>3701</v>
      </c>
      <c r="F3418" s="139">
        <v>46168.0</v>
      </c>
      <c r="G3418" s="54">
        <v>1.454696085E7</v>
      </c>
      <c r="H3418" s="14">
        <f t="shared" si="10"/>
        <v>3054861.779</v>
      </c>
      <c r="I3418" s="22"/>
      <c r="J3418" s="22"/>
      <c r="K3418" s="15">
        <f t="shared" si="4"/>
        <v>17601822.63</v>
      </c>
      <c r="L3418" s="45"/>
      <c r="M3418" s="6"/>
    </row>
    <row r="3419" ht="15.75" customHeight="1">
      <c r="A3419" s="217">
        <v>46149.0</v>
      </c>
      <c r="B3419" s="56"/>
      <c r="C3419" s="57" t="s">
        <v>2126</v>
      </c>
      <c r="D3419" s="57" t="s">
        <v>2834</v>
      </c>
      <c r="E3419" s="58" t="s">
        <v>3702</v>
      </c>
      <c r="F3419" s="136">
        <v>46138.0</v>
      </c>
      <c r="G3419" s="206">
        <v>6580000.0</v>
      </c>
      <c r="H3419" s="9">
        <f t="shared" si="10"/>
        <v>1381800</v>
      </c>
      <c r="I3419" s="44"/>
      <c r="J3419" s="44"/>
      <c r="K3419" s="10">
        <f t="shared" si="4"/>
        <v>7961800</v>
      </c>
      <c r="L3419" s="61"/>
      <c r="M3419" s="62"/>
    </row>
    <row r="3420" ht="15.75" customHeight="1">
      <c r="A3420" s="217">
        <v>46149.0</v>
      </c>
      <c r="B3420" s="56"/>
      <c r="C3420" s="57" t="s">
        <v>2126</v>
      </c>
      <c r="D3420" s="57" t="s">
        <v>2834</v>
      </c>
      <c r="E3420" s="58" t="s">
        <v>3703</v>
      </c>
      <c r="F3420" s="136">
        <v>46138.0</v>
      </c>
      <c r="G3420" s="206">
        <v>3000000.0</v>
      </c>
      <c r="H3420" s="9">
        <f t="shared" si="10"/>
        <v>630000</v>
      </c>
      <c r="I3420" s="44"/>
      <c r="J3420" s="44"/>
      <c r="K3420" s="10">
        <f t="shared" si="4"/>
        <v>3630000</v>
      </c>
      <c r="L3420" s="61"/>
      <c r="M3420" s="62"/>
    </row>
    <row r="3421" ht="15.75" customHeight="1">
      <c r="A3421" s="217">
        <v>46149.0</v>
      </c>
      <c r="B3421" s="56"/>
      <c r="C3421" s="57" t="s">
        <v>2126</v>
      </c>
      <c r="D3421" s="57" t="s">
        <v>2834</v>
      </c>
      <c r="E3421" s="58" t="s">
        <v>3704</v>
      </c>
      <c r="F3421" s="136">
        <v>46138.0</v>
      </c>
      <c r="G3421" s="206">
        <v>3000000.0</v>
      </c>
      <c r="H3421" s="9">
        <f t="shared" si="10"/>
        <v>630000</v>
      </c>
      <c r="I3421" s="44"/>
      <c r="J3421" s="44"/>
      <c r="K3421" s="10">
        <f t="shared" si="4"/>
        <v>3630000</v>
      </c>
      <c r="L3421" s="61"/>
      <c r="M3421" s="62"/>
    </row>
    <row r="3422" ht="15.75" customHeight="1">
      <c r="A3422" s="217">
        <v>46149.0</v>
      </c>
      <c r="B3422" s="56"/>
      <c r="C3422" s="57" t="s">
        <v>2126</v>
      </c>
      <c r="D3422" s="57" t="s">
        <v>2834</v>
      </c>
      <c r="E3422" s="58" t="s">
        <v>3705</v>
      </c>
      <c r="F3422" s="136">
        <v>46138.0</v>
      </c>
      <c r="G3422" s="206">
        <v>2420000.0</v>
      </c>
      <c r="H3422" s="9">
        <f t="shared" si="10"/>
        <v>508200</v>
      </c>
      <c r="I3422" s="44"/>
      <c r="J3422" s="44"/>
      <c r="K3422" s="10">
        <f t="shared" si="4"/>
        <v>2928200</v>
      </c>
      <c r="L3422" s="61"/>
      <c r="M3422" s="62"/>
    </row>
    <row r="3423" ht="15.75" customHeight="1">
      <c r="A3423" s="162">
        <v>46149.0</v>
      </c>
      <c r="B3423" s="50"/>
      <c r="C3423" s="31" t="s">
        <v>2221</v>
      </c>
      <c r="D3423" s="32" t="s">
        <v>99</v>
      </c>
      <c r="E3423" s="31" t="s">
        <v>3706</v>
      </c>
      <c r="F3423" s="139">
        <v>46168.0</v>
      </c>
      <c r="G3423" s="54">
        <v>1.233363305E7</v>
      </c>
      <c r="H3423" s="14">
        <f t="shared" si="10"/>
        <v>2590062.941</v>
      </c>
      <c r="I3423" s="22">
        <v>370008.99</v>
      </c>
      <c r="J3423" s="22"/>
      <c r="K3423" s="15">
        <f t="shared" si="4"/>
        <v>15293704.98</v>
      </c>
      <c r="L3423" s="45"/>
      <c r="M3423" s="6"/>
    </row>
    <row r="3424" ht="15.75" customHeight="1">
      <c r="A3424" s="162">
        <v>46149.0</v>
      </c>
      <c r="B3424" s="50"/>
      <c r="C3424" s="31" t="s">
        <v>2221</v>
      </c>
      <c r="D3424" s="32" t="s">
        <v>99</v>
      </c>
      <c r="E3424" s="31" t="s">
        <v>3707</v>
      </c>
      <c r="F3424" s="139">
        <v>46168.0</v>
      </c>
      <c r="G3424" s="54">
        <v>1.345646305E7</v>
      </c>
      <c r="H3424" s="14">
        <f t="shared" si="10"/>
        <v>2825857.241</v>
      </c>
      <c r="I3424" s="22">
        <v>403693.89</v>
      </c>
      <c r="J3424" s="22"/>
      <c r="K3424" s="15">
        <f t="shared" si="4"/>
        <v>16686014.18</v>
      </c>
      <c r="L3424" s="45"/>
      <c r="M3424" s="6"/>
    </row>
    <row r="3425" ht="15.75" customHeight="1">
      <c r="A3425" s="162">
        <v>46149.0</v>
      </c>
      <c r="B3425" s="50"/>
      <c r="C3425" s="31" t="s">
        <v>2221</v>
      </c>
      <c r="D3425" s="32" t="s">
        <v>99</v>
      </c>
      <c r="E3425" s="31" t="s">
        <v>3708</v>
      </c>
      <c r="F3425" s="139">
        <v>46168.0</v>
      </c>
      <c r="G3425" s="54">
        <v>7269217.74</v>
      </c>
      <c r="H3425" s="14">
        <f t="shared" si="10"/>
        <v>1526535.725</v>
      </c>
      <c r="I3425" s="22">
        <v>218076.53</v>
      </c>
      <c r="J3425" s="22"/>
      <c r="K3425" s="15">
        <f t="shared" si="4"/>
        <v>9013829.995</v>
      </c>
      <c r="L3425" s="45"/>
      <c r="M3425" s="6"/>
    </row>
    <row r="3426" ht="15.75" customHeight="1">
      <c r="A3426" s="162">
        <v>46149.0</v>
      </c>
      <c r="B3426" s="50"/>
      <c r="C3426" s="31" t="s">
        <v>2221</v>
      </c>
      <c r="D3426" s="32" t="s">
        <v>99</v>
      </c>
      <c r="E3426" s="31" t="s">
        <v>3709</v>
      </c>
      <c r="F3426" s="139">
        <v>46168.0</v>
      </c>
      <c r="G3426" s="54">
        <v>7743363.22</v>
      </c>
      <c r="H3426" s="14">
        <f t="shared" si="10"/>
        <v>1626106.276</v>
      </c>
      <c r="I3426" s="22">
        <v>232300.9</v>
      </c>
      <c r="J3426" s="22"/>
      <c r="K3426" s="15">
        <f t="shared" si="4"/>
        <v>9601770.396</v>
      </c>
      <c r="L3426" s="45"/>
      <c r="M3426" s="6"/>
    </row>
    <row r="3427" ht="15.75" customHeight="1">
      <c r="A3427" s="162">
        <v>46149.0</v>
      </c>
      <c r="B3427" s="50"/>
      <c r="C3427" s="31" t="s">
        <v>567</v>
      </c>
      <c r="D3427" s="32" t="s">
        <v>99</v>
      </c>
      <c r="E3427" s="31" t="s">
        <v>3710</v>
      </c>
      <c r="F3427" s="139">
        <v>46168.0</v>
      </c>
      <c r="G3427" s="54">
        <v>3.000120536E7</v>
      </c>
      <c r="H3427" s="14">
        <f t="shared" si="10"/>
        <v>6300253.126</v>
      </c>
      <c r="I3427" s="22"/>
      <c r="J3427" s="22"/>
      <c r="K3427" s="15">
        <f t="shared" si="4"/>
        <v>36301458.49</v>
      </c>
      <c r="L3427" s="45"/>
      <c r="M3427" s="6"/>
    </row>
    <row r="3428" ht="15.75" customHeight="1">
      <c r="A3428" s="162">
        <v>46149.0</v>
      </c>
      <c r="B3428" s="50"/>
      <c r="C3428" s="31" t="s">
        <v>567</v>
      </c>
      <c r="D3428" s="32" t="s">
        <v>99</v>
      </c>
      <c r="E3428" s="31" t="s">
        <v>3711</v>
      </c>
      <c r="F3428" s="139">
        <v>46168.0</v>
      </c>
      <c r="G3428" s="54">
        <v>2.000142113E7</v>
      </c>
      <c r="H3428" s="14">
        <f t="shared" si="10"/>
        <v>4200298.437</v>
      </c>
      <c r="I3428" s="22"/>
      <c r="J3428" s="22"/>
      <c r="K3428" s="15">
        <f t="shared" si="4"/>
        <v>24201719.57</v>
      </c>
      <c r="L3428" s="45"/>
      <c r="M3428" s="6"/>
    </row>
    <row r="3429" ht="15.75" customHeight="1">
      <c r="A3429" s="162">
        <v>46149.0</v>
      </c>
      <c r="B3429" s="50"/>
      <c r="C3429" s="31" t="s">
        <v>491</v>
      </c>
      <c r="D3429" s="32" t="s">
        <v>15</v>
      </c>
      <c r="E3429" s="31" t="s">
        <v>3712</v>
      </c>
      <c r="F3429" s="139">
        <v>46168.0</v>
      </c>
      <c r="G3429" s="54">
        <v>1.533353305E7</v>
      </c>
      <c r="H3429" s="14">
        <f t="shared" si="10"/>
        <v>3220041.941</v>
      </c>
      <c r="I3429" s="22">
        <v>460005.99</v>
      </c>
      <c r="J3429" s="22">
        <v>76667.67</v>
      </c>
      <c r="K3429" s="15">
        <f t="shared" si="4"/>
        <v>19090248.65</v>
      </c>
      <c r="L3429" s="45"/>
      <c r="M3429" s="6"/>
    </row>
    <row r="3430" ht="15.75" customHeight="1">
      <c r="A3430" s="162">
        <v>46149.0</v>
      </c>
      <c r="B3430" s="50"/>
      <c r="C3430" s="31" t="s">
        <v>491</v>
      </c>
      <c r="D3430" s="32" t="s">
        <v>15</v>
      </c>
      <c r="E3430" s="31" t="s">
        <v>3713</v>
      </c>
      <c r="F3430" s="139">
        <v>46168.0</v>
      </c>
      <c r="G3430" s="54">
        <v>2.088226305E7</v>
      </c>
      <c r="H3430" s="14">
        <f t="shared" si="10"/>
        <v>4385275.241</v>
      </c>
      <c r="I3430" s="22">
        <v>626467.89</v>
      </c>
      <c r="J3430" s="22">
        <v>104411.32</v>
      </c>
      <c r="K3430" s="15">
        <f t="shared" si="4"/>
        <v>25998417.5</v>
      </c>
      <c r="L3430" s="45"/>
      <c r="M3430" s="6"/>
    </row>
    <row r="3431" ht="15.75" customHeight="1">
      <c r="A3431" s="162">
        <v>46149.0</v>
      </c>
      <c r="B3431" s="50"/>
      <c r="C3431" s="31" t="s">
        <v>491</v>
      </c>
      <c r="D3431" s="32" t="s">
        <v>15</v>
      </c>
      <c r="E3431" s="31" t="s">
        <v>3714</v>
      </c>
      <c r="F3431" s="139">
        <v>46168.0</v>
      </c>
      <c r="G3431" s="54">
        <v>2.134336305E7</v>
      </c>
      <c r="H3431" s="14">
        <f t="shared" si="10"/>
        <v>4482106.241</v>
      </c>
      <c r="I3431" s="22">
        <v>640300.89</v>
      </c>
      <c r="J3431" s="22">
        <v>106716.82</v>
      </c>
      <c r="K3431" s="15">
        <f t="shared" si="4"/>
        <v>26572487</v>
      </c>
      <c r="L3431" s="45"/>
      <c r="M3431" s="6"/>
    </row>
    <row r="3432" ht="15.75" customHeight="1">
      <c r="A3432" s="162">
        <v>46149.0</v>
      </c>
      <c r="B3432" s="50"/>
      <c r="C3432" s="31" t="s">
        <v>491</v>
      </c>
      <c r="D3432" s="32" t="s">
        <v>15</v>
      </c>
      <c r="E3432" s="31" t="s">
        <v>3715</v>
      </c>
      <c r="F3432" s="139">
        <v>46168.0</v>
      </c>
      <c r="G3432" s="54">
        <v>2.432253305E7</v>
      </c>
      <c r="H3432" s="14">
        <f t="shared" si="10"/>
        <v>5107731.941</v>
      </c>
      <c r="I3432" s="22">
        <v>729675.99</v>
      </c>
      <c r="J3432" s="22">
        <v>121612.67</v>
      </c>
      <c r="K3432" s="15">
        <f t="shared" si="4"/>
        <v>30281553.65</v>
      </c>
      <c r="L3432" s="45"/>
      <c r="M3432" s="6"/>
    </row>
    <row r="3433" ht="15.75" customHeight="1">
      <c r="A3433" s="162">
        <v>46149.0</v>
      </c>
      <c r="B3433" s="50"/>
      <c r="C3433" s="31" t="s">
        <v>491</v>
      </c>
      <c r="D3433" s="32" t="s">
        <v>15</v>
      </c>
      <c r="E3433" s="31" t="s">
        <v>3716</v>
      </c>
      <c r="F3433" s="139">
        <v>46168.0</v>
      </c>
      <c r="G3433" s="54">
        <v>1.987362505E7</v>
      </c>
      <c r="H3433" s="14">
        <f t="shared" si="10"/>
        <v>4173461.261</v>
      </c>
      <c r="I3433" s="22"/>
      <c r="J3433" s="22">
        <v>99368.13</v>
      </c>
      <c r="K3433" s="15">
        <f t="shared" si="4"/>
        <v>24146454.44</v>
      </c>
      <c r="L3433" s="45"/>
      <c r="M3433" s="6"/>
    </row>
    <row r="3434" ht="15.75" customHeight="1">
      <c r="A3434" s="162">
        <v>46149.0</v>
      </c>
      <c r="B3434" s="50"/>
      <c r="C3434" s="31" t="s">
        <v>567</v>
      </c>
      <c r="D3434" s="32" t="s">
        <v>15</v>
      </c>
      <c r="E3434" s="31" t="s">
        <v>3717</v>
      </c>
      <c r="F3434" s="139">
        <v>46168.0</v>
      </c>
      <c r="G3434" s="54">
        <v>3.000122405E7</v>
      </c>
      <c r="H3434" s="14">
        <f t="shared" si="10"/>
        <v>6300257.051</v>
      </c>
      <c r="I3434" s="22"/>
      <c r="J3434" s="22"/>
      <c r="K3434" s="15">
        <f t="shared" si="4"/>
        <v>36301481.1</v>
      </c>
      <c r="L3434" s="45"/>
      <c r="M3434" s="6"/>
    </row>
    <row r="3435" ht="15.75" customHeight="1">
      <c r="A3435" s="162">
        <v>46149.0</v>
      </c>
      <c r="B3435" s="50"/>
      <c r="C3435" s="31" t="s">
        <v>567</v>
      </c>
      <c r="D3435" s="32" t="s">
        <v>15</v>
      </c>
      <c r="E3435" s="31" t="s">
        <v>3718</v>
      </c>
      <c r="F3435" s="139">
        <v>46168.0</v>
      </c>
      <c r="G3435" s="54">
        <v>2.000145102E7</v>
      </c>
      <c r="H3435" s="14">
        <f t="shared" si="10"/>
        <v>4200304.714</v>
      </c>
      <c r="I3435" s="22"/>
      <c r="J3435" s="22"/>
      <c r="K3435" s="15">
        <f t="shared" si="4"/>
        <v>24201755.73</v>
      </c>
      <c r="L3435" s="45"/>
      <c r="M3435" s="6"/>
    </row>
    <row r="3436" ht="15.75" customHeight="1">
      <c r="A3436" s="162">
        <v>46149.0</v>
      </c>
      <c r="B3436" s="50"/>
      <c r="C3436" s="31" t="s">
        <v>1112</v>
      </c>
      <c r="D3436" s="32" t="s">
        <v>15</v>
      </c>
      <c r="E3436" s="31" t="s">
        <v>3719</v>
      </c>
      <c r="F3436" s="139">
        <v>46168.0</v>
      </c>
      <c r="G3436" s="54">
        <v>1.454966015E7</v>
      </c>
      <c r="H3436" s="14">
        <f t="shared" si="10"/>
        <v>3055428.632</v>
      </c>
      <c r="I3436" s="22"/>
      <c r="J3436" s="22"/>
      <c r="K3436" s="15">
        <f t="shared" si="4"/>
        <v>17605088.78</v>
      </c>
      <c r="L3436" s="45"/>
      <c r="M3436" s="6"/>
    </row>
    <row r="3437" ht="15.75" customHeight="1">
      <c r="A3437" s="162">
        <v>46149.0</v>
      </c>
      <c r="B3437" s="50"/>
      <c r="C3437" s="31" t="s">
        <v>1112</v>
      </c>
      <c r="D3437" s="32" t="s">
        <v>15</v>
      </c>
      <c r="E3437" s="31" t="s">
        <v>3720</v>
      </c>
      <c r="F3437" s="139">
        <v>46168.0</v>
      </c>
      <c r="G3437" s="54">
        <v>1.428736023E7</v>
      </c>
      <c r="H3437" s="14">
        <f t="shared" si="10"/>
        <v>3000345.648</v>
      </c>
      <c r="I3437" s="22"/>
      <c r="J3437" s="22"/>
      <c r="K3437" s="15">
        <f t="shared" si="4"/>
        <v>17287705.88</v>
      </c>
      <c r="L3437" s="45"/>
      <c r="M3437" s="6"/>
    </row>
    <row r="3438" ht="15.75" customHeight="1">
      <c r="A3438" s="162">
        <v>46149.0</v>
      </c>
      <c r="B3438" s="50"/>
      <c r="C3438" s="31" t="s">
        <v>1112</v>
      </c>
      <c r="D3438" s="32" t="s">
        <v>15</v>
      </c>
      <c r="E3438" s="31" t="s">
        <v>3721</v>
      </c>
      <c r="F3438" s="139">
        <v>46168.0</v>
      </c>
      <c r="G3438" s="54">
        <v>1.417247023E7</v>
      </c>
      <c r="H3438" s="14">
        <f t="shared" si="10"/>
        <v>2976218.748</v>
      </c>
      <c r="I3438" s="22"/>
      <c r="J3438" s="22"/>
      <c r="K3438" s="15">
        <f t="shared" si="4"/>
        <v>17148688.98</v>
      </c>
      <c r="L3438" s="45"/>
      <c r="M3438" s="6"/>
    </row>
    <row r="3439" ht="15.75" customHeight="1">
      <c r="A3439" s="162">
        <v>46149.0</v>
      </c>
      <c r="B3439" s="50"/>
      <c r="C3439" s="31" t="s">
        <v>1183</v>
      </c>
      <c r="D3439" s="32" t="s">
        <v>15</v>
      </c>
      <c r="E3439" s="31" t="s">
        <v>3722</v>
      </c>
      <c r="F3439" s="139">
        <v>46168.0</v>
      </c>
      <c r="G3439" s="54">
        <v>9989460.12</v>
      </c>
      <c r="H3439" s="14">
        <f t="shared" si="10"/>
        <v>2097786.625</v>
      </c>
      <c r="I3439" s="22">
        <v>299683.8</v>
      </c>
      <c r="J3439" s="22"/>
      <c r="K3439" s="15">
        <f t="shared" si="4"/>
        <v>12386930.55</v>
      </c>
      <c r="L3439" s="45"/>
      <c r="M3439" s="6"/>
    </row>
    <row r="3440" ht="15.75" customHeight="1">
      <c r="A3440" s="162">
        <v>46149.0</v>
      </c>
      <c r="B3440" s="50"/>
      <c r="C3440" s="31" t="s">
        <v>1183</v>
      </c>
      <c r="D3440" s="32" t="s">
        <v>15</v>
      </c>
      <c r="E3440" s="31" t="s">
        <v>3723</v>
      </c>
      <c r="F3440" s="139">
        <v>46168.0</v>
      </c>
      <c r="G3440" s="54">
        <v>8333633.21</v>
      </c>
      <c r="H3440" s="14">
        <f t="shared" si="10"/>
        <v>1750062.974</v>
      </c>
      <c r="I3440" s="22">
        <v>250009.0</v>
      </c>
      <c r="J3440" s="22"/>
      <c r="K3440" s="15">
        <f t="shared" si="4"/>
        <v>10333705.18</v>
      </c>
      <c r="L3440" s="45"/>
      <c r="M3440" s="6"/>
    </row>
    <row r="3441" ht="15.75" customHeight="1">
      <c r="A3441" s="162">
        <v>46149.0</v>
      </c>
      <c r="B3441" s="50"/>
      <c r="C3441" s="31" t="s">
        <v>1183</v>
      </c>
      <c r="D3441" s="32" t="s">
        <v>15</v>
      </c>
      <c r="E3441" s="31" t="s">
        <v>3724</v>
      </c>
      <c r="F3441" s="139">
        <v>46168.0</v>
      </c>
      <c r="G3441" s="54">
        <v>1.000124513E7</v>
      </c>
      <c r="H3441" s="14">
        <f t="shared" si="10"/>
        <v>2100261.477</v>
      </c>
      <c r="I3441" s="22">
        <v>300037.35</v>
      </c>
      <c r="J3441" s="22"/>
      <c r="K3441" s="15">
        <f t="shared" si="4"/>
        <v>12401543.96</v>
      </c>
      <c r="L3441" s="45"/>
      <c r="M3441" s="6"/>
    </row>
    <row r="3442" ht="15.75" customHeight="1">
      <c r="A3442" s="162">
        <v>46149.0</v>
      </c>
      <c r="B3442" s="50"/>
      <c r="C3442" s="31" t="s">
        <v>1183</v>
      </c>
      <c r="D3442" s="32" t="s">
        <v>15</v>
      </c>
      <c r="E3442" s="31" t="s">
        <v>3725</v>
      </c>
      <c r="F3442" s="139">
        <v>46168.0</v>
      </c>
      <c r="G3442" s="54">
        <v>6773727.15</v>
      </c>
      <c r="H3442" s="14">
        <f t="shared" si="10"/>
        <v>1422482.702</v>
      </c>
      <c r="I3442" s="22">
        <v>203211.81</v>
      </c>
      <c r="J3442" s="22"/>
      <c r="K3442" s="15">
        <f t="shared" si="4"/>
        <v>8399421.662</v>
      </c>
      <c r="L3442" s="45"/>
      <c r="M3442" s="6"/>
    </row>
    <row r="3443" ht="15.75" customHeight="1">
      <c r="A3443" s="162">
        <v>46150.0</v>
      </c>
      <c r="B3443" s="50"/>
      <c r="C3443" s="32" t="s">
        <v>2318</v>
      </c>
      <c r="D3443" s="32" t="s">
        <v>3626</v>
      </c>
      <c r="E3443" s="32">
        <v>464.0</v>
      </c>
      <c r="F3443" s="161">
        <v>46138.0</v>
      </c>
      <c r="G3443" s="54">
        <v>1.035E7</v>
      </c>
      <c r="H3443" s="14">
        <f t="shared" si="10"/>
        <v>2173500</v>
      </c>
      <c r="I3443" s="22"/>
      <c r="J3443" s="22"/>
      <c r="K3443" s="15">
        <f t="shared" si="4"/>
        <v>12523500</v>
      </c>
      <c r="L3443" s="45"/>
      <c r="M3443" s="6"/>
    </row>
    <row r="3444" ht="15.75" customHeight="1">
      <c r="A3444" s="162">
        <v>46154.0</v>
      </c>
      <c r="B3444" s="50"/>
      <c r="C3444" s="31" t="s">
        <v>1136</v>
      </c>
      <c r="D3444" s="32" t="s">
        <v>15</v>
      </c>
      <c r="E3444" s="31" t="s">
        <v>3726</v>
      </c>
      <c r="F3444" s="139">
        <v>46168.0</v>
      </c>
      <c r="G3444" s="54">
        <v>3.8787632E7</v>
      </c>
      <c r="H3444" s="14">
        <f t="shared" si="10"/>
        <v>8145402.72</v>
      </c>
      <c r="I3444" s="22">
        <v>1163628.96</v>
      </c>
      <c r="J3444" s="22">
        <v>1939381.6</v>
      </c>
      <c r="K3444" s="15">
        <f t="shared" si="4"/>
        <v>50036045.28</v>
      </c>
      <c r="L3444" s="45"/>
      <c r="M3444" s="6"/>
    </row>
    <row r="3445" ht="15.75" customHeight="1">
      <c r="A3445" s="162">
        <v>46154.0</v>
      </c>
      <c r="B3445" s="50"/>
      <c r="C3445" s="31" t="s">
        <v>1136</v>
      </c>
      <c r="D3445" s="32" t="s">
        <v>15</v>
      </c>
      <c r="E3445" s="31" t="s">
        <v>3727</v>
      </c>
      <c r="F3445" s="139">
        <v>46168.0</v>
      </c>
      <c r="G3445" s="54">
        <v>3.8787632E7</v>
      </c>
      <c r="H3445" s="14">
        <f t="shared" si="10"/>
        <v>8145402.72</v>
      </c>
      <c r="I3445" s="22">
        <v>1163628.96</v>
      </c>
      <c r="J3445" s="22">
        <v>1939381.6</v>
      </c>
      <c r="K3445" s="15">
        <f t="shared" si="4"/>
        <v>50036045.28</v>
      </c>
      <c r="L3445" s="45"/>
      <c r="M3445" s="6"/>
    </row>
    <row r="3446" ht="15.75" customHeight="1">
      <c r="A3446" s="162">
        <v>46154.0</v>
      </c>
      <c r="B3446" s="50"/>
      <c r="C3446" s="31" t="s">
        <v>1136</v>
      </c>
      <c r="D3446" s="32" t="s">
        <v>15</v>
      </c>
      <c r="E3446" s="31" t="s">
        <v>3728</v>
      </c>
      <c r="F3446" s="139">
        <v>46168.0</v>
      </c>
      <c r="G3446" s="54">
        <v>3.8787632E7</v>
      </c>
      <c r="H3446" s="14">
        <f t="shared" si="10"/>
        <v>8145402.72</v>
      </c>
      <c r="I3446" s="22">
        <v>1163628.96</v>
      </c>
      <c r="J3446" s="22">
        <v>1939381.6</v>
      </c>
      <c r="K3446" s="15">
        <f t="shared" si="4"/>
        <v>50036045.28</v>
      </c>
      <c r="L3446" s="45"/>
      <c r="M3446" s="6"/>
    </row>
    <row r="3447" ht="15.75" customHeight="1">
      <c r="A3447" s="162">
        <v>46154.0</v>
      </c>
      <c r="B3447" s="50"/>
      <c r="C3447" s="31" t="s">
        <v>1136</v>
      </c>
      <c r="D3447" s="32" t="s">
        <v>99</v>
      </c>
      <c r="E3447" s="31" t="s">
        <v>3729</v>
      </c>
      <c r="F3447" s="139">
        <v>46168.0</v>
      </c>
      <c r="G3447" s="54">
        <v>3.72619E7</v>
      </c>
      <c r="H3447" s="14">
        <f t="shared" si="10"/>
        <v>7824999</v>
      </c>
      <c r="I3447" s="22">
        <v>1117857.0</v>
      </c>
      <c r="J3447" s="22">
        <v>1863095.0</v>
      </c>
      <c r="K3447" s="15">
        <f t="shared" si="4"/>
        <v>48067851</v>
      </c>
      <c r="L3447" s="45"/>
      <c r="M3447" s="6"/>
    </row>
    <row r="3448" ht="15.75" customHeight="1">
      <c r="A3448" s="162">
        <v>46154.0</v>
      </c>
      <c r="B3448" s="50"/>
      <c r="C3448" s="31" t="s">
        <v>1136</v>
      </c>
      <c r="D3448" s="32" t="s">
        <v>99</v>
      </c>
      <c r="E3448" s="31" t="s">
        <v>3730</v>
      </c>
      <c r="F3448" s="139">
        <v>46168.0</v>
      </c>
      <c r="G3448" s="54">
        <v>3.72619E7</v>
      </c>
      <c r="H3448" s="14">
        <f t="shared" si="10"/>
        <v>7824999</v>
      </c>
      <c r="I3448" s="22">
        <v>1117857.0</v>
      </c>
      <c r="J3448" s="22">
        <v>1863095.0</v>
      </c>
      <c r="K3448" s="15">
        <f t="shared" si="4"/>
        <v>48067851</v>
      </c>
      <c r="L3448" s="45"/>
      <c r="M3448" s="6"/>
    </row>
    <row r="3449" ht="15.75" customHeight="1">
      <c r="A3449" s="162">
        <v>46154.0</v>
      </c>
      <c r="B3449" s="50"/>
      <c r="C3449" s="31" t="s">
        <v>1136</v>
      </c>
      <c r="D3449" s="32" t="s">
        <v>99</v>
      </c>
      <c r="E3449" s="31" t="s">
        <v>3731</v>
      </c>
      <c r="F3449" s="139">
        <v>46168.0</v>
      </c>
      <c r="G3449" s="54">
        <v>3.72619E7</v>
      </c>
      <c r="H3449" s="14">
        <f t="shared" si="10"/>
        <v>7824999</v>
      </c>
      <c r="I3449" s="22">
        <v>1117857.0</v>
      </c>
      <c r="J3449" s="22">
        <v>1863095.0</v>
      </c>
      <c r="K3449" s="15">
        <f t="shared" si="4"/>
        <v>48067851</v>
      </c>
      <c r="L3449" s="45"/>
      <c r="M3449" s="6"/>
    </row>
    <row r="3450" ht="15.75" customHeight="1">
      <c r="A3450" s="162">
        <v>46154.0</v>
      </c>
      <c r="B3450" s="50"/>
      <c r="C3450" s="31" t="s">
        <v>1136</v>
      </c>
      <c r="D3450" s="32" t="s">
        <v>99</v>
      </c>
      <c r="E3450" s="32" t="s">
        <v>3732</v>
      </c>
      <c r="F3450" s="139">
        <v>46168.0</v>
      </c>
      <c r="G3450" s="54">
        <v>3.72619E7</v>
      </c>
      <c r="H3450" s="14">
        <f t="shared" si="10"/>
        <v>7824999</v>
      </c>
      <c r="I3450" s="22">
        <v>1117857.0</v>
      </c>
      <c r="J3450" s="22">
        <v>1863095.0</v>
      </c>
      <c r="K3450" s="15">
        <f t="shared" si="4"/>
        <v>48067851</v>
      </c>
      <c r="L3450" s="45"/>
      <c r="M3450" s="6"/>
    </row>
    <row r="3451" ht="15.75" customHeight="1">
      <c r="A3451" s="162">
        <v>46154.0</v>
      </c>
      <c r="B3451" s="50"/>
      <c r="C3451" s="31" t="s">
        <v>611</v>
      </c>
      <c r="D3451" s="32" t="s">
        <v>99</v>
      </c>
      <c r="E3451" s="31" t="s">
        <v>3733</v>
      </c>
      <c r="F3451" s="139">
        <v>46168.0</v>
      </c>
      <c r="G3451" s="54">
        <v>5700266.64</v>
      </c>
      <c r="H3451" s="14">
        <f t="shared" si="10"/>
        <v>1197055.994</v>
      </c>
      <c r="I3451" s="22"/>
      <c r="J3451" s="22">
        <v>45602.13</v>
      </c>
      <c r="K3451" s="15">
        <f t="shared" si="4"/>
        <v>6942924.764</v>
      </c>
      <c r="L3451" s="45"/>
      <c r="M3451" s="6"/>
    </row>
    <row r="3452" ht="15.75" customHeight="1">
      <c r="A3452" s="162">
        <v>46154.0</v>
      </c>
      <c r="B3452" s="50"/>
      <c r="C3452" s="31" t="s">
        <v>611</v>
      </c>
      <c r="D3452" s="32" t="s">
        <v>99</v>
      </c>
      <c r="E3452" s="31" t="s">
        <v>3734</v>
      </c>
      <c r="F3452" s="139">
        <v>46168.0</v>
      </c>
      <c r="G3452" s="54">
        <v>6200341.15</v>
      </c>
      <c r="H3452" s="14">
        <f t="shared" si="10"/>
        <v>1302071.642</v>
      </c>
      <c r="I3452" s="22"/>
      <c r="J3452" s="22">
        <v>49602.73</v>
      </c>
      <c r="K3452" s="15">
        <f t="shared" si="4"/>
        <v>7552015.522</v>
      </c>
      <c r="L3452" s="45"/>
      <c r="M3452" s="6"/>
    </row>
    <row r="3453" ht="15.75" customHeight="1">
      <c r="A3453" s="162">
        <v>46154.0</v>
      </c>
      <c r="B3453" s="50"/>
      <c r="C3453" s="31" t="s">
        <v>611</v>
      </c>
      <c r="D3453" s="32" t="s">
        <v>99</v>
      </c>
      <c r="E3453" s="31" t="s">
        <v>3735</v>
      </c>
      <c r="F3453" s="139">
        <v>46168.0</v>
      </c>
      <c r="G3453" s="54">
        <v>5100211.64</v>
      </c>
      <c r="H3453" s="14">
        <f t="shared" si="10"/>
        <v>1071044.444</v>
      </c>
      <c r="I3453" s="22"/>
      <c r="J3453" s="22">
        <v>40801.69</v>
      </c>
      <c r="K3453" s="15">
        <f t="shared" si="4"/>
        <v>6212057.774</v>
      </c>
      <c r="L3453" s="45"/>
      <c r="M3453" s="6"/>
    </row>
    <row r="3454" ht="15.75" customHeight="1">
      <c r="A3454" s="162">
        <v>46154.0</v>
      </c>
      <c r="B3454" s="50"/>
      <c r="C3454" s="31" t="s">
        <v>611</v>
      </c>
      <c r="D3454" s="32" t="s">
        <v>99</v>
      </c>
      <c r="E3454" s="31" t="s">
        <v>3736</v>
      </c>
      <c r="F3454" s="139">
        <v>46168.0</v>
      </c>
      <c r="G3454" s="54">
        <v>6800362.11</v>
      </c>
      <c r="H3454" s="14">
        <f t="shared" si="10"/>
        <v>1428076.043</v>
      </c>
      <c r="I3454" s="22"/>
      <c r="J3454" s="22">
        <v>54402.9</v>
      </c>
      <c r="K3454" s="15">
        <f t="shared" si="4"/>
        <v>8282841.053</v>
      </c>
      <c r="L3454" s="45"/>
      <c r="M3454" s="6"/>
    </row>
    <row r="3455" ht="15.75" customHeight="1">
      <c r="A3455" s="162">
        <v>46154.0</v>
      </c>
      <c r="B3455" s="50"/>
      <c r="C3455" s="31" t="s">
        <v>611</v>
      </c>
      <c r="D3455" s="32" t="s">
        <v>99</v>
      </c>
      <c r="E3455" s="31" t="s">
        <v>3737</v>
      </c>
      <c r="F3455" s="139">
        <v>46168.0</v>
      </c>
      <c r="G3455" s="54">
        <v>7400184.16</v>
      </c>
      <c r="H3455" s="14">
        <f t="shared" si="10"/>
        <v>1554038.674</v>
      </c>
      <c r="I3455" s="22"/>
      <c r="J3455" s="22">
        <v>59201.47</v>
      </c>
      <c r="K3455" s="15">
        <f t="shared" si="4"/>
        <v>9013424.304</v>
      </c>
      <c r="L3455" s="45"/>
      <c r="M3455" s="6"/>
    </row>
    <row r="3456" ht="15.75" customHeight="1">
      <c r="A3456" s="162">
        <v>46154.0</v>
      </c>
      <c r="B3456" s="50"/>
      <c r="C3456" s="31" t="s">
        <v>611</v>
      </c>
      <c r="D3456" s="32" t="s">
        <v>99</v>
      </c>
      <c r="E3456" s="31" t="s">
        <v>3738</v>
      </c>
      <c r="F3456" s="139">
        <v>46168.0</v>
      </c>
      <c r="G3456" s="54">
        <v>6700164.28</v>
      </c>
      <c r="H3456" s="14">
        <f t="shared" si="10"/>
        <v>1407034.499</v>
      </c>
      <c r="I3456" s="22"/>
      <c r="J3456" s="22">
        <v>53601.31</v>
      </c>
      <c r="K3456" s="15">
        <f t="shared" si="4"/>
        <v>8160800.089</v>
      </c>
      <c r="L3456" s="45"/>
      <c r="M3456" s="6"/>
    </row>
    <row r="3457" ht="15.75" customHeight="1">
      <c r="A3457" s="162">
        <v>46156.0</v>
      </c>
      <c r="B3457" s="50"/>
      <c r="C3457" s="31" t="s">
        <v>2221</v>
      </c>
      <c r="D3457" s="32" t="s">
        <v>99</v>
      </c>
      <c r="E3457" s="31" t="s">
        <v>3739</v>
      </c>
      <c r="F3457" s="139">
        <v>46168.0</v>
      </c>
      <c r="G3457" s="54">
        <v>9310036.43</v>
      </c>
      <c r="H3457" s="14">
        <f t="shared" si="10"/>
        <v>1955107.65</v>
      </c>
      <c r="I3457" s="22">
        <v>279301.09</v>
      </c>
      <c r="J3457" s="22"/>
      <c r="K3457" s="15">
        <f t="shared" si="4"/>
        <v>11544445.17</v>
      </c>
      <c r="L3457" s="45"/>
      <c r="M3457" s="6"/>
    </row>
    <row r="3458" ht="15.75" customHeight="1">
      <c r="A3458" s="162">
        <v>46156.0</v>
      </c>
      <c r="B3458" s="50"/>
      <c r="C3458" s="31" t="s">
        <v>2221</v>
      </c>
      <c r="D3458" s="32" t="s">
        <v>99</v>
      </c>
      <c r="E3458" s="31" t="s">
        <v>3740</v>
      </c>
      <c r="F3458" s="139">
        <v>46168.0</v>
      </c>
      <c r="G3458" s="54">
        <v>7233644.54</v>
      </c>
      <c r="H3458" s="14">
        <f t="shared" si="10"/>
        <v>1519065.353</v>
      </c>
      <c r="I3458" s="22">
        <v>217009.34</v>
      </c>
      <c r="J3458" s="22"/>
      <c r="K3458" s="15">
        <f t="shared" si="4"/>
        <v>8969719.233</v>
      </c>
      <c r="L3458" s="45"/>
      <c r="M3458" s="6"/>
    </row>
    <row r="3459" ht="15.75" customHeight="1">
      <c r="A3459" s="162">
        <v>46156.0</v>
      </c>
      <c r="B3459" s="50"/>
      <c r="C3459" s="31" t="s">
        <v>171</v>
      </c>
      <c r="D3459" s="32" t="s">
        <v>15</v>
      </c>
      <c r="E3459" s="31" t="s">
        <v>3741</v>
      </c>
      <c r="F3459" s="139">
        <v>46168.0</v>
      </c>
      <c r="G3459" s="54">
        <v>1.633744412E7</v>
      </c>
      <c r="H3459" s="14">
        <f t="shared" si="10"/>
        <v>3430863.265</v>
      </c>
      <c r="I3459" s="22"/>
      <c r="J3459" s="22"/>
      <c r="K3459" s="15">
        <f t="shared" si="4"/>
        <v>19768307.39</v>
      </c>
      <c r="L3459" s="45"/>
      <c r="M3459" s="6"/>
    </row>
    <row r="3460" ht="15.75" customHeight="1">
      <c r="A3460" s="162">
        <v>46156.0</v>
      </c>
      <c r="B3460" s="50"/>
      <c r="C3460" s="31" t="s">
        <v>171</v>
      </c>
      <c r="D3460" s="32" t="s">
        <v>15</v>
      </c>
      <c r="E3460" s="31" t="s">
        <v>3742</v>
      </c>
      <c r="F3460" s="139">
        <v>46168.0</v>
      </c>
      <c r="G3460" s="54">
        <v>1.644353341E7</v>
      </c>
      <c r="H3460" s="14">
        <f t="shared" si="10"/>
        <v>3453142.016</v>
      </c>
      <c r="I3460" s="22"/>
      <c r="J3460" s="22"/>
      <c r="K3460" s="15">
        <f t="shared" si="4"/>
        <v>19896675.43</v>
      </c>
      <c r="L3460" s="45"/>
      <c r="M3460" s="6"/>
    </row>
    <row r="3461" ht="15.75" customHeight="1">
      <c r="A3461" s="162">
        <v>46156.0</v>
      </c>
      <c r="B3461" s="50"/>
      <c r="C3461" s="31" t="s">
        <v>171</v>
      </c>
      <c r="D3461" s="32" t="s">
        <v>15</v>
      </c>
      <c r="E3461" s="31" t="s">
        <v>3743</v>
      </c>
      <c r="F3461" s="139">
        <v>46168.0</v>
      </c>
      <c r="G3461" s="54">
        <v>1.034743335E7</v>
      </c>
      <c r="H3461" s="14">
        <f t="shared" si="10"/>
        <v>2172961.004</v>
      </c>
      <c r="I3461" s="22"/>
      <c r="J3461" s="22"/>
      <c r="K3461" s="15">
        <f t="shared" si="4"/>
        <v>12520394.35</v>
      </c>
      <c r="L3461" s="45"/>
      <c r="M3461" s="6"/>
    </row>
    <row r="3462" ht="15.75" customHeight="1">
      <c r="A3462" s="162">
        <v>46156.0</v>
      </c>
      <c r="B3462" s="50"/>
      <c r="C3462" s="31" t="s">
        <v>171</v>
      </c>
      <c r="D3462" s="32" t="s">
        <v>15</v>
      </c>
      <c r="E3462" s="31" t="s">
        <v>3744</v>
      </c>
      <c r="F3462" s="139">
        <v>46168.0</v>
      </c>
      <c r="G3462" s="54">
        <v>1.73336331E7</v>
      </c>
      <c r="H3462" s="14">
        <f t="shared" si="10"/>
        <v>3640062.951</v>
      </c>
      <c r="I3462" s="22"/>
      <c r="J3462" s="22"/>
      <c r="K3462" s="15">
        <f t="shared" si="4"/>
        <v>20973696.05</v>
      </c>
      <c r="L3462" s="45"/>
      <c r="M3462" s="6"/>
    </row>
    <row r="3463" ht="15.75" customHeight="1">
      <c r="A3463" s="162">
        <v>46156.0</v>
      </c>
      <c r="B3463" s="50"/>
      <c r="C3463" s="31" t="s">
        <v>2221</v>
      </c>
      <c r="D3463" s="32" t="s">
        <v>99</v>
      </c>
      <c r="E3463" s="31" t="s">
        <v>3745</v>
      </c>
      <c r="F3463" s="139">
        <v>46168.0</v>
      </c>
      <c r="G3463" s="54">
        <v>1.522758015E7</v>
      </c>
      <c r="H3463" s="14">
        <f t="shared" si="10"/>
        <v>3197791.832</v>
      </c>
      <c r="I3463" s="22">
        <v>456827.4</v>
      </c>
      <c r="J3463" s="22"/>
      <c r="K3463" s="15">
        <f t="shared" si="4"/>
        <v>18882199.38</v>
      </c>
      <c r="L3463" s="45"/>
      <c r="M3463" s="6"/>
    </row>
    <row r="3464" ht="15.75" customHeight="1">
      <c r="A3464" s="218">
        <v>46156.0</v>
      </c>
      <c r="B3464" s="56"/>
      <c r="C3464" s="57" t="s">
        <v>2221</v>
      </c>
      <c r="D3464" s="58" t="s">
        <v>99</v>
      </c>
      <c r="E3464" s="57" t="s">
        <v>3746</v>
      </c>
      <c r="F3464" s="136">
        <v>46168.0</v>
      </c>
      <c r="G3464" s="155">
        <v>1.935866012E7</v>
      </c>
      <c r="H3464" s="9">
        <f t="shared" si="10"/>
        <v>4065318.625</v>
      </c>
      <c r="I3464" s="44">
        <v>462030.18</v>
      </c>
      <c r="J3464" s="44"/>
      <c r="K3464" s="10">
        <f t="shared" si="4"/>
        <v>23886008.93</v>
      </c>
      <c r="L3464" s="61"/>
      <c r="M3464" s="62"/>
    </row>
    <row r="3465" ht="15.75" customHeight="1">
      <c r="A3465" s="162">
        <v>46157.0</v>
      </c>
      <c r="B3465" s="50"/>
      <c r="C3465" s="31" t="s">
        <v>973</v>
      </c>
      <c r="D3465" s="32" t="s">
        <v>99</v>
      </c>
      <c r="E3465" s="32" t="s">
        <v>3747</v>
      </c>
      <c r="F3465" s="139">
        <v>46168.0</v>
      </c>
      <c r="G3465" s="54">
        <v>1.332273352E7</v>
      </c>
      <c r="H3465" s="14">
        <f t="shared" si="10"/>
        <v>2797774.039</v>
      </c>
      <c r="I3465" s="22">
        <v>399682.01</v>
      </c>
      <c r="J3465" s="22">
        <v>93259.13</v>
      </c>
      <c r="K3465" s="15">
        <f t="shared" si="4"/>
        <v>16613448.7</v>
      </c>
      <c r="L3465" s="45"/>
      <c r="M3465" s="6"/>
    </row>
    <row r="3466" ht="15.75" customHeight="1">
      <c r="A3466" s="162">
        <v>46157.0</v>
      </c>
      <c r="B3466" s="50"/>
      <c r="C3466" s="31" t="s">
        <v>973</v>
      </c>
      <c r="D3466" s="32" t="s">
        <v>99</v>
      </c>
      <c r="E3466" s="32" t="s">
        <v>3748</v>
      </c>
      <c r="F3466" s="139">
        <v>46168.0</v>
      </c>
      <c r="G3466" s="54">
        <v>1.432265326E7</v>
      </c>
      <c r="H3466" s="14">
        <f t="shared" si="10"/>
        <v>3007757.185</v>
      </c>
      <c r="I3466" s="22">
        <v>429679.6</v>
      </c>
      <c r="J3466" s="22">
        <v>100258.57</v>
      </c>
      <c r="K3466" s="15">
        <f t="shared" si="4"/>
        <v>17860348.61</v>
      </c>
      <c r="L3466" s="45"/>
      <c r="M3466" s="6"/>
    </row>
    <row r="3467" ht="15.75" customHeight="1">
      <c r="A3467" s="162">
        <v>46157.0</v>
      </c>
      <c r="B3467" s="50"/>
      <c r="C3467" s="31" t="s">
        <v>973</v>
      </c>
      <c r="D3467" s="32" t="s">
        <v>99</v>
      </c>
      <c r="E3467" s="32" t="s">
        <v>3749</v>
      </c>
      <c r="F3467" s="139">
        <v>46168.0</v>
      </c>
      <c r="G3467" s="54">
        <v>2.333533312E7</v>
      </c>
      <c r="H3467" s="14">
        <f t="shared" si="10"/>
        <v>4900419.955</v>
      </c>
      <c r="I3467" s="22">
        <v>700059.99</v>
      </c>
      <c r="J3467" s="22">
        <v>163347.33</v>
      </c>
      <c r="K3467" s="15">
        <f t="shared" si="4"/>
        <v>29099160.4</v>
      </c>
      <c r="L3467" s="45"/>
      <c r="M3467" s="6"/>
    </row>
    <row r="3468" ht="15.75" customHeight="1">
      <c r="A3468" s="162">
        <v>46157.0</v>
      </c>
      <c r="B3468" s="50"/>
      <c r="C3468" s="31" t="s">
        <v>973</v>
      </c>
      <c r="D3468" s="32" t="s">
        <v>99</v>
      </c>
      <c r="E3468" s="32" t="s">
        <v>3750</v>
      </c>
      <c r="F3468" s="139">
        <v>46168.0</v>
      </c>
      <c r="G3468" s="54">
        <v>3.144363385E7</v>
      </c>
      <c r="H3468" s="14">
        <f t="shared" si="10"/>
        <v>6603163.109</v>
      </c>
      <c r="I3468" s="22">
        <v>943309.02</v>
      </c>
      <c r="J3468" s="22">
        <v>220105.44</v>
      </c>
      <c r="K3468" s="15">
        <f t="shared" si="4"/>
        <v>39210211.42</v>
      </c>
      <c r="L3468" s="45"/>
      <c r="M3468" s="6"/>
    </row>
    <row r="3469" ht="15.75" customHeight="1">
      <c r="A3469" s="162">
        <v>46157.0</v>
      </c>
      <c r="B3469" s="50"/>
      <c r="C3469" s="31" t="s">
        <v>973</v>
      </c>
      <c r="D3469" s="32" t="s">
        <v>99</v>
      </c>
      <c r="E3469" s="32" t="s">
        <v>3751</v>
      </c>
      <c r="F3469" s="139">
        <v>46168.0</v>
      </c>
      <c r="G3469" s="54">
        <v>2.844363321E7</v>
      </c>
      <c r="H3469" s="14">
        <f t="shared" si="10"/>
        <v>5973162.974</v>
      </c>
      <c r="I3469" s="22">
        <v>853309.0</v>
      </c>
      <c r="J3469" s="22">
        <v>199105.43</v>
      </c>
      <c r="K3469" s="15">
        <f t="shared" si="4"/>
        <v>35469210.61</v>
      </c>
      <c r="L3469" s="45"/>
      <c r="M3469" s="6"/>
    </row>
    <row r="3470" ht="15.75" customHeight="1">
      <c r="A3470" s="162">
        <v>46157.0</v>
      </c>
      <c r="B3470" s="50"/>
      <c r="C3470" s="31" t="s">
        <v>973</v>
      </c>
      <c r="D3470" s="32" t="s">
        <v>99</v>
      </c>
      <c r="E3470" s="32" t="s">
        <v>3752</v>
      </c>
      <c r="F3470" s="139">
        <v>46168.0</v>
      </c>
      <c r="G3470" s="54">
        <v>1.723363314E7</v>
      </c>
      <c r="H3470" s="14">
        <f t="shared" si="10"/>
        <v>3619062.959</v>
      </c>
      <c r="I3470" s="22">
        <v>517008.99</v>
      </c>
      <c r="J3470" s="22">
        <v>120635.43</v>
      </c>
      <c r="K3470" s="15">
        <f t="shared" si="4"/>
        <v>21490340.52</v>
      </c>
      <c r="L3470" s="45"/>
      <c r="M3470" s="6"/>
    </row>
    <row r="3471" ht="15.75" customHeight="1">
      <c r="A3471" s="162">
        <v>46157.0</v>
      </c>
      <c r="B3471" s="50"/>
      <c r="C3471" s="31" t="s">
        <v>973</v>
      </c>
      <c r="D3471" s="32" t="s">
        <v>99</v>
      </c>
      <c r="E3471" s="32" t="s">
        <v>3753</v>
      </c>
      <c r="F3471" s="139">
        <v>46168.0</v>
      </c>
      <c r="G3471" s="54">
        <v>9333733.23</v>
      </c>
      <c r="H3471" s="14">
        <f t="shared" si="10"/>
        <v>1960083.978</v>
      </c>
      <c r="I3471" s="22">
        <v>280012.0</v>
      </c>
      <c r="J3471" s="22">
        <v>65336.13</v>
      </c>
      <c r="K3471" s="15">
        <f t="shared" si="4"/>
        <v>11639165.34</v>
      </c>
      <c r="L3471" s="45"/>
      <c r="M3471" s="6"/>
    </row>
    <row r="3472" ht="15.75" customHeight="1">
      <c r="A3472" s="162">
        <v>46157.0</v>
      </c>
      <c r="B3472" s="50"/>
      <c r="C3472" s="31" t="s">
        <v>973</v>
      </c>
      <c r="D3472" s="32" t="s">
        <v>99</v>
      </c>
      <c r="E3472" s="32" t="s">
        <v>3754</v>
      </c>
      <c r="F3472" s="139">
        <v>46168.0</v>
      </c>
      <c r="G3472" s="54">
        <v>1.293337336E7</v>
      </c>
      <c r="H3472" s="14">
        <f t="shared" si="10"/>
        <v>2716008.406</v>
      </c>
      <c r="I3472" s="22">
        <v>388001.2</v>
      </c>
      <c r="J3472" s="22">
        <v>90533.61</v>
      </c>
      <c r="K3472" s="15">
        <f t="shared" si="4"/>
        <v>16127916.58</v>
      </c>
      <c r="L3472" s="45"/>
      <c r="M3472" s="6"/>
    </row>
    <row r="3473" ht="15.75" customHeight="1">
      <c r="A3473" s="162">
        <v>46157.0</v>
      </c>
      <c r="B3473" s="50"/>
      <c r="C3473" s="31" t="s">
        <v>2334</v>
      </c>
      <c r="D3473" s="32" t="s">
        <v>99</v>
      </c>
      <c r="E3473" s="31" t="s">
        <v>3755</v>
      </c>
      <c r="F3473" s="139">
        <v>46168.0</v>
      </c>
      <c r="G3473" s="54">
        <v>3564048.05</v>
      </c>
      <c r="H3473" s="14">
        <f t="shared" si="10"/>
        <v>748450.0905</v>
      </c>
      <c r="I3473" s="22"/>
      <c r="J3473" s="22"/>
      <c r="K3473" s="15">
        <f t="shared" si="4"/>
        <v>4312498.141</v>
      </c>
      <c r="L3473" s="45"/>
      <c r="M3473" s="6"/>
    </row>
    <row r="3474" ht="15.75" customHeight="1">
      <c r="A3474" s="162">
        <v>46157.0</v>
      </c>
      <c r="B3474" s="50"/>
      <c r="C3474" s="31" t="s">
        <v>2334</v>
      </c>
      <c r="D3474" s="32" t="s">
        <v>99</v>
      </c>
      <c r="E3474" s="31" t="s">
        <v>3756</v>
      </c>
      <c r="F3474" s="139">
        <v>46168.0</v>
      </c>
      <c r="G3474" s="54">
        <v>3376989.05</v>
      </c>
      <c r="H3474" s="14">
        <f t="shared" si="10"/>
        <v>709167.7005</v>
      </c>
      <c r="I3474" s="22"/>
      <c r="J3474" s="22"/>
      <c r="K3474" s="15">
        <f t="shared" si="4"/>
        <v>4086156.751</v>
      </c>
      <c r="L3474" s="45"/>
      <c r="M3474" s="6"/>
    </row>
    <row r="3475" ht="15.75" customHeight="1">
      <c r="A3475" s="162">
        <v>46157.0</v>
      </c>
      <c r="B3475" s="50"/>
      <c r="C3475" s="31" t="s">
        <v>2334</v>
      </c>
      <c r="D3475" s="32" t="s">
        <v>99</v>
      </c>
      <c r="E3475" s="31" t="s">
        <v>3757</v>
      </c>
      <c r="F3475" s="139">
        <v>46168.0</v>
      </c>
      <c r="G3475" s="54">
        <v>2890331.05</v>
      </c>
      <c r="H3475" s="14">
        <f t="shared" si="10"/>
        <v>606969.5205</v>
      </c>
      <c r="I3475" s="22"/>
      <c r="J3475" s="22"/>
      <c r="K3475" s="15">
        <f t="shared" si="4"/>
        <v>3497300.571</v>
      </c>
      <c r="L3475" s="45"/>
      <c r="M3475" s="6"/>
    </row>
    <row r="3476" ht="15.75" customHeight="1">
      <c r="A3476" s="162">
        <v>46157.0</v>
      </c>
      <c r="B3476" s="50"/>
      <c r="C3476" s="31" t="s">
        <v>2334</v>
      </c>
      <c r="D3476" s="32" t="s">
        <v>99</v>
      </c>
      <c r="E3476" s="31" t="s">
        <v>3758</v>
      </c>
      <c r="F3476" s="139">
        <v>46168.0</v>
      </c>
      <c r="G3476" s="54">
        <v>2109774.05</v>
      </c>
      <c r="H3476" s="14">
        <f t="shared" si="10"/>
        <v>443052.5505</v>
      </c>
      <c r="I3476" s="22"/>
      <c r="J3476" s="22"/>
      <c r="K3476" s="15">
        <f t="shared" si="4"/>
        <v>2552826.601</v>
      </c>
      <c r="L3476" s="45"/>
      <c r="M3476" s="6"/>
    </row>
    <row r="3477" ht="15.75" customHeight="1">
      <c r="A3477" s="162">
        <v>46157.0</v>
      </c>
      <c r="B3477" s="50"/>
      <c r="C3477" s="31" t="s">
        <v>1285</v>
      </c>
      <c r="D3477" s="32" t="s">
        <v>99</v>
      </c>
      <c r="E3477" s="31" t="s">
        <v>3759</v>
      </c>
      <c r="F3477" s="139">
        <v>46168.0</v>
      </c>
      <c r="G3477" s="54">
        <v>4013570.24</v>
      </c>
      <c r="H3477" s="14">
        <f t="shared" si="10"/>
        <v>842849.7504</v>
      </c>
      <c r="I3477" s="22"/>
      <c r="J3477" s="22"/>
      <c r="K3477" s="15">
        <f t="shared" si="4"/>
        <v>4856419.99</v>
      </c>
      <c r="L3477" s="45"/>
      <c r="M3477" s="6"/>
    </row>
    <row r="3478" ht="15.75" customHeight="1">
      <c r="A3478" s="162">
        <v>46158.0</v>
      </c>
      <c r="B3478" s="50"/>
      <c r="C3478" s="32" t="s">
        <v>3760</v>
      </c>
      <c r="D3478" s="32" t="s">
        <v>99</v>
      </c>
      <c r="E3478" s="31" t="s">
        <v>3761</v>
      </c>
      <c r="F3478" s="139">
        <v>46168.0</v>
      </c>
      <c r="G3478" s="54">
        <v>3.112157052E7</v>
      </c>
      <c r="H3478" s="14">
        <f t="shared" si="10"/>
        <v>6535529.809</v>
      </c>
      <c r="I3478" s="22"/>
      <c r="J3478" s="22"/>
      <c r="K3478" s="15">
        <f t="shared" si="4"/>
        <v>37657100.33</v>
      </c>
      <c r="L3478" s="45"/>
      <c r="M3478" s="6"/>
    </row>
    <row r="3479" ht="15.75" customHeight="1">
      <c r="A3479" s="162">
        <v>46160.0</v>
      </c>
      <c r="B3479" s="50"/>
      <c r="C3479" s="31" t="s">
        <v>3385</v>
      </c>
      <c r="D3479" s="32" t="s">
        <v>15</v>
      </c>
      <c r="E3479" s="31" t="s">
        <v>3762</v>
      </c>
      <c r="F3479" s="139">
        <v>46168.0</v>
      </c>
      <c r="G3479" s="54">
        <v>4206800.15</v>
      </c>
      <c r="H3479" s="14">
        <f t="shared" si="10"/>
        <v>883428.0315</v>
      </c>
      <c r="I3479" s="22"/>
      <c r="J3479" s="22"/>
      <c r="K3479" s="15">
        <f t="shared" si="4"/>
        <v>5090228.182</v>
      </c>
      <c r="L3479" s="45"/>
      <c r="M3479" s="6"/>
    </row>
    <row r="3480" ht="15.75" customHeight="1">
      <c r="A3480" s="162">
        <v>46160.0</v>
      </c>
      <c r="B3480" s="50"/>
      <c r="C3480" s="31" t="s">
        <v>64</v>
      </c>
      <c r="D3480" s="32" t="s">
        <v>99</v>
      </c>
      <c r="E3480" s="31" t="s">
        <v>3763</v>
      </c>
      <c r="F3480" s="139">
        <v>46168.0</v>
      </c>
      <c r="G3480" s="54">
        <v>1.052249052E7</v>
      </c>
      <c r="H3480" s="14">
        <f t="shared" si="10"/>
        <v>2209723.009</v>
      </c>
      <c r="I3480" s="22">
        <v>315674.72</v>
      </c>
      <c r="J3480" s="22"/>
      <c r="K3480" s="15">
        <f t="shared" si="4"/>
        <v>13047888.25</v>
      </c>
      <c r="L3480" s="45"/>
      <c r="M3480" s="6"/>
    </row>
    <row r="3481" ht="15.75" customHeight="1">
      <c r="A3481" s="162">
        <v>46160.0</v>
      </c>
      <c r="B3481" s="50"/>
      <c r="C3481" s="31" t="s">
        <v>64</v>
      </c>
      <c r="D3481" s="32" t="s">
        <v>15</v>
      </c>
      <c r="E3481" s="31" t="s">
        <v>3764</v>
      </c>
      <c r="F3481" s="139">
        <v>46168.0</v>
      </c>
      <c r="G3481" s="54">
        <v>1.251846015E7</v>
      </c>
      <c r="H3481" s="14">
        <f t="shared" si="10"/>
        <v>2628876.632</v>
      </c>
      <c r="I3481" s="22"/>
      <c r="J3481" s="22"/>
      <c r="K3481" s="15">
        <f t="shared" si="4"/>
        <v>15147336.78</v>
      </c>
      <c r="L3481" s="45"/>
      <c r="M3481" s="6"/>
    </row>
    <row r="3482" ht="15.75" customHeight="1">
      <c r="A3482" s="218">
        <v>46161.0</v>
      </c>
      <c r="B3482" s="56"/>
      <c r="C3482" s="58" t="s">
        <v>3765</v>
      </c>
      <c r="D3482" s="58" t="s">
        <v>3605</v>
      </c>
      <c r="E3482" s="58" t="s">
        <v>3766</v>
      </c>
      <c r="F3482" s="136">
        <v>46168.0</v>
      </c>
      <c r="G3482" s="155">
        <v>2.481025012E7</v>
      </c>
      <c r="H3482" s="9">
        <f t="shared" si="10"/>
        <v>5210152.525</v>
      </c>
      <c r="I3482" s="44"/>
      <c r="J3482" s="44"/>
      <c r="K3482" s="10">
        <f t="shared" si="4"/>
        <v>30020402.65</v>
      </c>
      <c r="L3482" s="61"/>
      <c r="M3482" s="62"/>
    </row>
    <row r="3483" ht="15.75" customHeight="1">
      <c r="A3483" s="162">
        <v>46162.0</v>
      </c>
      <c r="B3483" s="50"/>
      <c r="C3483" s="31" t="s">
        <v>1136</v>
      </c>
      <c r="D3483" s="32" t="s">
        <v>99</v>
      </c>
      <c r="E3483" s="31" t="s">
        <v>3767</v>
      </c>
      <c r="F3483" s="139">
        <v>46168.0</v>
      </c>
      <c r="G3483" s="54">
        <v>3.779847136E7</v>
      </c>
      <c r="H3483" s="14">
        <f t="shared" si="10"/>
        <v>7937678.986</v>
      </c>
      <c r="I3483" s="22">
        <v>1133954.14</v>
      </c>
      <c r="J3483" s="22">
        <v>1889923.57</v>
      </c>
      <c r="K3483" s="15">
        <f t="shared" si="4"/>
        <v>48760028.06</v>
      </c>
      <c r="L3483" s="45"/>
      <c r="M3483" s="6"/>
    </row>
    <row r="3484" ht="15.75" customHeight="1">
      <c r="A3484" s="162">
        <v>46162.0</v>
      </c>
      <c r="B3484" s="50"/>
      <c r="C3484" s="31" t="s">
        <v>1136</v>
      </c>
      <c r="D3484" s="32" t="s">
        <v>99</v>
      </c>
      <c r="E3484" s="31" t="s">
        <v>3768</v>
      </c>
      <c r="F3484" s="139">
        <v>46168.0</v>
      </c>
      <c r="G3484" s="54">
        <v>3.779847136E7</v>
      </c>
      <c r="H3484" s="14">
        <f t="shared" si="10"/>
        <v>7937678.986</v>
      </c>
      <c r="I3484" s="22">
        <v>1133954.14</v>
      </c>
      <c r="J3484" s="22">
        <v>1889923.57</v>
      </c>
      <c r="K3484" s="15">
        <f t="shared" si="4"/>
        <v>48760028.06</v>
      </c>
      <c r="L3484" s="45"/>
      <c r="M3484" s="6"/>
    </row>
    <row r="3485" ht="15.75" customHeight="1">
      <c r="A3485" s="162">
        <v>46162.0</v>
      </c>
      <c r="B3485" s="50"/>
      <c r="C3485" s="31" t="s">
        <v>1136</v>
      </c>
      <c r="D3485" s="32" t="s">
        <v>99</v>
      </c>
      <c r="E3485" s="31" t="s">
        <v>3769</v>
      </c>
      <c r="F3485" s="139">
        <v>46168.0</v>
      </c>
      <c r="G3485" s="54">
        <v>3.780219755E7</v>
      </c>
      <c r="H3485" s="14">
        <f t="shared" si="10"/>
        <v>7938461.486</v>
      </c>
      <c r="I3485" s="22">
        <v>1134065.93</v>
      </c>
      <c r="J3485" s="22">
        <v>1890109.88</v>
      </c>
      <c r="K3485" s="15">
        <f t="shared" si="4"/>
        <v>48764834.85</v>
      </c>
      <c r="L3485" s="45"/>
      <c r="M3485" s="6"/>
    </row>
    <row r="3486" ht="15.75" customHeight="1">
      <c r="A3486" s="162">
        <v>46162.0</v>
      </c>
      <c r="B3486" s="50"/>
      <c r="C3486" s="31" t="s">
        <v>1136</v>
      </c>
      <c r="D3486" s="32" t="s">
        <v>99</v>
      </c>
      <c r="E3486" s="31" t="s">
        <v>3770</v>
      </c>
      <c r="F3486" s="139">
        <v>46168.0</v>
      </c>
      <c r="G3486" s="54">
        <v>3.780219755E7</v>
      </c>
      <c r="H3486" s="14">
        <f t="shared" si="10"/>
        <v>7938461.486</v>
      </c>
      <c r="I3486" s="22">
        <v>1134065.93</v>
      </c>
      <c r="J3486" s="22">
        <v>1890109.88</v>
      </c>
      <c r="K3486" s="15">
        <f t="shared" si="4"/>
        <v>48764834.85</v>
      </c>
      <c r="L3486" s="45"/>
      <c r="M3486" s="6"/>
    </row>
    <row r="3487" ht="15.75" customHeight="1">
      <c r="A3487" s="162">
        <v>46162.0</v>
      </c>
      <c r="B3487" s="50"/>
      <c r="C3487" s="31" t="s">
        <v>1283</v>
      </c>
      <c r="D3487" s="32" t="s">
        <v>99</v>
      </c>
      <c r="E3487" s="31" t="s">
        <v>3771</v>
      </c>
      <c r="F3487" s="139">
        <v>46168.0</v>
      </c>
      <c r="G3487" s="54">
        <v>1.700123647E7</v>
      </c>
      <c r="H3487" s="14">
        <f t="shared" si="10"/>
        <v>3570259.659</v>
      </c>
      <c r="I3487" s="22">
        <v>510037.09</v>
      </c>
      <c r="J3487" s="22">
        <v>85006.18</v>
      </c>
      <c r="K3487" s="15">
        <f t="shared" si="4"/>
        <v>21166539.4</v>
      </c>
      <c r="L3487" s="45"/>
      <c r="M3487" s="6"/>
    </row>
    <row r="3488" ht="15.75" customHeight="1">
      <c r="A3488" s="162">
        <v>46162.0</v>
      </c>
      <c r="B3488" s="50"/>
      <c r="C3488" s="31" t="s">
        <v>1281</v>
      </c>
      <c r="D3488" s="32" t="s">
        <v>99</v>
      </c>
      <c r="E3488" s="31" t="s">
        <v>3772</v>
      </c>
      <c r="F3488" s="139">
        <v>46168.0</v>
      </c>
      <c r="G3488" s="54">
        <v>7162534.58</v>
      </c>
      <c r="H3488" s="14">
        <f t="shared" si="10"/>
        <v>1504132.262</v>
      </c>
      <c r="I3488" s="22">
        <v>214876.04</v>
      </c>
      <c r="J3488" s="22"/>
      <c r="K3488" s="15">
        <f t="shared" si="4"/>
        <v>8881542.882</v>
      </c>
      <c r="L3488" s="45"/>
      <c r="M3488" s="6"/>
    </row>
    <row r="3489" ht="15.75" customHeight="1">
      <c r="A3489" s="162">
        <v>46162.0</v>
      </c>
      <c r="B3489" s="50"/>
      <c r="C3489" s="31" t="s">
        <v>1279</v>
      </c>
      <c r="D3489" s="32" t="s">
        <v>99</v>
      </c>
      <c r="E3489" s="31" t="s">
        <v>3773</v>
      </c>
      <c r="F3489" s="139">
        <v>46168.0</v>
      </c>
      <c r="G3489" s="54">
        <v>4.000175462E7</v>
      </c>
      <c r="H3489" s="14">
        <f t="shared" si="10"/>
        <v>8400368.47</v>
      </c>
      <c r="I3489" s="22">
        <v>1200052.64</v>
      </c>
      <c r="J3489" s="22"/>
      <c r="K3489" s="15">
        <f t="shared" si="4"/>
        <v>49602175.73</v>
      </c>
      <c r="L3489" s="45"/>
      <c r="M3489" s="6"/>
    </row>
    <row r="3490" ht="15.75" customHeight="1">
      <c r="A3490" s="162">
        <v>46162.0</v>
      </c>
      <c r="B3490" s="50"/>
      <c r="C3490" s="31" t="s">
        <v>1277</v>
      </c>
      <c r="D3490" s="32" t="s">
        <v>99</v>
      </c>
      <c r="E3490" s="31" t="s">
        <v>3774</v>
      </c>
      <c r="F3490" s="139">
        <v>46168.0</v>
      </c>
      <c r="G3490" s="54">
        <v>1.861983526E7</v>
      </c>
      <c r="H3490" s="14">
        <f t="shared" si="10"/>
        <v>3910165.405</v>
      </c>
      <c r="I3490" s="22">
        <v>558595.06</v>
      </c>
      <c r="J3490" s="22"/>
      <c r="K3490" s="15">
        <f t="shared" si="4"/>
        <v>23088595.72</v>
      </c>
      <c r="L3490" s="45"/>
      <c r="M3490" s="6"/>
    </row>
    <row r="3491" ht="15.75" customHeight="1">
      <c r="A3491" s="162">
        <v>46162.0</v>
      </c>
      <c r="B3491" s="50"/>
      <c r="C3491" s="31" t="s">
        <v>1312</v>
      </c>
      <c r="D3491" s="32" t="s">
        <v>99</v>
      </c>
      <c r="E3491" s="31" t="s">
        <v>3775</v>
      </c>
      <c r="F3491" s="139">
        <v>46168.0</v>
      </c>
      <c r="G3491" s="54">
        <v>6376027.44</v>
      </c>
      <c r="H3491" s="14">
        <f t="shared" si="10"/>
        <v>1338965.762</v>
      </c>
      <c r="I3491" s="22">
        <v>191280.82</v>
      </c>
      <c r="J3491" s="22"/>
      <c r="K3491" s="15">
        <f t="shared" si="4"/>
        <v>7906274.022</v>
      </c>
      <c r="L3491" s="45"/>
      <c r="M3491" s="6"/>
    </row>
    <row r="3492" ht="15.75" customHeight="1">
      <c r="A3492" s="162">
        <v>46162.0</v>
      </c>
      <c r="B3492" s="50"/>
      <c r="C3492" s="31" t="s">
        <v>1136</v>
      </c>
      <c r="D3492" s="32" t="s">
        <v>15</v>
      </c>
      <c r="E3492" s="31" t="s">
        <v>3776</v>
      </c>
      <c r="F3492" s="139">
        <v>46168.0</v>
      </c>
      <c r="G3492" s="54">
        <v>3.72212084E7</v>
      </c>
      <c r="H3492" s="14">
        <f t="shared" si="10"/>
        <v>7816453.764</v>
      </c>
      <c r="I3492" s="22">
        <v>1116636.25</v>
      </c>
      <c r="J3492" s="22">
        <v>1861060.42</v>
      </c>
      <c r="K3492" s="15">
        <f t="shared" si="4"/>
        <v>48015358.83</v>
      </c>
      <c r="L3492" s="45"/>
      <c r="M3492" s="6"/>
    </row>
    <row r="3493" ht="15.75" customHeight="1">
      <c r="A3493" s="162">
        <v>46162.0</v>
      </c>
      <c r="B3493" s="50"/>
      <c r="C3493" s="31" t="s">
        <v>1136</v>
      </c>
      <c r="D3493" s="32" t="s">
        <v>15</v>
      </c>
      <c r="E3493" s="31" t="s">
        <v>3777</v>
      </c>
      <c r="F3493" s="139">
        <v>46168.0</v>
      </c>
      <c r="G3493" s="54">
        <v>3.72212084E7</v>
      </c>
      <c r="H3493" s="14">
        <f t="shared" si="10"/>
        <v>7816453.764</v>
      </c>
      <c r="I3493" s="22">
        <v>1116636.25</v>
      </c>
      <c r="J3493" s="22">
        <v>1861060.42</v>
      </c>
      <c r="K3493" s="15">
        <f t="shared" si="4"/>
        <v>48015358.83</v>
      </c>
      <c r="L3493" s="45"/>
      <c r="M3493" s="6"/>
    </row>
    <row r="3494" ht="15.75" customHeight="1">
      <c r="A3494" s="162">
        <v>46162.0</v>
      </c>
      <c r="B3494" s="50"/>
      <c r="C3494" s="31" t="s">
        <v>1136</v>
      </c>
      <c r="D3494" s="32" t="s">
        <v>15</v>
      </c>
      <c r="E3494" s="31" t="s">
        <v>3778</v>
      </c>
      <c r="F3494" s="139">
        <v>46168.0</v>
      </c>
      <c r="G3494" s="54">
        <v>3.72212084E7</v>
      </c>
      <c r="H3494" s="14">
        <f t="shared" si="10"/>
        <v>7816453.764</v>
      </c>
      <c r="I3494" s="22">
        <v>1116636.25</v>
      </c>
      <c r="J3494" s="22">
        <v>1861060.42</v>
      </c>
      <c r="K3494" s="15">
        <f t="shared" si="4"/>
        <v>48015358.83</v>
      </c>
      <c r="L3494" s="45"/>
      <c r="M3494" s="6"/>
    </row>
    <row r="3495" ht="15.75" customHeight="1">
      <c r="A3495" s="162">
        <v>46162.0</v>
      </c>
      <c r="B3495" s="50"/>
      <c r="C3495" s="31" t="s">
        <v>1136</v>
      </c>
      <c r="D3495" s="32" t="s">
        <v>15</v>
      </c>
      <c r="E3495" s="31" t="s">
        <v>3779</v>
      </c>
      <c r="F3495" s="139">
        <v>46168.0</v>
      </c>
      <c r="G3495" s="54">
        <v>3.72212084E7</v>
      </c>
      <c r="H3495" s="14">
        <f t="shared" si="10"/>
        <v>7816453.764</v>
      </c>
      <c r="I3495" s="22">
        <v>1116636.25</v>
      </c>
      <c r="J3495" s="22">
        <v>1861060.42</v>
      </c>
      <c r="K3495" s="15">
        <f t="shared" si="4"/>
        <v>48015358.83</v>
      </c>
      <c r="L3495" s="45"/>
      <c r="M3495" s="6"/>
    </row>
    <row r="3496" ht="15.75" customHeight="1">
      <c r="A3496" s="162">
        <v>46162.0</v>
      </c>
      <c r="B3496" s="50"/>
      <c r="C3496" s="31" t="s">
        <v>1312</v>
      </c>
      <c r="D3496" s="32" t="s">
        <v>15</v>
      </c>
      <c r="E3496" s="31" t="s">
        <v>3780</v>
      </c>
      <c r="F3496" s="139">
        <v>46168.0</v>
      </c>
      <c r="G3496" s="54">
        <v>2724882.05</v>
      </c>
      <c r="H3496" s="14">
        <f t="shared" si="10"/>
        <v>572225.2305</v>
      </c>
      <c r="I3496" s="22">
        <v>81746.46</v>
      </c>
      <c r="J3496" s="22"/>
      <c r="K3496" s="15">
        <f t="shared" si="4"/>
        <v>3378853.741</v>
      </c>
      <c r="L3496" s="45"/>
      <c r="M3496" s="6"/>
    </row>
    <row r="3497" ht="15.75" customHeight="1">
      <c r="A3497" s="162">
        <v>46162.0</v>
      </c>
      <c r="B3497" s="50"/>
      <c r="C3497" s="31" t="s">
        <v>1277</v>
      </c>
      <c r="D3497" s="32" t="s">
        <v>15</v>
      </c>
      <c r="E3497" s="31" t="s">
        <v>3781</v>
      </c>
      <c r="F3497" s="139">
        <v>46168.0</v>
      </c>
      <c r="G3497" s="54">
        <v>7000754.23</v>
      </c>
      <c r="H3497" s="14">
        <f t="shared" si="10"/>
        <v>1470158.388</v>
      </c>
      <c r="I3497" s="22">
        <v>210022.63</v>
      </c>
      <c r="J3497" s="22"/>
      <c r="K3497" s="15">
        <f t="shared" si="4"/>
        <v>8680935.248</v>
      </c>
      <c r="L3497" s="45"/>
      <c r="M3497" s="6"/>
    </row>
    <row r="3498" ht="15.75" customHeight="1">
      <c r="A3498" s="162">
        <v>46162.0</v>
      </c>
      <c r="B3498" s="50"/>
      <c r="C3498" s="31" t="s">
        <v>1279</v>
      </c>
      <c r="D3498" s="32" t="s">
        <v>15</v>
      </c>
      <c r="E3498" s="31" t="s">
        <v>3782</v>
      </c>
      <c r="F3498" s="139">
        <v>46168.0</v>
      </c>
      <c r="G3498" s="54">
        <v>1.537201232E7</v>
      </c>
      <c r="H3498" s="14">
        <f t="shared" si="10"/>
        <v>3228122.587</v>
      </c>
      <c r="I3498" s="22">
        <v>461160.37</v>
      </c>
      <c r="J3498" s="22"/>
      <c r="K3498" s="15">
        <f t="shared" si="4"/>
        <v>19061295.28</v>
      </c>
      <c r="L3498" s="45"/>
      <c r="M3498" s="6"/>
    </row>
    <row r="3499" ht="15.75" customHeight="1">
      <c r="A3499" s="162">
        <v>46162.0</v>
      </c>
      <c r="B3499" s="50"/>
      <c r="C3499" s="31" t="s">
        <v>1281</v>
      </c>
      <c r="D3499" s="32" t="s">
        <v>15</v>
      </c>
      <c r="E3499" s="31" t="s">
        <v>3783</v>
      </c>
      <c r="F3499" s="139">
        <v>46168.0</v>
      </c>
      <c r="G3499" s="54">
        <v>3581267.07</v>
      </c>
      <c r="H3499" s="14">
        <f t="shared" si="10"/>
        <v>752066.0847</v>
      </c>
      <c r="I3499" s="22">
        <v>107438.01</v>
      </c>
      <c r="J3499" s="22"/>
      <c r="K3499" s="15">
        <f t="shared" si="4"/>
        <v>4440771.165</v>
      </c>
      <c r="L3499" s="45"/>
      <c r="M3499" s="6"/>
    </row>
    <row r="3500" ht="15.75" customHeight="1">
      <c r="A3500" s="162">
        <v>46162.0</v>
      </c>
      <c r="B3500" s="50"/>
      <c r="C3500" s="31" t="s">
        <v>1283</v>
      </c>
      <c r="D3500" s="32" t="s">
        <v>15</v>
      </c>
      <c r="E3500" s="31" t="s">
        <v>3784</v>
      </c>
      <c r="F3500" s="139">
        <v>46168.0</v>
      </c>
      <c r="G3500" s="54">
        <v>9446280.55</v>
      </c>
      <c r="H3500" s="14">
        <f t="shared" si="10"/>
        <v>1983718.916</v>
      </c>
      <c r="I3500" s="22">
        <v>283388.42</v>
      </c>
      <c r="J3500" s="22">
        <v>47231.4</v>
      </c>
      <c r="K3500" s="15">
        <f t="shared" si="4"/>
        <v>11760619.29</v>
      </c>
      <c r="L3500" s="45"/>
      <c r="M3500" s="6"/>
    </row>
    <row r="3501" ht="15.75" customHeight="1">
      <c r="A3501" s="162">
        <v>46163.0</v>
      </c>
      <c r="B3501" s="50"/>
      <c r="C3501" s="32" t="s">
        <v>2346</v>
      </c>
      <c r="D3501" s="32" t="s">
        <v>3296</v>
      </c>
      <c r="E3501" s="32" t="s">
        <v>3785</v>
      </c>
      <c r="F3501" s="139">
        <v>46168.0</v>
      </c>
      <c r="G3501" s="54">
        <v>8210750.0</v>
      </c>
      <c r="H3501" s="14">
        <f t="shared" si="10"/>
        <v>1724257.5</v>
      </c>
      <c r="I3501" s="22"/>
      <c r="J3501" s="22"/>
      <c r="K3501" s="15">
        <f t="shared" si="4"/>
        <v>9935007.5</v>
      </c>
      <c r="L3501" s="45"/>
      <c r="M3501" s="6"/>
    </row>
    <row r="3502" ht="15.75" customHeight="1">
      <c r="A3502" s="162">
        <v>46163.0</v>
      </c>
      <c r="B3502" s="50"/>
      <c r="C3502" s="32" t="s">
        <v>2346</v>
      </c>
      <c r="D3502" s="32" t="s">
        <v>3296</v>
      </c>
      <c r="E3502" s="32" t="s">
        <v>3786</v>
      </c>
      <c r="F3502" s="139">
        <v>46168.0</v>
      </c>
      <c r="G3502" s="54">
        <v>1.259744E7</v>
      </c>
      <c r="H3502" s="14">
        <f t="shared" si="10"/>
        <v>2645462.4</v>
      </c>
      <c r="I3502" s="22"/>
      <c r="J3502" s="22"/>
      <c r="K3502" s="15">
        <f t="shared" si="4"/>
        <v>15242902.4</v>
      </c>
      <c r="L3502" s="45"/>
      <c r="M3502" s="6"/>
    </row>
    <row r="3503" ht="15.75" customHeight="1">
      <c r="A3503" s="162">
        <v>46163.0</v>
      </c>
      <c r="B3503" s="50"/>
      <c r="C3503" s="31" t="s">
        <v>2346</v>
      </c>
      <c r="D3503" s="32" t="s">
        <v>99</v>
      </c>
      <c r="E3503" s="32" t="s">
        <v>3787</v>
      </c>
      <c r="F3503" s="139">
        <v>46168.0</v>
      </c>
      <c r="G3503" s="54">
        <v>1.484473305E7</v>
      </c>
      <c r="H3503" s="14">
        <f t="shared" si="10"/>
        <v>3117393.941</v>
      </c>
      <c r="I3503" s="22">
        <v>445341.99</v>
      </c>
      <c r="J3503" s="22">
        <v>222671.0</v>
      </c>
      <c r="K3503" s="15">
        <f t="shared" si="4"/>
        <v>18630139.98</v>
      </c>
      <c r="L3503" s="45"/>
      <c r="M3503" s="6"/>
    </row>
    <row r="3504" ht="15.75" customHeight="1">
      <c r="A3504" s="162">
        <v>46163.0</v>
      </c>
      <c r="B3504" s="50"/>
      <c r="C3504" s="31" t="s">
        <v>2346</v>
      </c>
      <c r="D3504" s="32" t="s">
        <v>99</v>
      </c>
      <c r="E3504" s="32" t="s">
        <v>3788</v>
      </c>
      <c r="F3504" s="139">
        <v>46168.0</v>
      </c>
      <c r="G3504" s="54">
        <v>1.733653305E7</v>
      </c>
      <c r="H3504" s="14">
        <f t="shared" si="10"/>
        <v>3640671.941</v>
      </c>
      <c r="I3504" s="22">
        <v>520095.99</v>
      </c>
      <c r="J3504" s="22">
        <v>260048.0</v>
      </c>
      <c r="K3504" s="15">
        <f t="shared" si="4"/>
        <v>21757348.98</v>
      </c>
      <c r="L3504" s="45"/>
      <c r="M3504" s="6"/>
    </row>
    <row r="3505" ht="15.75" customHeight="1">
      <c r="A3505" s="162">
        <v>46163.0</v>
      </c>
      <c r="B3505" s="50"/>
      <c r="C3505" s="31" t="s">
        <v>2346</v>
      </c>
      <c r="D3505" s="32" t="s">
        <v>99</v>
      </c>
      <c r="E3505" s="32" t="s">
        <v>3789</v>
      </c>
      <c r="F3505" s="139">
        <v>46168.0</v>
      </c>
      <c r="G3505" s="54">
        <v>9113743.02</v>
      </c>
      <c r="H3505" s="14">
        <f t="shared" si="10"/>
        <v>1913886.034</v>
      </c>
      <c r="I3505" s="22">
        <v>273412.29</v>
      </c>
      <c r="J3505" s="22">
        <v>136706.15</v>
      </c>
      <c r="K3505" s="15">
        <f t="shared" si="4"/>
        <v>11437747.49</v>
      </c>
      <c r="L3505" s="45"/>
      <c r="M3505" s="6"/>
    </row>
    <row r="3506" ht="15.75" customHeight="1">
      <c r="A3506" s="162">
        <v>46163.0</v>
      </c>
      <c r="B3506" s="50"/>
      <c r="C3506" s="31" t="s">
        <v>2346</v>
      </c>
      <c r="D3506" s="32" t="s">
        <v>99</v>
      </c>
      <c r="E3506" s="32" t="s">
        <v>3790</v>
      </c>
      <c r="F3506" s="139">
        <v>46168.0</v>
      </c>
      <c r="G3506" s="54">
        <v>7333633.04</v>
      </c>
      <c r="H3506" s="14">
        <f t="shared" si="10"/>
        <v>1540062.938</v>
      </c>
      <c r="I3506" s="22">
        <v>220008.99</v>
      </c>
      <c r="J3506" s="22">
        <v>110004.5</v>
      </c>
      <c r="K3506" s="15">
        <f t="shared" si="4"/>
        <v>9203709.468</v>
      </c>
      <c r="L3506" s="45"/>
      <c r="M3506" s="6"/>
    </row>
    <row r="3507" ht="15.75" customHeight="1">
      <c r="A3507" s="162">
        <v>46163.0</v>
      </c>
      <c r="B3507" s="50"/>
      <c r="C3507" s="31" t="s">
        <v>2346</v>
      </c>
      <c r="D3507" s="32" t="s">
        <v>99</v>
      </c>
      <c r="E3507" s="32" t="s">
        <v>3791</v>
      </c>
      <c r="F3507" s="139">
        <v>46168.0</v>
      </c>
      <c r="G3507" s="54">
        <v>1.833363311E7</v>
      </c>
      <c r="H3507" s="14">
        <f t="shared" si="10"/>
        <v>3850062.953</v>
      </c>
      <c r="I3507" s="22">
        <v>550008.99</v>
      </c>
      <c r="J3507" s="22">
        <v>275004.5</v>
      </c>
      <c r="K3507" s="15">
        <f t="shared" si="4"/>
        <v>23008709.55</v>
      </c>
      <c r="L3507" s="45"/>
      <c r="M3507" s="6"/>
    </row>
    <row r="3508" ht="15.75" customHeight="1">
      <c r="A3508" s="162">
        <v>46163.0</v>
      </c>
      <c r="B3508" s="50"/>
      <c r="C3508" s="31" t="s">
        <v>2346</v>
      </c>
      <c r="D3508" s="32" t="s">
        <v>99</v>
      </c>
      <c r="E3508" s="32" t="s">
        <v>3792</v>
      </c>
      <c r="F3508" s="139">
        <v>46168.0</v>
      </c>
      <c r="G3508" s="54">
        <v>1.634463341E7</v>
      </c>
      <c r="H3508" s="14">
        <f t="shared" si="10"/>
        <v>3432373.016</v>
      </c>
      <c r="I3508" s="22">
        <v>490339.0</v>
      </c>
      <c r="J3508" s="22">
        <v>245169.5</v>
      </c>
      <c r="K3508" s="15">
        <f t="shared" si="4"/>
        <v>20512514.93</v>
      </c>
      <c r="L3508" s="45"/>
      <c r="M3508" s="6"/>
    </row>
    <row r="3509" ht="15.75" customHeight="1">
      <c r="A3509" s="162">
        <v>46163.0</v>
      </c>
      <c r="B3509" s="50"/>
      <c r="C3509" s="31" t="s">
        <v>2346</v>
      </c>
      <c r="D3509" s="32" t="s">
        <v>99</v>
      </c>
      <c r="E3509" s="32" t="s">
        <v>3793</v>
      </c>
      <c r="F3509" s="139">
        <v>46168.0</v>
      </c>
      <c r="G3509" s="54">
        <v>5334533.07</v>
      </c>
      <c r="H3509" s="14">
        <f t="shared" si="10"/>
        <v>1120251.945</v>
      </c>
      <c r="I3509" s="22"/>
      <c r="J3509" s="22"/>
      <c r="K3509" s="15">
        <f t="shared" si="4"/>
        <v>6454785.015</v>
      </c>
      <c r="L3509" s="45"/>
      <c r="M3509" s="6"/>
    </row>
    <row r="3510" ht="15.75" customHeight="1">
      <c r="A3510" s="162">
        <v>46163.0</v>
      </c>
      <c r="B3510" s="50"/>
      <c r="C3510" s="31" t="s">
        <v>2346</v>
      </c>
      <c r="D3510" s="32" t="s">
        <v>99</v>
      </c>
      <c r="E3510" s="32" t="s">
        <v>3794</v>
      </c>
      <c r="F3510" s="139">
        <v>46168.0</v>
      </c>
      <c r="G3510" s="54">
        <v>4822933.23</v>
      </c>
      <c r="H3510" s="14">
        <f t="shared" si="10"/>
        <v>1012815.978</v>
      </c>
      <c r="I3510" s="22"/>
      <c r="J3510" s="22">
        <v>72344.0</v>
      </c>
      <c r="K3510" s="15">
        <f t="shared" si="4"/>
        <v>5908093.208</v>
      </c>
      <c r="L3510" s="45"/>
      <c r="M3510" s="6"/>
    </row>
    <row r="3511" ht="15.75" customHeight="1">
      <c r="A3511" s="162">
        <v>46163.0</v>
      </c>
      <c r="B3511" s="50"/>
      <c r="C3511" s="31" t="s">
        <v>2346</v>
      </c>
      <c r="D3511" s="32" t="s">
        <v>99</v>
      </c>
      <c r="E3511" s="32" t="s">
        <v>3795</v>
      </c>
      <c r="F3511" s="139">
        <v>46168.0</v>
      </c>
      <c r="G3511" s="54">
        <v>7864626.41</v>
      </c>
      <c r="H3511" s="14">
        <f t="shared" si="10"/>
        <v>1651571.546</v>
      </c>
      <c r="I3511" s="22"/>
      <c r="J3511" s="22">
        <v>117969.4</v>
      </c>
      <c r="K3511" s="15">
        <f t="shared" si="4"/>
        <v>9634167.356</v>
      </c>
      <c r="L3511" s="45"/>
      <c r="M3511" s="6"/>
    </row>
    <row r="3512" ht="15.75" customHeight="1">
      <c r="A3512" s="162">
        <v>46163.0</v>
      </c>
      <c r="B3512" s="50"/>
      <c r="C3512" s="31" t="s">
        <v>2346</v>
      </c>
      <c r="D3512" s="32" t="s">
        <v>15</v>
      </c>
      <c r="E3512" s="31" t="s">
        <v>3796</v>
      </c>
      <c r="F3512" s="139">
        <v>46168.0</v>
      </c>
      <c r="G3512" s="54">
        <v>1.677336308E7</v>
      </c>
      <c r="H3512" s="14">
        <f t="shared" si="10"/>
        <v>3522406.247</v>
      </c>
      <c r="I3512" s="22">
        <v>503200.89</v>
      </c>
      <c r="J3512" s="22">
        <v>251600.45</v>
      </c>
      <c r="K3512" s="15">
        <f t="shared" si="4"/>
        <v>21050570.67</v>
      </c>
      <c r="L3512" s="45"/>
      <c r="M3512" s="6"/>
    </row>
    <row r="3513" ht="15.75" customHeight="1">
      <c r="A3513" s="162">
        <v>46163.0</v>
      </c>
      <c r="B3513" s="50"/>
      <c r="C3513" s="31" t="s">
        <v>2346</v>
      </c>
      <c r="D3513" s="32" t="s">
        <v>15</v>
      </c>
      <c r="E3513" s="31" t="s">
        <v>3797</v>
      </c>
      <c r="F3513" s="139">
        <v>46168.0</v>
      </c>
      <c r="G3513" s="54">
        <v>2.332267305E7</v>
      </c>
      <c r="H3513" s="14">
        <f t="shared" si="10"/>
        <v>4897761.341</v>
      </c>
      <c r="I3513" s="22">
        <v>699680.19</v>
      </c>
      <c r="J3513" s="22">
        <v>349840.1</v>
      </c>
      <c r="K3513" s="15">
        <f t="shared" si="4"/>
        <v>29269954.68</v>
      </c>
      <c r="L3513" s="45"/>
      <c r="M3513" s="6"/>
    </row>
    <row r="3514" ht="15.75" customHeight="1">
      <c r="A3514" s="162">
        <v>46163.0</v>
      </c>
      <c r="B3514" s="50"/>
      <c r="C3514" s="31" t="s">
        <v>2346</v>
      </c>
      <c r="D3514" s="32" t="s">
        <v>15</v>
      </c>
      <c r="E3514" s="31" t="s">
        <v>3798</v>
      </c>
      <c r="F3514" s="139">
        <v>46168.0</v>
      </c>
      <c r="G3514" s="54">
        <v>6978916.55</v>
      </c>
      <c r="H3514" s="14">
        <f t="shared" si="10"/>
        <v>1465572.476</v>
      </c>
      <c r="I3514" s="22"/>
      <c r="J3514" s="22"/>
      <c r="K3514" s="15">
        <f t="shared" si="4"/>
        <v>8444489.026</v>
      </c>
      <c r="L3514" s="45"/>
      <c r="M3514" s="6"/>
    </row>
    <row r="3515" ht="15.75" customHeight="1">
      <c r="A3515" s="162">
        <v>46163.0</v>
      </c>
      <c r="B3515" s="50"/>
      <c r="C3515" s="31" t="s">
        <v>2346</v>
      </c>
      <c r="D3515" s="32" t="s">
        <v>15</v>
      </c>
      <c r="E3515" s="31" t="s">
        <v>3799</v>
      </c>
      <c r="F3515" s="139">
        <v>46168.0</v>
      </c>
      <c r="G3515" s="54">
        <v>7233363.15</v>
      </c>
      <c r="H3515" s="14">
        <f t="shared" si="10"/>
        <v>1519006.262</v>
      </c>
      <c r="I3515" s="22">
        <v>217000.89</v>
      </c>
      <c r="J3515" s="22">
        <v>108500.45</v>
      </c>
      <c r="K3515" s="15">
        <f t="shared" si="4"/>
        <v>9077870.752</v>
      </c>
      <c r="L3515" s="45"/>
      <c r="M3515" s="6"/>
    </row>
    <row r="3516" ht="15.75" customHeight="1">
      <c r="A3516" s="162">
        <v>46163.0</v>
      </c>
      <c r="B3516" s="50"/>
      <c r="C3516" s="31" t="s">
        <v>2346</v>
      </c>
      <c r="D3516" s="32" t="s">
        <v>15</v>
      </c>
      <c r="E3516" s="31" t="s">
        <v>3800</v>
      </c>
      <c r="F3516" s="139">
        <v>46168.0</v>
      </c>
      <c r="G3516" s="54">
        <v>1.233374352E7</v>
      </c>
      <c r="H3516" s="14">
        <f t="shared" si="10"/>
        <v>2590086.139</v>
      </c>
      <c r="I3516" s="22">
        <v>370012.31</v>
      </c>
      <c r="J3516" s="22">
        <v>185006.15</v>
      </c>
      <c r="K3516" s="15">
        <f t="shared" si="4"/>
        <v>15478848.12</v>
      </c>
      <c r="L3516" s="45"/>
      <c r="M3516" s="6"/>
    </row>
    <row r="3517" ht="15.75" customHeight="1">
      <c r="A3517" s="162">
        <v>46163.0</v>
      </c>
      <c r="B3517" s="50"/>
      <c r="C3517" s="31" t="s">
        <v>2346</v>
      </c>
      <c r="D3517" s="32" t="s">
        <v>15</v>
      </c>
      <c r="E3517" s="31" t="s">
        <v>3801</v>
      </c>
      <c r="F3517" s="139">
        <v>46168.0</v>
      </c>
      <c r="G3517" s="54">
        <v>8443633.52</v>
      </c>
      <c r="H3517" s="14">
        <f t="shared" si="10"/>
        <v>1773163.039</v>
      </c>
      <c r="I3517" s="22">
        <v>253309.01</v>
      </c>
      <c r="J3517" s="22">
        <v>126654.5</v>
      </c>
      <c r="K3517" s="15">
        <f t="shared" si="4"/>
        <v>10596760.07</v>
      </c>
      <c r="L3517" s="45"/>
      <c r="M3517" s="6"/>
    </row>
    <row r="3518" ht="15.75" customHeight="1">
      <c r="A3518" s="162">
        <v>46163.0</v>
      </c>
      <c r="B3518" s="50"/>
      <c r="C3518" s="31" t="s">
        <v>2346</v>
      </c>
      <c r="D3518" s="32" t="s">
        <v>15</v>
      </c>
      <c r="E3518" s="31" t="s">
        <v>3802</v>
      </c>
      <c r="F3518" s="139">
        <v>46168.0</v>
      </c>
      <c r="G3518" s="54">
        <v>1.133723357E7</v>
      </c>
      <c r="H3518" s="14">
        <f t="shared" si="10"/>
        <v>2380819.05</v>
      </c>
      <c r="I3518" s="22">
        <v>340117.01</v>
      </c>
      <c r="J3518" s="22">
        <v>170058.5</v>
      </c>
      <c r="K3518" s="15">
        <f t="shared" si="4"/>
        <v>14228228.13</v>
      </c>
      <c r="L3518" s="45"/>
      <c r="M3518" s="6"/>
    </row>
    <row r="3519" ht="15.75" customHeight="1">
      <c r="A3519" s="162">
        <v>46163.0</v>
      </c>
      <c r="B3519" s="50"/>
      <c r="C3519" s="31" t="s">
        <v>2346</v>
      </c>
      <c r="D3519" s="32" t="s">
        <v>15</v>
      </c>
      <c r="E3519" s="31" t="s">
        <v>3803</v>
      </c>
      <c r="F3519" s="139">
        <v>46168.0</v>
      </c>
      <c r="G3519" s="54">
        <v>8333633.74</v>
      </c>
      <c r="H3519" s="14">
        <f t="shared" si="10"/>
        <v>1750063.085</v>
      </c>
      <c r="I3519" s="22"/>
      <c r="J3519" s="22">
        <v>125004.51</v>
      </c>
      <c r="K3519" s="15">
        <f t="shared" si="4"/>
        <v>10208701.34</v>
      </c>
      <c r="L3519" s="45"/>
      <c r="M3519" s="6"/>
    </row>
    <row r="3520" ht="15.75" customHeight="1">
      <c r="A3520" s="162">
        <v>46163.0</v>
      </c>
      <c r="B3520" s="50"/>
      <c r="C3520" s="31" t="s">
        <v>2346</v>
      </c>
      <c r="D3520" s="32" t="s">
        <v>15</v>
      </c>
      <c r="E3520" s="32" t="s">
        <v>3804</v>
      </c>
      <c r="F3520" s="139">
        <v>46168.0</v>
      </c>
      <c r="G3520" s="54">
        <v>5446334.56</v>
      </c>
      <c r="H3520" s="14">
        <f t="shared" si="10"/>
        <v>1143730.258</v>
      </c>
      <c r="I3520" s="22"/>
      <c r="J3520" s="22">
        <v>81695.02</v>
      </c>
      <c r="K3520" s="15">
        <f t="shared" si="4"/>
        <v>6671759.838</v>
      </c>
      <c r="L3520" s="45"/>
      <c r="M3520" s="6"/>
    </row>
    <row r="3521" ht="15.75" customHeight="1">
      <c r="A3521" s="162">
        <v>46163.0</v>
      </c>
      <c r="B3521" s="50"/>
      <c r="C3521" s="31" t="s">
        <v>171</v>
      </c>
      <c r="D3521" s="32" t="s">
        <v>15</v>
      </c>
      <c r="E3521" s="31" t="s">
        <v>3805</v>
      </c>
      <c r="F3521" s="139">
        <v>46168.0</v>
      </c>
      <c r="G3521" s="54">
        <v>2.564436322E7</v>
      </c>
      <c r="H3521" s="14">
        <f t="shared" si="10"/>
        <v>5385316.276</v>
      </c>
      <c r="I3521" s="22"/>
      <c r="J3521" s="22"/>
      <c r="K3521" s="15">
        <f t="shared" si="4"/>
        <v>31029679.5</v>
      </c>
      <c r="L3521" s="45"/>
      <c r="M3521" s="6"/>
    </row>
    <row r="3522" ht="15.75" customHeight="1">
      <c r="A3522" s="162">
        <v>46163.0</v>
      </c>
      <c r="B3522" s="50"/>
      <c r="C3522" s="31" t="s">
        <v>171</v>
      </c>
      <c r="D3522" s="32" t="s">
        <v>99</v>
      </c>
      <c r="E3522" s="31" t="s">
        <v>3806</v>
      </c>
      <c r="F3522" s="139">
        <v>46168.0</v>
      </c>
      <c r="G3522" s="54">
        <v>2.584337412E7</v>
      </c>
      <c r="H3522" s="14">
        <f t="shared" si="10"/>
        <v>5427108.565</v>
      </c>
      <c r="I3522" s="22"/>
      <c r="J3522" s="22"/>
      <c r="K3522" s="15">
        <f t="shared" si="4"/>
        <v>31270482.69</v>
      </c>
      <c r="L3522" s="45"/>
      <c r="M3522" s="6"/>
    </row>
    <row r="3523" ht="15.75" customHeight="1">
      <c r="A3523" s="162">
        <v>46163.0</v>
      </c>
      <c r="B3523" s="50"/>
      <c r="C3523" s="31" t="s">
        <v>1685</v>
      </c>
      <c r="D3523" s="32" t="s">
        <v>99</v>
      </c>
      <c r="E3523" s="31" t="s">
        <v>3807</v>
      </c>
      <c r="F3523" s="139">
        <v>46168.0</v>
      </c>
      <c r="G3523" s="54">
        <v>1.001246012E7</v>
      </c>
      <c r="H3523" s="14">
        <f t="shared" si="10"/>
        <v>2102616.625</v>
      </c>
      <c r="I3523" s="22">
        <v>300373.8</v>
      </c>
      <c r="J3523" s="22"/>
      <c r="K3523" s="15">
        <f t="shared" si="4"/>
        <v>12415450.55</v>
      </c>
      <c r="L3523" s="45"/>
      <c r="M3523" s="6"/>
    </row>
    <row r="3524" ht="15.75" customHeight="1">
      <c r="A3524" s="162">
        <v>46163.0</v>
      </c>
      <c r="B3524" s="50"/>
      <c r="C3524" s="31" t="s">
        <v>2221</v>
      </c>
      <c r="D3524" s="32" t="s">
        <v>99</v>
      </c>
      <c r="E3524" s="31" t="s">
        <v>3808</v>
      </c>
      <c r="F3524" s="139">
        <v>46168.0</v>
      </c>
      <c r="G3524" s="54">
        <v>1.488400261E7</v>
      </c>
      <c r="H3524" s="14">
        <f t="shared" si="10"/>
        <v>3125640.548</v>
      </c>
      <c r="I3524" s="22">
        <v>446520.08</v>
      </c>
      <c r="J3524" s="22"/>
      <c r="K3524" s="15">
        <f t="shared" si="4"/>
        <v>18456163.24</v>
      </c>
      <c r="L3524" s="45"/>
      <c r="M3524" s="6"/>
    </row>
    <row r="3525" ht="15.75" customHeight="1">
      <c r="A3525" s="162">
        <v>46163.0</v>
      </c>
      <c r="B3525" s="50"/>
      <c r="C3525" s="31" t="s">
        <v>2221</v>
      </c>
      <c r="D3525" s="32" t="s">
        <v>99</v>
      </c>
      <c r="E3525" s="31" t="s">
        <v>3809</v>
      </c>
      <c r="F3525" s="139">
        <v>46168.0</v>
      </c>
      <c r="G3525" s="54">
        <v>1.746944005E7</v>
      </c>
      <c r="H3525" s="14">
        <f t="shared" si="10"/>
        <v>3668582.411</v>
      </c>
      <c r="I3525" s="22">
        <v>524083.2</v>
      </c>
      <c r="J3525" s="22"/>
      <c r="K3525" s="15">
        <f t="shared" si="4"/>
        <v>21662105.66</v>
      </c>
      <c r="L3525" s="45"/>
      <c r="M3525" s="6"/>
    </row>
    <row r="3526" ht="15.75" customHeight="1">
      <c r="A3526" s="162">
        <v>46163.0</v>
      </c>
      <c r="B3526" s="50"/>
      <c r="C3526" s="31" t="s">
        <v>2221</v>
      </c>
      <c r="D3526" s="32" t="s">
        <v>99</v>
      </c>
      <c r="E3526" s="31" t="s">
        <v>3810</v>
      </c>
      <c r="F3526" s="139">
        <v>46168.0</v>
      </c>
      <c r="G3526" s="54">
        <v>1.359334828E7</v>
      </c>
      <c r="H3526" s="14">
        <f t="shared" si="10"/>
        <v>2854603.139</v>
      </c>
      <c r="I3526" s="22">
        <v>407800.45</v>
      </c>
      <c r="J3526" s="22"/>
      <c r="K3526" s="15">
        <f t="shared" si="4"/>
        <v>16855751.87</v>
      </c>
      <c r="L3526" s="45"/>
      <c r="M3526" s="6"/>
    </row>
    <row r="3527" ht="15.75" customHeight="1">
      <c r="A3527" s="162">
        <v>46163.0</v>
      </c>
      <c r="B3527" s="50"/>
      <c r="C3527" s="31" t="s">
        <v>2221</v>
      </c>
      <c r="D3527" s="32" t="s">
        <v>99</v>
      </c>
      <c r="E3527" s="31" t="s">
        <v>3811</v>
      </c>
      <c r="F3527" s="139">
        <v>46168.0</v>
      </c>
      <c r="G3527" s="54">
        <v>8894976.23</v>
      </c>
      <c r="H3527" s="14">
        <f t="shared" si="10"/>
        <v>1867945.008</v>
      </c>
      <c r="I3527" s="22">
        <v>266849.29</v>
      </c>
      <c r="J3527" s="22"/>
      <c r="K3527" s="15">
        <f t="shared" si="4"/>
        <v>11029770.53</v>
      </c>
      <c r="L3527" s="45"/>
      <c r="M3527" s="6"/>
    </row>
    <row r="3528" ht="15.75" customHeight="1">
      <c r="A3528" s="162">
        <v>46167.0</v>
      </c>
      <c r="B3528" s="50"/>
      <c r="C3528" s="31" t="s">
        <v>3812</v>
      </c>
      <c r="D3528" s="32" t="s">
        <v>99</v>
      </c>
      <c r="E3528" s="31" t="s">
        <v>3813</v>
      </c>
      <c r="F3528" s="139">
        <v>46168.0</v>
      </c>
      <c r="G3528" s="54">
        <v>1.045783023E7</v>
      </c>
      <c r="H3528" s="14">
        <f t="shared" si="10"/>
        <v>2196144.348</v>
      </c>
      <c r="I3528" s="22">
        <v>313734.91</v>
      </c>
      <c r="J3528" s="22">
        <v>156867.45</v>
      </c>
      <c r="K3528" s="15">
        <f t="shared" si="4"/>
        <v>13124576.94</v>
      </c>
      <c r="L3528" s="45"/>
      <c r="M3528" s="6"/>
    </row>
    <row r="3529" ht="15.75" customHeight="1">
      <c r="A3529" s="218">
        <v>46167.0</v>
      </c>
      <c r="B3529" s="56"/>
      <c r="C3529" s="57" t="s">
        <v>3814</v>
      </c>
      <c r="D3529" s="58" t="s">
        <v>3815</v>
      </c>
      <c r="E3529" s="57" t="s">
        <v>3816</v>
      </c>
      <c r="F3529" s="136">
        <v>46168.0</v>
      </c>
      <c r="G3529" s="206">
        <v>4909090.83</v>
      </c>
      <c r="H3529" s="9">
        <f t="shared" si="10"/>
        <v>1030909.074</v>
      </c>
      <c r="I3529" s="44"/>
      <c r="J3529" s="44"/>
      <c r="K3529" s="10">
        <f t="shared" si="4"/>
        <v>5939999.904</v>
      </c>
      <c r="L3529" s="61"/>
      <c r="M3529" s="62"/>
    </row>
    <row r="3530" ht="15.75" customHeight="1">
      <c r="A3530" s="218">
        <v>46168.0</v>
      </c>
      <c r="B3530" s="56"/>
      <c r="C3530" s="57" t="s">
        <v>3817</v>
      </c>
      <c r="D3530" s="58" t="s">
        <v>3605</v>
      </c>
      <c r="E3530" s="57" t="s">
        <v>3818</v>
      </c>
      <c r="F3530" s="136">
        <v>46168.0</v>
      </c>
      <c r="G3530" s="206">
        <f>50082369.58/1.21</f>
        <v>41390388.08</v>
      </c>
      <c r="H3530" s="9"/>
      <c r="I3530" s="44"/>
      <c r="J3530" s="44"/>
      <c r="K3530" s="10"/>
      <c r="L3530" s="61"/>
      <c r="M3530" s="62"/>
    </row>
    <row r="3531" ht="15.75" customHeight="1">
      <c r="A3531" s="162">
        <v>46170.0</v>
      </c>
      <c r="B3531" s="50"/>
      <c r="C3531" s="31" t="s">
        <v>2221</v>
      </c>
      <c r="D3531" s="32" t="s">
        <v>99</v>
      </c>
      <c r="E3531" s="31" t="s">
        <v>3819</v>
      </c>
      <c r="F3531" s="139">
        <v>46168.0</v>
      </c>
      <c r="G3531" s="54">
        <v>1.298761705E7</v>
      </c>
      <c r="H3531" s="14">
        <f t="shared" ref="H3531:H4997" si="11">G3531*0.21</f>
        <v>2727399.581</v>
      </c>
      <c r="I3531" s="22">
        <v>389628.51</v>
      </c>
      <c r="J3531" s="22"/>
      <c r="K3531" s="15">
        <f t="shared" ref="K3531:K4997" si="12">SUM(G3531:J3531)</f>
        <v>16104645.14</v>
      </c>
      <c r="L3531" s="45"/>
      <c r="M3531" s="6"/>
    </row>
    <row r="3532" ht="15.75" customHeight="1">
      <c r="A3532" s="162">
        <v>46170.0</v>
      </c>
      <c r="B3532" s="50"/>
      <c r="C3532" s="31" t="s">
        <v>2221</v>
      </c>
      <c r="D3532" s="32" t="s">
        <v>99</v>
      </c>
      <c r="E3532" s="31" t="s">
        <v>3820</v>
      </c>
      <c r="F3532" s="139">
        <v>46168.0</v>
      </c>
      <c r="G3532" s="54">
        <v>9333733.15</v>
      </c>
      <c r="H3532" s="14">
        <f t="shared" si="11"/>
        <v>1960083.962</v>
      </c>
      <c r="I3532" s="22">
        <v>280011.99</v>
      </c>
      <c r="J3532" s="22"/>
      <c r="K3532" s="15">
        <f t="shared" si="12"/>
        <v>11573829.1</v>
      </c>
      <c r="L3532" s="45"/>
      <c r="M3532" s="6"/>
    </row>
    <row r="3533" ht="15.75" customHeight="1">
      <c r="A3533" s="162">
        <v>46170.0</v>
      </c>
      <c r="B3533" s="50"/>
      <c r="C3533" s="31" t="s">
        <v>2221</v>
      </c>
      <c r="D3533" s="32" t="s">
        <v>99</v>
      </c>
      <c r="E3533" s="31" t="s">
        <v>3821</v>
      </c>
      <c r="F3533" s="139">
        <v>46168.0</v>
      </c>
      <c r="G3533" s="54">
        <v>2.413722751E7</v>
      </c>
      <c r="H3533" s="14">
        <f t="shared" si="11"/>
        <v>5068817.777</v>
      </c>
      <c r="I3533" s="22">
        <v>724116.83</v>
      </c>
      <c r="J3533" s="22"/>
      <c r="K3533" s="15">
        <f t="shared" si="12"/>
        <v>29930162.12</v>
      </c>
      <c r="L3533" s="45"/>
      <c r="M3533" s="6"/>
    </row>
    <row r="3534" ht="15.75" customHeight="1">
      <c r="A3534" s="162">
        <v>46170.0</v>
      </c>
      <c r="B3534" s="50"/>
      <c r="C3534" s="31" t="s">
        <v>2221</v>
      </c>
      <c r="D3534" s="32" t="s">
        <v>99</v>
      </c>
      <c r="E3534" s="31" t="s">
        <v>3822</v>
      </c>
      <c r="F3534" s="139">
        <v>46168.0</v>
      </c>
      <c r="G3534" s="54">
        <v>1.033334359E7</v>
      </c>
      <c r="H3534" s="14">
        <f t="shared" si="11"/>
        <v>2170002.154</v>
      </c>
      <c r="I3534" s="22">
        <v>310000.31</v>
      </c>
      <c r="J3534" s="22"/>
      <c r="K3534" s="15">
        <f t="shared" si="12"/>
        <v>12813346.05</v>
      </c>
      <c r="L3534" s="45"/>
      <c r="M3534" s="6"/>
    </row>
    <row r="3535" ht="15.75" customHeight="1">
      <c r="A3535" s="162">
        <v>46170.0</v>
      </c>
      <c r="B3535" s="50"/>
      <c r="C3535" s="31" t="s">
        <v>2221</v>
      </c>
      <c r="D3535" s="32" t="s">
        <v>99</v>
      </c>
      <c r="E3535" s="31" t="s">
        <v>3823</v>
      </c>
      <c r="F3535" s="139">
        <v>46168.0</v>
      </c>
      <c r="G3535" s="54">
        <v>1.533363303E7</v>
      </c>
      <c r="H3535" s="14">
        <f t="shared" si="11"/>
        <v>3220062.936</v>
      </c>
      <c r="I3535" s="22">
        <v>460008.99</v>
      </c>
      <c r="J3535" s="22"/>
      <c r="K3535" s="15">
        <f t="shared" si="12"/>
        <v>19013704.96</v>
      </c>
      <c r="L3535" s="45"/>
      <c r="M3535" s="6"/>
    </row>
    <row r="3536" ht="15.75" customHeight="1">
      <c r="A3536" s="162">
        <v>46170.0</v>
      </c>
      <c r="B3536" s="50"/>
      <c r="C3536" s="31" t="s">
        <v>2221</v>
      </c>
      <c r="D3536" s="32" t="s">
        <v>99</v>
      </c>
      <c r="E3536" s="31" t="s">
        <v>3824</v>
      </c>
      <c r="F3536" s="139">
        <v>46168.0</v>
      </c>
      <c r="G3536" s="54">
        <v>1.622335326E7</v>
      </c>
      <c r="H3536" s="14">
        <f t="shared" si="11"/>
        <v>3406904.185</v>
      </c>
      <c r="I3536" s="22">
        <v>486700.6</v>
      </c>
      <c r="J3536" s="22"/>
      <c r="K3536" s="15">
        <f t="shared" si="12"/>
        <v>20116958.04</v>
      </c>
      <c r="L3536" s="45"/>
      <c r="M3536" s="6"/>
    </row>
    <row r="3537" ht="15.75" customHeight="1">
      <c r="A3537" s="162">
        <v>46170.0</v>
      </c>
      <c r="B3537" s="50"/>
      <c r="C3537" s="31" t="s">
        <v>2221</v>
      </c>
      <c r="D3537" s="32" t="s">
        <v>99</v>
      </c>
      <c r="E3537" s="31" t="s">
        <v>3825</v>
      </c>
      <c r="F3537" s="139">
        <v>46168.0</v>
      </c>
      <c r="G3537" s="54">
        <v>1.167160426E7</v>
      </c>
      <c r="H3537" s="14">
        <f t="shared" si="11"/>
        <v>2451036.895</v>
      </c>
      <c r="I3537" s="22">
        <v>350148.13</v>
      </c>
      <c r="J3537" s="22"/>
      <c r="K3537" s="15">
        <f t="shared" si="12"/>
        <v>14472789.28</v>
      </c>
      <c r="L3537" s="45"/>
      <c r="M3537" s="6"/>
    </row>
    <row r="3538" ht="15.75" customHeight="1">
      <c r="A3538" s="162">
        <v>46170.0</v>
      </c>
      <c r="B3538" s="50"/>
      <c r="C3538" s="31" t="s">
        <v>3596</v>
      </c>
      <c r="D3538" s="32" t="s">
        <v>99</v>
      </c>
      <c r="E3538" s="31" t="s">
        <v>3826</v>
      </c>
      <c r="F3538" s="139">
        <v>46168.0</v>
      </c>
      <c r="G3538" s="54">
        <v>4243680.15</v>
      </c>
      <c r="H3538" s="14">
        <f t="shared" si="11"/>
        <v>891172.8315</v>
      </c>
      <c r="I3538" s="22"/>
      <c r="J3538" s="22">
        <v>212184.01</v>
      </c>
      <c r="K3538" s="15">
        <f t="shared" si="12"/>
        <v>5347036.992</v>
      </c>
      <c r="L3538" s="45"/>
      <c r="M3538" s="6"/>
    </row>
    <row r="3539" ht="15.75" customHeight="1">
      <c r="A3539" s="162">
        <v>46170.0</v>
      </c>
      <c r="B3539" s="50"/>
      <c r="C3539" s="31" t="s">
        <v>3596</v>
      </c>
      <c r="D3539" s="32" t="s">
        <v>99</v>
      </c>
      <c r="E3539" s="31" t="s">
        <v>3827</v>
      </c>
      <c r="F3539" s="139">
        <v>46168.0</v>
      </c>
      <c r="G3539" s="54">
        <v>5912490.72</v>
      </c>
      <c r="H3539" s="14">
        <f t="shared" si="11"/>
        <v>1241623.051</v>
      </c>
      <c r="I3539" s="22"/>
      <c r="J3539" s="22">
        <v>295624.54</v>
      </c>
      <c r="K3539" s="15">
        <f t="shared" si="12"/>
        <v>7449738.311</v>
      </c>
      <c r="L3539" s="45"/>
      <c r="M3539" s="6"/>
    </row>
    <row r="3540" ht="15.75" customHeight="1">
      <c r="A3540" s="218">
        <v>46170.0</v>
      </c>
      <c r="B3540" s="56"/>
      <c r="C3540" s="57" t="s">
        <v>3828</v>
      </c>
      <c r="D3540" s="58" t="s">
        <v>99</v>
      </c>
      <c r="E3540" s="57" t="s">
        <v>3829</v>
      </c>
      <c r="F3540" s="136">
        <v>46168.0</v>
      </c>
      <c r="G3540" s="155">
        <v>4926407.07</v>
      </c>
      <c r="H3540" s="9">
        <f t="shared" si="11"/>
        <v>1034545.485</v>
      </c>
      <c r="I3540" s="44"/>
      <c r="J3540" s="44">
        <v>64043.29</v>
      </c>
      <c r="K3540" s="10">
        <f t="shared" si="12"/>
        <v>6024995.845</v>
      </c>
      <c r="L3540" s="61"/>
      <c r="M3540" s="62"/>
    </row>
    <row r="3541" ht="15.75" customHeight="1">
      <c r="A3541" s="218">
        <v>46170.0</v>
      </c>
      <c r="B3541" s="56"/>
      <c r="C3541" s="57" t="s">
        <v>3828</v>
      </c>
      <c r="D3541" s="58" t="s">
        <v>99</v>
      </c>
      <c r="E3541" s="57" t="s">
        <v>3830</v>
      </c>
      <c r="F3541" s="136">
        <v>46168.0</v>
      </c>
      <c r="G3541" s="155">
        <v>9147380.15</v>
      </c>
      <c r="H3541" s="9">
        <f t="shared" si="11"/>
        <v>1920949.832</v>
      </c>
      <c r="I3541" s="44"/>
      <c r="J3541" s="44">
        <v>118915.94</v>
      </c>
      <c r="K3541" s="10">
        <f t="shared" si="12"/>
        <v>11187245.92</v>
      </c>
      <c r="L3541" s="61"/>
      <c r="M3541" s="62"/>
    </row>
    <row r="3542" ht="15.75" customHeight="1">
      <c r="A3542" s="218">
        <v>46170.0</v>
      </c>
      <c r="B3542" s="56"/>
      <c r="C3542" s="57" t="s">
        <v>3828</v>
      </c>
      <c r="D3542" s="58" t="s">
        <v>99</v>
      </c>
      <c r="E3542" s="57" t="s">
        <v>3831</v>
      </c>
      <c r="F3542" s="136">
        <v>46168.0</v>
      </c>
      <c r="G3542" s="155">
        <v>6025745.07</v>
      </c>
      <c r="H3542" s="9">
        <f t="shared" si="11"/>
        <v>1265406.465</v>
      </c>
      <c r="I3542" s="44"/>
      <c r="J3542" s="44">
        <v>78334.69</v>
      </c>
      <c r="K3542" s="10">
        <f t="shared" si="12"/>
        <v>7369486.225</v>
      </c>
      <c r="L3542" s="61"/>
      <c r="M3542" s="62"/>
    </row>
    <row r="3543" ht="15.75" customHeight="1">
      <c r="A3543" s="218">
        <v>46170.0</v>
      </c>
      <c r="B3543" s="56"/>
      <c r="C3543" s="57" t="s">
        <v>3828</v>
      </c>
      <c r="D3543" s="58" t="s">
        <v>99</v>
      </c>
      <c r="E3543" s="57" t="s">
        <v>3832</v>
      </c>
      <c r="F3543" s="136">
        <v>46168.0</v>
      </c>
      <c r="G3543" s="155">
        <v>4859110.56</v>
      </c>
      <c r="H3543" s="9">
        <f t="shared" si="11"/>
        <v>1020413.218</v>
      </c>
      <c r="I3543" s="44"/>
      <c r="J3543" s="44"/>
      <c r="K3543" s="10">
        <f t="shared" si="12"/>
        <v>5879523.778</v>
      </c>
      <c r="L3543" s="61"/>
      <c r="M3543" s="62"/>
    </row>
    <row r="3544" ht="15.75" customHeight="1">
      <c r="A3544" s="162">
        <v>46170.0</v>
      </c>
      <c r="B3544" s="50"/>
      <c r="C3544" s="31" t="s">
        <v>3828</v>
      </c>
      <c r="D3544" s="32" t="s">
        <v>15</v>
      </c>
      <c r="E3544" s="31" t="s">
        <v>3833</v>
      </c>
      <c r="F3544" s="139">
        <v>46168.0</v>
      </c>
      <c r="G3544" s="54">
        <v>5865505.05</v>
      </c>
      <c r="H3544" s="14">
        <f t="shared" si="11"/>
        <v>1231756.061</v>
      </c>
      <c r="I3544" s="22"/>
      <c r="J3544" s="22">
        <v>76251.57</v>
      </c>
      <c r="K3544" s="15">
        <f t="shared" si="12"/>
        <v>7173512.681</v>
      </c>
      <c r="L3544" s="45"/>
      <c r="M3544" s="6"/>
    </row>
    <row r="3545" ht="15.75" customHeight="1">
      <c r="A3545" s="162">
        <v>46170.0</v>
      </c>
      <c r="B3545" s="50"/>
      <c r="C3545" s="31" t="s">
        <v>3828</v>
      </c>
      <c r="D3545" s="32" t="s">
        <v>15</v>
      </c>
      <c r="E3545" s="31" t="s">
        <v>3834</v>
      </c>
      <c r="F3545" s="139">
        <v>46168.0</v>
      </c>
      <c r="G3545" s="54">
        <v>4441348.14</v>
      </c>
      <c r="H3545" s="14">
        <f t="shared" si="11"/>
        <v>932683.1094</v>
      </c>
      <c r="I3545" s="22"/>
      <c r="J3545" s="22"/>
      <c r="K3545" s="15">
        <f t="shared" si="12"/>
        <v>5374031.249</v>
      </c>
      <c r="L3545" s="45"/>
      <c r="M3545" s="6"/>
    </row>
    <row r="3546" ht="15.75" customHeight="1">
      <c r="A3546" s="162">
        <v>46170.0</v>
      </c>
      <c r="B3546" s="50"/>
      <c r="C3546" s="31" t="s">
        <v>3828</v>
      </c>
      <c r="D3546" s="32" t="s">
        <v>15</v>
      </c>
      <c r="E3546" s="31" t="s">
        <v>3835</v>
      </c>
      <c r="F3546" s="139">
        <v>46168.0</v>
      </c>
      <c r="G3546" s="54">
        <v>4853716.71</v>
      </c>
      <c r="H3546" s="14">
        <f t="shared" si="11"/>
        <v>1019280.509</v>
      </c>
      <c r="I3546" s="22"/>
      <c r="J3546" s="22"/>
      <c r="K3546" s="15">
        <f t="shared" si="12"/>
        <v>5872997.219</v>
      </c>
      <c r="L3546" s="45"/>
      <c r="M3546" s="6"/>
    </row>
    <row r="3547" ht="15.75" customHeight="1">
      <c r="A3547" s="162">
        <v>46170.0</v>
      </c>
      <c r="B3547" s="50"/>
      <c r="C3547" s="31" t="s">
        <v>3836</v>
      </c>
      <c r="D3547" s="32" t="s">
        <v>99</v>
      </c>
      <c r="E3547" s="31" t="s">
        <v>3837</v>
      </c>
      <c r="F3547" s="139">
        <v>46168.0</v>
      </c>
      <c r="G3547" s="54">
        <f>31381350/1.21</f>
        <v>25935000</v>
      </c>
      <c r="H3547" s="14">
        <f t="shared" si="11"/>
        <v>5446350</v>
      </c>
      <c r="I3547" s="22"/>
      <c r="J3547" s="22"/>
      <c r="K3547" s="15">
        <f t="shared" si="12"/>
        <v>31381350</v>
      </c>
      <c r="L3547" s="45"/>
      <c r="M3547" s="6"/>
    </row>
    <row r="3548" ht="15.75" customHeight="1">
      <c r="A3548" s="162">
        <v>46170.0</v>
      </c>
      <c r="B3548" s="50"/>
      <c r="C3548" s="31" t="s">
        <v>3838</v>
      </c>
      <c r="D3548" s="32" t="s">
        <v>99</v>
      </c>
      <c r="E3548" s="31" t="s">
        <v>3839</v>
      </c>
      <c r="F3548" s="139">
        <v>46168.0</v>
      </c>
      <c r="G3548" s="54">
        <v>3459002.15</v>
      </c>
      <c r="H3548" s="14">
        <f t="shared" si="11"/>
        <v>726390.4515</v>
      </c>
      <c r="I3548" s="22"/>
      <c r="J3548" s="22">
        <v>60532.54</v>
      </c>
      <c r="K3548" s="15">
        <f t="shared" si="12"/>
        <v>4245925.142</v>
      </c>
      <c r="L3548" s="45"/>
      <c r="M3548" s="6"/>
    </row>
    <row r="3549" ht="15.75" customHeight="1">
      <c r="A3549" s="162">
        <v>46170.0</v>
      </c>
      <c r="B3549" s="50"/>
      <c r="C3549" s="31" t="s">
        <v>3838</v>
      </c>
      <c r="D3549" s="32" t="s">
        <v>99</v>
      </c>
      <c r="E3549" s="31" t="s">
        <v>3840</v>
      </c>
      <c r="F3549" s="139">
        <v>46168.0</v>
      </c>
      <c r="G3549" s="54">
        <v>2687996.05</v>
      </c>
      <c r="H3549" s="14">
        <f t="shared" si="11"/>
        <v>564479.1705</v>
      </c>
      <c r="I3549" s="22"/>
      <c r="J3549" s="22">
        <v>47039.93</v>
      </c>
      <c r="K3549" s="15">
        <f t="shared" si="12"/>
        <v>3299515.151</v>
      </c>
      <c r="L3549" s="45"/>
      <c r="M3549" s="6"/>
    </row>
    <row r="3550" ht="15.75" customHeight="1">
      <c r="A3550" s="162">
        <v>46170.0</v>
      </c>
      <c r="B3550" s="50"/>
      <c r="C3550" s="31" t="s">
        <v>3838</v>
      </c>
      <c r="D3550" s="32" t="s">
        <v>99</v>
      </c>
      <c r="E3550" s="31" t="s">
        <v>3841</v>
      </c>
      <c r="F3550" s="139">
        <v>46168.0</v>
      </c>
      <c r="G3550" s="54">
        <v>3264848.07</v>
      </c>
      <c r="H3550" s="14">
        <f t="shared" si="11"/>
        <v>685618.0947</v>
      </c>
      <c r="I3550" s="22"/>
      <c r="J3550" s="22"/>
      <c r="K3550" s="15">
        <f t="shared" si="12"/>
        <v>3950466.165</v>
      </c>
      <c r="L3550" s="45"/>
      <c r="M3550" s="6"/>
    </row>
    <row r="3551" ht="15.75" customHeight="1">
      <c r="A3551" s="162">
        <v>46170.0</v>
      </c>
      <c r="B3551" s="50"/>
      <c r="C3551" s="31" t="s">
        <v>3838</v>
      </c>
      <c r="D3551" s="32" t="s">
        <v>99</v>
      </c>
      <c r="E3551" s="31" t="s">
        <v>3842</v>
      </c>
      <c r="F3551" s="139">
        <v>46168.0</v>
      </c>
      <c r="G3551" s="54">
        <v>4168070.15</v>
      </c>
      <c r="H3551" s="14">
        <f t="shared" si="11"/>
        <v>875294.7315</v>
      </c>
      <c r="I3551" s="22"/>
      <c r="J3551" s="22">
        <v>72941.23</v>
      </c>
      <c r="K3551" s="15">
        <f t="shared" si="12"/>
        <v>5116306.112</v>
      </c>
      <c r="L3551" s="45"/>
      <c r="M3551" s="6"/>
    </row>
    <row r="3552" ht="15.75" customHeight="1">
      <c r="A3552" s="162">
        <v>46170.0</v>
      </c>
      <c r="B3552" s="50"/>
      <c r="C3552" s="31" t="s">
        <v>3838</v>
      </c>
      <c r="D3552" s="32" t="s">
        <v>15</v>
      </c>
      <c r="E3552" s="31" t="s">
        <v>3843</v>
      </c>
      <c r="F3552" s="139">
        <v>46168.0</v>
      </c>
      <c r="G3552" s="54">
        <v>2867410.15</v>
      </c>
      <c r="H3552" s="14">
        <f t="shared" si="11"/>
        <v>602156.1315</v>
      </c>
      <c r="I3552" s="22"/>
      <c r="J3552" s="22"/>
      <c r="K3552" s="15">
        <f t="shared" si="12"/>
        <v>3469566.282</v>
      </c>
      <c r="L3552" s="45"/>
      <c r="M3552" s="6"/>
    </row>
    <row r="3553" ht="15.75" customHeight="1">
      <c r="A3553" s="162">
        <v>46170.0</v>
      </c>
      <c r="B3553" s="50"/>
      <c r="C3553" s="31" t="s">
        <v>3838</v>
      </c>
      <c r="D3553" s="32" t="s">
        <v>15</v>
      </c>
      <c r="E3553" s="31" t="s">
        <v>3844</v>
      </c>
      <c r="F3553" s="139">
        <v>46168.0</v>
      </c>
      <c r="G3553" s="54">
        <v>3331501.71</v>
      </c>
      <c r="H3553" s="14">
        <f t="shared" si="11"/>
        <v>699615.3591</v>
      </c>
      <c r="I3553" s="22"/>
      <c r="J3553" s="22"/>
      <c r="K3553" s="15">
        <f t="shared" si="12"/>
        <v>4031117.069</v>
      </c>
      <c r="L3553" s="45"/>
      <c r="M3553" s="6"/>
    </row>
    <row r="3554" ht="15.75" customHeight="1">
      <c r="A3554" s="162">
        <v>46170.0</v>
      </c>
      <c r="B3554" s="50"/>
      <c r="C3554" s="31" t="s">
        <v>3845</v>
      </c>
      <c r="D3554" s="32" t="s">
        <v>15</v>
      </c>
      <c r="E3554" s="31" t="s">
        <v>3846</v>
      </c>
      <c r="F3554" s="139">
        <v>46168.0</v>
      </c>
      <c r="G3554" s="54">
        <v>1.543333412E7</v>
      </c>
      <c r="H3554" s="14">
        <f t="shared" si="11"/>
        <v>3241000.165</v>
      </c>
      <c r="I3554" s="22">
        <v>463000.02</v>
      </c>
      <c r="J3554" s="22"/>
      <c r="K3554" s="15">
        <f t="shared" si="12"/>
        <v>19137334.31</v>
      </c>
      <c r="L3554" s="45"/>
      <c r="M3554" s="6"/>
    </row>
    <row r="3555" ht="15.75" customHeight="1">
      <c r="A3555" s="162">
        <v>46170.0</v>
      </c>
      <c r="B3555" s="50"/>
      <c r="C3555" s="31" t="s">
        <v>3845</v>
      </c>
      <c r="D3555" s="32" t="s">
        <v>15</v>
      </c>
      <c r="E3555" s="31" t="s">
        <v>3847</v>
      </c>
      <c r="F3555" s="139">
        <v>46168.0</v>
      </c>
      <c r="G3555" s="54">
        <v>1.823363308E7</v>
      </c>
      <c r="H3555" s="14">
        <f t="shared" si="11"/>
        <v>3829062.947</v>
      </c>
      <c r="I3555" s="22">
        <v>547008.99</v>
      </c>
      <c r="J3555" s="22"/>
      <c r="K3555" s="15">
        <f t="shared" si="12"/>
        <v>22609705.02</v>
      </c>
      <c r="L3555" s="45"/>
      <c r="M3555" s="6"/>
    </row>
    <row r="3556" ht="15.75" customHeight="1">
      <c r="A3556" s="162">
        <v>46170.0</v>
      </c>
      <c r="B3556" s="50"/>
      <c r="C3556" s="31" t="s">
        <v>3845</v>
      </c>
      <c r="D3556" s="32" t="s">
        <v>15</v>
      </c>
      <c r="E3556" s="31" t="s">
        <v>3848</v>
      </c>
      <c r="F3556" s="139">
        <v>46168.0</v>
      </c>
      <c r="G3556" s="54">
        <v>1.712742304E7</v>
      </c>
      <c r="H3556" s="14">
        <f t="shared" si="11"/>
        <v>3596758.838</v>
      </c>
      <c r="I3556" s="22">
        <v>513822.69</v>
      </c>
      <c r="J3556" s="22"/>
      <c r="K3556" s="15">
        <f t="shared" si="12"/>
        <v>21238004.57</v>
      </c>
      <c r="L3556" s="45"/>
      <c r="M3556" s="6"/>
    </row>
    <row r="3557" ht="15.75" customHeight="1">
      <c r="A3557" s="162">
        <v>46170.0</v>
      </c>
      <c r="B3557" s="50"/>
      <c r="C3557" s="31" t="s">
        <v>3845</v>
      </c>
      <c r="D3557" s="32" t="s">
        <v>15</v>
      </c>
      <c r="E3557" s="31" t="s">
        <v>3849</v>
      </c>
      <c r="F3557" s="139">
        <v>46168.0</v>
      </c>
      <c r="G3557" s="54">
        <v>2.213955015E7</v>
      </c>
      <c r="H3557" s="14">
        <f t="shared" si="11"/>
        <v>4649305.532</v>
      </c>
      <c r="I3557" s="22">
        <v>664186.5</v>
      </c>
      <c r="J3557" s="22"/>
      <c r="K3557" s="15">
        <f t="shared" si="12"/>
        <v>27453042.18</v>
      </c>
      <c r="L3557" s="45"/>
      <c r="M3557" s="6"/>
    </row>
    <row r="3558" ht="15.75" customHeight="1">
      <c r="A3558" s="162">
        <v>46171.0</v>
      </c>
      <c r="B3558" s="50"/>
      <c r="C3558" s="31" t="s">
        <v>231</v>
      </c>
      <c r="D3558" s="32" t="s">
        <v>15</v>
      </c>
      <c r="E3558" s="31" t="s">
        <v>3850</v>
      </c>
      <c r="F3558" s="139">
        <v>46168.0</v>
      </c>
      <c r="G3558" s="54">
        <v>2315780.42</v>
      </c>
      <c r="H3558" s="14">
        <f t="shared" si="11"/>
        <v>486313.8882</v>
      </c>
      <c r="I3558" s="22">
        <v>69473.41</v>
      </c>
      <c r="J3558" s="22">
        <v>6947.34</v>
      </c>
      <c r="K3558" s="15">
        <f t="shared" si="12"/>
        <v>2878515.058</v>
      </c>
      <c r="L3558" s="45"/>
      <c r="M3558" s="6"/>
    </row>
    <row r="3559" ht="15.75" customHeight="1">
      <c r="A3559" s="162">
        <v>46171.0</v>
      </c>
      <c r="B3559" s="50"/>
      <c r="C3559" s="31" t="s">
        <v>231</v>
      </c>
      <c r="D3559" s="32" t="s">
        <v>15</v>
      </c>
      <c r="E3559" s="31" t="s">
        <v>3851</v>
      </c>
      <c r="F3559" s="139">
        <v>46168.0</v>
      </c>
      <c r="G3559" s="54">
        <v>826450.15</v>
      </c>
      <c r="H3559" s="14">
        <f t="shared" si="11"/>
        <v>173554.5315</v>
      </c>
      <c r="I3559" s="22">
        <v>24793.5</v>
      </c>
      <c r="J3559" s="22">
        <v>2479.35</v>
      </c>
      <c r="K3559" s="15">
        <f t="shared" si="12"/>
        <v>1027277.532</v>
      </c>
      <c r="L3559" s="45"/>
      <c r="M3559" s="6"/>
    </row>
    <row r="3560" ht="15.75" customHeight="1">
      <c r="A3560" s="162">
        <v>46171.0</v>
      </c>
      <c r="B3560" s="50"/>
      <c r="C3560" s="32" t="s">
        <v>122</v>
      </c>
      <c r="D3560" s="32" t="s">
        <v>15</v>
      </c>
      <c r="E3560" s="31" t="s">
        <v>3852</v>
      </c>
      <c r="F3560" s="139">
        <v>46168.0</v>
      </c>
      <c r="G3560" s="54">
        <v>6003611.57</v>
      </c>
      <c r="H3560" s="14">
        <f t="shared" si="11"/>
        <v>1260758.43</v>
      </c>
      <c r="I3560" s="22"/>
      <c r="J3560" s="22"/>
      <c r="K3560" s="15">
        <f t="shared" si="12"/>
        <v>7264370</v>
      </c>
      <c r="L3560" s="45"/>
      <c r="M3560" s="6"/>
    </row>
    <row r="3561" ht="15.75" customHeight="1">
      <c r="A3561" s="162">
        <v>46171.0</v>
      </c>
      <c r="B3561" s="50"/>
      <c r="C3561" s="31" t="s">
        <v>1179</v>
      </c>
      <c r="D3561" s="32" t="s">
        <v>99</v>
      </c>
      <c r="E3561" s="31" t="s">
        <v>3853</v>
      </c>
      <c r="F3561" s="139">
        <v>46168.0</v>
      </c>
      <c r="G3561" s="54">
        <v>8687490.15</v>
      </c>
      <c r="H3561" s="14">
        <f t="shared" si="11"/>
        <v>1824372.932</v>
      </c>
      <c r="I3561" s="22"/>
      <c r="J3561" s="22"/>
      <c r="K3561" s="15">
        <f t="shared" si="12"/>
        <v>10511863.08</v>
      </c>
      <c r="L3561" s="45"/>
      <c r="M3561" s="6"/>
    </row>
    <row r="3562" ht="15.75" customHeight="1">
      <c r="A3562" s="162">
        <v>46171.0</v>
      </c>
      <c r="B3562" s="50"/>
      <c r="C3562" s="31" t="s">
        <v>1179</v>
      </c>
      <c r="D3562" s="32" t="s">
        <v>99</v>
      </c>
      <c r="E3562" s="31" t="s">
        <v>3854</v>
      </c>
      <c r="F3562" s="139">
        <v>46168.0</v>
      </c>
      <c r="G3562" s="54">
        <v>6356360.51</v>
      </c>
      <c r="H3562" s="14">
        <f t="shared" si="11"/>
        <v>1334835.707</v>
      </c>
      <c r="I3562" s="22"/>
      <c r="J3562" s="22">
        <v>127127.21</v>
      </c>
      <c r="K3562" s="15">
        <f t="shared" si="12"/>
        <v>7818323.427</v>
      </c>
      <c r="L3562" s="45"/>
      <c r="M3562" s="6"/>
    </row>
    <row r="3563" ht="15.75" customHeight="1">
      <c r="A3563" s="162">
        <v>46171.0</v>
      </c>
      <c r="B3563" s="50"/>
      <c r="C3563" s="31" t="s">
        <v>3117</v>
      </c>
      <c r="D3563" s="32" t="s">
        <v>99</v>
      </c>
      <c r="E3563" s="31" t="s">
        <v>3855</v>
      </c>
      <c r="F3563" s="139">
        <v>46168.0</v>
      </c>
      <c r="G3563" s="54">
        <v>1.233273205E7</v>
      </c>
      <c r="H3563" s="14">
        <f t="shared" si="11"/>
        <v>2589873.731</v>
      </c>
      <c r="I3563" s="22">
        <v>369981.96</v>
      </c>
      <c r="J3563" s="22">
        <v>184990.98</v>
      </c>
      <c r="K3563" s="15">
        <f t="shared" si="12"/>
        <v>15477578.72</v>
      </c>
      <c r="L3563" s="45"/>
      <c r="M3563" s="6"/>
    </row>
    <row r="3564" ht="15.75" customHeight="1">
      <c r="A3564" s="218">
        <v>46171.0</v>
      </c>
      <c r="B3564" s="56"/>
      <c r="C3564" s="57" t="s">
        <v>1452</v>
      </c>
      <c r="D3564" s="58" t="s">
        <v>99</v>
      </c>
      <c r="E3564" s="57" t="s">
        <v>3856</v>
      </c>
      <c r="F3564" s="136">
        <v>46168.0</v>
      </c>
      <c r="G3564" s="155">
        <v>2.563353342E7</v>
      </c>
      <c r="H3564" s="9">
        <f t="shared" si="11"/>
        <v>5383042.018</v>
      </c>
      <c r="I3564" s="44">
        <v>769006.0</v>
      </c>
      <c r="J3564" s="44"/>
      <c r="K3564" s="10">
        <f t="shared" si="12"/>
        <v>31785581.44</v>
      </c>
      <c r="L3564" s="61"/>
      <c r="M3564" s="62"/>
    </row>
    <row r="3565" ht="15.75" customHeight="1">
      <c r="A3565" s="218">
        <v>46171.0</v>
      </c>
      <c r="B3565" s="56"/>
      <c r="C3565" s="57" t="s">
        <v>1719</v>
      </c>
      <c r="D3565" s="58" t="s">
        <v>99</v>
      </c>
      <c r="E3565" s="57" t="s">
        <v>3857</v>
      </c>
      <c r="F3565" s="136">
        <v>46168.0</v>
      </c>
      <c r="G3565" s="155">
        <v>1.493337305E7</v>
      </c>
      <c r="H3565" s="9">
        <f t="shared" si="11"/>
        <v>3136008.341</v>
      </c>
      <c r="I3565" s="44">
        <v>448001.19</v>
      </c>
      <c r="J3565" s="44">
        <v>224000.6</v>
      </c>
      <c r="K3565" s="10">
        <f t="shared" si="12"/>
        <v>18741383.18</v>
      </c>
      <c r="L3565" s="61"/>
      <c r="M3565" s="62"/>
    </row>
    <row r="3566" ht="15.75" customHeight="1">
      <c r="A3566" s="162">
        <v>46171.0</v>
      </c>
      <c r="B3566" s="50"/>
      <c r="C3566" s="31" t="s">
        <v>1721</v>
      </c>
      <c r="D3566" s="32" t="s">
        <v>99</v>
      </c>
      <c r="E3566" s="31" t="s">
        <v>3858</v>
      </c>
      <c r="F3566" s="139">
        <v>46168.0</v>
      </c>
      <c r="G3566" s="54">
        <v>3.633478308E7</v>
      </c>
      <c r="H3566" s="14">
        <f t="shared" si="11"/>
        <v>7630304.447</v>
      </c>
      <c r="I3566" s="22">
        <v>1090043.49</v>
      </c>
      <c r="J3566" s="22">
        <v>3633.48</v>
      </c>
      <c r="K3566" s="15">
        <f t="shared" si="12"/>
        <v>45058764.5</v>
      </c>
      <c r="L3566" s="45"/>
      <c r="M3566" s="6"/>
    </row>
    <row r="3567" ht="15.75" customHeight="1">
      <c r="A3567" s="162">
        <v>46171.0</v>
      </c>
      <c r="B3567" s="50"/>
      <c r="C3567" s="31" t="s">
        <v>3859</v>
      </c>
      <c r="D3567" s="32" t="s">
        <v>99</v>
      </c>
      <c r="E3567" s="31" t="s">
        <v>3860</v>
      </c>
      <c r="F3567" s="139">
        <v>46168.0</v>
      </c>
      <c r="G3567" s="54">
        <v>2.033393241E7</v>
      </c>
      <c r="H3567" s="14">
        <f t="shared" si="11"/>
        <v>4270125.806</v>
      </c>
      <c r="I3567" s="22">
        <v>610017.97</v>
      </c>
      <c r="J3567" s="22">
        <v>305008.99</v>
      </c>
      <c r="K3567" s="15">
        <f t="shared" si="12"/>
        <v>25519085.18</v>
      </c>
      <c r="L3567" s="45"/>
      <c r="M3567" s="6"/>
    </row>
    <row r="3568" ht="15.75" customHeight="1">
      <c r="A3568" s="162">
        <v>46171.0</v>
      </c>
      <c r="B3568" s="50"/>
      <c r="C3568" s="31" t="s">
        <v>538</v>
      </c>
      <c r="D3568" s="32" t="s">
        <v>99</v>
      </c>
      <c r="E3568" s="31" t="s">
        <v>3861</v>
      </c>
      <c r="F3568" s="139">
        <v>46168.0</v>
      </c>
      <c r="G3568" s="54">
        <v>500142.61</v>
      </c>
      <c r="H3568" s="14">
        <f t="shared" si="11"/>
        <v>105029.9481</v>
      </c>
      <c r="I3568" s="22">
        <v>15004.28</v>
      </c>
      <c r="J3568" s="22"/>
      <c r="K3568" s="15">
        <f t="shared" si="12"/>
        <v>620176.8381</v>
      </c>
      <c r="L3568" s="61"/>
      <c r="M3568" s="62"/>
    </row>
    <row r="3569" ht="15.75" customHeight="1">
      <c r="A3569" s="218">
        <v>46171.0</v>
      </c>
      <c r="B3569" s="56"/>
      <c r="C3569" s="57" t="s">
        <v>3068</v>
      </c>
      <c r="D3569" s="58" t="s">
        <v>99</v>
      </c>
      <c r="E3569" s="57" t="s">
        <v>3862</v>
      </c>
      <c r="F3569" s="136">
        <v>46168.0</v>
      </c>
      <c r="G3569" s="155">
        <v>1.558299066E7</v>
      </c>
      <c r="H3569" s="9">
        <f t="shared" si="11"/>
        <v>3272428.039</v>
      </c>
      <c r="I3569" s="44"/>
      <c r="J3569" s="44"/>
      <c r="K3569" s="10">
        <f t="shared" si="12"/>
        <v>18855418.7</v>
      </c>
      <c r="L3569" s="61"/>
      <c r="M3569" s="62"/>
    </row>
    <row r="3570" ht="15.75" customHeight="1">
      <c r="A3570" s="218">
        <v>46171.0</v>
      </c>
      <c r="B3570" s="56"/>
      <c r="C3570" s="57" t="s">
        <v>3068</v>
      </c>
      <c r="D3570" s="58" t="s">
        <v>99</v>
      </c>
      <c r="E3570" s="57" t="s">
        <v>3863</v>
      </c>
      <c r="F3570" s="136">
        <v>46168.0</v>
      </c>
      <c r="G3570" s="155">
        <v>1.457346216E7</v>
      </c>
      <c r="H3570" s="9">
        <f t="shared" si="11"/>
        <v>3060427.054</v>
      </c>
      <c r="I3570" s="44"/>
      <c r="J3570" s="44"/>
      <c r="K3570" s="10">
        <f t="shared" si="12"/>
        <v>17633889.21</v>
      </c>
      <c r="L3570" s="61"/>
      <c r="M3570" s="62"/>
    </row>
    <row r="3571" ht="15.75" customHeight="1">
      <c r="A3571" s="218">
        <v>46171.0</v>
      </c>
      <c r="B3571" s="56"/>
      <c r="C3571" s="57" t="s">
        <v>3068</v>
      </c>
      <c r="D3571" s="58" t="s">
        <v>99</v>
      </c>
      <c r="E3571" s="57" t="s">
        <v>3864</v>
      </c>
      <c r="F3571" s="136">
        <v>46168.0</v>
      </c>
      <c r="G3571" s="155">
        <v>1.342955052E7</v>
      </c>
      <c r="H3571" s="9">
        <f t="shared" si="11"/>
        <v>2820205.609</v>
      </c>
      <c r="I3571" s="44"/>
      <c r="J3571" s="44"/>
      <c r="K3571" s="10">
        <f t="shared" si="12"/>
        <v>16249756.13</v>
      </c>
      <c r="L3571" s="61"/>
      <c r="M3571" s="62"/>
    </row>
    <row r="3572" ht="15.75" customHeight="1">
      <c r="A3572" s="218">
        <v>46171.0</v>
      </c>
      <c r="B3572" s="56"/>
      <c r="C3572" s="57" t="s">
        <v>3068</v>
      </c>
      <c r="D3572" s="58" t="s">
        <v>99</v>
      </c>
      <c r="E3572" s="57" t="s">
        <v>3865</v>
      </c>
      <c r="F3572" s="136">
        <v>46168.0</v>
      </c>
      <c r="G3572" s="155">
        <v>1.632978052E7</v>
      </c>
      <c r="H3572" s="9">
        <f t="shared" si="11"/>
        <v>3429253.909</v>
      </c>
      <c r="I3572" s="44"/>
      <c r="J3572" s="44"/>
      <c r="K3572" s="10">
        <f t="shared" si="12"/>
        <v>19759034.43</v>
      </c>
      <c r="L3572" s="61"/>
      <c r="M3572" s="62"/>
    </row>
    <row r="3573" ht="15.75" customHeight="1">
      <c r="A3573" s="219">
        <v>46171.0</v>
      </c>
      <c r="B3573" s="220"/>
      <c r="C3573" s="221" t="s">
        <v>3866</v>
      </c>
      <c r="D3573" s="132" t="s">
        <v>99</v>
      </c>
      <c r="E3573" s="221" t="s">
        <v>3867</v>
      </c>
      <c r="F3573" s="222">
        <v>46168.0</v>
      </c>
      <c r="G3573" s="223">
        <v>2.344336529E7</v>
      </c>
      <c r="H3573" s="224">
        <f t="shared" si="11"/>
        <v>4923106.711</v>
      </c>
      <c r="I3573" s="225">
        <v>703300.96</v>
      </c>
      <c r="J3573" s="225">
        <v>937734.61</v>
      </c>
      <c r="K3573" s="226">
        <f t="shared" si="12"/>
        <v>30007507.57</v>
      </c>
      <c r="L3573" s="227"/>
      <c r="M3573" s="228"/>
    </row>
    <row r="3574" ht="15.75" customHeight="1">
      <c r="A3574" s="162">
        <v>46171.0</v>
      </c>
      <c r="B3574" s="50"/>
      <c r="C3574" s="31" t="s">
        <v>1179</v>
      </c>
      <c r="D3574" s="32" t="s">
        <v>15</v>
      </c>
      <c r="E3574" s="31" t="s">
        <v>3868</v>
      </c>
      <c r="F3574" s="139">
        <v>46168.0</v>
      </c>
      <c r="G3574" s="54">
        <v>1.714346042E7</v>
      </c>
      <c r="H3574" s="14">
        <f t="shared" si="11"/>
        <v>3600126.688</v>
      </c>
      <c r="I3574" s="22"/>
      <c r="J3574" s="22">
        <v>342869.21</v>
      </c>
      <c r="K3574" s="15">
        <f t="shared" si="12"/>
        <v>21086456.32</v>
      </c>
      <c r="L3574" s="45"/>
      <c r="M3574" s="6"/>
    </row>
    <row r="3575" ht="15.75" customHeight="1">
      <c r="A3575" s="162">
        <v>46171.0</v>
      </c>
      <c r="B3575" s="50"/>
      <c r="C3575" s="31" t="s">
        <v>1179</v>
      </c>
      <c r="D3575" s="32" t="s">
        <v>15</v>
      </c>
      <c r="E3575" s="31" t="s">
        <v>3869</v>
      </c>
      <c r="F3575" s="139">
        <v>46168.0</v>
      </c>
      <c r="G3575" s="54">
        <v>7868380.42</v>
      </c>
      <c r="H3575" s="14">
        <f t="shared" si="11"/>
        <v>1652359.888</v>
      </c>
      <c r="I3575" s="22">
        <v>236051.41</v>
      </c>
      <c r="J3575" s="22">
        <v>157367.61</v>
      </c>
      <c r="K3575" s="15">
        <f t="shared" si="12"/>
        <v>9914159.328</v>
      </c>
      <c r="L3575" s="45"/>
      <c r="M3575" s="6"/>
    </row>
    <row r="3576" ht="15.75" customHeight="1">
      <c r="A3576" s="162">
        <v>46171.0</v>
      </c>
      <c r="B3576" s="50"/>
      <c r="C3576" s="31" t="s">
        <v>538</v>
      </c>
      <c r="D3576" s="32" t="s">
        <v>15</v>
      </c>
      <c r="E3576" s="31" t="s">
        <v>3870</v>
      </c>
      <c r="F3576" s="139">
        <v>46168.0</v>
      </c>
      <c r="G3576" s="54">
        <v>833327.15</v>
      </c>
      <c r="H3576" s="14">
        <f t="shared" si="11"/>
        <v>174998.7015</v>
      </c>
      <c r="I3576" s="22">
        <v>24999.81</v>
      </c>
      <c r="J3576" s="22"/>
      <c r="K3576" s="15">
        <f t="shared" si="12"/>
        <v>1033325.662</v>
      </c>
      <c r="L3576" s="61"/>
      <c r="M3576" s="62"/>
    </row>
    <row r="3577" ht="15.75" customHeight="1">
      <c r="A3577" s="162">
        <v>46171.0</v>
      </c>
      <c r="B3577" s="50"/>
      <c r="C3577" s="31" t="s">
        <v>538</v>
      </c>
      <c r="D3577" s="32" t="s">
        <v>15</v>
      </c>
      <c r="E3577" s="31" t="s">
        <v>3871</v>
      </c>
      <c r="F3577" s="139">
        <v>46168.0</v>
      </c>
      <c r="G3577" s="54">
        <v>790227.12</v>
      </c>
      <c r="H3577" s="14">
        <f t="shared" si="11"/>
        <v>165947.6952</v>
      </c>
      <c r="I3577" s="22">
        <v>23706.81</v>
      </c>
      <c r="J3577" s="22"/>
      <c r="K3577" s="15">
        <f t="shared" si="12"/>
        <v>979881.6252</v>
      </c>
      <c r="L3577" s="61"/>
      <c r="M3577" s="62"/>
    </row>
    <row r="3578" ht="15.75" customHeight="1">
      <c r="A3578" s="162">
        <v>46171.0</v>
      </c>
      <c r="B3578" s="50"/>
      <c r="C3578" s="31" t="s">
        <v>1842</v>
      </c>
      <c r="D3578" s="32" t="s">
        <v>15</v>
      </c>
      <c r="E3578" s="31" t="s">
        <v>3872</v>
      </c>
      <c r="F3578" s="139">
        <v>46168.0</v>
      </c>
      <c r="G3578" s="54">
        <v>2.587246047E7</v>
      </c>
      <c r="H3578" s="14">
        <f t="shared" si="11"/>
        <v>5433216.699</v>
      </c>
      <c r="I3578" s="22"/>
      <c r="J3578" s="22">
        <v>181107.22</v>
      </c>
      <c r="K3578" s="15">
        <f t="shared" si="12"/>
        <v>31486784.39</v>
      </c>
      <c r="L3578" s="45"/>
      <c r="M3578" s="6"/>
    </row>
    <row r="3579" ht="15.75" customHeight="1">
      <c r="A3579" s="162">
        <v>46171.0</v>
      </c>
      <c r="B3579" s="50"/>
      <c r="C3579" s="31" t="s">
        <v>3873</v>
      </c>
      <c r="D3579" s="32" t="s">
        <v>15</v>
      </c>
      <c r="E3579" s="31" t="s">
        <v>3874</v>
      </c>
      <c r="F3579" s="139">
        <v>46168.0</v>
      </c>
      <c r="G3579" s="54">
        <v>5972460.15</v>
      </c>
      <c r="H3579" s="14">
        <f t="shared" si="11"/>
        <v>1254216.632</v>
      </c>
      <c r="I3579" s="22"/>
      <c r="J3579" s="22"/>
      <c r="K3579" s="15">
        <f t="shared" si="12"/>
        <v>7226676.782</v>
      </c>
      <c r="L3579" s="45"/>
      <c r="M3579" s="6"/>
    </row>
    <row r="3580" ht="15.75" customHeight="1">
      <c r="A3580" s="162">
        <v>46171.0</v>
      </c>
      <c r="B3580" s="50"/>
      <c r="C3580" s="31" t="s">
        <v>3873</v>
      </c>
      <c r="D3580" s="32" t="s">
        <v>15</v>
      </c>
      <c r="E3580" s="31" t="s">
        <v>3875</v>
      </c>
      <c r="F3580" s="139">
        <v>46168.0</v>
      </c>
      <c r="G3580" s="54">
        <v>8721360.42</v>
      </c>
      <c r="H3580" s="14">
        <f t="shared" si="11"/>
        <v>1831485.688</v>
      </c>
      <c r="I3580" s="22"/>
      <c r="J3580" s="22"/>
      <c r="K3580" s="15">
        <f t="shared" si="12"/>
        <v>10552846.11</v>
      </c>
      <c r="L3580" s="45"/>
      <c r="M3580" s="6"/>
    </row>
    <row r="3581" ht="15.75" customHeight="1">
      <c r="A3581" s="162">
        <v>46171.0</v>
      </c>
      <c r="B3581" s="50"/>
      <c r="C3581" s="31" t="s">
        <v>3873</v>
      </c>
      <c r="D3581" s="32" t="s">
        <v>15</v>
      </c>
      <c r="E3581" s="31" t="s">
        <v>3876</v>
      </c>
      <c r="F3581" s="139">
        <v>46168.0</v>
      </c>
      <c r="G3581" s="54">
        <v>1.234836052E7</v>
      </c>
      <c r="H3581" s="14">
        <f t="shared" si="11"/>
        <v>2593155.709</v>
      </c>
      <c r="I3581" s="22"/>
      <c r="J3581" s="22"/>
      <c r="K3581" s="15">
        <f t="shared" si="12"/>
        <v>14941516.23</v>
      </c>
      <c r="L3581" s="45"/>
      <c r="M3581" s="6"/>
    </row>
    <row r="3582" ht="15.75" customHeight="1">
      <c r="A3582" s="219">
        <v>46171.0</v>
      </c>
      <c r="B3582" s="220"/>
      <c r="C3582" s="221" t="s">
        <v>3877</v>
      </c>
      <c r="D3582" s="132" t="s">
        <v>15</v>
      </c>
      <c r="E3582" s="221" t="s">
        <v>3878</v>
      </c>
      <c r="F3582" s="222">
        <v>46168.0</v>
      </c>
      <c r="G3582" s="223">
        <v>2.294643115E7</v>
      </c>
      <c r="H3582" s="224">
        <f t="shared" si="11"/>
        <v>4818750.542</v>
      </c>
      <c r="I3582" s="225">
        <v>688392.93</v>
      </c>
      <c r="J3582" s="225">
        <v>1147321.56</v>
      </c>
      <c r="K3582" s="226">
        <f t="shared" si="12"/>
        <v>29600896.18</v>
      </c>
      <c r="L3582" s="227"/>
      <c r="M3582" s="228"/>
    </row>
    <row r="3583" ht="15.75" customHeight="1">
      <c r="A3583" s="218">
        <v>46172.0</v>
      </c>
      <c r="B3583" s="56"/>
      <c r="C3583" s="57" t="s">
        <v>969</v>
      </c>
      <c r="D3583" s="57" t="s">
        <v>1543</v>
      </c>
      <c r="E3583" s="58" t="s">
        <v>3879</v>
      </c>
      <c r="F3583" s="136">
        <v>46168.0</v>
      </c>
      <c r="G3583" s="206">
        <v>1.373332826E7</v>
      </c>
      <c r="H3583" s="9">
        <f t="shared" si="11"/>
        <v>2883998.935</v>
      </c>
      <c r="I3583" s="44"/>
      <c r="J3583" s="44"/>
      <c r="K3583" s="10">
        <f t="shared" si="12"/>
        <v>16617327.19</v>
      </c>
      <c r="L3583" s="61"/>
      <c r="M3583" s="62"/>
    </row>
    <row r="3584" ht="15.75" customHeight="1">
      <c r="A3584" s="218">
        <v>46172.0</v>
      </c>
      <c r="B3584" s="56"/>
      <c r="C3584" s="57" t="s">
        <v>2126</v>
      </c>
      <c r="D3584" s="57" t="s">
        <v>1543</v>
      </c>
      <c r="E3584" s="58" t="s">
        <v>3880</v>
      </c>
      <c r="F3584" s="136">
        <v>46168.0</v>
      </c>
      <c r="G3584" s="206">
        <v>4901025.26</v>
      </c>
      <c r="H3584" s="9">
        <f t="shared" si="11"/>
        <v>1029215.305</v>
      </c>
      <c r="I3584" s="44"/>
      <c r="J3584" s="44"/>
      <c r="K3584" s="10">
        <f t="shared" si="12"/>
        <v>5930240.565</v>
      </c>
      <c r="L3584" s="61"/>
      <c r="M3584" s="62"/>
    </row>
    <row r="3585" ht="15.75" customHeight="1">
      <c r="A3585" s="218">
        <v>46172.0</v>
      </c>
      <c r="B3585" s="56"/>
      <c r="C3585" s="57" t="s">
        <v>3881</v>
      </c>
      <c r="D3585" s="57" t="s">
        <v>1543</v>
      </c>
      <c r="E3585" s="58" t="s">
        <v>3882</v>
      </c>
      <c r="F3585" s="136">
        <v>46168.0</v>
      </c>
      <c r="G3585" s="206">
        <v>9800751.26</v>
      </c>
      <c r="H3585" s="9">
        <f t="shared" si="11"/>
        <v>2058157.765</v>
      </c>
      <c r="I3585" s="44"/>
      <c r="J3585" s="44"/>
      <c r="K3585" s="10">
        <f t="shared" si="12"/>
        <v>11858909.02</v>
      </c>
      <c r="L3585" s="61"/>
      <c r="M3585" s="62"/>
    </row>
    <row r="3586" ht="15.75" customHeight="1">
      <c r="A3586" s="162">
        <v>46172.0</v>
      </c>
      <c r="B3586" s="50"/>
      <c r="C3586" s="31" t="s">
        <v>3883</v>
      </c>
      <c r="D3586" s="31" t="s">
        <v>1543</v>
      </c>
      <c r="E3586" s="32" t="s">
        <v>3884</v>
      </c>
      <c r="F3586" s="139">
        <v>46168.0</v>
      </c>
      <c r="G3586" s="207">
        <v>4997085.26</v>
      </c>
      <c r="H3586" s="14">
        <f t="shared" si="11"/>
        <v>1049387.905</v>
      </c>
      <c r="I3586" s="22"/>
      <c r="J3586" s="22"/>
      <c r="K3586" s="15">
        <f t="shared" si="12"/>
        <v>6046473.165</v>
      </c>
      <c r="L3586" s="45"/>
      <c r="M3586" s="6"/>
    </row>
    <row r="3587" ht="15.75" customHeight="1">
      <c r="A3587" s="162">
        <v>46172.0</v>
      </c>
      <c r="B3587" s="50"/>
      <c r="C3587" s="31" t="s">
        <v>3885</v>
      </c>
      <c r="D3587" s="31" t="s">
        <v>1543</v>
      </c>
      <c r="E3587" s="32" t="s">
        <v>3886</v>
      </c>
      <c r="F3587" s="139">
        <v>46168.0</v>
      </c>
      <c r="G3587" s="207">
        <v>2.000145026E7</v>
      </c>
      <c r="H3587" s="14">
        <f t="shared" si="11"/>
        <v>4200304.555</v>
      </c>
      <c r="I3587" s="22"/>
      <c r="J3587" s="22"/>
      <c r="K3587" s="15">
        <f t="shared" si="12"/>
        <v>24201754.81</v>
      </c>
      <c r="L3587" s="45"/>
      <c r="M3587" s="6"/>
    </row>
    <row r="3588" ht="15.75" customHeight="1">
      <c r="A3588" s="162">
        <v>46172.0</v>
      </c>
      <c r="B3588" s="50"/>
      <c r="C3588" s="31" t="s">
        <v>3887</v>
      </c>
      <c r="D3588" s="31" t="s">
        <v>1543</v>
      </c>
      <c r="E3588" s="32" t="s">
        <v>3888</v>
      </c>
      <c r="F3588" s="139">
        <v>46168.0</v>
      </c>
      <c r="G3588" s="207">
        <v>5001418.92</v>
      </c>
      <c r="H3588" s="14">
        <f t="shared" si="11"/>
        <v>1050297.973</v>
      </c>
      <c r="I3588" s="22"/>
      <c r="J3588" s="22"/>
      <c r="K3588" s="15">
        <f t="shared" si="12"/>
        <v>6051716.893</v>
      </c>
      <c r="L3588" s="45"/>
      <c r="M3588" s="6"/>
    </row>
    <row r="3589" ht="15.75" customHeight="1">
      <c r="A3589" s="219">
        <v>46172.0</v>
      </c>
      <c r="B3589" s="220"/>
      <c r="C3589" s="221" t="s">
        <v>3889</v>
      </c>
      <c r="D3589" s="221" t="s">
        <v>1543</v>
      </c>
      <c r="E3589" s="132" t="s">
        <v>3890</v>
      </c>
      <c r="F3589" s="222">
        <v>46168.0</v>
      </c>
      <c r="G3589" s="229">
        <v>2002471.71</v>
      </c>
      <c r="H3589" s="224">
        <f t="shared" si="11"/>
        <v>420519.0591</v>
      </c>
      <c r="I3589" s="225"/>
      <c r="J3589" s="225"/>
      <c r="K3589" s="226">
        <f t="shared" si="12"/>
        <v>2422990.769</v>
      </c>
      <c r="L3589" s="227"/>
      <c r="M3589" s="228"/>
    </row>
    <row r="3590" ht="15.75" customHeight="1">
      <c r="A3590" s="218">
        <v>46172.0</v>
      </c>
      <c r="B3590" s="56"/>
      <c r="C3590" s="57" t="s">
        <v>3891</v>
      </c>
      <c r="D3590" s="57" t="s">
        <v>1543</v>
      </c>
      <c r="E3590" s="58" t="s">
        <v>3892</v>
      </c>
      <c r="F3590" s="136">
        <v>46168.0</v>
      </c>
      <c r="G3590" s="206">
        <v>8264556.24</v>
      </c>
      <c r="H3590" s="9">
        <f t="shared" si="11"/>
        <v>1735556.81</v>
      </c>
      <c r="I3590" s="44"/>
      <c r="J3590" s="44"/>
      <c r="K3590" s="10">
        <f t="shared" si="12"/>
        <v>10000113.05</v>
      </c>
      <c r="L3590" s="61"/>
      <c r="M3590" s="62"/>
    </row>
    <row r="3591" ht="15.75" customHeight="1">
      <c r="A3591" s="218">
        <v>46172.0</v>
      </c>
      <c r="B3591" s="56"/>
      <c r="C3591" s="57" t="s">
        <v>3893</v>
      </c>
      <c r="D3591" s="57" t="s">
        <v>1543</v>
      </c>
      <c r="E3591" s="58" t="s">
        <v>3894</v>
      </c>
      <c r="F3591" s="136">
        <v>46168.0</v>
      </c>
      <c r="G3591" s="206">
        <v>5785452.33</v>
      </c>
      <c r="H3591" s="9">
        <f t="shared" si="11"/>
        <v>1214944.989</v>
      </c>
      <c r="I3591" s="44"/>
      <c r="J3591" s="44"/>
      <c r="K3591" s="10">
        <f t="shared" si="12"/>
        <v>7000397.319</v>
      </c>
      <c r="L3591" s="61"/>
      <c r="M3591" s="62"/>
    </row>
    <row r="3592" ht="15.75" customHeight="1">
      <c r="A3592" s="218">
        <v>46172.0</v>
      </c>
      <c r="B3592" s="56"/>
      <c r="C3592" s="57" t="s">
        <v>3895</v>
      </c>
      <c r="D3592" s="57" t="s">
        <v>1543</v>
      </c>
      <c r="E3592" s="58" t="s">
        <v>3896</v>
      </c>
      <c r="F3592" s="136">
        <v>46168.0</v>
      </c>
      <c r="G3592" s="206">
        <v>7936787.99</v>
      </c>
      <c r="H3592" s="9">
        <f t="shared" si="11"/>
        <v>1666725.478</v>
      </c>
      <c r="I3592" s="44"/>
      <c r="J3592" s="44"/>
      <c r="K3592" s="10">
        <f t="shared" si="12"/>
        <v>9603513.468</v>
      </c>
      <c r="L3592" s="61"/>
      <c r="M3592" s="62"/>
    </row>
    <row r="3593" ht="15.75" customHeight="1">
      <c r="A3593" s="218">
        <v>46172.0</v>
      </c>
      <c r="B3593" s="56"/>
      <c r="C3593" s="57" t="s">
        <v>3897</v>
      </c>
      <c r="D3593" s="57" t="s">
        <v>1543</v>
      </c>
      <c r="E3593" s="58" t="s">
        <v>3898</v>
      </c>
      <c r="F3593" s="136">
        <v>46168.0</v>
      </c>
      <c r="G3593" s="206">
        <v>6102627.3</v>
      </c>
      <c r="H3593" s="9">
        <f t="shared" si="11"/>
        <v>1281551.733</v>
      </c>
      <c r="I3593" s="44"/>
      <c r="J3593" s="44"/>
      <c r="K3593" s="10">
        <f t="shared" si="12"/>
        <v>7384179.033</v>
      </c>
      <c r="L3593" s="61"/>
      <c r="M3593" s="62"/>
    </row>
    <row r="3594" ht="15.75" customHeight="1">
      <c r="A3594" s="218">
        <v>46172.0</v>
      </c>
      <c r="B3594" s="56"/>
      <c r="C3594" s="57" t="s">
        <v>3899</v>
      </c>
      <c r="D3594" s="57" t="s">
        <v>1543</v>
      </c>
      <c r="E3594" s="58" t="s">
        <v>3900</v>
      </c>
      <c r="F3594" s="136">
        <v>46168.0</v>
      </c>
      <c r="G3594" s="206">
        <v>7348737.26</v>
      </c>
      <c r="H3594" s="9">
        <f t="shared" si="11"/>
        <v>1543234.825</v>
      </c>
      <c r="I3594" s="44"/>
      <c r="J3594" s="44"/>
      <c r="K3594" s="10">
        <f t="shared" si="12"/>
        <v>8891972.085</v>
      </c>
      <c r="L3594" s="61"/>
      <c r="M3594" s="62"/>
    </row>
    <row r="3595" ht="15.75" customHeight="1">
      <c r="A3595" s="218">
        <v>46172.0</v>
      </c>
      <c r="B3595" s="56"/>
      <c r="C3595" s="57" t="s">
        <v>3901</v>
      </c>
      <c r="D3595" s="57" t="s">
        <v>1543</v>
      </c>
      <c r="E3595" s="58" t="s">
        <v>3902</v>
      </c>
      <c r="F3595" s="136">
        <v>46168.0</v>
      </c>
      <c r="G3595" s="206">
        <v>6945049.14</v>
      </c>
      <c r="H3595" s="9">
        <f t="shared" si="11"/>
        <v>1458460.319</v>
      </c>
      <c r="I3595" s="44"/>
      <c r="J3595" s="44"/>
      <c r="K3595" s="10">
        <f t="shared" si="12"/>
        <v>8403509.459</v>
      </c>
      <c r="L3595" s="61"/>
      <c r="M3595" s="62"/>
    </row>
    <row r="3596" ht="15.75" customHeight="1">
      <c r="A3596" s="162">
        <v>46172.0</v>
      </c>
      <c r="B3596" s="50"/>
      <c r="C3596" s="31" t="s">
        <v>1136</v>
      </c>
      <c r="D3596" s="32" t="s">
        <v>99</v>
      </c>
      <c r="E3596" s="32" t="s">
        <v>3903</v>
      </c>
      <c r="F3596" s="139">
        <v>46168.0</v>
      </c>
      <c r="G3596" s="54">
        <v>4.269996142E7</v>
      </c>
      <c r="H3596" s="14">
        <f t="shared" si="11"/>
        <v>8966991.898</v>
      </c>
      <c r="I3596" s="22">
        <v>1280998.84</v>
      </c>
      <c r="J3596" s="22">
        <v>2134998.07</v>
      </c>
      <c r="K3596" s="15">
        <f t="shared" si="12"/>
        <v>55082950.23</v>
      </c>
      <c r="L3596" s="45"/>
      <c r="M3596" s="6"/>
    </row>
    <row r="3597" ht="15.75" customHeight="1">
      <c r="A3597" s="218">
        <v>46172.0</v>
      </c>
      <c r="B3597" s="56"/>
      <c r="C3597" s="57" t="s">
        <v>3889</v>
      </c>
      <c r="D3597" s="58" t="s">
        <v>99</v>
      </c>
      <c r="E3597" s="57" t="s">
        <v>3904</v>
      </c>
      <c r="F3597" s="136">
        <v>46168.0</v>
      </c>
      <c r="G3597" s="155">
        <v>1.342955052E7</v>
      </c>
      <c r="H3597" s="9">
        <f t="shared" si="11"/>
        <v>2820205.609</v>
      </c>
      <c r="I3597" s="44"/>
      <c r="J3597" s="44"/>
      <c r="K3597" s="10">
        <f t="shared" si="12"/>
        <v>16249756.13</v>
      </c>
      <c r="L3597" s="61"/>
      <c r="M3597" s="62"/>
    </row>
    <row r="3598" ht="15.75" customHeight="1">
      <c r="A3598" s="218">
        <v>46172.0</v>
      </c>
      <c r="B3598" s="56"/>
      <c r="C3598" s="57" t="s">
        <v>3889</v>
      </c>
      <c r="D3598" s="58" t="s">
        <v>99</v>
      </c>
      <c r="E3598" s="57" t="s">
        <v>3905</v>
      </c>
      <c r="F3598" s="136">
        <v>46168.0</v>
      </c>
      <c r="G3598" s="155">
        <v>1.632978052E7</v>
      </c>
      <c r="H3598" s="9">
        <f t="shared" si="11"/>
        <v>3429253.909</v>
      </c>
      <c r="I3598" s="44"/>
      <c r="J3598" s="44"/>
      <c r="K3598" s="10">
        <f t="shared" si="12"/>
        <v>19759034.43</v>
      </c>
      <c r="L3598" s="61"/>
      <c r="M3598" s="62"/>
    </row>
    <row r="3599" ht="15.75" customHeight="1">
      <c r="A3599" s="218">
        <v>46172.0</v>
      </c>
      <c r="B3599" s="56"/>
      <c r="C3599" s="57" t="s">
        <v>3889</v>
      </c>
      <c r="D3599" s="58" t="s">
        <v>99</v>
      </c>
      <c r="E3599" s="57" t="s">
        <v>3906</v>
      </c>
      <c r="F3599" s="136">
        <v>46168.0</v>
      </c>
      <c r="G3599" s="155">
        <v>1.457346216E7</v>
      </c>
      <c r="H3599" s="9">
        <f t="shared" si="11"/>
        <v>3060427.054</v>
      </c>
      <c r="I3599" s="44"/>
      <c r="J3599" s="44"/>
      <c r="K3599" s="10">
        <f t="shared" si="12"/>
        <v>17633889.21</v>
      </c>
      <c r="L3599" s="61"/>
      <c r="M3599" s="62"/>
    </row>
    <row r="3600" ht="15.75" customHeight="1">
      <c r="A3600" s="218">
        <v>46172.0</v>
      </c>
      <c r="B3600" s="56"/>
      <c r="C3600" s="57" t="s">
        <v>3889</v>
      </c>
      <c r="D3600" s="58" t="s">
        <v>99</v>
      </c>
      <c r="E3600" s="58" t="s">
        <v>3907</v>
      </c>
      <c r="F3600" s="136">
        <v>46168.0</v>
      </c>
      <c r="G3600" s="155">
        <v>1.558299066E7</v>
      </c>
      <c r="H3600" s="9">
        <f t="shared" si="11"/>
        <v>3272428.039</v>
      </c>
      <c r="I3600" s="44"/>
      <c r="J3600" s="44"/>
      <c r="K3600" s="10">
        <f t="shared" si="12"/>
        <v>18855418.7</v>
      </c>
      <c r="L3600" s="61"/>
      <c r="M3600" s="62"/>
    </row>
    <row r="3601" ht="15.75" customHeight="1">
      <c r="A3601" s="162">
        <v>46172.0</v>
      </c>
      <c r="B3601" s="50"/>
      <c r="C3601" s="31" t="s">
        <v>2613</v>
      </c>
      <c r="D3601" s="32" t="s">
        <v>15</v>
      </c>
      <c r="E3601" s="31" t="s">
        <v>3908</v>
      </c>
      <c r="F3601" s="139">
        <v>46168.0</v>
      </c>
      <c r="G3601" s="54">
        <v>1.566666056E7</v>
      </c>
      <c r="H3601" s="14">
        <f t="shared" si="11"/>
        <v>3289998.718</v>
      </c>
      <c r="I3601" s="22">
        <v>469999.82</v>
      </c>
      <c r="J3601" s="22"/>
      <c r="K3601" s="15">
        <f t="shared" si="12"/>
        <v>19426659.1</v>
      </c>
      <c r="L3601" s="45"/>
      <c r="M3601" s="6"/>
    </row>
    <row r="3602" ht="15.75" customHeight="1">
      <c r="A3602" s="162">
        <v>46172.0</v>
      </c>
      <c r="B3602" s="50"/>
      <c r="C3602" s="31" t="s">
        <v>2958</v>
      </c>
      <c r="D3602" s="32" t="s">
        <v>15</v>
      </c>
      <c r="E3602" s="31" t="s">
        <v>3909</v>
      </c>
      <c r="F3602" s="139">
        <v>46168.0</v>
      </c>
      <c r="G3602" s="54">
        <v>9821360.52</v>
      </c>
      <c r="H3602" s="14">
        <f t="shared" si="11"/>
        <v>2062485.709</v>
      </c>
      <c r="I3602" s="22">
        <v>294640.82</v>
      </c>
      <c r="J3602" s="22"/>
      <c r="K3602" s="15">
        <f t="shared" si="12"/>
        <v>12178487.05</v>
      </c>
      <c r="L3602" s="45"/>
      <c r="M3602" s="6"/>
    </row>
    <row r="3603" ht="15.75" customHeight="1">
      <c r="A3603" s="162">
        <v>46172.0</v>
      </c>
      <c r="B3603" s="50"/>
      <c r="C3603" s="31" t="s">
        <v>2958</v>
      </c>
      <c r="D3603" s="32" t="s">
        <v>15</v>
      </c>
      <c r="E3603" s="31" t="s">
        <v>3910</v>
      </c>
      <c r="F3603" s="139">
        <v>46168.0</v>
      </c>
      <c r="G3603" s="54">
        <v>1.018875059E7</v>
      </c>
      <c r="H3603" s="14">
        <f t="shared" si="11"/>
        <v>2139637.624</v>
      </c>
      <c r="I3603" s="22">
        <v>305662.52</v>
      </c>
      <c r="J3603" s="22"/>
      <c r="K3603" s="15">
        <f t="shared" si="12"/>
        <v>12634050.73</v>
      </c>
      <c r="L3603" s="45"/>
      <c r="M3603" s="6"/>
    </row>
    <row r="3604" ht="15.75" customHeight="1">
      <c r="A3604" s="162">
        <v>46172.0</v>
      </c>
      <c r="B3604" s="50"/>
      <c r="C3604" s="31" t="s">
        <v>3911</v>
      </c>
      <c r="D3604" s="32" t="s">
        <v>15</v>
      </c>
      <c r="E3604" s="31" t="s">
        <v>3912</v>
      </c>
      <c r="F3604" s="139">
        <v>46168.0</v>
      </c>
      <c r="G3604" s="54">
        <v>1.231054056E7</v>
      </c>
      <c r="H3604" s="14">
        <f t="shared" si="11"/>
        <v>2585213.518</v>
      </c>
      <c r="I3604" s="22"/>
      <c r="J3604" s="22"/>
      <c r="K3604" s="15">
        <f t="shared" si="12"/>
        <v>14895754.08</v>
      </c>
      <c r="L3604" s="45"/>
      <c r="M3604" s="6"/>
    </row>
    <row r="3605" ht="15.75" customHeight="1">
      <c r="A3605" s="162">
        <v>46172.0</v>
      </c>
      <c r="B3605" s="50"/>
      <c r="C3605" s="31" t="s">
        <v>3911</v>
      </c>
      <c r="D3605" s="32" t="s">
        <v>15</v>
      </c>
      <c r="E3605" s="31" t="s">
        <v>3913</v>
      </c>
      <c r="F3605" s="139">
        <v>46168.0</v>
      </c>
      <c r="G3605" s="54">
        <v>1.158598029E7</v>
      </c>
      <c r="H3605" s="14">
        <f t="shared" si="11"/>
        <v>2433055.861</v>
      </c>
      <c r="I3605" s="22"/>
      <c r="J3605" s="22"/>
      <c r="K3605" s="15">
        <f t="shared" si="12"/>
        <v>14019036.15</v>
      </c>
      <c r="L3605" s="45"/>
      <c r="M3605" s="6"/>
    </row>
    <row r="3606" ht="15.75" customHeight="1">
      <c r="A3606" s="162">
        <v>46172.0</v>
      </c>
      <c r="B3606" s="50"/>
      <c r="C3606" s="31" t="s">
        <v>3914</v>
      </c>
      <c r="D3606" s="32" t="s">
        <v>15</v>
      </c>
      <c r="E3606" s="31" t="s">
        <v>3915</v>
      </c>
      <c r="F3606" s="139">
        <v>46168.0</v>
      </c>
      <c r="G3606" s="54">
        <v>7896502.16</v>
      </c>
      <c r="H3606" s="14">
        <f t="shared" si="11"/>
        <v>1658265.454</v>
      </c>
      <c r="I3606" s="22">
        <v>236895.06</v>
      </c>
      <c r="J3606" s="22">
        <v>394825.11</v>
      </c>
      <c r="K3606" s="15">
        <f t="shared" si="12"/>
        <v>10186487.78</v>
      </c>
      <c r="L3606" s="45"/>
      <c r="M3606" s="6"/>
    </row>
    <row r="3607" ht="15.75" customHeight="1">
      <c r="A3607" s="162">
        <v>46172.0</v>
      </c>
      <c r="B3607" s="50"/>
      <c r="C3607" s="31" t="s">
        <v>3914</v>
      </c>
      <c r="D3607" s="32" t="s">
        <v>15</v>
      </c>
      <c r="E3607" s="31" t="s">
        <v>3916</v>
      </c>
      <c r="F3607" s="139">
        <v>46168.0</v>
      </c>
      <c r="G3607" s="54">
        <v>1.068016059E7</v>
      </c>
      <c r="H3607" s="14">
        <f t="shared" si="11"/>
        <v>2242833.724</v>
      </c>
      <c r="I3607" s="22">
        <v>320404.82</v>
      </c>
      <c r="J3607" s="22">
        <v>534008.03</v>
      </c>
      <c r="K3607" s="15">
        <f t="shared" si="12"/>
        <v>13777407.16</v>
      </c>
      <c r="L3607" s="45"/>
      <c r="M3607" s="6"/>
    </row>
    <row r="3608" ht="15.75" customHeight="1">
      <c r="A3608" s="162">
        <v>46172.0</v>
      </c>
      <c r="B3608" s="50"/>
      <c r="C3608" s="31" t="s">
        <v>3883</v>
      </c>
      <c r="D3608" s="32" t="s">
        <v>15</v>
      </c>
      <c r="E3608" s="31" t="s">
        <v>3917</v>
      </c>
      <c r="F3608" s="139">
        <v>46168.0</v>
      </c>
      <c r="G3608" s="54">
        <v>7994012.06</v>
      </c>
      <c r="H3608" s="14">
        <f t="shared" si="11"/>
        <v>1678742.533</v>
      </c>
      <c r="I3608" s="22"/>
      <c r="J3608" s="22">
        <v>139895.21</v>
      </c>
      <c r="K3608" s="15">
        <f t="shared" si="12"/>
        <v>9812649.803</v>
      </c>
      <c r="L3608" s="45"/>
      <c r="M3608" s="6"/>
    </row>
    <row r="3609" ht="15.75" customHeight="1">
      <c r="A3609" s="162">
        <v>46172.0</v>
      </c>
      <c r="B3609" s="50"/>
      <c r="C3609" s="31" t="s">
        <v>3883</v>
      </c>
      <c r="D3609" s="32" t="s">
        <v>15</v>
      </c>
      <c r="E3609" s="31" t="s">
        <v>3918</v>
      </c>
      <c r="F3609" s="139">
        <v>46168.0</v>
      </c>
      <c r="G3609" s="54">
        <v>8350112.62</v>
      </c>
      <c r="H3609" s="14">
        <f t="shared" si="11"/>
        <v>1753523.65</v>
      </c>
      <c r="I3609" s="22">
        <v>250503.38</v>
      </c>
      <c r="J3609" s="22">
        <v>146126.97</v>
      </c>
      <c r="K3609" s="15">
        <f t="shared" si="12"/>
        <v>10500266.62</v>
      </c>
      <c r="L3609" s="45"/>
      <c r="M3609" s="6"/>
    </row>
    <row r="3610" ht="15.75" customHeight="1">
      <c r="A3610" s="162">
        <v>46172.0</v>
      </c>
      <c r="B3610" s="50"/>
      <c r="C3610" s="31" t="s">
        <v>3919</v>
      </c>
      <c r="D3610" s="32" t="s">
        <v>99</v>
      </c>
      <c r="E3610" s="32" t="s">
        <v>3007</v>
      </c>
      <c r="F3610" s="139">
        <v>46168.0</v>
      </c>
      <c r="G3610" s="207">
        <v>1.558299066E7</v>
      </c>
      <c r="H3610" s="14">
        <f t="shared" si="11"/>
        <v>3272428.039</v>
      </c>
      <c r="I3610" s="22">
        <v>77914.95</v>
      </c>
      <c r="J3610" s="22"/>
      <c r="K3610" s="15">
        <f t="shared" si="12"/>
        <v>18933333.65</v>
      </c>
      <c r="L3610" s="45"/>
      <c r="M3610" s="6"/>
    </row>
    <row r="3611" ht="15.75" customHeight="1">
      <c r="A3611" s="162">
        <v>46172.0</v>
      </c>
      <c r="B3611" s="50"/>
      <c r="C3611" s="31" t="s">
        <v>3919</v>
      </c>
      <c r="D3611" s="32" t="s">
        <v>99</v>
      </c>
      <c r="E3611" s="32" t="s">
        <v>3008</v>
      </c>
      <c r="F3611" s="139">
        <v>46168.0</v>
      </c>
      <c r="G3611" s="207">
        <v>1.457346216E7</v>
      </c>
      <c r="H3611" s="14">
        <f t="shared" si="11"/>
        <v>3060427.054</v>
      </c>
      <c r="I3611" s="22">
        <v>72867.31</v>
      </c>
      <c r="J3611" s="22"/>
      <c r="K3611" s="15">
        <f t="shared" si="12"/>
        <v>17706756.52</v>
      </c>
      <c r="L3611" s="45"/>
      <c r="M3611" s="6"/>
    </row>
    <row r="3612" ht="15.75" customHeight="1">
      <c r="A3612" s="162">
        <v>46172.0</v>
      </c>
      <c r="B3612" s="50"/>
      <c r="C3612" s="31" t="s">
        <v>3919</v>
      </c>
      <c r="D3612" s="32" t="s">
        <v>99</v>
      </c>
      <c r="E3612" s="32" t="s">
        <v>3009</v>
      </c>
      <c r="F3612" s="139">
        <v>46168.0</v>
      </c>
      <c r="G3612" s="207">
        <v>1.632978052E7</v>
      </c>
      <c r="H3612" s="14">
        <f t="shared" si="11"/>
        <v>3429253.909</v>
      </c>
      <c r="I3612" s="22">
        <v>81648.9</v>
      </c>
      <c r="J3612" s="22"/>
      <c r="K3612" s="15">
        <f t="shared" si="12"/>
        <v>19840683.33</v>
      </c>
      <c r="L3612" s="45"/>
      <c r="M3612" s="6"/>
    </row>
    <row r="3613" ht="15.75" customHeight="1">
      <c r="A3613" s="162">
        <v>46172.0</v>
      </c>
      <c r="B3613" s="50"/>
      <c r="C3613" s="31" t="s">
        <v>3919</v>
      </c>
      <c r="D3613" s="32" t="s">
        <v>99</v>
      </c>
      <c r="E3613" s="32" t="s">
        <v>3010</v>
      </c>
      <c r="F3613" s="139">
        <v>46168.0</v>
      </c>
      <c r="G3613" s="207">
        <v>1.342955052E7</v>
      </c>
      <c r="H3613" s="14">
        <f t="shared" si="11"/>
        <v>2820205.609</v>
      </c>
      <c r="I3613" s="22">
        <v>67147.75</v>
      </c>
      <c r="J3613" s="22"/>
      <c r="K3613" s="15">
        <f t="shared" si="12"/>
        <v>16316903.88</v>
      </c>
      <c r="L3613" s="45"/>
      <c r="M3613" s="6"/>
    </row>
    <row r="3614" ht="15.75" customHeight="1">
      <c r="A3614" s="162">
        <v>46172.0</v>
      </c>
      <c r="B3614" s="50"/>
      <c r="C3614" s="31" t="s">
        <v>111</v>
      </c>
      <c r="D3614" s="32" t="s">
        <v>99</v>
      </c>
      <c r="E3614" s="32" t="s">
        <v>3011</v>
      </c>
      <c r="F3614" s="139">
        <v>46168.0</v>
      </c>
      <c r="G3614" s="207">
        <v>8213481.0</v>
      </c>
      <c r="H3614" s="14">
        <f t="shared" si="11"/>
        <v>1724831.01</v>
      </c>
      <c r="I3614" s="22"/>
      <c r="J3614" s="22"/>
      <c r="K3614" s="15">
        <f t="shared" si="12"/>
        <v>9938312.01</v>
      </c>
      <c r="L3614" s="45"/>
      <c r="M3614" s="6"/>
    </row>
    <row r="3615" ht="15.75" customHeight="1">
      <c r="A3615" s="162">
        <v>46172.0</v>
      </c>
      <c r="B3615" s="50"/>
      <c r="C3615" s="31" t="s">
        <v>111</v>
      </c>
      <c r="D3615" s="32" t="s">
        <v>99</v>
      </c>
      <c r="E3615" s="32" t="s">
        <v>3920</v>
      </c>
      <c r="F3615" s="139">
        <v>46168.0</v>
      </c>
      <c r="G3615" s="207">
        <v>5112895.8</v>
      </c>
      <c r="H3615" s="14">
        <f t="shared" si="11"/>
        <v>1073708.118</v>
      </c>
      <c r="I3615" s="22"/>
      <c r="J3615" s="22"/>
      <c r="K3615" s="15">
        <f t="shared" si="12"/>
        <v>6186603.918</v>
      </c>
      <c r="L3615" s="45"/>
      <c r="M3615" s="6"/>
    </row>
    <row r="3616" ht="15.75" customHeight="1">
      <c r="A3616" s="162">
        <v>46172.0</v>
      </c>
      <c r="B3616" s="50"/>
      <c r="C3616" s="31" t="s">
        <v>111</v>
      </c>
      <c r="D3616" s="32" t="s">
        <v>99</v>
      </c>
      <c r="E3616" s="32" t="s">
        <v>3921</v>
      </c>
      <c r="F3616" s="139">
        <v>46168.0</v>
      </c>
      <c r="G3616" s="207">
        <v>5231490.95</v>
      </c>
      <c r="H3616" s="14">
        <f t="shared" si="11"/>
        <v>1098613.1</v>
      </c>
      <c r="I3616" s="22"/>
      <c r="J3616" s="22"/>
      <c r="K3616" s="15">
        <f t="shared" si="12"/>
        <v>6330104.05</v>
      </c>
      <c r="L3616" s="45"/>
      <c r="M3616" s="6"/>
    </row>
    <row r="3617" ht="15.75" customHeight="1">
      <c r="A3617" s="162">
        <v>46172.0</v>
      </c>
      <c r="B3617" s="50"/>
      <c r="C3617" s="31" t="s">
        <v>111</v>
      </c>
      <c r="D3617" s="32" t="s">
        <v>15</v>
      </c>
      <c r="E3617" s="32" t="s">
        <v>3922</v>
      </c>
      <c r="F3617" s="139">
        <v>46168.0</v>
      </c>
      <c r="G3617" s="207">
        <v>3.117739065E7</v>
      </c>
      <c r="H3617" s="14">
        <f t="shared" si="11"/>
        <v>6547252.037</v>
      </c>
      <c r="I3617" s="22"/>
      <c r="J3617" s="22"/>
      <c r="K3617" s="15">
        <f t="shared" si="12"/>
        <v>37724642.69</v>
      </c>
      <c r="L3617" s="45"/>
      <c r="M3617" s="6"/>
    </row>
    <row r="3618" ht="15.75" customHeight="1">
      <c r="A3618" s="162">
        <v>46172.0</v>
      </c>
      <c r="B3618" s="50"/>
      <c r="C3618" s="31" t="s">
        <v>111</v>
      </c>
      <c r="D3618" s="32" t="s">
        <v>15</v>
      </c>
      <c r="E3618" s="32" t="s">
        <v>3923</v>
      </c>
      <c r="F3618" s="139">
        <v>46168.0</v>
      </c>
      <c r="G3618" s="207">
        <v>2.541768085E7</v>
      </c>
      <c r="H3618" s="14">
        <f t="shared" si="11"/>
        <v>5337712.979</v>
      </c>
      <c r="I3618" s="22">
        <v>762530.42</v>
      </c>
      <c r="J3618" s="22"/>
      <c r="K3618" s="15">
        <f t="shared" si="12"/>
        <v>31517924.25</v>
      </c>
      <c r="L3618" s="45"/>
      <c r="M3618" s="6"/>
    </row>
    <row r="3619" ht="15.75" customHeight="1">
      <c r="A3619" s="162">
        <v>46172.0</v>
      </c>
      <c r="B3619" s="50"/>
      <c r="C3619" s="31" t="s">
        <v>111</v>
      </c>
      <c r="D3619" s="31" t="s">
        <v>1543</v>
      </c>
      <c r="E3619" s="32" t="s">
        <v>3924</v>
      </c>
      <c r="F3619" s="139">
        <v>46168.0</v>
      </c>
      <c r="G3619" s="207">
        <v>2.487457012E7</v>
      </c>
      <c r="H3619" s="14">
        <f t="shared" si="11"/>
        <v>5223659.725</v>
      </c>
      <c r="I3619" s="22">
        <v>746237.1</v>
      </c>
      <c r="J3619" s="22"/>
      <c r="K3619" s="15">
        <f t="shared" si="12"/>
        <v>30844466.95</v>
      </c>
      <c r="L3619" s="45"/>
      <c r="M3619" s="6"/>
    </row>
    <row r="3620" ht="15.75" customHeight="1">
      <c r="A3620" s="162">
        <v>46172.0</v>
      </c>
      <c r="B3620" s="50"/>
      <c r="C3620" s="31" t="s">
        <v>1136</v>
      </c>
      <c r="D3620" s="32" t="s">
        <v>99</v>
      </c>
      <c r="E3620" s="32" t="s">
        <v>3925</v>
      </c>
      <c r="F3620" s="139">
        <v>46168.0</v>
      </c>
      <c r="G3620" s="207">
        <v>186479.0</v>
      </c>
      <c r="H3620" s="14">
        <f t="shared" si="11"/>
        <v>39160.59</v>
      </c>
      <c r="I3620" s="22">
        <v>14918.32</v>
      </c>
      <c r="J3620" s="22"/>
      <c r="K3620" s="15">
        <f t="shared" si="12"/>
        <v>240557.91</v>
      </c>
      <c r="L3620" s="45"/>
      <c r="M3620" s="6"/>
    </row>
    <row r="3621" ht="15.75" customHeight="1">
      <c r="A3621" s="218">
        <v>46172.0</v>
      </c>
      <c r="B3621" s="56"/>
      <c r="C3621" s="57" t="s">
        <v>3889</v>
      </c>
      <c r="D3621" s="58" t="s">
        <v>99</v>
      </c>
      <c r="E3621" s="58" t="s">
        <v>3926</v>
      </c>
      <c r="F3621" s="136">
        <v>46168.0</v>
      </c>
      <c r="G3621" s="155">
        <v>-5.991578386E7</v>
      </c>
      <c r="H3621" s="9">
        <f t="shared" si="11"/>
        <v>-12582314.61</v>
      </c>
      <c r="I3621" s="44"/>
      <c r="J3621" s="44"/>
      <c r="K3621" s="10">
        <f t="shared" si="12"/>
        <v>-72498098.47</v>
      </c>
      <c r="L3621" s="61"/>
      <c r="M3621" s="62"/>
    </row>
    <row r="3622" ht="15.75" customHeight="1">
      <c r="A3622" s="218">
        <v>46172.0</v>
      </c>
      <c r="B3622" s="56"/>
      <c r="C3622" s="58" t="s">
        <v>784</v>
      </c>
      <c r="D3622" s="58" t="s">
        <v>3605</v>
      </c>
      <c r="E3622" s="58" t="s">
        <v>3927</v>
      </c>
      <c r="F3622" s="136">
        <v>46168.0</v>
      </c>
      <c r="G3622" s="155">
        <v>3.997671835E7</v>
      </c>
      <c r="H3622" s="9">
        <f t="shared" si="11"/>
        <v>8395110.854</v>
      </c>
      <c r="I3622" s="44"/>
      <c r="J3622" s="44"/>
      <c r="K3622" s="10">
        <f t="shared" si="12"/>
        <v>48371829.2</v>
      </c>
      <c r="L3622" s="61"/>
      <c r="M3622" s="62"/>
    </row>
    <row r="3623" ht="15.75" customHeight="1">
      <c r="A3623" s="218">
        <v>46172.0</v>
      </c>
      <c r="B3623" s="56"/>
      <c r="C3623" s="58" t="s">
        <v>3817</v>
      </c>
      <c r="D3623" s="58" t="s">
        <v>3605</v>
      </c>
      <c r="E3623" s="58" t="s">
        <v>3928</v>
      </c>
      <c r="F3623" s="136">
        <v>46168.0</v>
      </c>
      <c r="G3623" s="206">
        <f>20380058.8/1.21</f>
        <v>16843023.8</v>
      </c>
      <c r="H3623" s="9">
        <f t="shared" si="11"/>
        <v>3537034.998</v>
      </c>
      <c r="I3623" s="44"/>
      <c r="J3623" s="44"/>
      <c r="K3623" s="10">
        <f t="shared" si="12"/>
        <v>20380058.8</v>
      </c>
      <c r="L3623" s="61"/>
      <c r="M3623" s="62"/>
    </row>
    <row r="3624" ht="15.75" customHeight="1">
      <c r="A3624" s="162">
        <v>46175.0</v>
      </c>
      <c r="B3624" s="50"/>
      <c r="C3624" s="31" t="s">
        <v>211</v>
      </c>
      <c r="D3624" s="32" t="s">
        <v>99</v>
      </c>
      <c r="E3624" s="31" t="s">
        <v>3929</v>
      </c>
      <c r="F3624" s="134">
        <v>46199.0</v>
      </c>
      <c r="G3624" s="207">
        <f>4121460/1.21</f>
        <v>3406165.289</v>
      </c>
      <c r="H3624" s="14">
        <f t="shared" si="11"/>
        <v>715294.7107</v>
      </c>
      <c r="I3624" s="22"/>
      <c r="J3624" s="22"/>
      <c r="K3624" s="15">
        <f t="shared" si="12"/>
        <v>4121460</v>
      </c>
      <c r="L3624" s="45"/>
      <c r="M3624" s="6"/>
    </row>
    <row r="3625" ht="15.75" customHeight="1">
      <c r="A3625" s="162">
        <v>46175.0</v>
      </c>
      <c r="B3625" s="50"/>
      <c r="C3625" s="31" t="s">
        <v>211</v>
      </c>
      <c r="D3625" s="32" t="s">
        <v>99</v>
      </c>
      <c r="E3625" s="31" t="s">
        <v>3930</v>
      </c>
      <c r="F3625" s="134">
        <v>46199.0</v>
      </c>
      <c r="G3625" s="207">
        <f>4497579.99/1.21</f>
        <v>3717008.256</v>
      </c>
      <c r="H3625" s="14">
        <f t="shared" si="11"/>
        <v>780571.7338</v>
      </c>
      <c r="I3625" s="22"/>
      <c r="J3625" s="22"/>
      <c r="K3625" s="15">
        <f t="shared" si="12"/>
        <v>4497579.99</v>
      </c>
      <c r="L3625" s="45"/>
      <c r="M3625" s="6"/>
    </row>
    <row r="3626" ht="15.75" customHeight="1">
      <c r="A3626" s="162">
        <v>46175.0</v>
      </c>
      <c r="B3626" s="50"/>
      <c r="C3626" s="31" t="s">
        <v>1842</v>
      </c>
      <c r="D3626" s="32" t="s">
        <v>99</v>
      </c>
      <c r="E3626" s="31" t="s">
        <v>3931</v>
      </c>
      <c r="F3626" s="134">
        <v>46199.0</v>
      </c>
      <c r="G3626" s="54">
        <v>2.937128052E7</v>
      </c>
      <c r="H3626" s="14">
        <f t="shared" si="11"/>
        <v>6167968.909</v>
      </c>
      <c r="I3626" s="22"/>
      <c r="J3626" s="22">
        <v>205598.96</v>
      </c>
      <c r="K3626" s="15">
        <f t="shared" si="12"/>
        <v>35744848.39</v>
      </c>
      <c r="L3626" s="45"/>
      <c r="M3626" s="6"/>
    </row>
    <row r="3627" ht="15.75" customHeight="1">
      <c r="A3627" s="162">
        <v>46175.0</v>
      </c>
      <c r="B3627" s="50"/>
      <c r="C3627" s="31" t="s">
        <v>1842</v>
      </c>
      <c r="D3627" s="32" t="s">
        <v>15</v>
      </c>
      <c r="E3627" s="31" t="s">
        <v>3932</v>
      </c>
      <c r="F3627" s="134">
        <v>46199.0</v>
      </c>
      <c r="G3627" s="54">
        <v>2.438725015E7</v>
      </c>
      <c r="H3627" s="14">
        <f t="shared" si="11"/>
        <v>5121322.532</v>
      </c>
      <c r="I3627" s="22"/>
      <c r="J3627" s="22">
        <v>170710.75</v>
      </c>
      <c r="K3627" s="15">
        <f t="shared" si="12"/>
        <v>29679283.43</v>
      </c>
      <c r="L3627" s="45"/>
      <c r="M3627" s="6"/>
    </row>
    <row r="3628" ht="15.75" customHeight="1">
      <c r="A3628" s="162">
        <v>46175.0</v>
      </c>
      <c r="B3628" s="50"/>
      <c r="C3628" s="31" t="s">
        <v>1842</v>
      </c>
      <c r="D3628" s="32" t="s">
        <v>15</v>
      </c>
      <c r="E3628" s="31" t="s">
        <v>3933</v>
      </c>
      <c r="F3628" s="134">
        <v>46199.0</v>
      </c>
      <c r="G3628" s="54">
        <v>2.397789015E7</v>
      </c>
      <c r="H3628" s="14">
        <f t="shared" si="11"/>
        <v>5035356.932</v>
      </c>
      <c r="I3628" s="22"/>
      <c r="J3628" s="22">
        <v>167845.23</v>
      </c>
      <c r="K3628" s="15">
        <f t="shared" si="12"/>
        <v>29181092.31</v>
      </c>
      <c r="L3628" s="45"/>
      <c r="M3628" s="6"/>
    </row>
    <row r="3629" ht="15.75" customHeight="1">
      <c r="A3629" s="162">
        <v>46176.0</v>
      </c>
      <c r="B3629" s="50"/>
      <c r="C3629" s="31" t="s">
        <v>1854</v>
      </c>
      <c r="D3629" s="32" t="s">
        <v>99</v>
      </c>
      <c r="E3629" s="31" t="s">
        <v>3934</v>
      </c>
      <c r="F3629" s="134">
        <v>46199.0</v>
      </c>
      <c r="G3629" s="54">
        <v>1.202238305E7</v>
      </c>
      <c r="H3629" s="14">
        <f t="shared" si="11"/>
        <v>2524700.441</v>
      </c>
      <c r="I3629" s="22"/>
      <c r="J3629" s="22">
        <v>601119.15</v>
      </c>
      <c r="K3629" s="15">
        <f t="shared" si="12"/>
        <v>15148202.64</v>
      </c>
      <c r="L3629" s="61"/>
      <c r="M3629" s="62"/>
    </row>
    <row r="3630" ht="15.75" customHeight="1">
      <c r="A3630" s="208">
        <v>46176.0</v>
      </c>
      <c r="B3630" s="158"/>
      <c r="C3630" s="147" t="s">
        <v>1854</v>
      </c>
      <c r="D3630" s="148" t="s">
        <v>99</v>
      </c>
      <c r="E3630" s="147" t="s">
        <v>3935</v>
      </c>
      <c r="F3630" s="215">
        <v>46199.0</v>
      </c>
      <c r="G3630" s="209">
        <v>1.733363208E7</v>
      </c>
      <c r="H3630" s="150">
        <f t="shared" si="11"/>
        <v>3640062.737</v>
      </c>
      <c r="I3630" s="151"/>
      <c r="J3630" s="151">
        <v>866681.6</v>
      </c>
      <c r="K3630" s="152">
        <f t="shared" si="12"/>
        <v>21840376.42</v>
      </c>
      <c r="L3630" s="61"/>
      <c r="M3630" s="62"/>
    </row>
    <row r="3631" ht="15.75" customHeight="1">
      <c r="A3631" s="208">
        <v>46176.0</v>
      </c>
      <c r="B3631" s="158"/>
      <c r="C3631" s="147" t="s">
        <v>1854</v>
      </c>
      <c r="D3631" s="148" t="s">
        <v>99</v>
      </c>
      <c r="E3631" s="147" t="s">
        <v>3936</v>
      </c>
      <c r="F3631" s="215">
        <v>46199.0</v>
      </c>
      <c r="G3631" s="209">
        <v>1.522532212E7</v>
      </c>
      <c r="H3631" s="150">
        <f t="shared" si="11"/>
        <v>3197317.645</v>
      </c>
      <c r="I3631" s="151"/>
      <c r="J3631" s="151">
        <v>761266.11</v>
      </c>
      <c r="K3631" s="152">
        <f t="shared" si="12"/>
        <v>19183905.88</v>
      </c>
      <c r="L3631" s="61"/>
      <c r="M3631" s="62"/>
    </row>
    <row r="3632" ht="15.75" customHeight="1">
      <c r="A3632" s="208">
        <v>46176.0</v>
      </c>
      <c r="B3632" s="158"/>
      <c r="C3632" s="147" t="s">
        <v>1854</v>
      </c>
      <c r="D3632" s="148" t="s">
        <v>99</v>
      </c>
      <c r="E3632" s="147" t="s">
        <v>3937</v>
      </c>
      <c r="F3632" s="215">
        <v>46199.0</v>
      </c>
      <c r="G3632" s="209">
        <v>1.723352205E7</v>
      </c>
      <c r="H3632" s="150">
        <f t="shared" si="11"/>
        <v>3619039.631</v>
      </c>
      <c r="I3632" s="151"/>
      <c r="J3632" s="151">
        <v>861676.1</v>
      </c>
      <c r="K3632" s="152">
        <f t="shared" si="12"/>
        <v>21714237.78</v>
      </c>
      <c r="L3632" s="61"/>
      <c r="M3632" s="62"/>
    </row>
    <row r="3633" ht="15.75" customHeight="1">
      <c r="A3633" s="162">
        <v>46176.0</v>
      </c>
      <c r="B3633" s="50"/>
      <c r="C3633" s="32" t="s">
        <v>1854</v>
      </c>
      <c r="D3633" s="32" t="s">
        <v>99</v>
      </c>
      <c r="E3633" s="31" t="s">
        <v>3938</v>
      </c>
      <c r="F3633" s="134">
        <v>46199.0</v>
      </c>
      <c r="G3633" s="54">
        <v>2.533434214E7</v>
      </c>
      <c r="H3633" s="14">
        <f t="shared" si="11"/>
        <v>5320211.849</v>
      </c>
      <c r="I3633" s="22"/>
      <c r="J3633" s="22">
        <v>1266717.11</v>
      </c>
      <c r="K3633" s="15">
        <f t="shared" si="12"/>
        <v>31921271.1</v>
      </c>
      <c r="L3633" s="61"/>
      <c r="M3633" s="62"/>
    </row>
    <row r="3634" ht="15.75" customHeight="1">
      <c r="A3634" s="162">
        <v>46176.0</v>
      </c>
      <c r="B3634" s="50"/>
      <c r="C3634" s="31" t="s">
        <v>1854</v>
      </c>
      <c r="D3634" s="32" t="s">
        <v>99</v>
      </c>
      <c r="E3634" s="31" t="s">
        <v>3939</v>
      </c>
      <c r="F3634" s="134">
        <v>46199.0</v>
      </c>
      <c r="G3634" s="54">
        <v>1.75695561E7</v>
      </c>
      <c r="H3634" s="14">
        <f t="shared" si="11"/>
        <v>3689606.781</v>
      </c>
      <c r="I3634" s="22">
        <v>527086.68</v>
      </c>
      <c r="J3634" s="22">
        <v>878477.81</v>
      </c>
      <c r="K3634" s="15">
        <f t="shared" si="12"/>
        <v>22664727.37</v>
      </c>
      <c r="L3634" s="61"/>
      <c r="M3634" s="62"/>
    </row>
    <row r="3635" ht="15.75" customHeight="1">
      <c r="A3635" s="162">
        <v>46176.0</v>
      </c>
      <c r="B3635" s="50"/>
      <c r="C3635" s="31" t="s">
        <v>1854</v>
      </c>
      <c r="D3635" s="32" t="s">
        <v>99</v>
      </c>
      <c r="E3635" s="31" t="s">
        <v>3940</v>
      </c>
      <c r="F3635" s="134">
        <v>46199.0</v>
      </c>
      <c r="G3635" s="54">
        <v>2.419957956E7</v>
      </c>
      <c r="H3635" s="14">
        <f t="shared" si="11"/>
        <v>5081911.708</v>
      </c>
      <c r="I3635" s="22">
        <v>725987.39</v>
      </c>
      <c r="J3635" s="22">
        <v>1209978.98</v>
      </c>
      <c r="K3635" s="15">
        <f t="shared" si="12"/>
        <v>31217457.64</v>
      </c>
      <c r="L3635" s="61"/>
      <c r="M3635" s="62"/>
    </row>
    <row r="3636" ht="15.75" customHeight="1">
      <c r="A3636" s="208">
        <v>46176.0</v>
      </c>
      <c r="B3636" s="158"/>
      <c r="C3636" s="147" t="s">
        <v>1854</v>
      </c>
      <c r="D3636" s="148" t="s">
        <v>99</v>
      </c>
      <c r="E3636" s="147" t="s">
        <v>3941</v>
      </c>
      <c r="F3636" s="215">
        <v>46199.0</v>
      </c>
      <c r="G3636" s="209">
        <v>2.419957956E7</v>
      </c>
      <c r="H3636" s="150">
        <f t="shared" si="11"/>
        <v>5081911.708</v>
      </c>
      <c r="I3636" s="151">
        <v>725987.39</v>
      </c>
      <c r="J3636" s="151">
        <v>1209978.98</v>
      </c>
      <c r="K3636" s="152">
        <f t="shared" si="12"/>
        <v>31217457.64</v>
      </c>
      <c r="L3636" s="61"/>
      <c r="M3636" s="62"/>
    </row>
    <row r="3637" ht="15.75" customHeight="1">
      <c r="A3637" s="208">
        <v>46176.0</v>
      </c>
      <c r="B3637" s="158"/>
      <c r="C3637" s="147" t="s">
        <v>1854</v>
      </c>
      <c r="D3637" s="148" t="s">
        <v>99</v>
      </c>
      <c r="E3637" s="147" t="s">
        <v>3942</v>
      </c>
      <c r="F3637" s="215">
        <v>46199.0</v>
      </c>
      <c r="G3637" s="209">
        <v>2.48200816E7</v>
      </c>
      <c r="H3637" s="150">
        <f t="shared" si="11"/>
        <v>5212217.136</v>
      </c>
      <c r="I3637" s="151">
        <v>744602.45</v>
      </c>
      <c r="J3637" s="151">
        <v>1241004.08</v>
      </c>
      <c r="K3637" s="152">
        <f t="shared" si="12"/>
        <v>32017905.27</v>
      </c>
      <c r="L3637" s="61"/>
      <c r="M3637" s="62"/>
    </row>
    <row r="3638" ht="15.75" customHeight="1">
      <c r="A3638" s="162">
        <v>46176.0</v>
      </c>
      <c r="B3638" s="50"/>
      <c r="C3638" s="31" t="s">
        <v>1854</v>
      </c>
      <c r="D3638" s="32" t="s">
        <v>15</v>
      </c>
      <c r="E3638" s="31" t="s">
        <v>3943</v>
      </c>
      <c r="F3638" s="134">
        <v>46199.0</v>
      </c>
      <c r="G3638" s="54">
        <v>1.422332323E7</v>
      </c>
      <c r="H3638" s="14">
        <f t="shared" si="11"/>
        <v>2986897.878</v>
      </c>
      <c r="I3638" s="22"/>
      <c r="J3638" s="22">
        <v>711166.16</v>
      </c>
      <c r="K3638" s="15">
        <f t="shared" si="12"/>
        <v>17921387.27</v>
      </c>
      <c r="L3638" s="61"/>
      <c r="M3638" s="62"/>
    </row>
    <row r="3639" ht="15.75" customHeight="1">
      <c r="A3639" s="162">
        <v>46176.0</v>
      </c>
      <c r="B3639" s="50"/>
      <c r="C3639" s="31" t="s">
        <v>1854</v>
      </c>
      <c r="D3639" s="32" t="s">
        <v>15</v>
      </c>
      <c r="E3639" s="31" t="s">
        <v>3944</v>
      </c>
      <c r="F3639" s="134">
        <v>46199.0</v>
      </c>
      <c r="G3639" s="54">
        <v>2.78406E7</v>
      </c>
      <c r="H3639" s="14">
        <f t="shared" si="11"/>
        <v>5846526</v>
      </c>
      <c r="I3639" s="22">
        <v>835218.0</v>
      </c>
      <c r="J3639" s="22">
        <v>1392030.0</v>
      </c>
      <c r="K3639" s="15">
        <f t="shared" si="12"/>
        <v>35914374</v>
      </c>
      <c r="L3639" s="61"/>
      <c r="M3639" s="62"/>
    </row>
    <row r="3640" ht="15.75" customHeight="1">
      <c r="A3640" s="162">
        <v>46176.0</v>
      </c>
      <c r="B3640" s="50"/>
      <c r="C3640" s="31" t="s">
        <v>1854</v>
      </c>
      <c r="D3640" s="32" t="s">
        <v>15</v>
      </c>
      <c r="E3640" s="31" t="s">
        <v>3945</v>
      </c>
      <c r="F3640" s="134">
        <v>46199.0</v>
      </c>
      <c r="G3640" s="54">
        <v>2.78406E7</v>
      </c>
      <c r="H3640" s="14">
        <f t="shared" si="11"/>
        <v>5846526</v>
      </c>
      <c r="I3640" s="22">
        <v>835218.0</v>
      </c>
      <c r="J3640" s="22">
        <v>1392030.0</v>
      </c>
      <c r="K3640" s="15">
        <f t="shared" si="12"/>
        <v>35914374</v>
      </c>
      <c r="L3640" s="61"/>
      <c r="M3640" s="62"/>
    </row>
    <row r="3641" ht="15.75" customHeight="1">
      <c r="A3641" s="162">
        <v>46176.0</v>
      </c>
      <c r="B3641" s="50"/>
      <c r="C3641" s="31" t="s">
        <v>1854</v>
      </c>
      <c r="D3641" s="32" t="s">
        <v>15</v>
      </c>
      <c r="E3641" s="31" t="s">
        <v>3946</v>
      </c>
      <c r="F3641" s="134">
        <v>46199.0</v>
      </c>
      <c r="G3641" s="54">
        <v>2.78406E7</v>
      </c>
      <c r="H3641" s="14">
        <f t="shared" si="11"/>
        <v>5846526</v>
      </c>
      <c r="I3641" s="22">
        <v>835218.0</v>
      </c>
      <c r="J3641" s="22">
        <v>1392030.0</v>
      </c>
      <c r="K3641" s="15">
        <f t="shared" si="12"/>
        <v>35914374</v>
      </c>
      <c r="L3641" s="61"/>
      <c r="M3641" s="62"/>
    </row>
    <row r="3642" ht="15.75" customHeight="1">
      <c r="A3642" s="162">
        <v>46176.0</v>
      </c>
      <c r="B3642" s="50"/>
      <c r="C3642" s="31" t="s">
        <v>1854</v>
      </c>
      <c r="D3642" s="32" t="s">
        <v>15</v>
      </c>
      <c r="E3642" s="31" t="s">
        <v>3947</v>
      </c>
      <c r="F3642" s="134">
        <v>46199.0</v>
      </c>
      <c r="G3642" s="54">
        <v>1.472636352E7</v>
      </c>
      <c r="H3642" s="14">
        <f t="shared" si="11"/>
        <v>3092536.339</v>
      </c>
      <c r="I3642" s="22"/>
      <c r="J3642" s="22">
        <v>736318.18</v>
      </c>
      <c r="K3642" s="15">
        <f t="shared" si="12"/>
        <v>18555218.04</v>
      </c>
      <c r="L3642" s="61"/>
      <c r="M3642" s="62"/>
    </row>
    <row r="3643" ht="15.75" customHeight="1">
      <c r="A3643" s="162">
        <v>46176.0</v>
      </c>
      <c r="B3643" s="50"/>
      <c r="C3643" s="31" t="s">
        <v>1854</v>
      </c>
      <c r="D3643" s="32" t="s">
        <v>15</v>
      </c>
      <c r="E3643" s="31" t="s">
        <v>3948</v>
      </c>
      <c r="F3643" s="134">
        <v>46199.0</v>
      </c>
      <c r="G3643" s="54">
        <v>1.533252205E7</v>
      </c>
      <c r="H3643" s="14">
        <f t="shared" si="11"/>
        <v>3219829.631</v>
      </c>
      <c r="I3643" s="22"/>
      <c r="J3643" s="22">
        <v>766626.1</v>
      </c>
      <c r="K3643" s="15">
        <f t="shared" si="12"/>
        <v>19318977.78</v>
      </c>
      <c r="L3643" s="61"/>
      <c r="M3643" s="62"/>
    </row>
    <row r="3644" ht="15.75" customHeight="1">
      <c r="A3644" s="162">
        <v>46176.0</v>
      </c>
      <c r="B3644" s="50"/>
      <c r="C3644" s="31" t="s">
        <v>1854</v>
      </c>
      <c r="D3644" s="32" t="s">
        <v>15</v>
      </c>
      <c r="E3644" s="31" t="s">
        <v>3949</v>
      </c>
      <c r="F3644" s="134">
        <v>46199.0</v>
      </c>
      <c r="G3644" s="54">
        <v>2.088633514E7</v>
      </c>
      <c r="H3644" s="14">
        <f t="shared" si="11"/>
        <v>4386130.379</v>
      </c>
      <c r="I3644" s="22"/>
      <c r="J3644" s="22">
        <v>1044316.76</v>
      </c>
      <c r="K3644" s="15">
        <f t="shared" si="12"/>
        <v>26316782.28</v>
      </c>
      <c r="L3644" s="61"/>
      <c r="M3644" s="62"/>
    </row>
    <row r="3645" ht="15.75" customHeight="1">
      <c r="A3645" s="162">
        <v>46176.0</v>
      </c>
      <c r="B3645" s="50"/>
      <c r="C3645" s="31" t="s">
        <v>1854</v>
      </c>
      <c r="D3645" s="32" t="s">
        <v>15</v>
      </c>
      <c r="E3645" s="31" t="s">
        <v>3950</v>
      </c>
      <c r="F3645" s="134">
        <v>46199.0</v>
      </c>
      <c r="G3645" s="54">
        <v>1.692276312E7</v>
      </c>
      <c r="H3645" s="14">
        <f t="shared" si="11"/>
        <v>3553780.255</v>
      </c>
      <c r="I3645" s="22"/>
      <c r="J3645" s="22">
        <v>846138.16</v>
      </c>
      <c r="K3645" s="15">
        <f t="shared" si="12"/>
        <v>21322681.54</v>
      </c>
      <c r="L3645" s="61"/>
      <c r="M3645" s="62"/>
    </row>
    <row r="3646" ht="15.75" customHeight="1">
      <c r="A3646" s="162">
        <v>46176.0</v>
      </c>
      <c r="B3646" s="50"/>
      <c r="C3646" s="31" t="s">
        <v>1858</v>
      </c>
      <c r="D3646" s="32" t="s">
        <v>15</v>
      </c>
      <c r="E3646" s="31" t="s">
        <v>3951</v>
      </c>
      <c r="F3646" s="134">
        <v>46199.0</v>
      </c>
      <c r="G3646" s="54">
        <v>2.246074272E7</v>
      </c>
      <c r="H3646" s="14">
        <f t="shared" si="11"/>
        <v>4716755.971</v>
      </c>
      <c r="I3646" s="22">
        <v>673822.28</v>
      </c>
      <c r="J3646" s="22">
        <v>89842.97</v>
      </c>
      <c r="K3646" s="15">
        <f t="shared" si="12"/>
        <v>27941163.94</v>
      </c>
      <c r="L3646" s="45"/>
      <c r="M3646" s="6"/>
    </row>
    <row r="3647" ht="15.75" customHeight="1">
      <c r="A3647" s="162">
        <v>46176.0</v>
      </c>
      <c r="B3647" s="50"/>
      <c r="C3647" s="31" t="s">
        <v>1858</v>
      </c>
      <c r="D3647" s="32" t="s">
        <v>15</v>
      </c>
      <c r="E3647" s="31" t="s">
        <v>3952</v>
      </c>
      <c r="F3647" s="134">
        <v>46199.0</v>
      </c>
      <c r="G3647" s="54">
        <v>1.114295574E7</v>
      </c>
      <c r="H3647" s="14">
        <f t="shared" si="11"/>
        <v>2340020.705</v>
      </c>
      <c r="I3647" s="22">
        <v>334288.67</v>
      </c>
      <c r="J3647" s="22">
        <v>44571.82</v>
      </c>
      <c r="K3647" s="15">
        <f t="shared" si="12"/>
        <v>13861836.94</v>
      </c>
      <c r="L3647" s="45"/>
      <c r="M3647" s="6"/>
    </row>
    <row r="3648" ht="15.75" customHeight="1">
      <c r="A3648" s="162">
        <v>46176.0</v>
      </c>
      <c r="B3648" s="50"/>
      <c r="C3648" s="31" t="s">
        <v>1858</v>
      </c>
      <c r="D3648" s="32" t="s">
        <v>15</v>
      </c>
      <c r="E3648" s="31" t="s">
        <v>3953</v>
      </c>
      <c r="F3648" s="134">
        <v>46199.0</v>
      </c>
      <c r="G3648" s="54">
        <v>2.180013264E7</v>
      </c>
      <c r="H3648" s="14">
        <f t="shared" si="11"/>
        <v>4578027.854</v>
      </c>
      <c r="I3648" s="22">
        <v>654003.98</v>
      </c>
      <c r="J3648" s="22">
        <v>87200.53</v>
      </c>
      <c r="K3648" s="15">
        <f t="shared" si="12"/>
        <v>27119365</v>
      </c>
      <c r="L3648" s="45"/>
      <c r="M3648" s="6"/>
    </row>
    <row r="3649" ht="15.75" customHeight="1">
      <c r="A3649" s="162">
        <v>46176.0</v>
      </c>
      <c r="B3649" s="50"/>
      <c r="C3649" s="31" t="s">
        <v>1858</v>
      </c>
      <c r="D3649" s="32" t="s">
        <v>99</v>
      </c>
      <c r="E3649" s="31" t="s">
        <v>3954</v>
      </c>
      <c r="F3649" s="134">
        <v>46199.0</v>
      </c>
      <c r="G3649" s="54">
        <v>1.41120966E7</v>
      </c>
      <c r="H3649" s="14">
        <f t="shared" si="11"/>
        <v>2963540.286</v>
      </c>
      <c r="I3649" s="22">
        <v>423362.9</v>
      </c>
      <c r="J3649" s="22">
        <v>56448.39</v>
      </c>
      <c r="K3649" s="15">
        <f t="shared" si="12"/>
        <v>17555448.18</v>
      </c>
      <c r="L3649" s="45"/>
      <c r="M3649" s="6"/>
    </row>
    <row r="3650" ht="15.75" customHeight="1">
      <c r="A3650" s="162">
        <v>46176.0</v>
      </c>
      <c r="B3650" s="50"/>
      <c r="C3650" s="31" t="s">
        <v>1861</v>
      </c>
      <c r="D3650" s="32" t="s">
        <v>99</v>
      </c>
      <c r="E3650" s="31" t="s">
        <v>3955</v>
      </c>
      <c r="F3650" s="134">
        <v>46199.0</v>
      </c>
      <c r="G3650" s="54">
        <v>2.29690701E7</v>
      </c>
      <c r="H3650" s="14">
        <f t="shared" si="11"/>
        <v>4823504.721</v>
      </c>
      <c r="I3650" s="22">
        <v>689072.1</v>
      </c>
      <c r="J3650" s="22">
        <v>459381.4</v>
      </c>
      <c r="K3650" s="15">
        <f t="shared" si="12"/>
        <v>28941028.32</v>
      </c>
      <c r="L3650" s="45"/>
      <c r="M3650" s="6"/>
    </row>
    <row r="3651" ht="15.75" customHeight="1">
      <c r="A3651" s="162">
        <v>46176.0</v>
      </c>
      <c r="B3651" s="50"/>
      <c r="C3651" s="31" t="s">
        <v>1861</v>
      </c>
      <c r="D3651" s="32" t="s">
        <v>99</v>
      </c>
      <c r="E3651" s="31" t="s">
        <v>3956</v>
      </c>
      <c r="F3651" s="134">
        <v>46199.0</v>
      </c>
      <c r="G3651" s="54">
        <v>2.220343443E7</v>
      </c>
      <c r="H3651" s="14">
        <f t="shared" si="11"/>
        <v>4662721.23</v>
      </c>
      <c r="I3651" s="22">
        <v>666103.03</v>
      </c>
      <c r="J3651" s="22">
        <v>444068.69</v>
      </c>
      <c r="K3651" s="15">
        <f t="shared" si="12"/>
        <v>27976327.38</v>
      </c>
      <c r="L3651" s="45"/>
      <c r="M3651" s="24">
        <v>46206.0</v>
      </c>
    </row>
    <row r="3652" ht="15.75" customHeight="1">
      <c r="A3652" s="162">
        <v>46176.0</v>
      </c>
      <c r="B3652" s="50"/>
      <c r="C3652" s="31" t="s">
        <v>1861</v>
      </c>
      <c r="D3652" s="32" t="s">
        <v>99</v>
      </c>
      <c r="E3652" s="31" t="s">
        <v>3957</v>
      </c>
      <c r="F3652" s="134">
        <v>46199.0</v>
      </c>
      <c r="G3652" s="54">
        <v>2.002650065E7</v>
      </c>
      <c r="H3652" s="14">
        <f t="shared" si="11"/>
        <v>4205565.137</v>
      </c>
      <c r="I3652" s="22">
        <v>600795.02</v>
      </c>
      <c r="J3652" s="22">
        <v>400530.01</v>
      </c>
      <c r="K3652" s="15">
        <f t="shared" si="12"/>
        <v>25233390.82</v>
      </c>
      <c r="L3652" s="45"/>
      <c r="M3652" s="24">
        <v>46206.0</v>
      </c>
    </row>
    <row r="3653" ht="15.75" customHeight="1">
      <c r="A3653" s="162">
        <v>46176.0</v>
      </c>
      <c r="B3653" s="50"/>
      <c r="C3653" s="31" t="s">
        <v>1861</v>
      </c>
      <c r="D3653" s="32" t="s">
        <v>99</v>
      </c>
      <c r="E3653" s="31" t="s">
        <v>3958</v>
      </c>
      <c r="F3653" s="134">
        <v>46199.0</v>
      </c>
      <c r="G3653" s="54">
        <v>2.002650065E7</v>
      </c>
      <c r="H3653" s="14">
        <f t="shared" si="11"/>
        <v>4205565.137</v>
      </c>
      <c r="I3653" s="22">
        <v>600795.02</v>
      </c>
      <c r="J3653" s="22">
        <v>400530.01</v>
      </c>
      <c r="K3653" s="15">
        <f t="shared" si="12"/>
        <v>25233390.82</v>
      </c>
      <c r="L3653" s="45"/>
      <c r="M3653" s="6"/>
    </row>
    <row r="3654" ht="15.75" customHeight="1">
      <c r="A3654" s="162">
        <v>46176.0</v>
      </c>
      <c r="B3654" s="50"/>
      <c r="C3654" s="31" t="s">
        <v>1861</v>
      </c>
      <c r="D3654" s="32" t="s">
        <v>15</v>
      </c>
      <c r="E3654" s="31" t="s">
        <v>3959</v>
      </c>
      <c r="F3654" s="134">
        <v>46199.0</v>
      </c>
      <c r="G3654" s="54">
        <v>2.506203882E7</v>
      </c>
      <c r="H3654" s="14">
        <f t="shared" si="11"/>
        <v>5263028.152</v>
      </c>
      <c r="I3654" s="22">
        <v>751861.16</v>
      </c>
      <c r="J3654" s="22">
        <v>501240.78</v>
      </c>
      <c r="K3654" s="15">
        <f t="shared" si="12"/>
        <v>31578168.91</v>
      </c>
      <c r="L3654" s="45"/>
      <c r="M3654" s="6"/>
    </row>
    <row r="3655" ht="15.75" customHeight="1">
      <c r="A3655" s="162">
        <v>46176.0</v>
      </c>
      <c r="B3655" s="50"/>
      <c r="C3655" s="31" t="s">
        <v>1861</v>
      </c>
      <c r="D3655" s="32" t="s">
        <v>15</v>
      </c>
      <c r="E3655" s="31" t="s">
        <v>3960</v>
      </c>
      <c r="F3655" s="134">
        <v>46199.0</v>
      </c>
      <c r="G3655" s="54">
        <v>2.602596339E7</v>
      </c>
      <c r="H3655" s="14">
        <f t="shared" si="11"/>
        <v>5465452.312</v>
      </c>
      <c r="I3655" s="22">
        <v>780778.9</v>
      </c>
      <c r="J3655" s="22">
        <v>520519.27</v>
      </c>
      <c r="K3655" s="15">
        <f t="shared" si="12"/>
        <v>32792713.87</v>
      </c>
      <c r="L3655" s="45"/>
      <c r="M3655" s="6"/>
    </row>
    <row r="3656" ht="15.75" customHeight="1">
      <c r="A3656" s="162">
        <v>46177.0</v>
      </c>
      <c r="B3656" s="50"/>
      <c r="C3656" s="31" t="s">
        <v>2616</v>
      </c>
      <c r="D3656" s="32" t="s">
        <v>1543</v>
      </c>
      <c r="E3656" s="32" t="s">
        <v>3961</v>
      </c>
      <c r="F3656" s="139">
        <v>46168.0</v>
      </c>
      <c r="G3656" s="207">
        <v>8305402.13</v>
      </c>
      <c r="H3656" s="14">
        <f t="shared" si="11"/>
        <v>1744134.447</v>
      </c>
      <c r="I3656" s="22"/>
      <c r="J3656" s="22"/>
      <c r="K3656" s="15">
        <f t="shared" si="12"/>
        <v>10049536.58</v>
      </c>
      <c r="L3656" s="45"/>
      <c r="M3656" s="6"/>
    </row>
    <row r="3657" ht="15.75" customHeight="1">
      <c r="A3657" s="218">
        <v>46177.0</v>
      </c>
      <c r="B3657" s="56"/>
      <c r="C3657" s="57" t="s">
        <v>2616</v>
      </c>
      <c r="D3657" s="58" t="s">
        <v>1543</v>
      </c>
      <c r="E3657" s="58" t="s">
        <v>3962</v>
      </c>
      <c r="F3657" s="136">
        <v>46168.0</v>
      </c>
      <c r="G3657" s="206">
        <v>7845911.53</v>
      </c>
      <c r="H3657" s="9">
        <f t="shared" si="11"/>
        <v>1647641.421</v>
      </c>
      <c r="I3657" s="44"/>
      <c r="J3657" s="44"/>
      <c r="K3657" s="10">
        <f t="shared" si="12"/>
        <v>9493552.951</v>
      </c>
      <c r="L3657" s="61"/>
      <c r="M3657" s="62"/>
    </row>
    <row r="3658" ht="15.75" customHeight="1">
      <c r="A3658" s="218">
        <v>46177.0</v>
      </c>
      <c r="B3658" s="56"/>
      <c r="C3658" s="57" t="s">
        <v>3885</v>
      </c>
      <c r="D3658" s="58" t="s">
        <v>15</v>
      </c>
      <c r="E3658" s="58" t="s">
        <v>3963</v>
      </c>
      <c r="F3658" s="136">
        <v>46168.0</v>
      </c>
      <c r="G3658" s="206">
        <v>4989560.4</v>
      </c>
      <c r="H3658" s="9">
        <f t="shared" si="11"/>
        <v>1047807.684</v>
      </c>
      <c r="I3658" s="44">
        <v>399164.83</v>
      </c>
      <c r="J3658" s="44"/>
      <c r="K3658" s="10">
        <f t="shared" si="12"/>
        <v>6436532.914</v>
      </c>
      <c r="L3658" s="61"/>
      <c r="M3658" s="62"/>
    </row>
    <row r="3659" ht="15.75" customHeight="1">
      <c r="A3659" s="218">
        <v>46177.0</v>
      </c>
      <c r="B3659" s="56"/>
      <c r="C3659" s="57" t="s">
        <v>3885</v>
      </c>
      <c r="D3659" s="58" t="s">
        <v>15</v>
      </c>
      <c r="E3659" s="58" t="s">
        <v>3964</v>
      </c>
      <c r="F3659" s="136">
        <v>46168.0</v>
      </c>
      <c r="G3659" s="206">
        <v>6286308.65</v>
      </c>
      <c r="H3659" s="9">
        <f t="shared" si="11"/>
        <v>1320124.817</v>
      </c>
      <c r="I3659" s="44">
        <v>502904.69</v>
      </c>
      <c r="J3659" s="44"/>
      <c r="K3659" s="10">
        <f t="shared" si="12"/>
        <v>8109338.157</v>
      </c>
      <c r="L3659" s="61"/>
      <c r="M3659" s="62"/>
    </row>
    <row r="3660" ht="15.75" customHeight="1">
      <c r="A3660" s="218">
        <v>46177.0</v>
      </c>
      <c r="B3660" s="56"/>
      <c r="C3660" s="57" t="s">
        <v>3885</v>
      </c>
      <c r="D3660" s="58" t="s">
        <v>15</v>
      </c>
      <c r="E3660" s="58" t="s">
        <v>3965</v>
      </c>
      <c r="F3660" s="136">
        <v>46168.0</v>
      </c>
      <c r="G3660" s="206">
        <v>1.024561205E7</v>
      </c>
      <c r="H3660" s="9">
        <f t="shared" si="11"/>
        <v>2151578.531</v>
      </c>
      <c r="I3660" s="44">
        <v>819648.96</v>
      </c>
      <c r="J3660" s="44"/>
      <c r="K3660" s="10">
        <f t="shared" si="12"/>
        <v>13216839.54</v>
      </c>
      <c r="L3660" s="61"/>
      <c r="M3660" s="62"/>
    </row>
    <row r="3661" ht="15.75" customHeight="1">
      <c r="A3661" s="162">
        <v>46177.0</v>
      </c>
      <c r="B3661" s="50"/>
      <c r="C3661" s="31" t="s">
        <v>171</v>
      </c>
      <c r="D3661" s="32" t="s">
        <v>15</v>
      </c>
      <c r="E3661" s="31" t="s">
        <v>3966</v>
      </c>
      <c r="F3661" s="134">
        <v>46199.0</v>
      </c>
      <c r="G3661" s="54">
        <v>2.033326311E7</v>
      </c>
      <c r="H3661" s="14">
        <f t="shared" si="11"/>
        <v>4269985.253</v>
      </c>
      <c r="I3661" s="22"/>
      <c r="J3661" s="22"/>
      <c r="K3661" s="15">
        <f t="shared" si="12"/>
        <v>24603248.36</v>
      </c>
      <c r="L3661" s="45"/>
      <c r="M3661" s="6"/>
    </row>
    <row r="3662" ht="15.75" customHeight="1">
      <c r="A3662" s="162">
        <v>46177.0</v>
      </c>
      <c r="B3662" s="50"/>
      <c r="C3662" s="31" t="s">
        <v>171</v>
      </c>
      <c r="D3662" s="32" t="s">
        <v>15</v>
      </c>
      <c r="E3662" s="31" t="s">
        <v>3967</v>
      </c>
      <c r="F3662" s="134">
        <v>46199.0</v>
      </c>
      <c r="G3662" s="54">
        <v>1.733363326E7</v>
      </c>
      <c r="H3662" s="14">
        <f t="shared" si="11"/>
        <v>3640062.985</v>
      </c>
      <c r="I3662" s="22"/>
      <c r="J3662" s="22"/>
      <c r="K3662" s="15">
        <f t="shared" si="12"/>
        <v>20973696.24</v>
      </c>
      <c r="L3662" s="45"/>
      <c r="M3662" s="6"/>
    </row>
    <row r="3663" ht="15.75" customHeight="1">
      <c r="A3663" s="162">
        <v>46177.0</v>
      </c>
      <c r="B3663" s="50"/>
      <c r="C3663" s="31" t="s">
        <v>171</v>
      </c>
      <c r="D3663" s="32" t="s">
        <v>15</v>
      </c>
      <c r="E3663" s="31" t="s">
        <v>3968</v>
      </c>
      <c r="F3663" s="134">
        <v>46199.0</v>
      </c>
      <c r="G3663" s="54">
        <v>1.444373312E7</v>
      </c>
      <c r="H3663" s="14">
        <f t="shared" si="11"/>
        <v>3033183.955</v>
      </c>
      <c r="I3663" s="22"/>
      <c r="J3663" s="22"/>
      <c r="K3663" s="15">
        <f t="shared" si="12"/>
        <v>17476917.08</v>
      </c>
      <c r="L3663" s="45"/>
      <c r="M3663" s="6"/>
    </row>
    <row r="3664" ht="15.75" customHeight="1">
      <c r="A3664" s="162">
        <v>46177.0</v>
      </c>
      <c r="B3664" s="50"/>
      <c r="C3664" s="31" t="s">
        <v>171</v>
      </c>
      <c r="D3664" s="32" t="s">
        <v>99</v>
      </c>
      <c r="E3664" s="31" t="s">
        <v>3969</v>
      </c>
      <c r="F3664" s="134">
        <v>46199.0</v>
      </c>
      <c r="G3664" s="54">
        <v>2.123363311E7</v>
      </c>
      <c r="H3664" s="14">
        <f t="shared" si="11"/>
        <v>4459062.953</v>
      </c>
      <c r="I3664" s="22"/>
      <c r="J3664" s="22"/>
      <c r="K3664" s="15">
        <f t="shared" si="12"/>
        <v>25692696.06</v>
      </c>
      <c r="L3664" s="45"/>
      <c r="M3664" s="6"/>
    </row>
    <row r="3665" ht="15.75" customHeight="1">
      <c r="A3665" s="162">
        <v>46177.0</v>
      </c>
      <c r="B3665" s="50"/>
      <c r="C3665" s="31" t="s">
        <v>171</v>
      </c>
      <c r="D3665" s="32" t="s">
        <v>99</v>
      </c>
      <c r="E3665" s="31" t="s">
        <v>3970</v>
      </c>
      <c r="F3665" s="134">
        <v>46199.0</v>
      </c>
      <c r="G3665" s="54">
        <v>1.622353352E7</v>
      </c>
      <c r="H3665" s="14">
        <f t="shared" si="11"/>
        <v>3406942.039</v>
      </c>
      <c r="I3665" s="22"/>
      <c r="J3665" s="22"/>
      <c r="K3665" s="15">
        <f t="shared" si="12"/>
        <v>19630475.56</v>
      </c>
      <c r="L3665" s="45"/>
      <c r="M3665" s="6"/>
    </row>
    <row r="3666" ht="15.75" customHeight="1">
      <c r="A3666" s="162">
        <v>46177.0</v>
      </c>
      <c r="B3666" s="50"/>
      <c r="C3666" s="31" t="s">
        <v>171</v>
      </c>
      <c r="D3666" s="32" t="s">
        <v>99</v>
      </c>
      <c r="E3666" s="31" t="s">
        <v>3971</v>
      </c>
      <c r="F3666" s="134">
        <v>46199.0</v>
      </c>
      <c r="G3666" s="54">
        <v>1.322532812E7</v>
      </c>
      <c r="H3666" s="14">
        <f t="shared" si="11"/>
        <v>2777318.905</v>
      </c>
      <c r="I3666" s="22"/>
      <c r="J3666" s="22"/>
      <c r="K3666" s="15">
        <f t="shared" si="12"/>
        <v>16002647.03</v>
      </c>
      <c r="L3666" s="45"/>
      <c r="M3666" s="6"/>
    </row>
    <row r="3667" ht="15.75" customHeight="1">
      <c r="A3667" s="162">
        <v>46178.0</v>
      </c>
      <c r="B3667" s="50"/>
      <c r="C3667" s="31" t="s">
        <v>1577</v>
      </c>
      <c r="D3667" s="32" t="s">
        <v>1543</v>
      </c>
      <c r="E3667" s="32" t="s">
        <v>3972</v>
      </c>
      <c r="F3667" s="139">
        <v>46168.0</v>
      </c>
      <c r="G3667" s="207">
        <v>8033733.0</v>
      </c>
      <c r="H3667" s="14">
        <f t="shared" si="11"/>
        <v>1687083.93</v>
      </c>
      <c r="I3667" s="22"/>
      <c r="J3667" s="22"/>
      <c r="K3667" s="15">
        <f t="shared" si="12"/>
        <v>9720816.93</v>
      </c>
      <c r="L3667" s="45"/>
      <c r="M3667" s="6"/>
    </row>
    <row r="3668" ht="15.75" customHeight="1">
      <c r="A3668" s="162">
        <v>46178.0</v>
      </c>
      <c r="B3668" s="50"/>
      <c r="C3668" s="31" t="s">
        <v>3973</v>
      </c>
      <c r="D3668" s="32" t="s">
        <v>15</v>
      </c>
      <c r="E3668" s="32" t="s">
        <v>3974</v>
      </c>
      <c r="F3668" s="139">
        <v>46168.0</v>
      </c>
      <c r="G3668" s="207">
        <v>8033993.41</v>
      </c>
      <c r="H3668" s="14">
        <f t="shared" si="11"/>
        <v>1687138.616</v>
      </c>
      <c r="I3668" s="22"/>
      <c r="J3668" s="22"/>
      <c r="K3668" s="15">
        <f t="shared" si="12"/>
        <v>9721132.026</v>
      </c>
      <c r="L3668" s="45"/>
      <c r="M3668" s="6"/>
    </row>
    <row r="3669" ht="15.75" customHeight="1">
      <c r="A3669" s="162">
        <v>46178.0</v>
      </c>
      <c r="B3669" s="50"/>
      <c r="C3669" s="31" t="s">
        <v>3973</v>
      </c>
      <c r="D3669" s="32" t="s">
        <v>15</v>
      </c>
      <c r="E3669" s="32" t="s">
        <v>3975</v>
      </c>
      <c r="F3669" s="139">
        <v>46168.0</v>
      </c>
      <c r="G3669" s="207">
        <v>1.998758816E7</v>
      </c>
      <c r="H3669" s="14">
        <f t="shared" si="11"/>
        <v>4197393.514</v>
      </c>
      <c r="I3669" s="22"/>
      <c r="J3669" s="22"/>
      <c r="K3669" s="15">
        <f t="shared" si="12"/>
        <v>24184981.67</v>
      </c>
      <c r="L3669" s="45"/>
      <c r="M3669" s="6"/>
    </row>
    <row r="3670" ht="15.75" customHeight="1">
      <c r="A3670" s="162">
        <v>46178.0</v>
      </c>
      <c r="B3670" s="50"/>
      <c r="C3670" s="31" t="s">
        <v>3976</v>
      </c>
      <c r="D3670" s="32" t="s">
        <v>15</v>
      </c>
      <c r="E3670" s="31" t="s">
        <v>3977</v>
      </c>
      <c r="F3670" s="134">
        <v>46199.0</v>
      </c>
      <c r="G3670" s="54">
        <v>5002330.18</v>
      </c>
      <c r="H3670" s="14">
        <f t="shared" si="11"/>
        <v>1050489.338</v>
      </c>
      <c r="I3670" s="22">
        <v>150069.91</v>
      </c>
      <c r="J3670" s="22">
        <v>200093.21</v>
      </c>
      <c r="K3670" s="15">
        <f t="shared" si="12"/>
        <v>6402982.638</v>
      </c>
      <c r="L3670" s="45"/>
      <c r="M3670" s="6"/>
    </row>
    <row r="3671" ht="15.75" customHeight="1">
      <c r="A3671" s="162">
        <v>46178.0</v>
      </c>
      <c r="B3671" s="50"/>
      <c r="C3671" s="31" t="s">
        <v>2221</v>
      </c>
      <c r="D3671" s="32" t="s">
        <v>99</v>
      </c>
      <c r="E3671" s="31" t="s">
        <v>3978</v>
      </c>
      <c r="F3671" s="134">
        <v>46199.0</v>
      </c>
      <c r="G3671" s="54">
        <v>1.134599708E7</v>
      </c>
      <c r="H3671" s="14">
        <f t="shared" si="11"/>
        <v>2382659.387</v>
      </c>
      <c r="I3671" s="22">
        <v>340379.91</v>
      </c>
      <c r="J3671" s="22"/>
      <c r="K3671" s="15">
        <f t="shared" si="12"/>
        <v>14069036.38</v>
      </c>
      <c r="L3671" s="45"/>
      <c r="M3671" s="6"/>
    </row>
    <row r="3672" ht="15.75" customHeight="1">
      <c r="A3672" s="162">
        <v>46178.0</v>
      </c>
      <c r="B3672" s="50"/>
      <c r="C3672" s="31" t="s">
        <v>2221</v>
      </c>
      <c r="D3672" s="32" t="s">
        <v>99</v>
      </c>
      <c r="E3672" s="31" t="s">
        <v>3979</v>
      </c>
      <c r="F3672" s="134">
        <v>46199.0</v>
      </c>
      <c r="G3672" s="54">
        <v>6335333.15</v>
      </c>
      <c r="H3672" s="14">
        <f t="shared" si="11"/>
        <v>1330419.962</v>
      </c>
      <c r="I3672" s="22">
        <v>190059.99</v>
      </c>
      <c r="J3672" s="22"/>
      <c r="K3672" s="15">
        <f t="shared" si="12"/>
        <v>7855813.102</v>
      </c>
      <c r="L3672" s="45"/>
      <c r="M3672" s="6"/>
    </row>
    <row r="3673" ht="15.75" customHeight="1">
      <c r="A3673" s="162">
        <v>46178.0</v>
      </c>
      <c r="B3673" s="50"/>
      <c r="C3673" s="31" t="s">
        <v>2221</v>
      </c>
      <c r="D3673" s="32" t="s">
        <v>99</v>
      </c>
      <c r="E3673" s="31" t="s">
        <v>3980</v>
      </c>
      <c r="F3673" s="134">
        <v>46199.0</v>
      </c>
      <c r="G3673" s="54">
        <v>1.240052162E7</v>
      </c>
      <c r="H3673" s="14">
        <f t="shared" si="11"/>
        <v>2604109.54</v>
      </c>
      <c r="I3673" s="22">
        <v>372015.65</v>
      </c>
      <c r="J3673" s="22"/>
      <c r="K3673" s="15">
        <f t="shared" si="12"/>
        <v>15376646.81</v>
      </c>
      <c r="L3673" s="45"/>
      <c r="M3673" s="6"/>
    </row>
    <row r="3674" ht="15.75" customHeight="1">
      <c r="A3674" s="162">
        <v>46178.0</v>
      </c>
      <c r="B3674" s="50"/>
      <c r="C3674" s="31" t="s">
        <v>2221</v>
      </c>
      <c r="D3674" s="32" t="s">
        <v>99</v>
      </c>
      <c r="E3674" s="31" t="s">
        <v>3981</v>
      </c>
      <c r="F3674" s="134">
        <v>46199.0</v>
      </c>
      <c r="G3674" s="54">
        <v>1.069284711E7</v>
      </c>
      <c r="H3674" s="14">
        <f t="shared" si="11"/>
        <v>2245497.893</v>
      </c>
      <c r="I3674" s="22">
        <v>320785.41</v>
      </c>
      <c r="J3674" s="22"/>
      <c r="K3674" s="15">
        <f t="shared" si="12"/>
        <v>13259130.41</v>
      </c>
      <c r="L3674" s="45"/>
      <c r="M3674" s="6"/>
    </row>
    <row r="3675" ht="15.75" customHeight="1">
      <c r="A3675" s="162">
        <v>46178.0</v>
      </c>
      <c r="B3675" s="50"/>
      <c r="C3675" s="31" t="s">
        <v>2221</v>
      </c>
      <c r="D3675" s="32" t="s">
        <v>99</v>
      </c>
      <c r="E3675" s="31" t="s">
        <v>3982</v>
      </c>
      <c r="F3675" s="134">
        <v>46199.0</v>
      </c>
      <c r="G3675" s="54">
        <v>9233733.15</v>
      </c>
      <c r="H3675" s="14">
        <f t="shared" si="11"/>
        <v>1939083.962</v>
      </c>
      <c r="I3675" s="22">
        <v>277011.99</v>
      </c>
      <c r="J3675" s="22"/>
      <c r="K3675" s="15">
        <f t="shared" si="12"/>
        <v>11449829.1</v>
      </c>
      <c r="L3675" s="45"/>
      <c r="M3675" s="6"/>
    </row>
    <row r="3676" ht="15.75" customHeight="1">
      <c r="A3676" s="162">
        <v>46181.0</v>
      </c>
      <c r="B3676" s="50"/>
      <c r="C3676" s="31" t="s">
        <v>16</v>
      </c>
      <c r="D3676" s="32" t="s">
        <v>99</v>
      </c>
      <c r="E3676" s="31" t="s">
        <v>3983</v>
      </c>
      <c r="F3676" s="134">
        <v>46199.0</v>
      </c>
      <c r="G3676" s="54">
        <v>5511220.15</v>
      </c>
      <c r="H3676" s="14">
        <f t="shared" si="11"/>
        <v>1157356.232</v>
      </c>
      <c r="I3676" s="22">
        <v>165336.6</v>
      </c>
      <c r="J3676" s="22"/>
      <c r="K3676" s="15">
        <f t="shared" si="12"/>
        <v>6833912.982</v>
      </c>
      <c r="L3676" s="45"/>
      <c r="M3676" s="6"/>
    </row>
    <row r="3677" ht="15.75" customHeight="1">
      <c r="A3677" s="162">
        <v>46181.0</v>
      </c>
      <c r="B3677" s="50"/>
      <c r="C3677" s="31" t="s">
        <v>168</v>
      </c>
      <c r="D3677" s="32" t="s">
        <v>99</v>
      </c>
      <c r="E3677" s="31" t="s">
        <v>3984</v>
      </c>
      <c r="F3677" s="134">
        <v>46199.0</v>
      </c>
      <c r="G3677" s="54">
        <v>1.850567051E7</v>
      </c>
      <c r="H3677" s="14">
        <f t="shared" si="11"/>
        <v>3886190.807</v>
      </c>
      <c r="I3677" s="22">
        <v>555170.12</v>
      </c>
      <c r="J3677" s="22"/>
      <c r="K3677" s="15">
        <f t="shared" si="12"/>
        <v>22947031.44</v>
      </c>
      <c r="L3677" s="45"/>
      <c r="M3677" s="6"/>
    </row>
    <row r="3678" ht="15.75" customHeight="1">
      <c r="A3678" s="162">
        <v>46181.0</v>
      </c>
      <c r="B3678" s="50"/>
      <c r="C3678" s="31" t="s">
        <v>3596</v>
      </c>
      <c r="D3678" s="32" t="s">
        <v>99</v>
      </c>
      <c r="E3678" s="31" t="s">
        <v>3985</v>
      </c>
      <c r="F3678" s="134">
        <v>46199.0</v>
      </c>
      <c r="G3678" s="54">
        <v>6327580.26</v>
      </c>
      <c r="H3678" s="14">
        <f t="shared" si="11"/>
        <v>1328791.855</v>
      </c>
      <c r="I3678" s="22">
        <v>126551.61</v>
      </c>
      <c r="J3678" s="22"/>
      <c r="K3678" s="15">
        <f t="shared" si="12"/>
        <v>7782923.725</v>
      </c>
      <c r="L3678" s="45"/>
      <c r="M3678" s="6"/>
    </row>
    <row r="3679" ht="15.75" customHeight="1">
      <c r="A3679" s="162">
        <v>46182.0</v>
      </c>
      <c r="B3679" s="50"/>
      <c r="C3679" s="31" t="s">
        <v>1112</v>
      </c>
      <c r="D3679" s="32" t="s">
        <v>15</v>
      </c>
      <c r="E3679" s="31" t="s">
        <v>3986</v>
      </c>
      <c r="F3679" s="134">
        <v>46199.0</v>
      </c>
      <c r="G3679" s="54">
        <v>1.327138023E7</v>
      </c>
      <c r="H3679" s="14">
        <f t="shared" si="11"/>
        <v>2786989.848</v>
      </c>
      <c r="I3679" s="22"/>
      <c r="J3679" s="22">
        <v>1327.14</v>
      </c>
      <c r="K3679" s="15">
        <f t="shared" si="12"/>
        <v>16059697.22</v>
      </c>
      <c r="L3679" s="45"/>
      <c r="M3679" s="6"/>
    </row>
    <row r="3680" ht="15.75" customHeight="1">
      <c r="A3680" s="162">
        <v>46182.0</v>
      </c>
      <c r="B3680" s="50"/>
      <c r="C3680" s="31" t="s">
        <v>1112</v>
      </c>
      <c r="D3680" s="32" t="s">
        <v>15</v>
      </c>
      <c r="E3680" s="31" t="s">
        <v>3987</v>
      </c>
      <c r="F3680" s="134">
        <v>46199.0</v>
      </c>
      <c r="G3680" s="54">
        <v>1.341159211E7</v>
      </c>
      <c r="H3680" s="14">
        <f t="shared" si="11"/>
        <v>2816434.343</v>
      </c>
      <c r="I3680" s="22"/>
      <c r="J3680" s="22">
        <v>1341.16</v>
      </c>
      <c r="K3680" s="15">
        <f t="shared" si="12"/>
        <v>16229367.61</v>
      </c>
      <c r="L3680" s="45"/>
      <c r="M3680" s="6"/>
    </row>
    <row r="3681" ht="15.75" customHeight="1">
      <c r="A3681" s="162">
        <v>46182.0</v>
      </c>
      <c r="B3681" s="50"/>
      <c r="C3681" s="31" t="s">
        <v>1112</v>
      </c>
      <c r="D3681" s="32" t="s">
        <v>15</v>
      </c>
      <c r="E3681" s="31" t="s">
        <v>3988</v>
      </c>
      <c r="F3681" s="134">
        <v>46199.0</v>
      </c>
      <c r="G3681" s="54">
        <v>1.332477018E7</v>
      </c>
      <c r="H3681" s="14">
        <f t="shared" si="11"/>
        <v>2798201.738</v>
      </c>
      <c r="I3681" s="22"/>
      <c r="J3681" s="22">
        <v>1332.48</v>
      </c>
      <c r="K3681" s="15">
        <f t="shared" si="12"/>
        <v>16124304.4</v>
      </c>
      <c r="L3681" s="45"/>
      <c r="M3681" s="6"/>
    </row>
    <row r="3682" ht="15.75" customHeight="1">
      <c r="A3682" s="162">
        <v>46182.0</v>
      </c>
      <c r="B3682" s="50"/>
      <c r="C3682" s="31" t="s">
        <v>1112</v>
      </c>
      <c r="D3682" s="32" t="s">
        <v>99</v>
      </c>
      <c r="E3682" s="32" t="s">
        <v>3989</v>
      </c>
      <c r="F3682" s="134">
        <v>46199.0</v>
      </c>
      <c r="G3682" s="54">
        <v>1.321346059E7</v>
      </c>
      <c r="H3682" s="14">
        <f t="shared" si="11"/>
        <v>2774826.724</v>
      </c>
      <c r="I3682" s="22"/>
      <c r="J3682" s="22">
        <v>1321.35</v>
      </c>
      <c r="K3682" s="15">
        <f t="shared" si="12"/>
        <v>15989608.66</v>
      </c>
      <c r="L3682" s="45"/>
      <c r="M3682" s="6"/>
    </row>
    <row r="3683" ht="15.75" customHeight="1">
      <c r="A3683" s="162">
        <v>46182.0</v>
      </c>
      <c r="B3683" s="50"/>
      <c r="C3683" s="31" t="s">
        <v>1112</v>
      </c>
      <c r="D3683" s="32" t="s">
        <v>99</v>
      </c>
      <c r="E3683" s="32" t="s">
        <v>3990</v>
      </c>
      <c r="F3683" s="134">
        <v>46199.0</v>
      </c>
      <c r="G3683" s="54">
        <v>1.348839012E7</v>
      </c>
      <c r="H3683" s="14">
        <f t="shared" si="11"/>
        <v>2832561.925</v>
      </c>
      <c r="I3683" s="22"/>
      <c r="J3683" s="22">
        <v>1348.84</v>
      </c>
      <c r="K3683" s="15">
        <f t="shared" si="12"/>
        <v>16322300.89</v>
      </c>
      <c r="L3683" s="45"/>
      <c r="M3683" s="6"/>
    </row>
    <row r="3684" ht="15.75" customHeight="1">
      <c r="A3684" s="162">
        <v>46182.0</v>
      </c>
      <c r="B3684" s="50"/>
      <c r="C3684" s="31" t="s">
        <v>1112</v>
      </c>
      <c r="D3684" s="32" t="s">
        <v>99</v>
      </c>
      <c r="E3684" s="32" t="s">
        <v>3991</v>
      </c>
      <c r="F3684" s="134">
        <v>46199.0</v>
      </c>
      <c r="G3684" s="54">
        <v>1.330957071E7</v>
      </c>
      <c r="H3684" s="14">
        <f t="shared" si="11"/>
        <v>2795009.849</v>
      </c>
      <c r="I3684" s="22"/>
      <c r="J3684" s="22">
        <v>1330.96</v>
      </c>
      <c r="K3684" s="15">
        <f t="shared" si="12"/>
        <v>16105911.52</v>
      </c>
      <c r="L3684" s="45"/>
      <c r="M3684" s="6"/>
    </row>
    <row r="3685" ht="15.75" customHeight="1">
      <c r="A3685" s="218">
        <v>46182.0</v>
      </c>
      <c r="B3685" s="56"/>
      <c r="C3685" s="57" t="s">
        <v>3412</v>
      </c>
      <c r="D3685" s="57" t="s">
        <v>1021</v>
      </c>
      <c r="E3685" s="57" t="s">
        <v>3992</v>
      </c>
      <c r="F3685" s="137">
        <v>46199.0</v>
      </c>
      <c r="G3685" s="206">
        <v>4966942.15</v>
      </c>
      <c r="H3685" s="9">
        <f t="shared" si="11"/>
        <v>1043057.852</v>
      </c>
      <c r="I3685" s="44"/>
      <c r="J3685" s="44"/>
      <c r="K3685" s="10">
        <f t="shared" si="12"/>
        <v>6010000.002</v>
      </c>
      <c r="L3685" s="61"/>
      <c r="M3685" s="62"/>
    </row>
    <row r="3686" ht="15.75" customHeight="1">
      <c r="A3686" s="218">
        <v>46182.0</v>
      </c>
      <c r="B3686" s="56"/>
      <c r="C3686" s="57" t="s">
        <v>3412</v>
      </c>
      <c r="D3686" s="57" t="s">
        <v>1021</v>
      </c>
      <c r="E3686" s="57" t="s">
        <v>3993</v>
      </c>
      <c r="F3686" s="137">
        <v>46199.0</v>
      </c>
      <c r="G3686" s="206">
        <v>5033057.7</v>
      </c>
      <c r="H3686" s="9">
        <f t="shared" si="11"/>
        <v>1056942.117</v>
      </c>
      <c r="I3686" s="44"/>
      <c r="J3686" s="44"/>
      <c r="K3686" s="10">
        <f t="shared" si="12"/>
        <v>6089999.817</v>
      </c>
      <c r="L3686" s="61"/>
      <c r="M3686" s="62"/>
    </row>
    <row r="3687" ht="15.75" customHeight="1">
      <c r="A3687" s="218">
        <v>46182.0</v>
      </c>
      <c r="B3687" s="56"/>
      <c r="C3687" s="57" t="s">
        <v>3412</v>
      </c>
      <c r="D3687" s="57" t="s">
        <v>1021</v>
      </c>
      <c r="E3687" s="57" t="s">
        <v>3994</v>
      </c>
      <c r="F3687" s="137">
        <v>46199.0</v>
      </c>
      <c r="G3687" s="206">
        <v>3.001157025E7</v>
      </c>
      <c r="H3687" s="9">
        <f t="shared" si="11"/>
        <v>6302429.753</v>
      </c>
      <c r="I3687" s="44"/>
      <c r="J3687" s="44"/>
      <c r="K3687" s="10">
        <f t="shared" si="12"/>
        <v>36314000</v>
      </c>
      <c r="L3687" s="61"/>
      <c r="M3687" s="62"/>
    </row>
    <row r="3688" ht="15.75" customHeight="1">
      <c r="A3688" s="218">
        <v>46182.0</v>
      </c>
      <c r="B3688" s="56"/>
      <c r="C3688" s="57" t="s">
        <v>3412</v>
      </c>
      <c r="D3688" s="57" t="s">
        <v>1021</v>
      </c>
      <c r="E3688" s="57" t="s">
        <v>3995</v>
      </c>
      <c r="F3688" s="137">
        <v>46199.0</v>
      </c>
      <c r="G3688" s="206">
        <v>5024793.22</v>
      </c>
      <c r="H3688" s="9">
        <f t="shared" si="11"/>
        <v>1055206.576</v>
      </c>
      <c r="I3688" s="44"/>
      <c r="J3688" s="44"/>
      <c r="K3688" s="10">
        <f t="shared" si="12"/>
        <v>6079999.796</v>
      </c>
      <c r="L3688" s="61"/>
      <c r="M3688" s="62"/>
    </row>
    <row r="3689" ht="15.75" customHeight="1">
      <c r="A3689" s="162">
        <v>46184.0</v>
      </c>
      <c r="B3689" s="50"/>
      <c r="C3689" s="31" t="s">
        <v>567</v>
      </c>
      <c r="D3689" s="32" t="s">
        <v>15</v>
      </c>
      <c r="E3689" s="31" t="s">
        <v>3996</v>
      </c>
      <c r="F3689" s="134">
        <v>46199.0</v>
      </c>
      <c r="G3689" s="54">
        <v>3.500112934E7</v>
      </c>
      <c r="H3689" s="14">
        <f t="shared" si="11"/>
        <v>7350237.161</v>
      </c>
      <c r="I3689" s="22"/>
      <c r="J3689" s="22"/>
      <c r="K3689" s="15">
        <f t="shared" si="12"/>
        <v>42351366.5</v>
      </c>
      <c r="L3689" s="45"/>
      <c r="M3689" s="6"/>
    </row>
    <row r="3690" ht="15.75" customHeight="1">
      <c r="A3690" s="162">
        <v>46184.0</v>
      </c>
      <c r="B3690" s="50"/>
      <c r="C3690" s="31" t="s">
        <v>567</v>
      </c>
      <c r="D3690" s="32" t="s">
        <v>15</v>
      </c>
      <c r="E3690" s="31" t="s">
        <v>3997</v>
      </c>
      <c r="F3690" s="134">
        <v>46199.0</v>
      </c>
      <c r="G3690" s="54">
        <v>1.500106394E7</v>
      </c>
      <c r="H3690" s="14">
        <f t="shared" si="11"/>
        <v>3150223.427</v>
      </c>
      <c r="I3690" s="22"/>
      <c r="J3690" s="22"/>
      <c r="K3690" s="15">
        <f t="shared" si="12"/>
        <v>18151287.37</v>
      </c>
      <c r="L3690" s="45"/>
      <c r="M3690" s="6"/>
    </row>
    <row r="3691" ht="15.75" customHeight="1">
      <c r="A3691" s="162">
        <v>46184.0</v>
      </c>
      <c r="B3691" s="50"/>
      <c r="C3691" s="31" t="s">
        <v>567</v>
      </c>
      <c r="D3691" s="32" t="s">
        <v>99</v>
      </c>
      <c r="E3691" s="31" t="s">
        <v>3998</v>
      </c>
      <c r="F3691" s="134">
        <v>46199.0</v>
      </c>
      <c r="G3691" s="54">
        <v>1.800125262E7</v>
      </c>
      <c r="H3691" s="14">
        <f t="shared" si="11"/>
        <v>3780263.05</v>
      </c>
      <c r="I3691" s="22"/>
      <c r="J3691" s="22"/>
      <c r="K3691" s="15">
        <f t="shared" si="12"/>
        <v>21781515.67</v>
      </c>
      <c r="L3691" s="45"/>
      <c r="M3691" s="6"/>
    </row>
    <row r="3692" ht="15.75" customHeight="1">
      <c r="A3692" s="162">
        <v>46184.0</v>
      </c>
      <c r="B3692" s="50"/>
      <c r="C3692" s="31" t="s">
        <v>567</v>
      </c>
      <c r="D3692" s="32" t="s">
        <v>99</v>
      </c>
      <c r="E3692" s="31" t="s">
        <v>3999</v>
      </c>
      <c r="F3692" s="134">
        <v>46199.0</v>
      </c>
      <c r="G3692" s="54">
        <v>3.200092213E7</v>
      </c>
      <c r="H3692" s="14">
        <f t="shared" si="11"/>
        <v>6720193.647</v>
      </c>
      <c r="I3692" s="22"/>
      <c r="J3692" s="22"/>
      <c r="K3692" s="15">
        <f t="shared" si="12"/>
        <v>38721115.78</v>
      </c>
      <c r="L3692" s="45"/>
      <c r="M3692" s="6"/>
    </row>
    <row r="3693" ht="15.75" customHeight="1">
      <c r="A3693" s="162">
        <v>46184.0</v>
      </c>
      <c r="B3693" s="50"/>
      <c r="C3693" s="31" t="s">
        <v>4000</v>
      </c>
      <c r="D3693" s="32" t="s">
        <v>99</v>
      </c>
      <c r="E3693" s="32" t="s">
        <v>4001</v>
      </c>
      <c r="F3693" s="134">
        <v>46199.0</v>
      </c>
      <c r="G3693" s="54">
        <v>1.032254382E7</v>
      </c>
      <c r="H3693" s="14">
        <f t="shared" si="11"/>
        <v>2167734.202</v>
      </c>
      <c r="I3693" s="22">
        <v>309676.31</v>
      </c>
      <c r="J3693" s="22">
        <v>72257.81</v>
      </c>
      <c r="K3693" s="15">
        <f t="shared" si="12"/>
        <v>12872212.14</v>
      </c>
      <c r="L3693" s="45"/>
      <c r="M3693" s="6"/>
    </row>
    <row r="3694" ht="15.75" customHeight="1">
      <c r="A3694" s="162">
        <v>46184.0</v>
      </c>
      <c r="B3694" s="50"/>
      <c r="C3694" s="31" t="s">
        <v>4000</v>
      </c>
      <c r="D3694" s="32" t="s">
        <v>99</v>
      </c>
      <c r="E3694" s="32" t="s">
        <v>4002</v>
      </c>
      <c r="F3694" s="134">
        <v>46199.0</v>
      </c>
      <c r="G3694" s="54">
        <v>1.184363242E7</v>
      </c>
      <c r="H3694" s="14">
        <f t="shared" si="11"/>
        <v>2487162.808</v>
      </c>
      <c r="I3694" s="22">
        <v>355308.97</v>
      </c>
      <c r="J3694" s="22">
        <v>82905.43</v>
      </c>
      <c r="K3694" s="15">
        <f t="shared" si="12"/>
        <v>14769009.63</v>
      </c>
      <c r="L3694" s="45"/>
      <c r="M3694" s="6"/>
    </row>
    <row r="3695" ht="15.75" customHeight="1">
      <c r="A3695" s="162">
        <v>46184.0</v>
      </c>
      <c r="B3695" s="50"/>
      <c r="C3695" s="31" t="s">
        <v>4000</v>
      </c>
      <c r="D3695" s="32" t="s">
        <v>99</v>
      </c>
      <c r="E3695" s="32" t="s">
        <v>4003</v>
      </c>
      <c r="F3695" s="134">
        <v>46199.0</v>
      </c>
      <c r="G3695" s="54">
        <v>1.438272612E7</v>
      </c>
      <c r="H3695" s="14">
        <f t="shared" si="11"/>
        <v>3020372.485</v>
      </c>
      <c r="I3695" s="22">
        <v>431481.78</v>
      </c>
      <c r="J3695" s="22">
        <v>100679.08</v>
      </c>
      <c r="K3695" s="15">
        <f t="shared" si="12"/>
        <v>17935259.47</v>
      </c>
      <c r="L3695" s="45"/>
      <c r="M3695" s="6"/>
    </row>
    <row r="3696" ht="15.75" customHeight="1">
      <c r="A3696" s="162">
        <v>46184.0</v>
      </c>
      <c r="B3696" s="50"/>
      <c r="C3696" s="31" t="s">
        <v>4000</v>
      </c>
      <c r="D3696" s="32" t="s">
        <v>99</v>
      </c>
      <c r="E3696" s="32" t="s">
        <v>4004</v>
      </c>
      <c r="F3696" s="134">
        <v>46199.0</v>
      </c>
      <c r="G3696" s="54">
        <v>1.234333362E7</v>
      </c>
      <c r="H3696" s="14">
        <f t="shared" si="11"/>
        <v>2592100.06</v>
      </c>
      <c r="I3696" s="22">
        <v>370300.01</v>
      </c>
      <c r="J3696" s="22">
        <v>86403.34</v>
      </c>
      <c r="K3696" s="15">
        <f t="shared" si="12"/>
        <v>15392137.03</v>
      </c>
      <c r="L3696" s="45"/>
      <c r="M3696" s="6"/>
    </row>
    <row r="3697" ht="15.75" customHeight="1">
      <c r="A3697" s="162">
        <v>46184.0</v>
      </c>
      <c r="B3697" s="50"/>
      <c r="C3697" s="31" t="s">
        <v>4000</v>
      </c>
      <c r="D3697" s="32" t="s">
        <v>99</v>
      </c>
      <c r="E3697" s="32" t="s">
        <v>4005</v>
      </c>
      <c r="F3697" s="134">
        <v>46199.0</v>
      </c>
      <c r="G3697" s="54">
        <v>1.833533311E7</v>
      </c>
      <c r="H3697" s="14">
        <f t="shared" si="11"/>
        <v>3850419.953</v>
      </c>
      <c r="I3697" s="22">
        <v>550059.99</v>
      </c>
      <c r="J3697" s="22">
        <v>128347.33</v>
      </c>
      <c r="K3697" s="15">
        <f t="shared" si="12"/>
        <v>22864160.38</v>
      </c>
      <c r="L3697" s="45"/>
      <c r="M3697" s="6"/>
    </row>
    <row r="3698" ht="15.75" customHeight="1">
      <c r="A3698" s="162">
        <v>46184.0</v>
      </c>
      <c r="B3698" s="50"/>
      <c r="C3698" s="31" t="s">
        <v>4000</v>
      </c>
      <c r="D3698" s="32" t="s">
        <v>99</v>
      </c>
      <c r="E3698" s="32" t="s">
        <v>4006</v>
      </c>
      <c r="F3698" s="134">
        <v>46199.0</v>
      </c>
      <c r="G3698" s="54">
        <v>2.284336312E7</v>
      </c>
      <c r="H3698" s="14">
        <f t="shared" si="11"/>
        <v>4797106.255</v>
      </c>
      <c r="I3698" s="22">
        <v>685300.89</v>
      </c>
      <c r="J3698" s="22">
        <v>159903.54</v>
      </c>
      <c r="K3698" s="15">
        <f t="shared" si="12"/>
        <v>28485673.81</v>
      </c>
      <c r="L3698" s="45"/>
      <c r="M3698" s="6"/>
    </row>
    <row r="3699" ht="15.75" customHeight="1">
      <c r="A3699" s="162">
        <v>46184.0</v>
      </c>
      <c r="B3699" s="50"/>
      <c r="C3699" s="31" t="s">
        <v>4000</v>
      </c>
      <c r="D3699" s="32" t="s">
        <v>99</v>
      </c>
      <c r="E3699" s="32" t="s">
        <v>4007</v>
      </c>
      <c r="F3699" s="134">
        <v>46199.0</v>
      </c>
      <c r="G3699" s="54">
        <v>2.955335241E7</v>
      </c>
      <c r="H3699" s="14">
        <f t="shared" si="11"/>
        <v>6206204.006</v>
      </c>
      <c r="I3699" s="22">
        <v>886600.57</v>
      </c>
      <c r="J3699" s="22">
        <v>206873.47</v>
      </c>
      <c r="K3699" s="15">
        <f t="shared" si="12"/>
        <v>36853030.46</v>
      </c>
      <c r="L3699" s="45"/>
      <c r="M3699" s="6"/>
    </row>
    <row r="3700" ht="15.75" customHeight="1">
      <c r="A3700" s="162">
        <v>46184.0</v>
      </c>
      <c r="B3700" s="50"/>
      <c r="C3700" s="31" t="s">
        <v>4000</v>
      </c>
      <c r="D3700" s="32" t="s">
        <v>99</v>
      </c>
      <c r="E3700" s="32" t="s">
        <v>4008</v>
      </c>
      <c r="F3700" s="134">
        <v>46199.0</v>
      </c>
      <c r="G3700" s="54">
        <v>3.003263312E7</v>
      </c>
      <c r="H3700" s="14">
        <f t="shared" si="11"/>
        <v>6306852.955</v>
      </c>
      <c r="I3700" s="22">
        <v>900978.99</v>
      </c>
      <c r="J3700" s="22">
        <v>210228.43</v>
      </c>
      <c r="K3700" s="15">
        <f t="shared" si="12"/>
        <v>37450693.5</v>
      </c>
      <c r="L3700" s="45"/>
      <c r="M3700" s="6"/>
    </row>
    <row r="3701" ht="15.75" customHeight="1">
      <c r="A3701" s="162">
        <v>46184.0</v>
      </c>
      <c r="B3701" s="50"/>
      <c r="C3701" s="31" t="s">
        <v>491</v>
      </c>
      <c r="D3701" s="32" t="s">
        <v>99</v>
      </c>
      <c r="E3701" s="31" t="s">
        <v>4009</v>
      </c>
      <c r="F3701" s="134">
        <v>46199.0</v>
      </c>
      <c r="G3701" s="54">
        <v>1.438784304E7</v>
      </c>
      <c r="H3701" s="14">
        <f t="shared" si="11"/>
        <v>3021447.038</v>
      </c>
      <c r="I3701" s="22">
        <v>431635.29</v>
      </c>
      <c r="J3701" s="22">
        <v>71939.22</v>
      </c>
      <c r="K3701" s="15">
        <f t="shared" si="12"/>
        <v>17912864.59</v>
      </c>
      <c r="L3701" s="61"/>
      <c r="M3701" s="62"/>
    </row>
    <row r="3702" ht="15.75" customHeight="1">
      <c r="A3702" s="162">
        <v>46184.0</v>
      </c>
      <c r="B3702" s="50"/>
      <c r="C3702" s="31" t="s">
        <v>491</v>
      </c>
      <c r="D3702" s="32" t="s">
        <v>99</v>
      </c>
      <c r="E3702" s="31" t="s">
        <v>4010</v>
      </c>
      <c r="F3702" s="134">
        <v>46199.0</v>
      </c>
      <c r="G3702" s="54">
        <v>1.733363307E7</v>
      </c>
      <c r="H3702" s="14">
        <f t="shared" si="11"/>
        <v>3640062.945</v>
      </c>
      <c r="I3702" s="22">
        <v>520008.99</v>
      </c>
      <c r="J3702" s="22">
        <v>86668.17</v>
      </c>
      <c r="K3702" s="15">
        <f t="shared" si="12"/>
        <v>21580373.17</v>
      </c>
      <c r="L3702" s="61"/>
      <c r="M3702" s="62"/>
    </row>
    <row r="3703" ht="15.75" customHeight="1">
      <c r="A3703" s="162">
        <v>46184.0</v>
      </c>
      <c r="B3703" s="50"/>
      <c r="C3703" s="31" t="s">
        <v>491</v>
      </c>
      <c r="D3703" s="32" t="s">
        <v>99</v>
      </c>
      <c r="E3703" s="31" t="s">
        <v>4011</v>
      </c>
      <c r="F3703" s="134">
        <v>46199.0</v>
      </c>
      <c r="G3703" s="54">
        <v>1.498473317E7</v>
      </c>
      <c r="H3703" s="14">
        <f t="shared" si="11"/>
        <v>3146793.966</v>
      </c>
      <c r="I3703" s="22">
        <v>449542.0</v>
      </c>
      <c r="J3703" s="22">
        <v>74923.67</v>
      </c>
      <c r="K3703" s="15">
        <f t="shared" si="12"/>
        <v>18655992.81</v>
      </c>
      <c r="L3703" s="61"/>
      <c r="M3703" s="62"/>
    </row>
    <row r="3704" ht="15.75" customHeight="1">
      <c r="A3704" s="162">
        <v>46184.0</v>
      </c>
      <c r="B3704" s="50"/>
      <c r="C3704" s="31" t="s">
        <v>491</v>
      </c>
      <c r="D3704" s="32" t="s">
        <v>15</v>
      </c>
      <c r="E3704" s="31" t="s">
        <v>4012</v>
      </c>
      <c r="F3704" s="134">
        <v>46199.0</v>
      </c>
      <c r="G3704" s="54">
        <v>1.733363305E7</v>
      </c>
      <c r="H3704" s="14">
        <f t="shared" si="11"/>
        <v>3640062.941</v>
      </c>
      <c r="I3704" s="22">
        <v>520008.99</v>
      </c>
      <c r="J3704" s="22">
        <v>86668.17</v>
      </c>
      <c r="K3704" s="15">
        <f t="shared" si="12"/>
        <v>21580373.15</v>
      </c>
      <c r="L3704" s="61"/>
      <c r="M3704" s="62"/>
    </row>
    <row r="3705" ht="15.75" customHeight="1">
      <c r="A3705" s="162">
        <v>46184.0</v>
      </c>
      <c r="B3705" s="50"/>
      <c r="C3705" s="31" t="s">
        <v>491</v>
      </c>
      <c r="D3705" s="32" t="s">
        <v>15</v>
      </c>
      <c r="E3705" s="31" t="s">
        <v>4013</v>
      </c>
      <c r="F3705" s="134">
        <v>46199.0</v>
      </c>
      <c r="G3705" s="54">
        <v>2.434236305E7</v>
      </c>
      <c r="H3705" s="14">
        <f t="shared" si="11"/>
        <v>5111896.241</v>
      </c>
      <c r="I3705" s="22">
        <v>730270.89</v>
      </c>
      <c r="J3705" s="22">
        <v>121711.82</v>
      </c>
      <c r="K3705" s="15">
        <f t="shared" si="12"/>
        <v>30306242</v>
      </c>
      <c r="L3705" s="61"/>
      <c r="M3705" s="62"/>
    </row>
    <row r="3706" ht="15.75" customHeight="1">
      <c r="A3706" s="162">
        <v>46184.0</v>
      </c>
      <c r="B3706" s="50"/>
      <c r="C3706" s="31" t="s">
        <v>491</v>
      </c>
      <c r="D3706" s="32" t="s">
        <v>15</v>
      </c>
      <c r="E3706" s="31" t="s">
        <v>4014</v>
      </c>
      <c r="F3706" s="134">
        <v>46199.0</v>
      </c>
      <c r="G3706" s="54">
        <v>1.278437305E7</v>
      </c>
      <c r="H3706" s="14">
        <f t="shared" si="11"/>
        <v>2684718.341</v>
      </c>
      <c r="I3706" s="22">
        <v>383531.19</v>
      </c>
      <c r="J3706" s="22">
        <v>63921.87</v>
      </c>
      <c r="K3706" s="15">
        <f t="shared" si="12"/>
        <v>15916544.45</v>
      </c>
      <c r="L3706" s="61"/>
      <c r="M3706" s="62"/>
    </row>
    <row r="3707" ht="15.75" customHeight="1">
      <c r="A3707" s="162">
        <v>46184.0</v>
      </c>
      <c r="B3707" s="50"/>
      <c r="C3707" s="31" t="s">
        <v>491</v>
      </c>
      <c r="D3707" s="32" t="s">
        <v>15</v>
      </c>
      <c r="E3707" s="31" t="s">
        <v>4015</v>
      </c>
      <c r="F3707" s="134">
        <v>46199.0</v>
      </c>
      <c r="G3707" s="54">
        <v>1.643353307E7</v>
      </c>
      <c r="H3707" s="14">
        <f t="shared" si="11"/>
        <v>3451041.945</v>
      </c>
      <c r="I3707" s="22">
        <v>493005.99</v>
      </c>
      <c r="J3707" s="22">
        <v>82167.67</v>
      </c>
      <c r="K3707" s="15">
        <f t="shared" si="12"/>
        <v>20459748.67</v>
      </c>
      <c r="L3707" s="61"/>
      <c r="M3707" s="62"/>
    </row>
    <row r="3708" ht="15.75" customHeight="1">
      <c r="A3708" s="162">
        <v>46184.0</v>
      </c>
      <c r="B3708" s="50"/>
      <c r="C3708" s="31" t="s">
        <v>1285</v>
      </c>
      <c r="D3708" s="32" t="s">
        <v>15</v>
      </c>
      <c r="E3708" s="31" t="s">
        <v>4016</v>
      </c>
      <c r="F3708" s="134">
        <v>46199.0</v>
      </c>
      <c r="G3708" s="54">
        <v>4005580.51</v>
      </c>
      <c r="H3708" s="14">
        <f t="shared" si="11"/>
        <v>841171.9071</v>
      </c>
      <c r="I3708" s="22"/>
      <c r="J3708" s="22"/>
      <c r="K3708" s="15">
        <f t="shared" si="12"/>
        <v>4846752.417</v>
      </c>
      <c r="L3708" s="45"/>
      <c r="M3708" s="6"/>
    </row>
    <row r="3709" ht="15.75" customHeight="1">
      <c r="A3709" s="162">
        <v>46185.0</v>
      </c>
      <c r="B3709" s="50"/>
      <c r="C3709" s="31" t="s">
        <v>1189</v>
      </c>
      <c r="D3709" s="32" t="s">
        <v>99</v>
      </c>
      <c r="E3709" s="31" t="s">
        <v>4017</v>
      </c>
      <c r="F3709" s="134">
        <v>46199.0</v>
      </c>
      <c r="G3709" s="54">
        <v>2.001147023E7</v>
      </c>
      <c r="H3709" s="14">
        <f t="shared" si="11"/>
        <v>4202408.748</v>
      </c>
      <c r="I3709" s="22">
        <v>600344.11</v>
      </c>
      <c r="J3709" s="22"/>
      <c r="K3709" s="15">
        <f t="shared" si="12"/>
        <v>24814223.09</v>
      </c>
      <c r="L3709" s="45"/>
      <c r="M3709" s="6"/>
    </row>
    <row r="3710" ht="15.75" customHeight="1">
      <c r="A3710" s="162">
        <v>46185.0</v>
      </c>
      <c r="B3710" s="50"/>
      <c r="C3710" s="31" t="s">
        <v>1183</v>
      </c>
      <c r="D3710" s="32" t="s">
        <v>15</v>
      </c>
      <c r="E3710" s="31" t="s">
        <v>4018</v>
      </c>
      <c r="F3710" s="134">
        <v>46199.0</v>
      </c>
      <c r="G3710" s="54">
        <v>9588002.16</v>
      </c>
      <c r="H3710" s="14">
        <f t="shared" si="11"/>
        <v>2013480.454</v>
      </c>
      <c r="I3710" s="22">
        <v>287640.06</v>
      </c>
      <c r="J3710" s="22"/>
      <c r="K3710" s="15">
        <f t="shared" si="12"/>
        <v>11889122.67</v>
      </c>
      <c r="L3710" s="45"/>
      <c r="M3710" s="6"/>
    </row>
    <row r="3711" ht="15.75" customHeight="1">
      <c r="A3711" s="162">
        <v>46185.0</v>
      </c>
      <c r="B3711" s="50"/>
      <c r="C3711" s="31" t="s">
        <v>1183</v>
      </c>
      <c r="D3711" s="32" t="s">
        <v>15</v>
      </c>
      <c r="E3711" s="31" t="s">
        <v>4019</v>
      </c>
      <c r="F3711" s="134">
        <v>46199.0</v>
      </c>
      <c r="G3711" s="54">
        <v>1.078333025E7</v>
      </c>
      <c r="H3711" s="14">
        <f t="shared" si="11"/>
        <v>2264499.353</v>
      </c>
      <c r="I3711" s="22">
        <v>323499.91</v>
      </c>
      <c r="J3711" s="22"/>
      <c r="K3711" s="15">
        <f t="shared" si="12"/>
        <v>13371329.51</v>
      </c>
      <c r="L3711" s="45"/>
      <c r="M3711" s="6"/>
    </row>
    <row r="3712" ht="15.75" customHeight="1">
      <c r="A3712" s="162">
        <v>46185.0</v>
      </c>
      <c r="B3712" s="50"/>
      <c r="C3712" s="31" t="s">
        <v>1183</v>
      </c>
      <c r="D3712" s="32" t="s">
        <v>15</v>
      </c>
      <c r="E3712" s="31" t="s">
        <v>4020</v>
      </c>
      <c r="F3712" s="134">
        <v>46199.0</v>
      </c>
      <c r="G3712" s="54">
        <v>1.488833052E7</v>
      </c>
      <c r="H3712" s="14">
        <f t="shared" si="11"/>
        <v>3126549.409</v>
      </c>
      <c r="I3712" s="22">
        <v>446649.92</v>
      </c>
      <c r="J3712" s="22"/>
      <c r="K3712" s="15">
        <f t="shared" si="12"/>
        <v>18461529.85</v>
      </c>
      <c r="L3712" s="45"/>
      <c r="M3712" s="6"/>
    </row>
    <row r="3713" ht="15.75" customHeight="1">
      <c r="A3713" s="162">
        <v>46185.0</v>
      </c>
      <c r="B3713" s="50"/>
      <c r="C3713" s="31" t="s">
        <v>1183</v>
      </c>
      <c r="D3713" s="32" t="s">
        <v>15</v>
      </c>
      <c r="E3713" s="31" t="s">
        <v>4021</v>
      </c>
      <c r="F3713" s="134">
        <v>46199.0</v>
      </c>
      <c r="G3713" s="54">
        <v>1.079722036E7</v>
      </c>
      <c r="H3713" s="14">
        <f t="shared" si="11"/>
        <v>2267416.276</v>
      </c>
      <c r="I3713" s="22">
        <v>323916.61</v>
      </c>
      <c r="J3713" s="22"/>
      <c r="K3713" s="15">
        <f t="shared" si="12"/>
        <v>13388553.25</v>
      </c>
      <c r="L3713" s="45"/>
      <c r="M3713" s="6"/>
    </row>
    <row r="3714" ht="15.75" customHeight="1">
      <c r="A3714" s="162">
        <v>46185.0</v>
      </c>
      <c r="B3714" s="50"/>
      <c r="C3714" s="31" t="s">
        <v>1183</v>
      </c>
      <c r="D3714" s="32" t="s">
        <v>15</v>
      </c>
      <c r="E3714" s="31" t="s">
        <v>4022</v>
      </c>
      <c r="F3714" s="134">
        <v>46199.0</v>
      </c>
      <c r="G3714" s="54">
        <v>8336333.05</v>
      </c>
      <c r="H3714" s="14">
        <f t="shared" si="11"/>
        <v>1750629.941</v>
      </c>
      <c r="I3714" s="22">
        <v>250089.99</v>
      </c>
      <c r="J3714" s="22"/>
      <c r="K3714" s="15">
        <f t="shared" si="12"/>
        <v>10337052.98</v>
      </c>
      <c r="L3714" s="45"/>
      <c r="M3714" s="6"/>
    </row>
    <row r="3715" ht="15.75" customHeight="1">
      <c r="A3715" s="162">
        <v>46185.0</v>
      </c>
      <c r="B3715" s="50"/>
      <c r="C3715" s="31" t="s">
        <v>1183</v>
      </c>
      <c r="D3715" s="32" t="s">
        <v>15</v>
      </c>
      <c r="E3715" s="31" t="s">
        <v>4023</v>
      </c>
      <c r="F3715" s="134">
        <v>46199.0</v>
      </c>
      <c r="G3715" s="54">
        <v>5717087.08</v>
      </c>
      <c r="H3715" s="14">
        <f t="shared" si="11"/>
        <v>1200588.287</v>
      </c>
      <c r="I3715" s="22">
        <v>171512.61</v>
      </c>
      <c r="J3715" s="22"/>
      <c r="K3715" s="15">
        <f t="shared" si="12"/>
        <v>7089187.977</v>
      </c>
      <c r="L3715" s="45"/>
      <c r="M3715" s="6"/>
    </row>
    <row r="3716" ht="15.75" customHeight="1">
      <c r="A3716" s="162">
        <v>46186.0</v>
      </c>
      <c r="B3716" s="50"/>
      <c r="C3716" s="31" t="s">
        <v>3580</v>
      </c>
      <c r="D3716" s="32" t="s">
        <v>99</v>
      </c>
      <c r="E3716" s="31" t="s">
        <v>4024</v>
      </c>
      <c r="F3716" s="134">
        <v>46199.0</v>
      </c>
      <c r="G3716" s="54">
        <v>1.645454859E7</v>
      </c>
      <c r="H3716" s="14">
        <f t="shared" si="11"/>
        <v>3455455.204</v>
      </c>
      <c r="I3716" s="22">
        <v>493636.46</v>
      </c>
      <c r="J3716" s="22"/>
      <c r="K3716" s="15">
        <f t="shared" si="12"/>
        <v>20403640.25</v>
      </c>
      <c r="L3716" s="45"/>
      <c r="M3716" s="6"/>
    </row>
    <row r="3717" ht="15.75" customHeight="1">
      <c r="A3717" s="162">
        <v>46186.0</v>
      </c>
      <c r="B3717" s="50"/>
      <c r="C3717" s="31" t="s">
        <v>3580</v>
      </c>
      <c r="D3717" s="32" t="s">
        <v>99</v>
      </c>
      <c r="E3717" s="31" t="s">
        <v>4025</v>
      </c>
      <c r="F3717" s="134">
        <v>46199.0</v>
      </c>
      <c r="G3717" s="54">
        <v>1.025011206E7</v>
      </c>
      <c r="H3717" s="14">
        <f t="shared" si="11"/>
        <v>2152523.533</v>
      </c>
      <c r="I3717" s="22">
        <v>307503.36</v>
      </c>
      <c r="J3717" s="22"/>
      <c r="K3717" s="15">
        <f t="shared" si="12"/>
        <v>12710138.95</v>
      </c>
      <c r="L3717" s="45"/>
      <c r="M3717" s="6"/>
    </row>
    <row r="3718" ht="15.75" customHeight="1">
      <c r="A3718" s="162">
        <v>46186.0</v>
      </c>
      <c r="B3718" s="50"/>
      <c r="C3718" s="32" t="s">
        <v>53</v>
      </c>
      <c r="D3718" s="32" t="s">
        <v>15</v>
      </c>
      <c r="E3718" s="31" t="s">
        <v>4026</v>
      </c>
      <c r="F3718" s="134">
        <v>46199.0</v>
      </c>
      <c r="G3718" s="54">
        <v>1.23937686E7</v>
      </c>
      <c r="H3718" s="14">
        <f t="shared" si="11"/>
        <v>2602691.406</v>
      </c>
      <c r="I3718" s="22"/>
      <c r="J3718" s="22"/>
      <c r="K3718" s="15">
        <f t="shared" si="12"/>
        <v>14996460.01</v>
      </c>
      <c r="L3718" s="45"/>
      <c r="M3718" s="6"/>
    </row>
    <row r="3719" ht="15.75" customHeight="1">
      <c r="A3719" s="162">
        <v>46186.0</v>
      </c>
      <c r="B3719" s="50"/>
      <c r="C3719" s="32" t="s">
        <v>53</v>
      </c>
      <c r="D3719" s="32" t="s">
        <v>15</v>
      </c>
      <c r="E3719" s="31" t="s">
        <v>4027</v>
      </c>
      <c r="F3719" s="134">
        <v>46199.0</v>
      </c>
      <c r="G3719" s="54">
        <v>4142421.95</v>
      </c>
      <c r="H3719" s="14">
        <f t="shared" si="11"/>
        <v>869908.6095</v>
      </c>
      <c r="I3719" s="22"/>
      <c r="J3719" s="22"/>
      <c r="K3719" s="15">
        <f t="shared" si="12"/>
        <v>5012330.56</v>
      </c>
      <c r="L3719" s="45"/>
      <c r="M3719" s="6"/>
    </row>
    <row r="3720" ht="15.75" customHeight="1">
      <c r="A3720" s="162">
        <v>46186.0</v>
      </c>
      <c r="B3720" s="50"/>
      <c r="C3720" s="31" t="s">
        <v>4028</v>
      </c>
      <c r="D3720" s="32" t="s">
        <v>15</v>
      </c>
      <c r="E3720" s="31" t="s">
        <v>4029</v>
      </c>
      <c r="F3720" s="134">
        <v>46199.0</v>
      </c>
      <c r="G3720" s="54">
        <v>3150059.26</v>
      </c>
      <c r="H3720" s="14">
        <f t="shared" si="11"/>
        <v>661512.4446</v>
      </c>
      <c r="I3720" s="22">
        <v>94501.78</v>
      </c>
      <c r="J3720" s="22">
        <v>126002.37</v>
      </c>
      <c r="K3720" s="15">
        <f t="shared" si="12"/>
        <v>4032075.855</v>
      </c>
      <c r="L3720" s="45"/>
      <c r="M3720" s="6"/>
    </row>
    <row r="3721" ht="15.75" customHeight="1">
      <c r="A3721" s="162">
        <v>46190.0</v>
      </c>
      <c r="B3721" s="50"/>
      <c r="C3721" s="31" t="s">
        <v>3385</v>
      </c>
      <c r="D3721" s="32" t="s">
        <v>15</v>
      </c>
      <c r="E3721" s="31" t="s">
        <v>4030</v>
      </c>
      <c r="F3721" s="134">
        <v>46199.0</v>
      </c>
      <c r="G3721" s="54">
        <v>4205602.13</v>
      </c>
      <c r="H3721" s="14">
        <f t="shared" si="11"/>
        <v>883176.4473</v>
      </c>
      <c r="I3721" s="22"/>
      <c r="J3721" s="22"/>
      <c r="K3721" s="15">
        <f t="shared" si="12"/>
        <v>5088778.577</v>
      </c>
      <c r="L3721" s="45"/>
      <c r="M3721" s="6"/>
    </row>
    <row r="3722" ht="15.75" customHeight="1">
      <c r="A3722" s="162">
        <v>46190.0</v>
      </c>
      <c r="B3722" s="50"/>
      <c r="C3722" s="31" t="s">
        <v>2495</v>
      </c>
      <c r="D3722" s="32" t="s">
        <v>99</v>
      </c>
      <c r="E3722" s="31" t="s">
        <v>4031</v>
      </c>
      <c r="F3722" s="134">
        <v>46199.0</v>
      </c>
      <c r="G3722" s="54">
        <v>7422780.51</v>
      </c>
      <c r="H3722" s="14">
        <f t="shared" si="11"/>
        <v>1558783.907</v>
      </c>
      <c r="I3722" s="22">
        <v>222683.42</v>
      </c>
      <c r="J3722" s="22"/>
      <c r="K3722" s="15">
        <f t="shared" si="12"/>
        <v>9204247.837</v>
      </c>
      <c r="L3722" s="45"/>
      <c r="M3722" s="6"/>
    </row>
    <row r="3723" ht="15.75" customHeight="1">
      <c r="A3723" s="162">
        <v>46190.0</v>
      </c>
      <c r="B3723" s="50"/>
      <c r="C3723" s="31" t="s">
        <v>2495</v>
      </c>
      <c r="D3723" s="32" t="s">
        <v>99</v>
      </c>
      <c r="E3723" s="31" t="s">
        <v>4032</v>
      </c>
      <c r="F3723" s="134">
        <v>46199.0</v>
      </c>
      <c r="G3723" s="54">
        <v>7584440.23</v>
      </c>
      <c r="H3723" s="14">
        <f t="shared" si="11"/>
        <v>1592732.448</v>
      </c>
      <c r="I3723" s="22">
        <v>227533.21</v>
      </c>
      <c r="J3723" s="22"/>
      <c r="K3723" s="15">
        <f t="shared" si="12"/>
        <v>9404705.888</v>
      </c>
      <c r="L3723" s="45"/>
      <c r="M3723" s="6"/>
    </row>
    <row r="3724" ht="15.75" customHeight="1">
      <c r="A3724" s="162">
        <v>46190.0</v>
      </c>
      <c r="B3724" s="50"/>
      <c r="C3724" s="31" t="s">
        <v>3836</v>
      </c>
      <c r="D3724" s="32" t="s">
        <v>99</v>
      </c>
      <c r="E3724" s="31" t="s">
        <v>4033</v>
      </c>
      <c r="F3724" s="134">
        <v>46199.0</v>
      </c>
      <c r="G3724" s="207">
        <f>37971433.5/1.21</f>
        <v>31381350</v>
      </c>
      <c r="H3724" s="14">
        <f t="shared" si="11"/>
        <v>6590083.5</v>
      </c>
      <c r="I3724" s="22"/>
      <c r="J3724" s="22"/>
      <c r="K3724" s="15">
        <f t="shared" si="12"/>
        <v>37971433.5</v>
      </c>
      <c r="L3724" s="45"/>
      <c r="M3724" s="6"/>
    </row>
    <row r="3725" ht="15.75" customHeight="1">
      <c r="A3725" s="162">
        <v>46190.0</v>
      </c>
      <c r="B3725" s="50"/>
      <c r="C3725" s="31" t="s">
        <v>3836</v>
      </c>
      <c r="D3725" s="32" t="s">
        <v>99</v>
      </c>
      <c r="E3725" s="31" t="s">
        <v>4034</v>
      </c>
      <c r="F3725" s="134">
        <v>46199.0</v>
      </c>
      <c r="G3725" s="207">
        <f>10003099.25/1.21</f>
        <v>8267024.174</v>
      </c>
      <c r="H3725" s="14">
        <f t="shared" si="11"/>
        <v>1736075.076</v>
      </c>
      <c r="I3725" s="22"/>
      <c r="J3725" s="22"/>
      <c r="K3725" s="15">
        <f t="shared" si="12"/>
        <v>10003099.25</v>
      </c>
      <c r="L3725" s="45"/>
      <c r="M3725" s="6"/>
    </row>
    <row r="3726" ht="15.75" customHeight="1">
      <c r="A3726" s="162">
        <v>46191.0</v>
      </c>
      <c r="B3726" s="50"/>
      <c r="C3726" s="31" t="s">
        <v>124</v>
      </c>
      <c r="D3726" s="32" t="s">
        <v>15</v>
      </c>
      <c r="E3726" s="31" t="s">
        <v>4035</v>
      </c>
      <c r="F3726" s="134">
        <v>46199.0</v>
      </c>
      <c r="G3726" s="54">
        <v>1911380.11</v>
      </c>
      <c r="H3726" s="14">
        <f t="shared" si="11"/>
        <v>401389.8231</v>
      </c>
      <c r="I3726" s="22"/>
      <c r="J3726" s="22"/>
      <c r="K3726" s="15">
        <f t="shared" si="12"/>
        <v>2312769.933</v>
      </c>
      <c r="L3726" s="45"/>
      <c r="M3726" s="6"/>
    </row>
    <row r="3727" ht="15.75" customHeight="1">
      <c r="A3727" s="162">
        <v>46191.0</v>
      </c>
      <c r="B3727" s="50"/>
      <c r="C3727" s="31" t="s">
        <v>124</v>
      </c>
      <c r="D3727" s="32" t="s">
        <v>15</v>
      </c>
      <c r="E3727" s="31" t="s">
        <v>4036</v>
      </c>
      <c r="F3727" s="134">
        <v>46199.0</v>
      </c>
      <c r="G3727" s="54">
        <v>1402320.71</v>
      </c>
      <c r="H3727" s="14">
        <f t="shared" si="11"/>
        <v>294487.3491</v>
      </c>
      <c r="I3727" s="22"/>
      <c r="J3727" s="22"/>
      <c r="K3727" s="15">
        <f t="shared" si="12"/>
        <v>1696808.059</v>
      </c>
      <c r="L3727" s="45"/>
      <c r="M3727" s="6"/>
    </row>
    <row r="3728" ht="15.75" customHeight="1">
      <c r="A3728" s="162">
        <v>46191.0</v>
      </c>
      <c r="B3728" s="50"/>
      <c r="C3728" s="31" t="s">
        <v>1183</v>
      </c>
      <c r="D3728" s="32" t="s">
        <v>15</v>
      </c>
      <c r="E3728" s="31" t="s">
        <v>4037</v>
      </c>
      <c r="F3728" s="134">
        <v>46199.0</v>
      </c>
      <c r="G3728" s="54">
        <v>8824071.18</v>
      </c>
      <c r="H3728" s="14">
        <f t="shared" si="11"/>
        <v>1853054.948</v>
      </c>
      <c r="I3728" s="22">
        <v>264722.14</v>
      </c>
      <c r="J3728" s="22"/>
      <c r="K3728" s="15">
        <f t="shared" si="12"/>
        <v>10941848.27</v>
      </c>
      <c r="L3728" s="45"/>
      <c r="M3728" s="6"/>
    </row>
    <row r="3729" ht="15.75" customHeight="1">
      <c r="A3729" s="162">
        <v>46191.0</v>
      </c>
      <c r="B3729" s="50"/>
      <c r="C3729" s="31" t="s">
        <v>1183</v>
      </c>
      <c r="D3729" s="32" t="s">
        <v>15</v>
      </c>
      <c r="E3729" s="31" t="s">
        <v>4038</v>
      </c>
      <c r="F3729" s="134">
        <v>46199.0</v>
      </c>
      <c r="G3729" s="54">
        <v>1.036736941E7</v>
      </c>
      <c r="H3729" s="14">
        <f t="shared" si="11"/>
        <v>2177147.576</v>
      </c>
      <c r="I3729" s="22">
        <v>311021.08</v>
      </c>
      <c r="J3729" s="22"/>
      <c r="K3729" s="15">
        <f t="shared" si="12"/>
        <v>12855538.07</v>
      </c>
      <c r="L3729" s="45"/>
      <c r="M3729" s="6"/>
    </row>
    <row r="3730" ht="15.75" customHeight="1">
      <c r="A3730" s="162">
        <v>46191.0</v>
      </c>
      <c r="B3730" s="50"/>
      <c r="C3730" s="31" t="s">
        <v>1183</v>
      </c>
      <c r="D3730" s="32" t="s">
        <v>15</v>
      </c>
      <c r="E3730" s="31" t="s">
        <v>4039</v>
      </c>
      <c r="F3730" s="134">
        <v>46199.0</v>
      </c>
      <c r="G3730" s="54">
        <v>1.337363316E7</v>
      </c>
      <c r="H3730" s="14">
        <f t="shared" si="11"/>
        <v>2808462.964</v>
      </c>
      <c r="I3730" s="22">
        <v>401208.99</v>
      </c>
      <c r="J3730" s="22"/>
      <c r="K3730" s="15">
        <f t="shared" si="12"/>
        <v>16583305.11</v>
      </c>
      <c r="L3730" s="45"/>
      <c r="M3730" s="6"/>
    </row>
    <row r="3731" ht="15.75" customHeight="1">
      <c r="A3731" s="162">
        <v>46191.0</v>
      </c>
      <c r="B3731" s="50"/>
      <c r="C3731" s="31" t="s">
        <v>1183</v>
      </c>
      <c r="D3731" s="32" t="s">
        <v>15</v>
      </c>
      <c r="E3731" s="31" t="s">
        <v>4040</v>
      </c>
      <c r="F3731" s="134">
        <v>46199.0</v>
      </c>
      <c r="G3731" s="54">
        <v>1.244783705E7</v>
      </c>
      <c r="H3731" s="14">
        <f t="shared" si="11"/>
        <v>2614045.781</v>
      </c>
      <c r="I3731" s="22">
        <v>373435.11</v>
      </c>
      <c r="J3731" s="22"/>
      <c r="K3731" s="15">
        <f t="shared" si="12"/>
        <v>15435317.94</v>
      </c>
      <c r="L3731" s="45"/>
      <c r="M3731" s="6"/>
    </row>
    <row r="3732" ht="15.75" customHeight="1">
      <c r="A3732" s="162">
        <v>46191.0</v>
      </c>
      <c r="B3732" s="50"/>
      <c r="C3732" s="31" t="s">
        <v>1183</v>
      </c>
      <c r="D3732" s="32" t="s">
        <v>15</v>
      </c>
      <c r="E3732" s="31" t="s">
        <v>4041</v>
      </c>
      <c r="F3732" s="134">
        <v>46199.0</v>
      </c>
      <c r="G3732" s="54">
        <v>1.757019522E7</v>
      </c>
      <c r="H3732" s="14">
        <f t="shared" si="11"/>
        <v>3689740.996</v>
      </c>
      <c r="I3732" s="22">
        <v>527105.86</v>
      </c>
      <c r="J3732" s="22"/>
      <c r="K3732" s="15">
        <f t="shared" si="12"/>
        <v>21787042.08</v>
      </c>
      <c r="L3732" s="45"/>
      <c r="M3732" s="6"/>
    </row>
    <row r="3733" ht="15.75" customHeight="1">
      <c r="A3733" s="162">
        <v>46191.0</v>
      </c>
      <c r="B3733" s="50"/>
      <c r="C3733" s="31" t="s">
        <v>1183</v>
      </c>
      <c r="D3733" s="32" t="s">
        <v>15</v>
      </c>
      <c r="E3733" s="31" t="s">
        <v>4042</v>
      </c>
      <c r="F3733" s="134">
        <v>46199.0</v>
      </c>
      <c r="G3733" s="54">
        <v>8334633.26</v>
      </c>
      <c r="H3733" s="14">
        <f t="shared" si="11"/>
        <v>1750272.985</v>
      </c>
      <c r="I3733" s="22">
        <v>250039.0</v>
      </c>
      <c r="J3733" s="22"/>
      <c r="K3733" s="15">
        <f t="shared" si="12"/>
        <v>10334945.24</v>
      </c>
      <c r="L3733" s="45"/>
      <c r="M3733" s="6"/>
    </row>
    <row r="3734" ht="15.75" customHeight="1">
      <c r="A3734" s="162">
        <v>46191.0</v>
      </c>
      <c r="B3734" s="50"/>
      <c r="C3734" s="31" t="s">
        <v>1183</v>
      </c>
      <c r="D3734" s="32" t="s">
        <v>15</v>
      </c>
      <c r="E3734" s="31" t="s">
        <v>4043</v>
      </c>
      <c r="F3734" s="134">
        <v>46199.0</v>
      </c>
      <c r="G3734" s="54">
        <v>9333632.22</v>
      </c>
      <c r="H3734" s="14">
        <f t="shared" si="11"/>
        <v>1960062.766</v>
      </c>
      <c r="I3734" s="22">
        <v>280008.97</v>
      </c>
      <c r="J3734" s="22"/>
      <c r="K3734" s="15">
        <f t="shared" si="12"/>
        <v>11573703.96</v>
      </c>
      <c r="L3734" s="45"/>
      <c r="M3734" s="6"/>
    </row>
    <row r="3735" ht="15.75" customHeight="1">
      <c r="A3735" s="162">
        <v>46191.0</v>
      </c>
      <c r="B3735" s="50"/>
      <c r="C3735" s="31" t="s">
        <v>3385</v>
      </c>
      <c r="D3735" s="32" t="s">
        <v>15</v>
      </c>
      <c r="E3735" s="31" t="s">
        <v>4044</v>
      </c>
      <c r="F3735" s="134">
        <v>46199.0</v>
      </c>
      <c r="G3735" s="54">
        <v>1801890.52</v>
      </c>
      <c r="H3735" s="14">
        <f t="shared" si="11"/>
        <v>378397.0092</v>
      </c>
      <c r="I3735" s="22"/>
      <c r="J3735" s="22"/>
      <c r="K3735" s="15">
        <f t="shared" si="12"/>
        <v>2180287.529</v>
      </c>
      <c r="L3735" s="45"/>
      <c r="M3735" s="6"/>
    </row>
    <row r="3736" ht="15.75" customHeight="1">
      <c r="A3736" s="162">
        <v>46191.0</v>
      </c>
      <c r="B3736" s="50"/>
      <c r="C3736" s="31" t="s">
        <v>3385</v>
      </c>
      <c r="D3736" s="32" t="s">
        <v>15</v>
      </c>
      <c r="E3736" s="31" t="s">
        <v>4045</v>
      </c>
      <c r="F3736" s="134">
        <v>46199.0</v>
      </c>
      <c r="G3736" s="54">
        <v>5012702.15</v>
      </c>
      <c r="H3736" s="14">
        <f t="shared" si="11"/>
        <v>1052667.452</v>
      </c>
      <c r="I3736" s="22"/>
      <c r="J3736" s="22"/>
      <c r="K3736" s="15">
        <f t="shared" si="12"/>
        <v>6065369.602</v>
      </c>
      <c r="L3736" s="45"/>
      <c r="M3736" s="6"/>
    </row>
    <row r="3737" ht="15.75" customHeight="1">
      <c r="A3737" s="162">
        <v>46191.0</v>
      </c>
      <c r="B3737" s="50"/>
      <c r="C3737" s="31" t="s">
        <v>3385</v>
      </c>
      <c r="D3737" s="32" t="s">
        <v>15</v>
      </c>
      <c r="E3737" s="31" t="s">
        <v>4046</v>
      </c>
      <c r="F3737" s="134">
        <v>46199.0</v>
      </c>
      <c r="G3737" s="54">
        <v>2003560.51</v>
      </c>
      <c r="H3737" s="14">
        <f t="shared" si="11"/>
        <v>420747.7071</v>
      </c>
      <c r="I3737" s="22"/>
      <c r="J3737" s="22"/>
      <c r="K3737" s="15">
        <f t="shared" si="12"/>
        <v>2424308.217</v>
      </c>
      <c r="L3737" s="45"/>
      <c r="M3737" s="6"/>
    </row>
    <row r="3738" ht="15.75" customHeight="1">
      <c r="A3738" s="162">
        <v>46191.0</v>
      </c>
      <c r="B3738" s="50"/>
      <c r="C3738" s="32" t="s">
        <v>4047</v>
      </c>
      <c r="D3738" s="32" t="s">
        <v>15</v>
      </c>
      <c r="E3738" s="31" t="s">
        <v>4048</v>
      </c>
      <c r="F3738" s="134">
        <v>46199.0</v>
      </c>
      <c r="G3738" s="54">
        <v>1.400075416E7</v>
      </c>
      <c r="H3738" s="14">
        <f t="shared" si="11"/>
        <v>2940158.374</v>
      </c>
      <c r="I3738" s="22"/>
      <c r="J3738" s="22"/>
      <c r="K3738" s="15">
        <f t="shared" si="12"/>
        <v>16940912.53</v>
      </c>
      <c r="L3738" s="45"/>
      <c r="M3738" s="6"/>
    </row>
    <row r="3739" ht="15.75" customHeight="1">
      <c r="A3739" s="162">
        <v>46191.0</v>
      </c>
      <c r="B3739" s="50"/>
      <c r="C3739" s="31" t="s">
        <v>196</v>
      </c>
      <c r="D3739" s="32" t="s">
        <v>15</v>
      </c>
      <c r="E3739" s="31" t="s">
        <v>4049</v>
      </c>
      <c r="F3739" s="134">
        <v>46199.0</v>
      </c>
      <c r="G3739" s="54">
        <v>1031202.11</v>
      </c>
      <c r="H3739" s="14">
        <f t="shared" si="11"/>
        <v>216552.4431</v>
      </c>
      <c r="I3739" s="22"/>
      <c r="J3739" s="22"/>
      <c r="K3739" s="15">
        <f t="shared" si="12"/>
        <v>1247754.553</v>
      </c>
      <c r="L3739" s="45"/>
      <c r="M3739" s="6"/>
    </row>
    <row r="3740" ht="15.75" customHeight="1">
      <c r="A3740" s="162">
        <v>46191.0</v>
      </c>
      <c r="B3740" s="50"/>
      <c r="C3740" s="31" t="s">
        <v>1285</v>
      </c>
      <c r="D3740" s="32" t="s">
        <v>15</v>
      </c>
      <c r="E3740" s="31" t="s">
        <v>4050</v>
      </c>
      <c r="F3740" s="134">
        <v>46199.0</v>
      </c>
      <c r="G3740" s="54">
        <v>5012360.23</v>
      </c>
      <c r="H3740" s="14">
        <f t="shared" si="11"/>
        <v>1052595.648</v>
      </c>
      <c r="I3740" s="22"/>
      <c r="J3740" s="22"/>
      <c r="K3740" s="15">
        <f t="shared" si="12"/>
        <v>6064955.878</v>
      </c>
      <c r="L3740" s="45"/>
      <c r="M3740" s="6"/>
    </row>
    <row r="3741" ht="15.75" customHeight="1">
      <c r="A3741" s="162">
        <v>46192.0</v>
      </c>
      <c r="B3741" s="50"/>
      <c r="C3741" s="144" t="s">
        <v>973</v>
      </c>
      <c r="D3741" s="32" t="s">
        <v>15</v>
      </c>
      <c r="E3741" s="31" t="s">
        <v>4051</v>
      </c>
      <c r="F3741" s="134">
        <v>46199.0</v>
      </c>
      <c r="G3741" s="54">
        <v>1.034646323E7</v>
      </c>
      <c r="H3741" s="14">
        <f t="shared" si="11"/>
        <v>2172757.278</v>
      </c>
      <c r="I3741" s="22">
        <v>310393.9</v>
      </c>
      <c r="J3741" s="22">
        <v>72425.24</v>
      </c>
      <c r="K3741" s="15">
        <f t="shared" si="12"/>
        <v>12902039.65</v>
      </c>
      <c r="L3741" s="45"/>
      <c r="M3741" s="6"/>
    </row>
    <row r="3742" ht="15.75" customHeight="1">
      <c r="A3742" s="162">
        <v>46192.0</v>
      </c>
      <c r="B3742" s="50"/>
      <c r="C3742" s="144" t="s">
        <v>973</v>
      </c>
      <c r="D3742" s="32" t="s">
        <v>15</v>
      </c>
      <c r="E3742" s="31" t="s">
        <v>4052</v>
      </c>
      <c r="F3742" s="134">
        <v>46199.0</v>
      </c>
      <c r="G3742" s="54">
        <v>1.956363328E7</v>
      </c>
      <c r="H3742" s="14">
        <f t="shared" si="11"/>
        <v>4108362.989</v>
      </c>
      <c r="I3742" s="22">
        <v>586909.0</v>
      </c>
      <c r="J3742" s="22">
        <v>136945.43</v>
      </c>
      <c r="K3742" s="15">
        <f t="shared" si="12"/>
        <v>24395850.7</v>
      </c>
      <c r="L3742" s="45"/>
      <c r="M3742" s="6"/>
    </row>
    <row r="3743" ht="15.75" customHeight="1">
      <c r="A3743" s="162">
        <v>46192.0</v>
      </c>
      <c r="B3743" s="50"/>
      <c r="C3743" s="144" t="s">
        <v>973</v>
      </c>
      <c r="D3743" s="32" t="s">
        <v>15</v>
      </c>
      <c r="E3743" s="31" t="s">
        <v>4053</v>
      </c>
      <c r="F3743" s="134">
        <v>46199.0</v>
      </c>
      <c r="G3743" s="54">
        <v>1.824343226E7</v>
      </c>
      <c r="H3743" s="14">
        <f t="shared" si="11"/>
        <v>3831120.775</v>
      </c>
      <c r="I3743" s="22">
        <v>547302.97</v>
      </c>
      <c r="J3743" s="22">
        <v>127704.03</v>
      </c>
      <c r="K3743" s="15">
        <f t="shared" si="12"/>
        <v>22749560.03</v>
      </c>
      <c r="L3743" s="45"/>
      <c r="M3743" s="6"/>
    </row>
    <row r="3744" ht="15.75" customHeight="1">
      <c r="A3744" s="162">
        <v>46192.0</v>
      </c>
      <c r="B3744" s="50"/>
      <c r="C3744" s="31" t="s">
        <v>973</v>
      </c>
      <c r="D3744" s="32" t="s">
        <v>15</v>
      </c>
      <c r="E3744" s="31" t="s">
        <v>4054</v>
      </c>
      <c r="F3744" s="134">
        <v>46199.0</v>
      </c>
      <c r="G3744" s="54">
        <v>1.620033326E7</v>
      </c>
      <c r="H3744" s="14">
        <f t="shared" si="11"/>
        <v>3402069.985</v>
      </c>
      <c r="I3744" s="22">
        <v>486010.0</v>
      </c>
      <c r="J3744" s="22">
        <v>113402.33</v>
      </c>
      <c r="K3744" s="15">
        <f t="shared" si="12"/>
        <v>20201815.57</v>
      </c>
      <c r="L3744" s="45"/>
      <c r="M3744" s="6"/>
    </row>
    <row r="3745" ht="15.75" customHeight="1">
      <c r="A3745" s="162">
        <v>46192.0</v>
      </c>
      <c r="B3745" s="50"/>
      <c r="C3745" s="31" t="s">
        <v>973</v>
      </c>
      <c r="D3745" s="32" t="s">
        <v>99</v>
      </c>
      <c r="E3745" s="32" t="s">
        <v>4055</v>
      </c>
      <c r="F3745" s="134">
        <v>46199.0</v>
      </c>
      <c r="G3745" s="54">
        <v>1.833363352E7</v>
      </c>
      <c r="H3745" s="14">
        <f t="shared" si="11"/>
        <v>3850063.039</v>
      </c>
      <c r="I3745" s="22">
        <v>550009.01</v>
      </c>
      <c r="J3745" s="22">
        <v>128335.43</v>
      </c>
      <c r="K3745" s="15">
        <f t="shared" si="12"/>
        <v>22862041</v>
      </c>
      <c r="L3745" s="45"/>
      <c r="M3745" s="6"/>
    </row>
    <row r="3746" ht="15.75" customHeight="1">
      <c r="A3746" s="162">
        <v>46192.0</v>
      </c>
      <c r="B3746" s="50"/>
      <c r="C3746" s="31" t="s">
        <v>973</v>
      </c>
      <c r="D3746" s="32" t="s">
        <v>99</v>
      </c>
      <c r="E3746" s="32" t="s">
        <v>4056</v>
      </c>
      <c r="F3746" s="134">
        <v>46199.0</v>
      </c>
      <c r="G3746" s="54">
        <v>1.744633336E7</v>
      </c>
      <c r="H3746" s="14">
        <f t="shared" si="11"/>
        <v>3663730.006</v>
      </c>
      <c r="I3746" s="22">
        <v>523390.0</v>
      </c>
      <c r="J3746" s="22">
        <v>122124.33</v>
      </c>
      <c r="K3746" s="15">
        <f t="shared" si="12"/>
        <v>21755577.7</v>
      </c>
      <c r="L3746" s="45"/>
      <c r="M3746" s="6"/>
    </row>
    <row r="3747" ht="15.75" customHeight="1">
      <c r="A3747" s="162">
        <v>46192.0</v>
      </c>
      <c r="B3747" s="50"/>
      <c r="C3747" s="31" t="s">
        <v>973</v>
      </c>
      <c r="D3747" s="32" t="s">
        <v>99</v>
      </c>
      <c r="E3747" s="32" t="s">
        <v>4057</v>
      </c>
      <c r="F3747" s="134">
        <v>46199.0</v>
      </c>
      <c r="G3747" s="54">
        <v>1.533733311E7</v>
      </c>
      <c r="H3747" s="14">
        <f t="shared" si="11"/>
        <v>3220839.953</v>
      </c>
      <c r="I3747" s="22">
        <v>460119.99</v>
      </c>
      <c r="J3747" s="22">
        <v>107361.33</v>
      </c>
      <c r="K3747" s="15">
        <f t="shared" si="12"/>
        <v>19125654.38</v>
      </c>
      <c r="L3747" s="45"/>
      <c r="M3747" s="6"/>
    </row>
    <row r="3748" ht="15.75" customHeight="1">
      <c r="A3748" s="162">
        <v>46192.0</v>
      </c>
      <c r="B3748" s="50"/>
      <c r="C3748" s="31" t="s">
        <v>973</v>
      </c>
      <c r="D3748" s="32" t="s">
        <v>99</v>
      </c>
      <c r="E3748" s="32" t="s">
        <v>4058</v>
      </c>
      <c r="F3748" s="134">
        <v>46199.0</v>
      </c>
      <c r="G3748" s="54">
        <v>1.163375812E7</v>
      </c>
      <c r="H3748" s="14">
        <f t="shared" si="11"/>
        <v>2443089.205</v>
      </c>
      <c r="I3748" s="22">
        <v>349012.74</v>
      </c>
      <c r="J3748" s="22">
        <v>81436.31</v>
      </c>
      <c r="K3748" s="15">
        <f t="shared" si="12"/>
        <v>14507296.38</v>
      </c>
      <c r="L3748" s="45"/>
      <c r="M3748" s="6"/>
    </row>
    <row r="3749" ht="15.75" customHeight="1">
      <c r="A3749" s="162">
        <v>46192.0</v>
      </c>
      <c r="B3749" s="50"/>
      <c r="C3749" s="31" t="s">
        <v>1183</v>
      </c>
      <c r="D3749" s="32" t="s">
        <v>15</v>
      </c>
      <c r="E3749" s="31" t="s">
        <v>4059</v>
      </c>
      <c r="F3749" s="134">
        <v>46199.0</v>
      </c>
      <c r="G3749" s="54">
        <v>1.248922016E7</v>
      </c>
      <c r="H3749" s="14">
        <f t="shared" si="11"/>
        <v>2622736.234</v>
      </c>
      <c r="I3749" s="22">
        <v>374676.6</v>
      </c>
      <c r="J3749" s="22"/>
      <c r="K3749" s="15">
        <f t="shared" si="12"/>
        <v>15486632.99</v>
      </c>
      <c r="L3749" s="45"/>
      <c r="M3749" s="6"/>
    </row>
    <row r="3750" ht="15.75" customHeight="1">
      <c r="A3750" s="162">
        <v>46192.0</v>
      </c>
      <c r="B3750" s="50"/>
      <c r="C3750" s="31" t="s">
        <v>1183</v>
      </c>
      <c r="D3750" s="32" t="s">
        <v>15</v>
      </c>
      <c r="E3750" s="31" t="s">
        <v>4060</v>
      </c>
      <c r="F3750" s="134">
        <v>46199.0</v>
      </c>
      <c r="G3750" s="54">
        <v>6721490.15</v>
      </c>
      <c r="H3750" s="14">
        <f t="shared" si="11"/>
        <v>1411512.932</v>
      </c>
      <c r="I3750" s="22">
        <v>201644.7</v>
      </c>
      <c r="J3750" s="22"/>
      <c r="K3750" s="15">
        <f t="shared" si="12"/>
        <v>8334647.782</v>
      </c>
      <c r="L3750" s="45"/>
      <c r="M3750" s="6"/>
    </row>
    <row r="3751" ht="15.75" customHeight="1">
      <c r="A3751" s="162">
        <v>46192.0</v>
      </c>
      <c r="B3751" s="50"/>
      <c r="C3751" s="31" t="s">
        <v>1183</v>
      </c>
      <c r="D3751" s="32" t="s">
        <v>15</v>
      </c>
      <c r="E3751" s="31" t="s">
        <v>4061</v>
      </c>
      <c r="F3751" s="134">
        <v>46199.0</v>
      </c>
      <c r="G3751" s="54">
        <v>1.083146012E7</v>
      </c>
      <c r="H3751" s="14">
        <f t="shared" si="11"/>
        <v>2274606.625</v>
      </c>
      <c r="I3751" s="22">
        <v>324943.8</v>
      </c>
      <c r="J3751" s="22"/>
      <c r="K3751" s="15">
        <f t="shared" si="12"/>
        <v>13431010.55</v>
      </c>
      <c r="L3751" s="45"/>
      <c r="M3751" s="6"/>
    </row>
    <row r="3752" ht="15.75" customHeight="1">
      <c r="A3752" s="162">
        <v>46195.0</v>
      </c>
      <c r="B3752" s="50"/>
      <c r="C3752" s="31" t="s">
        <v>171</v>
      </c>
      <c r="D3752" s="32" t="s">
        <v>99</v>
      </c>
      <c r="E3752" s="32" t="s">
        <v>4062</v>
      </c>
      <c r="F3752" s="134">
        <v>46199.0</v>
      </c>
      <c r="G3752" s="54">
        <v>1.038893626E7</v>
      </c>
      <c r="H3752" s="14">
        <f t="shared" si="11"/>
        <v>2181676.615</v>
      </c>
      <c r="I3752" s="22"/>
      <c r="J3752" s="22"/>
      <c r="K3752" s="15">
        <f t="shared" si="12"/>
        <v>12570612.87</v>
      </c>
      <c r="L3752" s="45"/>
      <c r="M3752" s="6"/>
    </row>
    <row r="3753" ht="15.75" customHeight="1">
      <c r="A3753" s="162">
        <v>46195.0</v>
      </c>
      <c r="B3753" s="50"/>
      <c r="C3753" s="31" t="s">
        <v>171</v>
      </c>
      <c r="D3753" s="32" t="s">
        <v>15</v>
      </c>
      <c r="E3753" s="31" t="s">
        <v>4063</v>
      </c>
      <c r="F3753" s="134">
        <v>46199.0</v>
      </c>
      <c r="G3753" s="54">
        <v>1.044838361E7</v>
      </c>
      <c r="H3753" s="14">
        <f t="shared" si="11"/>
        <v>2194160.558</v>
      </c>
      <c r="I3753" s="22"/>
      <c r="J3753" s="22"/>
      <c r="K3753" s="15">
        <f t="shared" si="12"/>
        <v>12642544.17</v>
      </c>
      <c r="L3753" s="45"/>
      <c r="M3753" s="6"/>
    </row>
    <row r="3754" ht="15.75" customHeight="1">
      <c r="A3754" s="162">
        <v>46196.0</v>
      </c>
      <c r="B3754" s="50"/>
      <c r="C3754" s="31" t="s">
        <v>1283</v>
      </c>
      <c r="D3754" s="32" t="s">
        <v>99</v>
      </c>
      <c r="E3754" s="31" t="s">
        <v>4064</v>
      </c>
      <c r="F3754" s="134">
        <v>46199.0</v>
      </c>
      <c r="G3754" s="54">
        <v>6117250.14</v>
      </c>
      <c r="H3754" s="14">
        <f t="shared" si="11"/>
        <v>1284622.529</v>
      </c>
      <c r="I3754" s="22">
        <v>183517.5</v>
      </c>
      <c r="J3754" s="22">
        <v>30586.25</v>
      </c>
      <c r="K3754" s="15">
        <f t="shared" si="12"/>
        <v>7615976.419</v>
      </c>
      <c r="L3754" s="45"/>
      <c r="M3754" s="6"/>
    </row>
    <row r="3755" ht="15.75" customHeight="1">
      <c r="A3755" s="162">
        <v>46196.0</v>
      </c>
      <c r="B3755" s="50"/>
      <c r="C3755" s="31" t="s">
        <v>1283</v>
      </c>
      <c r="D3755" s="32" t="s">
        <v>99</v>
      </c>
      <c r="E3755" s="31" t="s">
        <v>4065</v>
      </c>
      <c r="F3755" s="134">
        <v>46199.0</v>
      </c>
      <c r="G3755" s="54">
        <v>6116300.29</v>
      </c>
      <c r="H3755" s="14">
        <f t="shared" si="11"/>
        <v>1284423.061</v>
      </c>
      <c r="I3755" s="22">
        <v>183489.01</v>
      </c>
      <c r="J3755" s="22">
        <v>30581.5</v>
      </c>
      <c r="K3755" s="15">
        <f t="shared" si="12"/>
        <v>7614793.861</v>
      </c>
      <c r="L3755" s="45"/>
      <c r="M3755" s="6"/>
    </row>
    <row r="3756" ht="15.75" customHeight="1">
      <c r="A3756" s="162">
        <v>46196.0</v>
      </c>
      <c r="B3756" s="50"/>
      <c r="C3756" s="31" t="s">
        <v>1281</v>
      </c>
      <c r="D3756" s="32" t="s">
        <v>99</v>
      </c>
      <c r="E3756" s="31" t="s">
        <v>4066</v>
      </c>
      <c r="F3756" s="134">
        <v>46199.0</v>
      </c>
      <c r="G3756" s="54">
        <v>2070501.22</v>
      </c>
      <c r="H3756" s="14">
        <f t="shared" si="11"/>
        <v>434805.2562</v>
      </c>
      <c r="I3756" s="22">
        <v>62115.04</v>
      </c>
      <c r="J3756" s="22"/>
      <c r="K3756" s="15">
        <f t="shared" si="12"/>
        <v>2567421.516</v>
      </c>
      <c r="L3756" s="45"/>
      <c r="M3756" s="6"/>
    </row>
    <row r="3757" ht="15.75" customHeight="1">
      <c r="A3757" s="162">
        <v>46196.0</v>
      </c>
      <c r="B3757" s="50"/>
      <c r="C3757" s="31" t="s">
        <v>1281</v>
      </c>
      <c r="D3757" s="32" t="s">
        <v>99</v>
      </c>
      <c r="E3757" s="31" t="s">
        <v>4067</v>
      </c>
      <c r="F3757" s="134">
        <v>46199.0</v>
      </c>
      <c r="G3757" s="54">
        <v>2090201.95</v>
      </c>
      <c r="H3757" s="14">
        <f t="shared" si="11"/>
        <v>438942.4095</v>
      </c>
      <c r="I3757" s="22">
        <v>62706.06</v>
      </c>
      <c r="J3757" s="22"/>
      <c r="K3757" s="15">
        <f t="shared" si="12"/>
        <v>2591850.42</v>
      </c>
      <c r="L3757" s="45"/>
      <c r="M3757" s="6"/>
    </row>
    <row r="3758" ht="15.75" customHeight="1">
      <c r="A3758" s="162">
        <v>46196.0</v>
      </c>
      <c r="B3758" s="50"/>
      <c r="C3758" s="31" t="s">
        <v>1279</v>
      </c>
      <c r="D3758" s="32" t="s">
        <v>99</v>
      </c>
      <c r="E3758" s="31" t="s">
        <v>4068</v>
      </c>
      <c r="F3758" s="134">
        <v>46199.0</v>
      </c>
      <c r="G3758" s="54">
        <v>7720502.26</v>
      </c>
      <c r="H3758" s="14">
        <f t="shared" si="11"/>
        <v>1621305.475</v>
      </c>
      <c r="I3758" s="22">
        <v>231615.07</v>
      </c>
      <c r="J3758" s="22"/>
      <c r="K3758" s="15">
        <f t="shared" si="12"/>
        <v>9573422.805</v>
      </c>
      <c r="L3758" s="45"/>
      <c r="M3758" s="6"/>
    </row>
    <row r="3759" ht="15.75" customHeight="1">
      <c r="A3759" s="162">
        <v>46196.0</v>
      </c>
      <c r="B3759" s="50"/>
      <c r="C3759" s="31" t="s">
        <v>1279</v>
      </c>
      <c r="D3759" s="32" t="s">
        <v>99</v>
      </c>
      <c r="E3759" s="31" t="s">
        <v>4069</v>
      </c>
      <c r="F3759" s="134">
        <v>46199.0</v>
      </c>
      <c r="G3759" s="54">
        <v>7714603.06</v>
      </c>
      <c r="H3759" s="14">
        <f t="shared" si="11"/>
        <v>1620066.643</v>
      </c>
      <c r="I3759" s="22">
        <v>231438.09</v>
      </c>
      <c r="J3759" s="22"/>
      <c r="K3759" s="15">
        <f t="shared" si="12"/>
        <v>9566107.793</v>
      </c>
      <c r="L3759" s="45"/>
      <c r="M3759" s="6"/>
    </row>
    <row r="3760" ht="15.75" customHeight="1">
      <c r="A3760" s="162">
        <v>46196.0</v>
      </c>
      <c r="B3760" s="50"/>
      <c r="C3760" s="31" t="s">
        <v>1279</v>
      </c>
      <c r="D3760" s="32" t="s">
        <v>99</v>
      </c>
      <c r="E3760" s="31" t="s">
        <v>4070</v>
      </c>
      <c r="F3760" s="134">
        <v>46199.0</v>
      </c>
      <c r="G3760" s="54">
        <v>7720502.13</v>
      </c>
      <c r="H3760" s="14">
        <f t="shared" si="11"/>
        <v>1621305.447</v>
      </c>
      <c r="I3760" s="22">
        <v>231615.06</v>
      </c>
      <c r="J3760" s="22"/>
      <c r="K3760" s="15">
        <f t="shared" si="12"/>
        <v>9573422.637</v>
      </c>
      <c r="L3760" s="45"/>
      <c r="M3760" s="6"/>
    </row>
    <row r="3761" ht="15.75" customHeight="1">
      <c r="A3761" s="162">
        <v>46196.0</v>
      </c>
      <c r="B3761" s="50"/>
      <c r="C3761" s="31" t="s">
        <v>1277</v>
      </c>
      <c r="D3761" s="32" t="s">
        <v>99</v>
      </c>
      <c r="E3761" s="31" t="s">
        <v>4071</v>
      </c>
      <c r="F3761" s="134">
        <v>46199.0</v>
      </c>
      <c r="G3761" s="54">
        <v>6500150.26</v>
      </c>
      <c r="H3761" s="14">
        <f t="shared" si="11"/>
        <v>1365031.555</v>
      </c>
      <c r="I3761" s="22">
        <v>195004.51</v>
      </c>
      <c r="J3761" s="22"/>
      <c r="K3761" s="15">
        <f t="shared" si="12"/>
        <v>8060186.325</v>
      </c>
      <c r="L3761" s="45"/>
      <c r="M3761" s="6"/>
    </row>
    <row r="3762" ht="15.75" customHeight="1">
      <c r="A3762" s="162">
        <v>46196.0</v>
      </c>
      <c r="B3762" s="50"/>
      <c r="C3762" s="31" t="s">
        <v>1277</v>
      </c>
      <c r="D3762" s="32" t="s">
        <v>99</v>
      </c>
      <c r="E3762" s="31" t="s">
        <v>4072</v>
      </c>
      <c r="F3762" s="134">
        <v>46199.0</v>
      </c>
      <c r="G3762" s="54">
        <v>6495202.16</v>
      </c>
      <c r="H3762" s="14">
        <f t="shared" si="11"/>
        <v>1363992.454</v>
      </c>
      <c r="I3762" s="22">
        <v>194856.06</v>
      </c>
      <c r="J3762" s="22"/>
      <c r="K3762" s="15">
        <f t="shared" si="12"/>
        <v>8054050.674</v>
      </c>
      <c r="L3762" s="45"/>
      <c r="M3762" s="6"/>
    </row>
    <row r="3763" ht="15.75" customHeight="1">
      <c r="A3763" s="162">
        <v>46196.0</v>
      </c>
      <c r="B3763" s="50"/>
      <c r="C3763" s="31" t="s">
        <v>1312</v>
      </c>
      <c r="D3763" s="32" t="s">
        <v>99</v>
      </c>
      <c r="E3763" s="31" t="s">
        <v>4073</v>
      </c>
      <c r="F3763" s="134">
        <v>46199.0</v>
      </c>
      <c r="G3763" s="54">
        <v>1601102.16</v>
      </c>
      <c r="H3763" s="14">
        <f t="shared" si="11"/>
        <v>336231.4536</v>
      </c>
      <c r="I3763" s="22">
        <v>48033.06</v>
      </c>
      <c r="J3763" s="22"/>
      <c r="K3763" s="15">
        <f t="shared" si="12"/>
        <v>1985366.674</v>
      </c>
      <c r="L3763" s="45"/>
      <c r="M3763" s="6"/>
    </row>
    <row r="3764" ht="15.75" customHeight="1">
      <c r="A3764" s="162">
        <v>46196.0</v>
      </c>
      <c r="B3764" s="50"/>
      <c r="C3764" s="31" t="s">
        <v>1312</v>
      </c>
      <c r="D3764" s="32" t="s">
        <v>99</v>
      </c>
      <c r="E3764" s="31" t="s">
        <v>4074</v>
      </c>
      <c r="F3764" s="134">
        <v>46199.0</v>
      </c>
      <c r="G3764" s="54">
        <v>1660128.49</v>
      </c>
      <c r="H3764" s="14">
        <f t="shared" si="11"/>
        <v>348626.9829</v>
      </c>
      <c r="I3764" s="22">
        <v>49803.85</v>
      </c>
      <c r="J3764" s="22"/>
      <c r="K3764" s="15">
        <f t="shared" si="12"/>
        <v>2058559.323</v>
      </c>
      <c r="L3764" s="45"/>
      <c r="M3764" s="6"/>
    </row>
    <row r="3765" ht="15.75" customHeight="1">
      <c r="A3765" s="162">
        <v>46196.0</v>
      </c>
      <c r="B3765" s="50"/>
      <c r="C3765" s="31" t="s">
        <v>1285</v>
      </c>
      <c r="D3765" s="32" t="s">
        <v>15</v>
      </c>
      <c r="E3765" s="31" t="s">
        <v>4075</v>
      </c>
      <c r="F3765" s="134">
        <v>46199.0</v>
      </c>
      <c r="G3765" s="54">
        <v>5007590.29</v>
      </c>
      <c r="H3765" s="14">
        <f t="shared" si="11"/>
        <v>1051593.961</v>
      </c>
      <c r="I3765" s="22"/>
      <c r="J3765" s="22"/>
      <c r="K3765" s="15">
        <f t="shared" si="12"/>
        <v>6059184.251</v>
      </c>
      <c r="L3765" s="45"/>
      <c r="M3765" s="6"/>
    </row>
    <row r="3766" ht="15.75" customHeight="1">
      <c r="A3766" s="162">
        <v>46197.0</v>
      </c>
      <c r="B3766" s="50"/>
      <c r="C3766" s="31" t="s">
        <v>64</v>
      </c>
      <c r="D3766" s="32" t="s">
        <v>99</v>
      </c>
      <c r="E3766" s="31" t="s">
        <v>4076</v>
      </c>
      <c r="F3766" s="134">
        <v>46199.0</v>
      </c>
      <c r="G3766" s="54">
        <v>1.051728059E7</v>
      </c>
      <c r="H3766" s="14">
        <f t="shared" si="11"/>
        <v>2208628.924</v>
      </c>
      <c r="I3766" s="22">
        <v>315518.42</v>
      </c>
      <c r="J3766" s="22"/>
      <c r="K3766" s="15">
        <f t="shared" si="12"/>
        <v>13041427.93</v>
      </c>
      <c r="L3766" s="45"/>
      <c r="M3766" s="6"/>
    </row>
    <row r="3767" ht="15.75" customHeight="1">
      <c r="A3767" s="162">
        <v>46197.0</v>
      </c>
      <c r="B3767" s="50"/>
      <c r="C3767" s="31" t="s">
        <v>64</v>
      </c>
      <c r="D3767" s="32" t="s">
        <v>15</v>
      </c>
      <c r="E3767" s="31" t="s">
        <v>4077</v>
      </c>
      <c r="F3767" s="134">
        <v>46199.0</v>
      </c>
      <c r="G3767" s="54">
        <v>1.251218026E7</v>
      </c>
      <c r="H3767" s="14">
        <f t="shared" si="11"/>
        <v>2627557.855</v>
      </c>
      <c r="I3767" s="22"/>
      <c r="J3767" s="22"/>
      <c r="K3767" s="15">
        <f t="shared" si="12"/>
        <v>15139738.11</v>
      </c>
      <c r="L3767" s="45"/>
      <c r="M3767" s="6"/>
    </row>
    <row r="3768" ht="15.75" customHeight="1">
      <c r="A3768" s="162">
        <v>46198.0</v>
      </c>
      <c r="B3768" s="50"/>
      <c r="C3768" s="31" t="s">
        <v>1179</v>
      </c>
      <c r="D3768" s="32" t="s">
        <v>99</v>
      </c>
      <c r="E3768" s="31" t="s">
        <v>4078</v>
      </c>
      <c r="F3768" s="134">
        <v>46199.0</v>
      </c>
      <c r="G3768" s="54">
        <v>6423480.42</v>
      </c>
      <c r="H3768" s="14">
        <f t="shared" si="11"/>
        <v>1348930.888</v>
      </c>
      <c r="I3768" s="22"/>
      <c r="J3768" s="22"/>
      <c r="K3768" s="15">
        <f t="shared" si="12"/>
        <v>7772411.308</v>
      </c>
      <c r="L3768" s="45"/>
      <c r="M3768" s="6"/>
    </row>
    <row r="3769" ht="15.75" customHeight="1">
      <c r="A3769" s="162">
        <v>46198.0</v>
      </c>
      <c r="B3769" s="50"/>
      <c r="C3769" s="31" t="s">
        <v>1179</v>
      </c>
      <c r="D3769" s="32" t="s">
        <v>99</v>
      </c>
      <c r="E3769" s="31" t="s">
        <v>4079</v>
      </c>
      <c r="F3769" s="134">
        <v>46199.0</v>
      </c>
      <c r="G3769" s="54">
        <v>7879650.23</v>
      </c>
      <c r="H3769" s="14">
        <f t="shared" si="11"/>
        <v>1654726.548</v>
      </c>
      <c r="I3769" s="22"/>
      <c r="J3769" s="22"/>
      <c r="K3769" s="15">
        <f t="shared" si="12"/>
        <v>9534376.778</v>
      </c>
      <c r="L3769" s="45"/>
      <c r="M3769" s="6"/>
    </row>
    <row r="3770" ht="15.75" customHeight="1">
      <c r="A3770" s="162">
        <v>46198.0</v>
      </c>
      <c r="B3770" s="50"/>
      <c r="C3770" s="31" t="s">
        <v>1179</v>
      </c>
      <c r="D3770" s="32" t="s">
        <v>99</v>
      </c>
      <c r="E3770" s="31" t="s">
        <v>4080</v>
      </c>
      <c r="F3770" s="134">
        <v>46199.0</v>
      </c>
      <c r="G3770" s="54">
        <v>9511490.43</v>
      </c>
      <c r="H3770" s="14">
        <f t="shared" si="11"/>
        <v>1997412.99</v>
      </c>
      <c r="I3770" s="22"/>
      <c r="J3770" s="22">
        <v>190229.81</v>
      </c>
      <c r="K3770" s="15">
        <f t="shared" si="12"/>
        <v>11699133.23</v>
      </c>
      <c r="L3770" s="45"/>
      <c r="M3770" s="6"/>
    </row>
    <row r="3771" ht="15.75" customHeight="1">
      <c r="A3771" s="162">
        <v>46198.0</v>
      </c>
      <c r="B3771" s="50"/>
      <c r="C3771" s="31" t="s">
        <v>1179</v>
      </c>
      <c r="D3771" s="32" t="s">
        <v>15</v>
      </c>
      <c r="E3771" s="31" t="s">
        <v>4081</v>
      </c>
      <c r="F3771" s="134">
        <v>46199.0</v>
      </c>
      <c r="G3771" s="54">
        <v>1.444928062E7</v>
      </c>
      <c r="H3771" s="14">
        <f t="shared" si="11"/>
        <v>3034348.93</v>
      </c>
      <c r="I3771" s="22"/>
      <c r="J3771" s="22">
        <v>288985.61</v>
      </c>
      <c r="K3771" s="15">
        <f t="shared" si="12"/>
        <v>17772615.16</v>
      </c>
      <c r="L3771" s="45"/>
      <c r="M3771" s="6"/>
    </row>
    <row r="3772" ht="15.75" customHeight="1">
      <c r="A3772" s="162">
        <v>46198.0</v>
      </c>
      <c r="B3772" s="50"/>
      <c r="C3772" s="31" t="s">
        <v>1179</v>
      </c>
      <c r="D3772" s="32" t="s">
        <v>15</v>
      </c>
      <c r="E3772" s="31" t="s">
        <v>4082</v>
      </c>
      <c r="F3772" s="134">
        <v>46199.0</v>
      </c>
      <c r="G3772" s="54">
        <v>1.337835007E7</v>
      </c>
      <c r="H3772" s="14">
        <f t="shared" si="11"/>
        <v>2809453.515</v>
      </c>
      <c r="I3772" s="22"/>
      <c r="J3772" s="22">
        <v>267567.0</v>
      </c>
      <c r="K3772" s="15">
        <f t="shared" si="12"/>
        <v>16455370.58</v>
      </c>
      <c r="L3772" s="45"/>
      <c r="M3772" s="6"/>
    </row>
    <row r="3773" ht="15.75" customHeight="1">
      <c r="A3773" s="162">
        <v>46198.0</v>
      </c>
      <c r="B3773" s="50"/>
      <c r="C3773" s="31" t="s">
        <v>1179</v>
      </c>
      <c r="D3773" s="32" t="s">
        <v>15</v>
      </c>
      <c r="E3773" s="31" t="s">
        <v>4083</v>
      </c>
      <c r="F3773" s="134">
        <v>46199.0</v>
      </c>
      <c r="G3773" s="54">
        <v>1.418644085E7</v>
      </c>
      <c r="H3773" s="14">
        <f t="shared" si="11"/>
        <v>2979152.579</v>
      </c>
      <c r="I3773" s="22"/>
      <c r="J3773" s="22">
        <v>283728.82</v>
      </c>
      <c r="K3773" s="15">
        <f t="shared" si="12"/>
        <v>17449322.25</v>
      </c>
      <c r="L3773" s="45"/>
      <c r="M3773" s="6"/>
    </row>
    <row r="3774" ht="15.75" customHeight="1">
      <c r="A3774" s="162">
        <v>46198.0</v>
      </c>
      <c r="B3774" s="50"/>
      <c r="C3774" s="31" t="s">
        <v>1183</v>
      </c>
      <c r="D3774" s="32" t="s">
        <v>15</v>
      </c>
      <c r="E3774" s="31" t="s">
        <v>4084</v>
      </c>
      <c r="F3774" s="134">
        <v>46199.0</v>
      </c>
      <c r="G3774" s="54">
        <v>1.733635629E7</v>
      </c>
      <c r="H3774" s="14">
        <f t="shared" si="11"/>
        <v>3640634.821</v>
      </c>
      <c r="I3774" s="22">
        <v>520090.69</v>
      </c>
      <c r="J3774" s="22"/>
      <c r="K3774" s="15">
        <f t="shared" si="12"/>
        <v>21497081.8</v>
      </c>
      <c r="L3774" s="45"/>
      <c r="M3774" s="6"/>
    </row>
    <row r="3775" ht="15.75" customHeight="1">
      <c r="A3775" s="162">
        <v>46198.0</v>
      </c>
      <c r="B3775" s="50"/>
      <c r="C3775" s="31" t="s">
        <v>1183</v>
      </c>
      <c r="D3775" s="32" t="s">
        <v>15</v>
      </c>
      <c r="E3775" s="31" t="s">
        <v>4085</v>
      </c>
      <c r="F3775" s="134">
        <v>46199.0</v>
      </c>
      <c r="G3775" s="54">
        <v>1.422433256E7</v>
      </c>
      <c r="H3775" s="14">
        <f t="shared" si="11"/>
        <v>2987109.838</v>
      </c>
      <c r="I3775" s="22">
        <v>426729.98</v>
      </c>
      <c r="J3775" s="22"/>
      <c r="K3775" s="15">
        <f t="shared" si="12"/>
        <v>17638172.38</v>
      </c>
      <c r="L3775" s="45"/>
      <c r="M3775" s="6"/>
    </row>
    <row r="3776" ht="15.75" customHeight="1">
      <c r="A3776" s="162">
        <v>46198.0</v>
      </c>
      <c r="B3776" s="50"/>
      <c r="C3776" s="31" t="s">
        <v>1183</v>
      </c>
      <c r="D3776" s="32" t="s">
        <v>15</v>
      </c>
      <c r="E3776" s="31" t="s">
        <v>4086</v>
      </c>
      <c r="F3776" s="134">
        <v>46199.0</v>
      </c>
      <c r="G3776" s="54">
        <v>1.087657422E7</v>
      </c>
      <c r="H3776" s="14">
        <f t="shared" si="11"/>
        <v>2284080.586</v>
      </c>
      <c r="I3776" s="22">
        <v>326297.23</v>
      </c>
      <c r="J3776" s="22"/>
      <c r="K3776" s="15">
        <f t="shared" si="12"/>
        <v>13486952.04</v>
      </c>
      <c r="L3776" s="45"/>
      <c r="M3776" s="6"/>
    </row>
    <row r="3777" ht="15.75" customHeight="1">
      <c r="A3777" s="162">
        <v>46198.0</v>
      </c>
      <c r="B3777" s="50"/>
      <c r="C3777" s="31" t="s">
        <v>1183</v>
      </c>
      <c r="D3777" s="32" t="s">
        <v>15</v>
      </c>
      <c r="E3777" s="31" t="s">
        <v>4087</v>
      </c>
      <c r="F3777" s="134">
        <v>46199.0</v>
      </c>
      <c r="G3777" s="54">
        <v>7743633.07</v>
      </c>
      <c r="H3777" s="14">
        <f t="shared" si="11"/>
        <v>1626162.945</v>
      </c>
      <c r="I3777" s="22">
        <v>232308.99</v>
      </c>
      <c r="J3777" s="22"/>
      <c r="K3777" s="15">
        <f t="shared" si="12"/>
        <v>9602105.005</v>
      </c>
      <c r="L3777" s="45"/>
      <c r="M3777" s="6"/>
    </row>
    <row r="3778" ht="15.75" customHeight="1">
      <c r="A3778" s="162">
        <v>46198.0</v>
      </c>
      <c r="B3778" s="50"/>
      <c r="C3778" s="31" t="s">
        <v>1183</v>
      </c>
      <c r="D3778" s="32" t="s">
        <v>15</v>
      </c>
      <c r="E3778" s="31" t="s">
        <v>4088</v>
      </c>
      <c r="F3778" s="134">
        <v>46199.0</v>
      </c>
      <c r="G3778" s="54">
        <v>1.122353814E7</v>
      </c>
      <c r="H3778" s="14">
        <f t="shared" si="11"/>
        <v>2356943.009</v>
      </c>
      <c r="I3778" s="22">
        <v>336706.14</v>
      </c>
      <c r="J3778" s="22"/>
      <c r="K3778" s="15">
        <f t="shared" si="12"/>
        <v>13917187.29</v>
      </c>
      <c r="L3778" s="45"/>
      <c r="M3778" s="6"/>
    </row>
    <row r="3779" ht="15.75" customHeight="1">
      <c r="A3779" s="162">
        <v>46198.0</v>
      </c>
      <c r="B3779" s="50"/>
      <c r="C3779" s="31" t="s">
        <v>1183</v>
      </c>
      <c r="D3779" s="32" t="s">
        <v>15</v>
      </c>
      <c r="E3779" s="31" t="s">
        <v>4089</v>
      </c>
      <c r="F3779" s="134">
        <v>46199.0</v>
      </c>
      <c r="G3779" s="54">
        <v>8336983.59</v>
      </c>
      <c r="H3779" s="14">
        <f t="shared" si="11"/>
        <v>1750766.554</v>
      </c>
      <c r="I3779" s="22">
        <v>250109.51</v>
      </c>
      <c r="J3779" s="22"/>
      <c r="K3779" s="15">
        <f t="shared" si="12"/>
        <v>10337859.65</v>
      </c>
      <c r="L3779" s="45"/>
      <c r="M3779" s="6"/>
    </row>
    <row r="3780" ht="15.75" customHeight="1">
      <c r="A3780" s="162">
        <v>46198.0</v>
      </c>
      <c r="B3780" s="50"/>
      <c r="C3780" s="31" t="s">
        <v>1183</v>
      </c>
      <c r="D3780" s="32" t="s">
        <v>15</v>
      </c>
      <c r="E3780" s="31" t="s">
        <v>4090</v>
      </c>
      <c r="F3780" s="134">
        <v>46199.0</v>
      </c>
      <c r="G3780" s="54">
        <v>8873363.03</v>
      </c>
      <c r="H3780" s="14">
        <f t="shared" si="11"/>
        <v>1863406.236</v>
      </c>
      <c r="I3780" s="22">
        <v>266200.89</v>
      </c>
      <c r="J3780" s="22"/>
      <c r="K3780" s="15">
        <f t="shared" si="12"/>
        <v>11002970.16</v>
      </c>
      <c r="L3780" s="45"/>
      <c r="M3780" s="6"/>
    </row>
    <row r="3781" ht="15.75" customHeight="1">
      <c r="A3781" s="162">
        <v>46198.0</v>
      </c>
      <c r="B3781" s="50"/>
      <c r="C3781" s="31" t="s">
        <v>1183</v>
      </c>
      <c r="D3781" s="32" t="s">
        <v>15</v>
      </c>
      <c r="E3781" s="31" t="s">
        <v>4091</v>
      </c>
      <c r="F3781" s="134">
        <v>46199.0</v>
      </c>
      <c r="G3781" s="54">
        <v>1.743342316E7</v>
      </c>
      <c r="H3781" s="14">
        <f t="shared" si="11"/>
        <v>3661018.864</v>
      </c>
      <c r="I3781" s="22">
        <v>523002.69</v>
      </c>
      <c r="J3781" s="22"/>
      <c r="K3781" s="15">
        <f t="shared" si="12"/>
        <v>21617444.71</v>
      </c>
      <c r="L3781" s="45"/>
      <c r="M3781" s="6"/>
    </row>
    <row r="3782" ht="15.75" customHeight="1">
      <c r="A3782" s="162">
        <v>46198.0</v>
      </c>
      <c r="B3782" s="50"/>
      <c r="C3782" s="31" t="s">
        <v>1183</v>
      </c>
      <c r="D3782" s="32" t="s">
        <v>15</v>
      </c>
      <c r="E3782" s="31" t="s">
        <v>4092</v>
      </c>
      <c r="F3782" s="134">
        <v>46199.0</v>
      </c>
      <c r="G3782" s="54">
        <v>1.133626234E7</v>
      </c>
      <c r="H3782" s="14">
        <f t="shared" si="11"/>
        <v>2380615.091</v>
      </c>
      <c r="I3782" s="22">
        <v>340087.87</v>
      </c>
      <c r="J3782" s="22"/>
      <c r="K3782" s="15">
        <f t="shared" si="12"/>
        <v>14056965.3</v>
      </c>
      <c r="L3782" s="45"/>
      <c r="M3782" s="6"/>
    </row>
    <row r="3783" ht="15.75" customHeight="1">
      <c r="A3783" s="162">
        <v>46198.0</v>
      </c>
      <c r="B3783" s="50"/>
      <c r="C3783" s="31" t="s">
        <v>1183</v>
      </c>
      <c r="D3783" s="32" t="s">
        <v>15</v>
      </c>
      <c r="E3783" s="31" t="s">
        <v>4093</v>
      </c>
      <c r="F3783" s="134">
        <v>46199.0</v>
      </c>
      <c r="G3783" s="54">
        <v>9789786.45</v>
      </c>
      <c r="H3783" s="14">
        <f t="shared" si="11"/>
        <v>2055855.155</v>
      </c>
      <c r="I3783" s="22">
        <v>293693.59</v>
      </c>
      <c r="J3783" s="22"/>
      <c r="K3783" s="15">
        <f t="shared" si="12"/>
        <v>12139335.19</v>
      </c>
      <c r="L3783" s="45"/>
      <c r="M3783" s="6"/>
    </row>
    <row r="3784" ht="15.75" customHeight="1">
      <c r="A3784" s="162">
        <v>46198.0</v>
      </c>
      <c r="B3784" s="50"/>
      <c r="C3784" s="31" t="s">
        <v>2346</v>
      </c>
      <c r="D3784" s="32" t="s">
        <v>15</v>
      </c>
      <c r="E3784" s="31" t="s">
        <v>4094</v>
      </c>
      <c r="F3784" s="134">
        <v>46199.0</v>
      </c>
      <c r="G3784" s="54">
        <v>9923373.07</v>
      </c>
      <c r="H3784" s="14">
        <f t="shared" si="11"/>
        <v>2083908.345</v>
      </c>
      <c r="I3784" s="22">
        <v>297701.19</v>
      </c>
      <c r="J3784" s="22">
        <v>148850.6</v>
      </c>
      <c r="K3784" s="15">
        <f t="shared" si="12"/>
        <v>12453833.2</v>
      </c>
      <c r="L3784" s="45"/>
      <c r="M3784" s="6"/>
    </row>
    <row r="3785" ht="15.75" customHeight="1">
      <c r="A3785" s="162">
        <v>46198.0</v>
      </c>
      <c r="B3785" s="50"/>
      <c r="C3785" s="31" t="s">
        <v>2346</v>
      </c>
      <c r="D3785" s="32" t="s">
        <v>15</v>
      </c>
      <c r="E3785" s="31" t="s">
        <v>4095</v>
      </c>
      <c r="F3785" s="134">
        <v>46199.0</v>
      </c>
      <c r="G3785" s="54">
        <v>6722332.07</v>
      </c>
      <c r="H3785" s="14">
        <f t="shared" si="11"/>
        <v>1411689.735</v>
      </c>
      <c r="I3785" s="22">
        <v>201669.96</v>
      </c>
      <c r="J3785" s="22">
        <v>100834.98</v>
      </c>
      <c r="K3785" s="15">
        <f t="shared" si="12"/>
        <v>8436526.745</v>
      </c>
      <c r="L3785" s="45"/>
      <c r="M3785" s="6"/>
    </row>
    <row r="3786" ht="15.75" customHeight="1">
      <c r="A3786" s="162">
        <v>46198.0</v>
      </c>
      <c r="B3786" s="50"/>
      <c r="C3786" s="31" t="s">
        <v>2346</v>
      </c>
      <c r="D3786" s="32" t="s">
        <v>15</v>
      </c>
      <c r="E3786" s="31" t="s">
        <v>4096</v>
      </c>
      <c r="F3786" s="134">
        <v>46199.0</v>
      </c>
      <c r="G3786" s="54">
        <v>7744346.26</v>
      </c>
      <c r="H3786" s="14">
        <f t="shared" si="11"/>
        <v>1626312.715</v>
      </c>
      <c r="I3786" s="22">
        <v>232330.39</v>
      </c>
      <c r="J3786" s="22">
        <v>116165.19</v>
      </c>
      <c r="K3786" s="15">
        <f t="shared" si="12"/>
        <v>9719154.555</v>
      </c>
      <c r="L3786" s="45"/>
      <c r="M3786" s="6"/>
    </row>
    <row r="3787" ht="15.75" customHeight="1">
      <c r="A3787" s="162">
        <v>46198.0</v>
      </c>
      <c r="B3787" s="50"/>
      <c r="C3787" s="31" t="s">
        <v>2346</v>
      </c>
      <c r="D3787" s="32" t="s">
        <v>15</v>
      </c>
      <c r="E3787" s="31" t="s">
        <v>4097</v>
      </c>
      <c r="F3787" s="134">
        <v>46199.0</v>
      </c>
      <c r="G3787" s="54">
        <v>1.123372205E7</v>
      </c>
      <c r="H3787" s="14">
        <f t="shared" si="11"/>
        <v>2359081.631</v>
      </c>
      <c r="I3787" s="22"/>
      <c r="J3787" s="22">
        <v>168505.83</v>
      </c>
      <c r="K3787" s="15">
        <f t="shared" si="12"/>
        <v>13761309.51</v>
      </c>
      <c r="L3787" s="45"/>
      <c r="M3787" s="6"/>
    </row>
    <row r="3788" ht="15.75" customHeight="1">
      <c r="A3788" s="162">
        <v>46198.0</v>
      </c>
      <c r="B3788" s="50"/>
      <c r="C3788" s="31" t="s">
        <v>2346</v>
      </c>
      <c r="D3788" s="32" t="s">
        <v>15</v>
      </c>
      <c r="E3788" s="31" t="s">
        <v>4098</v>
      </c>
      <c r="F3788" s="134">
        <v>46199.0</v>
      </c>
      <c r="G3788" s="54">
        <v>7743636.17</v>
      </c>
      <c r="H3788" s="14">
        <f t="shared" si="11"/>
        <v>1626163.596</v>
      </c>
      <c r="I3788" s="22">
        <v>232309.09</v>
      </c>
      <c r="J3788" s="22">
        <v>116154.54</v>
      </c>
      <c r="K3788" s="15">
        <f t="shared" si="12"/>
        <v>9718263.396</v>
      </c>
      <c r="L3788" s="45"/>
      <c r="M3788" s="6"/>
    </row>
    <row r="3789" ht="15.75" customHeight="1">
      <c r="A3789" s="162">
        <v>46198.0</v>
      </c>
      <c r="B3789" s="50"/>
      <c r="C3789" s="31" t="s">
        <v>2346</v>
      </c>
      <c r="D3789" s="32" t="s">
        <v>15</v>
      </c>
      <c r="E3789" s="31" t="s">
        <v>4099</v>
      </c>
      <c r="F3789" s="134">
        <v>46199.0</v>
      </c>
      <c r="G3789" s="54">
        <v>8833362.41</v>
      </c>
      <c r="H3789" s="14">
        <f t="shared" si="11"/>
        <v>1855006.106</v>
      </c>
      <c r="I3789" s="22">
        <v>265000.87</v>
      </c>
      <c r="J3789" s="22">
        <v>132500.44</v>
      </c>
      <c r="K3789" s="15">
        <f t="shared" si="12"/>
        <v>11085869.83</v>
      </c>
      <c r="L3789" s="45"/>
      <c r="M3789" s="6"/>
    </row>
    <row r="3790" ht="15.75" customHeight="1">
      <c r="A3790" s="162">
        <v>46198.0</v>
      </c>
      <c r="B3790" s="50"/>
      <c r="C3790" s="31" t="s">
        <v>2346</v>
      </c>
      <c r="D3790" s="32" t="s">
        <v>15</v>
      </c>
      <c r="E3790" s="31" t="s">
        <v>4100</v>
      </c>
      <c r="F3790" s="134">
        <v>46199.0</v>
      </c>
      <c r="G3790" s="54">
        <v>1.429322305E7</v>
      </c>
      <c r="H3790" s="14">
        <f t="shared" si="11"/>
        <v>3001576.841</v>
      </c>
      <c r="I3790" s="22">
        <v>428796.69</v>
      </c>
      <c r="J3790" s="22">
        <v>214398.35</v>
      </c>
      <c r="K3790" s="15">
        <f t="shared" si="12"/>
        <v>17937994.93</v>
      </c>
      <c r="L3790" s="45"/>
      <c r="M3790" s="6"/>
    </row>
    <row r="3791" ht="15.75" customHeight="1">
      <c r="A3791" s="162">
        <v>46198.0</v>
      </c>
      <c r="B3791" s="50"/>
      <c r="C3791" s="31" t="s">
        <v>2346</v>
      </c>
      <c r="D3791" s="32" t="s">
        <v>15</v>
      </c>
      <c r="E3791" s="31" t="s">
        <v>4101</v>
      </c>
      <c r="F3791" s="134">
        <v>46199.0</v>
      </c>
      <c r="G3791" s="54">
        <v>6648138.07</v>
      </c>
      <c r="H3791" s="14">
        <f t="shared" si="11"/>
        <v>1396108.995</v>
      </c>
      <c r="I3791" s="22">
        <v>199444.14</v>
      </c>
      <c r="J3791" s="22">
        <v>99722.07</v>
      </c>
      <c r="K3791" s="15">
        <f t="shared" si="12"/>
        <v>8343413.275</v>
      </c>
      <c r="L3791" s="45"/>
      <c r="M3791" s="6"/>
    </row>
    <row r="3792" ht="15.75" customHeight="1">
      <c r="A3792" s="162">
        <v>46198.0</v>
      </c>
      <c r="B3792" s="50"/>
      <c r="C3792" s="31" t="s">
        <v>2346</v>
      </c>
      <c r="D3792" s="32" t="s">
        <v>15</v>
      </c>
      <c r="E3792" s="31" t="s">
        <v>4102</v>
      </c>
      <c r="F3792" s="134">
        <v>46199.0</v>
      </c>
      <c r="G3792" s="54">
        <v>1.372263307E7</v>
      </c>
      <c r="H3792" s="14">
        <f t="shared" si="11"/>
        <v>2881752.945</v>
      </c>
      <c r="I3792" s="22"/>
      <c r="J3792" s="22">
        <v>205839.5</v>
      </c>
      <c r="K3792" s="15">
        <f t="shared" si="12"/>
        <v>16810225.51</v>
      </c>
      <c r="L3792" s="45"/>
      <c r="M3792" s="6"/>
    </row>
    <row r="3793" ht="15.75" customHeight="1">
      <c r="A3793" s="162">
        <v>46198.0</v>
      </c>
      <c r="B3793" s="50"/>
      <c r="C3793" s="31" t="s">
        <v>2346</v>
      </c>
      <c r="D3793" s="32" t="s">
        <v>15</v>
      </c>
      <c r="E3793" s="31" t="s">
        <v>4103</v>
      </c>
      <c r="F3793" s="134">
        <v>46199.0</v>
      </c>
      <c r="G3793" s="54">
        <v>5973633.12</v>
      </c>
      <c r="H3793" s="14">
        <f t="shared" si="11"/>
        <v>1254462.955</v>
      </c>
      <c r="I3793" s="22"/>
      <c r="J3793" s="22">
        <v>89604.5</v>
      </c>
      <c r="K3793" s="15">
        <f t="shared" si="12"/>
        <v>7317700.575</v>
      </c>
      <c r="L3793" s="45"/>
      <c r="M3793" s="6"/>
    </row>
    <row r="3794" ht="15.75" customHeight="1">
      <c r="A3794" s="162">
        <v>46198.0</v>
      </c>
      <c r="B3794" s="50"/>
      <c r="C3794" s="31" t="s">
        <v>2346</v>
      </c>
      <c r="D3794" s="32" t="s">
        <v>15</v>
      </c>
      <c r="E3794" s="31" t="s">
        <v>4104</v>
      </c>
      <c r="F3794" s="134">
        <v>46199.0</v>
      </c>
      <c r="G3794" s="54">
        <v>5499005.26</v>
      </c>
      <c r="H3794" s="14">
        <f t="shared" si="11"/>
        <v>1154791.105</v>
      </c>
      <c r="I3794" s="22"/>
      <c r="J3794" s="22">
        <v>82485.08</v>
      </c>
      <c r="K3794" s="15">
        <f t="shared" si="12"/>
        <v>6736281.445</v>
      </c>
      <c r="L3794" s="45"/>
      <c r="M3794" s="6"/>
    </row>
    <row r="3795" ht="15.75" customHeight="1">
      <c r="A3795" s="162">
        <v>46198.0</v>
      </c>
      <c r="B3795" s="50"/>
      <c r="C3795" s="31" t="s">
        <v>2346</v>
      </c>
      <c r="D3795" s="32" t="s">
        <v>15</v>
      </c>
      <c r="E3795" s="31" t="s">
        <v>4105</v>
      </c>
      <c r="F3795" s="134">
        <v>46199.0</v>
      </c>
      <c r="G3795" s="54">
        <v>1.660012526E7</v>
      </c>
      <c r="H3795" s="14">
        <f t="shared" si="11"/>
        <v>3486026.305</v>
      </c>
      <c r="I3795" s="22">
        <v>498003.76</v>
      </c>
      <c r="J3795" s="22">
        <v>249001.88</v>
      </c>
      <c r="K3795" s="15">
        <f t="shared" si="12"/>
        <v>20833157.2</v>
      </c>
      <c r="L3795" s="45"/>
      <c r="M3795" s="6"/>
    </row>
    <row r="3796" ht="15.75" customHeight="1">
      <c r="A3796" s="162">
        <v>46198.0</v>
      </c>
      <c r="B3796" s="50"/>
      <c r="C3796" s="31" t="s">
        <v>2346</v>
      </c>
      <c r="D3796" s="32" t="s">
        <v>15</v>
      </c>
      <c r="E3796" s="31" t="s">
        <v>4106</v>
      </c>
      <c r="F3796" s="134">
        <v>46199.0</v>
      </c>
      <c r="G3796" s="54">
        <v>5933747.05</v>
      </c>
      <c r="H3796" s="14">
        <f t="shared" si="11"/>
        <v>1246086.881</v>
      </c>
      <c r="I3796" s="22">
        <v>178012.41</v>
      </c>
      <c r="J3796" s="22">
        <v>89006.21</v>
      </c>
      <c r="K3796" s="15">
        <f t="shared" si="12"/>
        <v>7446852.551</v>
      </c>
      <c r="L3796" s="45"/>
      <c r="M3796" s="6"/>
    </row>
    <row r="3797" ht="15.75" customHeight="1">
      <c r="A3797" s="162">
        <v>46198.0</v>
      </c>
      <c r="B3797" s="50"/>
      <c r="C3797" s="31" t="s">
        <v>2346</v>
      </c>
      <c r="D3797" s="32" t="s">
        <v>99</v>
      </c>
      <c r="E3797" s="32" t="s">
        <v>4107</v>
      </c>
      <c r="F3797" s="134">
        <v>46199.0</v>
      </c>
      <c r="G3797" s="54">
        <v>9837332.08</v>
      </c>
      <c r="H3797" s="14">
        <f t="shared" si="11"/>
        <v>2065839.737</v>
      </c>
      <c r="I3797" s="22">
        <v>295119.96</v>
      </c>
      <c r="J3797" s="22">
        <v>147559.98</v>
      </c>
      <c r="K3797" s="15">
        <f t="shared" si="12"/>
        <v>12345851.76</v>
      </c>
      <c r="L3797" s="45"/>
      <c r="M3797" s="6"/>
    </row>
    <row r="3798" ht="15.75" customHeight="1">
      <c r="A3798" s="162">
        <v>46198.0</v>
      </c>
      <c r="B3798" s="50"/>
      <c r="C3798" s="31" t="s">
        <v>2346</v>
      </c>
      <c r="D3798" s="32" t="s">
        <v>99</v>
      </c>
      <c r="E3798" s="32" t="s">
        <v>4108</v>
      </c>
      <c r="F3798" s="134">
        <v>46199.0</v>
      </c>
      <c r="G3798" s="54">
        <v>7633523.12</v>
      </c>
      <c r="H3798" s="14">
        <f t="shared" si="11"/>
        <v>1603039.855</v>
      </c>
      <c r="I3798" s="22"/>
      <c r="J3798" s="22"/>
      <c r="K3798" s="15">
        <f t="shared" si="12"/>
        <v>9236562.975</v>
      </c>
      <c r="L3798" s="45"/>
      <c r="M3798" s="6"/>
    </row>
    <row r="3799" ht="15.75" customHeight="1">
      <c r="A3799" s="162">
        <v>46198.0</v>
      </c>
      <c r="B3799" s="50"/>
      <c r="C3799" s="31" t="s">
        <v>2346</v>
      </c>
      <c r="D3799" s="32" t="s">
        <v>99</v>
      </c>
      <c r="E3799" s="32" t="s">
        <v>4109</v>
      </c>
      <c r="F3799" s="134">
        <v>46199.0</v>
      </c>
      <c r="G3799" s="54">
        <v>1.183337305E7</v>
      </c>
      <c r="H3799" s="14">
        <f t="shared" si="11"/>
        <v>2485008.341</v>
      </c>
      <c r="I3799" s="22"/>
      <c r="J3799" s="22">
        <v>177500.6</v>
      </c>
      <c r="K3799" s="15">
        <f t="shared" si="12"/>
        <v>14495881.99</v>
      </c>
      <c r="L3799" s="45"/>
      <c r="M3799" s="6"/>
    </row>
    <row r="3800" ht="15.75" customHeight="1">
      <c r="A3800" s="162">
        <v>46198.0</v>
      </c>
      <c r="B3800" s="50"/>
      <c r="C3800" s="31" t="s">
        <v>2346</v>
      </c>
      <c r="D3800" s="32" t="s">
        <v>99</v>
      </c>
      <c r="E3800" s="32" t="s">
        <v>4110</v>
      </c>
      <c r="F3800" s="134">
        <v>46199.0</v>
      </c>
      <c r="G3800" s="54">
        <v>7833733.14</v>
      </c>
      <c r="H3800" s="14">
        <f t="shared" si="11"/>
        <v>1645083.959</v>
      </c>
      <c r="I3800" s="22"/>
      <c r="J3800" s="22">
        <v>117506.0</v>
      </c>
      <c r="K3800" s="15">
        <f t="shared" si="12"/>
        <v>9596323.099</v>
      </c>
      <c r="L3800" s="45"/>
      <c r="M3800" s="6"/>
    </row>
    <row r="3801" ht="15.75" customHeight="1">
      <c r="A3801" s="162">
        <v>46198.0</v>
      </c>
      <c r="B3801" s="50"/>
      <c r="C3801" s="31" t="s">
        <v>2346</v>
      </c>
      <c r="D3801" s="32" t="s">
        <v>99</v>
      </c>
      <c r="E3801" s="32" t="s">
        <v>4111</v>
      </c>
      <c r="F3801" s="134">
        <v>46199.0</v>
      </c>
      <c r="G3801" s="54">
        <v>2.232326314E7</v>
      </c>
      <c r="H3801" s="14">
        <f t="shared" si="11"/>
        <v>4687885.259</v>
      </c>
      <c r="I3801" s="22">
        <v>669697.89</v>
      </c>
      <c r="J3801" s="22">
        <v>334848.95</v>
      </c>
      <c r="K3801" s="15">
        <f t="shared" si="12"/>
        <v>28015695.24</v>
      </c>
      <c r="L3801" s="45"/>
      <c r="M3801" s="6"/>
    </row>
    <row r="3802" ht="15.75" customHeight="1">
      <c r="A3802" s="162">
        <v>46198.0</v>
      </c>
      <c r="B3802" s="50"/>
      <c r="C3802" s="31" t="s">
        <v>2346</v>
      </c>
      <c r="D3802" s="32" t="s">
        <v>99</v>
      </c>
      <c r="E3802" s="32" t="s">
        <v>4112</v>
      </c>
      <c r="F3802" s="134">
        <v>46199.0</v>
      </c>
      <c r="G3802" s="54">
        <v>1.117838614E7</v>
      </c>
      <c r="H3802" s="14">
        <f t="shared" si="11"/>
        <v>2347461.089</v>
      </c>
      <c r="I3802" s="22">
        <v>335351.58</v>
      </c>
      <c r="J3802" s="22">
        <v>167675.79</v>
      </c>
      <c r="K3802" s="15">
        <f t="shared" si="12"/>
        <v>14028874.6</v>
      </c>
      <c r="L3802" s="45"/>
      <c r="M3802" s="6"/>
    </row>
    <row r="3803" ht="15.75" customHeight="1">
      <c r="A3803" s="162">
        <v>46198.0</v>
      </c>
      <c r="B3803" s="50"/>
      <c r="C3803" s="31" t="s">
        <v>2346</v>
      </c>
      <c r="D3803" s="32" t="s">
        <v>99</v>
      </c>
      <c r="E3803" s="32" t="s">
        <v>4113</v>
      </c>
      <c r="F3803" s="134">
        <v>46199.0</v>
      </c>
      <c r="G3803" s="54">
        <v>1.122336708E7</v>
      </c>
      <c r="H3803" s="14">
        <f t="shared" si="11"/>
        <v>2356907.087</v>
      </c>
      <c r="I3803" s="22">
        <v>336701.01</v>
      </c>
      <c r="J3803" s="22">
        <v>168350.51</v>
      </c>
      <c r="K3803" s="15">
        <f t="shared" si="12"/>
        <v>14085325.69</v>
      </c>
      <c r="L3803" s="45"/>
      <c r="M3803" s="6"/>
    </row>
    <row r="3804" ht="15.75" customHeight="1">
      <c r="A3804" s="219">
        <v>46198.0</v>
      </c>
      <c r="B3804" s="220"/>
      <c r="C3804" s="221" t="s">
        <v>3877</v>
      </c>
      <c r="D3804" s="132" t="s">
        <v>15</v>
      </c>
      <c r="E3804" s="221" t="s">
        <v>4114</v>
      </c>
      <c r="F3804" s="230">
        <v>46199.0</v>
      </c>
      <c r="G3804" s="223">
        <v>1.217664085E7</v>
      </c>
      <c r="H3804" s="224">
        <f t="shared" si="11"/>
        <v>2557094.579</v>
      </c>
      <c r="I3804" s="225">
        <v>365299.23</v>
      </c>
      <c r="J3804" s="225">
        <v>608832.04</v>
      </c>
      <c r="K3804" s="226">
        <f t="shared" si="12"/>
        <v>15707866.7</v>
      </c>
      <c r="L3804" s="227"/>
      <c r="M3804" s="228"/>
    </row>
    <row r="3805" ht="15.75" customHeight="1">
      <c r="A3805" s="219">
        <v>46198.0</v>
      </c>
      <c r="B3805" s="220"/>
      <c r="C3805" s="221" t="s">
        <v>3877</v>
      </c>
      <c r="D3805" s="132" t="s">
        <v>15</v>
      </c>
      <c r="E3805" s="221" t="s">
        <v>4115</v>
      </c>
      <c r="F3805" s="230">
        <v>46199.0</v>
      </c>
      <c r="G3805" s="223">
        <v>1.176246052E7</v>
      </c>
      <c r="H3805" s="224">
        <f t="shared" si="11"/>
        <v>2470116.709</v>
      </c>
      <c r="I3805" s="225">
        <v>352873.82</v>
      </c>
      <c r="J3805" s="225">
        <v>588123.03</v>
      </c>
      <c r="K3805" s="226">
        <f t="shared" si="12"/>
        <v>15173574.08</v>
      </c>
      <c r="L3805" s="227"/>
      <c r="M3805" s="228"/>
    </row>
    <row r="3806" ht="15.75" customHeight="1">
      <c r="A3806" s="162">
        <v>46198.0</v>
      </c>
      <c r="B3806" s="50"/>
      <c r="C3806" s="31" t="s">
        <v>2447</v>
      </c>
      <c r="D3806" s="32" t="s">
        <v>99</v>
      </c>
      <c r="E3806" s="31" t="s">
        <v>4116</v>
      </c>
      <c r="F3806" s="134">
        <v>46199.0</v>
      </c>
      <c r="G3806" s="54">
        <v>1.733699702E7</v>
      </c>
      <c r="H3806" s="14">
        <f t="shared" si="11"/>
        <v>3640769.374</v>
      </c>
      <c r="I3806" s="22"/>
      <c r="J3806" s="22"/>
      <c r="K3806" s="15">
        <f t="shared" si="12"/>
        <v>20977766.39</v>
      </c>
      <c r="L3806" s="45"/>
      <c r="M3806" s="6"/>
    </row>
    <row r="3807" ht="15.75" customHeight="1">
      <c r="A3807" s="162">
        <v>46198.0</v>
      </c>
      <c r="B3807" s="50"/>
      <c r="C3807" s="31" t="s">
        <v>2447</v>
      </c>
      <c r="D3807" s="32" t="s">
        <v>99</v>
      </c>
      <c r="E3807" s="31" t="s">
        <v>4117</v>
      </c>
      <c r="F3807" s="134">
        <v>46199.0</v>
      </c>
      <c r="G3807" s="54">
        <v>1.387903332E7</v>
      </c>
      <c r="H3807" s="14">
        <f t="shared" si="11"/>
        <v>2914596.997</v>
      </c>
      <c r="I3807" s="22"/>
      <c r="J3807" s="22"/>
      <c r="K3807" s="15">
        <f t="shared" si="12"/>
        <v>16793630.32</v>
      </c>
      <c r="L3807" s="45"/>
      <c r="M3807" s="6"/>
    </row>
    <row r="3808" ht="15.75" customHeight="1">
      <c r="A3808" s="162">
        <v>46198.0</v>
      </c>
      <c r="B3808" s="50"/>
      <c r="C3808" s="31" t="s">
        <v>2447</v>
      </c>
      <c r="D3808" s="32" t="s">
        <v>99</v>
      </c>
      <c r="E3808" s="31" t="s">
        <v>4118</v>
      </c>
      <c r="F3808" s="134">
        <v>46199.0</v>
      </c>
      <c r="G3808" s="54">
        <v>1.293363204E7</v>
      </c>
      <c r="H3808" s="14">
        <f t="shared" si="11"/>
        <v>2716062.728</v>
      </c>
      <c r="I3808" s="22"/>
      <c r="J3808" s="22"/>
      <c r="K3808" s="15">
        <f t="shared" si="12"/>
        <v>15649694.77</v>
      </c>
      <c r="L3808" s="45"/>
      <c r="M3808" s="6"/>
    </row>
    <row r="3809" ht="15.75" customHeight="1">
      <c r="A3809" s="162">
        <v>46198.0</v>
      </c>
      <c r="B3809" s="50"/>
      <c r="C3809" s="31" t="s">
        <v>2447</v>
      </c>
      <c r="D3809" s="32" t="s">
        <v>99</v>
      </c>
      <c r="E3809" s="31" t="s">
        <v>4119</v>
      </c>
      <c r="F3809" s="134">
        <v>46199.0</v>
      </c>
      <c r="G3809" s="54">
        <v>1.895763507E7</v>
      </c>
      <c r="H3809" s="14">
        <f t="shared" si="11"/>
        <v>3981103.365</v>
      </c>
      <c r="I3809" s="22"/>
      <c r="J3809" s="22"/>
      <c r="K3809" s="15">
        <f t="shared" si="12"/>
        <v>22938738.43</v>
      </c>
      <c r="L3809" s="45"/>
      <c r="M3809" s="6"/>
    </row>
    <row r="3810" ht="15.75" customHeight="1">
      <c r="A3810" s="162">
        <v>46198.0</v>
      </c>
      <c r="B3810" s="50"/>
      <c r="C3810" s="31" t="s">
        <v>2447</v>
      </c>
      <c r="D3810" s="32" t="s">
        <v>99</v>
      </c>
      <c r="E3810" s="31" t="s">
        <v>4120</v>
      </c>
      <c r="F3810" s="134">
        <v>46199.0</v>
      </c>
      <c r="G3810" s="54">
        <v>1.133763307E7</v>
      </c>
      <c r="H3810" s="14">
        <f t="shared" si="11"/>
        <v>2380902.945</v>
      </c>
      <c r="I3810" s="22"/>
      <c r="J3810" s="22"/>
      <c r="K3810" s="15">
        <f t="shared" si="12"/>
        <v>13718536.01</v>
      </c>
      <c r="L3810" s="45"/>
      <c r="M3810" s="6"/>
    </row>
    <row r="3811" ht="15.75" customHeight="1">
      <c r="A3811" s="162">
        <v>46198.0</v>
      </c>
      <c r="B3811" s="50"/>
      <c r="C3811" s="31" t="s">
        <v>2447</v>
      </c>
      <c r="D3811" s="32" t="s">
        <v>99</v>
      </c>
      <c r="E3811" s="31" t="s">
        <v>4121</v>
      </c>
      <c r="F3811" s="134">
        <v>46199.0</v>
      </c>
      <c r="G3811" s="54">
        <v>2.678990943E7</v>
      </c>
      <c r="H3811" s="14">
        <f t="shared" si="11"/>
        <v>5625880.98</v>
      </c>
      <c r="I3811" s="22"/>
      <c r="J3811" s="22"/>
      <c r="K3811" s="15">
        <f t="shared" si="12"/>
        <v>32415790.41</v>
      </c>
      <c r="L3811" s="45"/>
      <c r="M3811" s="6"/>
    </row>
    <row r="3812" ht="15.75" customHeight="1">
      <c r="A3812" s="162">
        <v>46198.0</v>
      </c>
      <c r="B3812" s="50"/>
      <c r="C3812" s="31" t="s">
        <v>3866</v>
      </c>
      <c r="D3812" s="32" t="s">
        <v>99</v>
      </c>
      <c r="E3812" s="31" t="s">
        <v>4122</v>
      </c>
      <c r="F3812" s="134">
        <v>46199.0</v>
      </c>
      <c r="G3812" s="54">
        <v>1.097836026E7</v>
      </c>
      <c r="H3812" s="14">
        <f t="shared" si="11"/>
        <v>2305455.655</v>
      </c>
      <c r="I3812" s="22">
        <v>329350.81</v>
      </c>
      <c r="J3812" s="22">
        <v>439134.41</v>
      </c>
      <c r="K3812" s="15">
        <f t="shared" si="12"/>
        <v>14052301.13</v>
      </c>
      <c r="L3812" s="45"/>
      <c r="M3812" s="6"/>
    </row>
    <row r="3813" ht="15.75" customHeight="1">
      <c r="A3813" s="162">
        <v>46198.0</v>
      </c>
      <c r="B3813" s="50"/>
      <c r="C3813" s="31" t="s">
        <v>3866</v>
      </c>
      <c r="D3813" s="32" t="s">
        <v>99</v>
      </c>
      <c r="E3813" s="31" t="s">
        <v>4123</v>
      </c>
      <c r="F3813" s="134">
        <v>46199.0</v>
      </c>
      <c r="G3813" s="54">
        <v>1.174561033E7</v>
      </c>
      <c r="H3813" s="14">
        <f t="shared" si="11"/>
        <v>2466578.169</v>
      </c>
      <c r="I3813" s="22">
        <v>352368.31</v>
      </c>
      <c r="J3813" s="22">
        <v>469824.41</v>
      </c>
      <c r="K3813" s="15">
        <f t="shared" si="12"/>
        <v>15034381.22</v>
      </c>
      <c r="L3813" s="45"/>
      <c r="M3813" s="6"/>
    </row>
    <row r="3814" ht="15.75" customHeight="1">
      <c r="A3814" s="162">
        <v>46198.0</v>
      </c>
      <c r="B3814" s="50"/>
      <c r="C3814" s="31" t="s">
        <v>2447</v>
      </c>
      <c r="D3814" s="32" t="s">
        <v>15</v>
      </c>
      <c r="E3814" s="31" t="s">
        <v>4124</v>
      </c>
      <c r="F3814" s="134">
        <v>46199.0</v>
      </c>
      <c r="G3814" s="54">
        <v>1.890332342E7</v>
      </c>
      <c r="H3814" s="14">
        <f t="shared" si="11"/>
        <v>3969697.918</v>
      </c>
      <c r="I3814" s="22"/>
      <c r="J3814" s="22"/>
      <c r="K3814" s="15">
        <f t="shared" si="12"/>
        <v>22873021.34</v>
      </c>
      <c r="L3814" s="45"/>
      <c r="M3814" s="6"/>
    </row>
    <row r="3815" ht="15.75" customHeight="1">
      <c r="A3815" s="162">
        <v>46198.0</v>
      </c>
      <c r="B3815" s="50"/>
      <c r="C3815" s="31" t="s">
        <v>2447</v>
      </c>
      <c r="D3815" s="32" t="s">
        <v>15</v>
      </c>
      <c r="E3815" s="31" t="s">
        <v>4125</v>
      </c>
      <c r="F3815" s="134">
        <v>46199.0</v>
      </c>
      <c r="G3815" s="54">
        <v>2.763353212E7</v>
      </c>
      <c r="H3815" s="14">
        <f t="shared" si="11"/>
        <v>5803041.745</v>
      </c>
      <c r="I3815" s="22"/>
      <c r="J3815" s="22"/>
      <c r="K3815" s="15">
        <f t="shared" si="12"/>
        <v>33436573.87</v>
      </c>
      <c r="L3815" s="45"/>
      <c r="M3815" s="6"/>
    </row>
    <row r="3816" ht="15.75" customHeight="1">
      <c r="A3816" s="162">
        <v>46198.0</v>
      </c>
      <c r="B3816" s="50"/>
      <c r="C3816" s="31" t="s">
        <v>2447</v>
      </c>
      <c r="D3816" s="32" t="s">
        <v>15</v>
      </c>
      <c r="E3816" s="31" t="s">
        <v>4126</v>
      </c>
      <c r="F3816" s="134">
        <v>46199.0</v>
      </c>
      <c r="G3816" s="54">
        <v>1.804736307E7</v>
      </c>
      <c r="H3816" s="14">
        <f t="shared" si="11"/>
        <v>3789946.245</v>
      </c>
      <c r="I3816" s="22"/>
      <c r="J3816" s="22"/>
      <c r="K3816" s="15">
        <f t="shared" si="12"/>
        <v>21837309.31</v>
      </c>
      <c r="L3816" s="45"/>
      <c r="M3816" s="6"/>
    </row>
    <row r="3817" ht="15.75" customHeight="1">
      <c r="A3817" s="162">
        <v>46198.0</v>
      </c>
      <c r="B3817" s="50"/>
      <c r="C3817" s="31" t="s">
        <v>2447</v>
      </c>
      <c r="D3817" s="32" t="s">
        <v>15</v>
      </c>
      <c r="E3817" s="31" t="s">
        <v>4127</v>
      </c>
      <c r="F3817" s="134">
        <v>46199.0</v>
      </c>
      <c r="G3817" s="54">
        <v>2.390045126E7</v>
      </c>
      <c r="H3817" s="14">
        <f t="shared" si="11"/>
        <v>5019094.765</v>
      </c>
      <c r="I3817" s="22"/>
      <c r="J3817" s="22"/>
      <c r="K3817" s="15">
        <f t="shared" si="12"/>
        <v>28919546.02</v>
      </c>
      <c r="L3817" s="45"/>
      <c r="M3817" s="6"/>
    </row>
    <row r="3818" ht="15.75" customHeight="1">
      <c r="A3818" s="162">
        <v>46198.0</v>
      </c>
      <c r="B3818" s="50"/>
      <c r="C3818" s="31" t="s">
        <v>2447</v>
      </c>
      <c r="D3818" s="32" t="s">
        <v>15</v>
      </c>
      <c r="E3818" s="32" t="s">
        <v>4128</v>
      </c>
      <c r="F3818" s="134">
        <v>46199.0</v>
      </c>
      <c r="G3818" s="54">
        <v>1.280009848E7</v>
      </c>
      <c r="H3818" s="14">
        <f t="shared" si="11"/>
        <v>2688020.681</v>
      </c>
      <c r="I3818" s="22"/>
      <c r="J3818" s="22"/>
      <c r="K3818" s="15">
        <f t="shared" si="12"/>
        <v>15488119.16</v>
      </c>
      <c r="L3818" s="45"/>
      <c r="M3818" s="6"/>
    </row>
    <row r="3819" ht="15.75" customHeight="1">
      <c r="A3819" s="162">
        <v>46198.0</v>
      </c>
      <c r="B3819" s="50"/>
      <c r="C3819" s="31" t="s">
        <v>2447</v>
      </c>
      <c r="D3819" s="32" t="s">
        <v>15</v>
      </c>
      <c r="E3819" s="32" t="s">
        <v>4129</v>
      </c>
      <c r="F3819" s="134">
        <v>46199.0</v>
      </c>
      <c r="G3819" s="54">
        <v>1.540059162E7</v>
      </c>
      <c r="H3819" s="14">
        <f t="shared" si="11"/>
        <v>3234124.24</v>
      </c>
      <c r="I3819" s="22"/>
      <c r="J3819" s="22"/>
      <c r="K3819" s="15">
        <f t="shared" si="12"/>
        <v>18634715.86</v>
      </c>
      <c r="L3819" s="45"/>
      <c r="M3819" s="6"/>
    </row>
    <row r="3820" ht="15.75" customHeight="1">
      <c r="A3820" s="162">
        <v>46198.0</v>
      </c>
      <c r="B3820" s="50"/>
      <c r="C3820" s="31" t="s">
        <v>2447</v>
      </c>
      <c r="D3820" s="32" t="s">
        <v>15</v>
      </c>
      <c r="E3820" s="31" t="s">
        <v>4130</v>
      </c>
      <c r="F3820" s="134">
        <v>46199.0</v>
      </c>
      <c r="G3820" s="54">
        <v>-2.390075423E7</v>
      </c>
      <c r="H3820" s="14">
        <f t="shared" si="11"/>
        <v>-5019158.388</v>
      </c>
      <c r="I3820" s="22"/>
      <c r="J3820" s="22">
        <v>-1195037.71</v>
      </c>
      <c r="K3820" s="15">
        <f t="shared" si="12"/>
        <v>-30114950.33</v>
      </c>
      <c r="L3820" s="45"/>
      <c r="M3820" s="6"/>
    </row>
    <row r="3821" ht="15.75" customHeight="1">
      <c r="A3821" s="162">
        <v>46198.0</v>
      </c>
      <c r="B3821" s="50"/>
      <c r="C3821" s="31" t="s">
        <v>2447</v>
      </c>
      <c r="D3821" s="32" t="s">
        <v>15</v>
      </c>
      <c r="E3821" s="31" t="s">
        <v>4131</v>
      </c>
      <c r="F3821" s="134">
        <v>46199.0</v>
      </c>
      <c r="G3821" s="54">
        <v>-1.804736307E7</v>
      </c>
      <c r="H3821" s="14">
        <f t="shared" si="11"/>
        <v>-3789946.245</v>
      </c>
      <c r="I3821" s="22"/>
      <c r="J3821" s="22">
        <v>-902368.15</v>
      </c>
      <c r="K3821" s="15">
        <f t="shared" si="12"/>
        <v>-22739677.46</v>
      </c>
      <c r="L3821" s="45"/>
      <c r="M3821" s="6"/>
    </row>
    <row r="3822" ht="15.75" customHeight="1">
      <c r="A3822" s="162">
        <v>46198.0</v>
      </c>
      <c r="B3822" s="50"/>
      <c r="C3822" s="31" t="s">
        <v>2447</v>
      </c>
      <c r="D3822" s="32" t="s">
        <v>15</v>
      </c>
      <c r="E3822" s="32" t="s">
        <v>4132</v>
      </c>
      <c r="F3822" s="134">
        <v>46199.0</v>
      </c>
      <c r="G3822" s="54">
        <v>-2.763353207E7</v>
      </c>
      <c r="H3822" s="14">
        <f t="shared" si="11"/>
        <v>-5803041.735</v>
      </c>
      <c r="I3822" s="22"/>
      <c r="J3822" s="22">
        <v>-1381676.6</v>
      </c>
      <c r="K3822" s="15">
        <f t="shared" si="12"/>
        <v>-34818250.4</v>
      </c>
      <c r="L3822" s="45"/>
      <c r="M3822" s="6"/>
    </row>
    <row r="3823" ht="15.75" customHeight="1">
      <c r="A3823" s="162">
        <v>46198.0</v>
      </c>
      <c r="B3823" s="50"/>
      <c r="C3823" s="31" t="s">
        <v>2447</v>
      </c>
      <c r="D3823" s="32" t="s">
        <v>15</v>
      </c>
      <c r="E3823" s="31" t="s">
        <v>4133</v>
      </c>
      <c r="F3823" s="134">
        <v>46199.0</v>
      </c>
      <c r="G3823" s="54">
        <v>-1.890332342E7</v>
      </c>
      <c r="H3823" s="14">
        <f t="shared" si="11"/>
        <v>-3969697.918</v>
      </c>
      <c r="I3823" s="22"/>
      <c r="J3823" s="22">
        <v>-945166.17</v>
      </c>
      <c r="K3823" s="15">
        <f t="shared" si="12"/>
        <v>-23818187.51</v>
      </c>
      <c r="L3823" s="45"/>
      <c r="M3823" s="6"/>
    </row>
    <row r="3824" ht="15.75" customHeight="1">
      <c r="A3824" s="162">
        <v>46198.0</v>
      </c>
      <c r="B3824" s="50"/>
      <c r="C3824" s="31" t="s">
        <v>2447</v>
      </c>
      <c r="D3824" s="32" t="s">
        <v>15</v>
      </c>
      <c r="E3824" s="31" t="s">
        <v>4134</v>
      </c>
      <c r="F3824" s="134">
        <v>46199.0</v>
      </c>
      <c r="G3824" s="54">
        <v>-1.540042013E7</v>
      </c>
      <c r="H3824" s="14">
        <f t="shared" si="11"/>
        <v>-3234088.227</v>
      </c>
      <c r="I3824" s="22"/>
      <c r="J3824" s="22">
        <v>-770021.01</v>
      </c>
      <c r="K3824" s="15">
        <f t="shared" si="12"/>
        <v>-19404529.37</v>
      </c>
      <c r="L3824" s="45"/>
      <c r="M3824" s="6"/>
    </row>
    <row r="3825" ht="15.75" customHeight="1">
      <c r="A3825" s="162">
        <v>46198.0</v>
      </c>
      <c r="B3825" s="50"/>
      <c r="C3825" s="31" t="s">
        <v>2447</v>
      </c>
      <c r="D3825" s="32" t="s">
        <v>15</v>
      </c>
      <c r="E3825" s="32" t="s">
        <v>4135</v>
      </c>
      <c r="F3825" s="134">
        <v>46199.0</v>
      </c>
      <c r="G3825" s="54">
        <v>-1.280009807E7</v>
      </c>
      <c r="H3825" s="14">
        <f t="shared" si="11"/>
        <v>-2688020.595</v>
      </c>
      <c r="I3825" s="22"/>
      <c r="J3825" s="22">
        <v>-640004.9</v>
      </c>
      <c r="K3825" s="15">
        <f t="shared" si="12"/>
        <v>-16128123.56</v>
      </c>
      <c r="L3825" s="45"/>
      <c r="M3825" s="6"/>
    </row>
    <row r="3826" ht="15.75" customHeight="1">
      <c r="A3826" s="162">
        <v>46199.0</v>
      </c>
      <c r="B3826" s="50"/>
      <c r="C3826" s="31" t="s">
        <v>2447</v>
      </c>
      <c r="D3826" s="32" t="s">
        <v>99</v>
      </c>
      <c r="E3826" s="31" t="s">
        <v>4136</v>
      </c>
      <c r="F3826" s="134">
        <v>46199.0</v>
      </c>
      <c r="G3826" s="54">
        <v>2.244338959E7</v>
      </c>
      <c r="H3826" s="14">
        <f t="shared" si="11"/>
        <v>4713111.814</v>
      </c>
      <c r="I3826" s="22">
        <v>673301.69</v>
      </c>
      <c r="J3826" s="22"/>
      <c r="K3826" s="15">
        <f t="shared" si="12"/>
        <v>27829803.09</v>
      </c>
      <c r="L3826" s="45"/>
      <c r="M3826" s="6"/>
    </row>
    <row r="3827" ht="15.75" customHeight="1">
      <c r="A3827" s="162">
        <v>46199.0</v>
      </c>
      <c r="B3827" s="50"/>
      <c r="C3827" s="31" t="s">
        <v>2447</v>
      </c>
      <c r="D3827" s="32" t="s">
        <v>99</v>
      </c>
      <c r="E3827" s="31" t="s">
        <v>4137</v>
      </c>
      <c r="F3827" s="134">
        <v>46199.0</v>
      </c>
      <c r="G3827" s="54">
        <v>1.74447338E7</v>
      </c>
      <c r="H3827" s="14">
        <f t="shared" si="11"/>
        <v>3663394.098</v>
      </c>
      <c r="I3827" s="22">
        <v>523342.01</v>
      </c>
      <c r="J3827" s="22"/>
      <c r="K3827" s="15">
        <f t="shared" si="12"/>
        <v>21631469.91</v>
      </c>
      <c r="L3827" s="45"/>
      <c r="M3827" s="6"/>
    </row>
    <row r="3828" ht="15.75" customHeight="1">
      <c r="A3828" s="162">
        <v>46199.0</v>
      </c>
      <c r="B3828" s="50"/>
      <c r="C3828" s="31" t="s">
        <v>2447</v>
      </c>
      <c r="D3828" s="32" t="s">
        <v>99</v>
      </c>
      <c r="E3828" s="31" t="s">
        <v>4138</v>
      </c>
      <c r="F3828" s="134">
        <v>46199.0</v>
      </c>
      <c r="G3828" s="54">
        <v>1.534453411E7</v>
      </c>
      <c r="H3828" s="14">
        <f t="shared" si="11"/>
        <v>3222352.163</v>
      </c>
      <c r="I3828" s="22">
        <v>460336.02</v>
      </c>
      <c r="J3828" s="22"/>
      <c r="K3828" s="15">
        <f t="shared" si="12"/>
        <v>19027222.29</v>
      </c>
      <c r="L3828" s="45"/>
      <c r="M3828" s="6"/>
    </row>
    <row r="3829" ht="15.75" customHeight="1">
      <c r="A3829" s="162">
        <v>46199.0</v>
      </c>
      <c r="B3829" s="50"/>
      <c r="C3829" s="31" t="s">
        <v>2447</v>
      </c>
      <c r="D3829" s="32" t="s">
        <v>99</v>
      </c>
      <c r="E3829" s="31" t="s">
        <v>4139</v>
      </c>
      <c r="F3829" s="134">
        <v>46199.0</v>
      </c>
      <c r="G3829" s="54">
        <v>1.633263329E7</v>
      </c>
      <c r="H3829" s="14">
        <f t="shared" si="11"/>
        <v>3429852.991</v>
      </c>
      <c r="I3829" s="22">
        <v>489979.0</v>
      </c>
      <c r="J3829" s="22"/>
      <c r="K3829" s="15">
        <f t="shared" si="12"/>
        <v>20252465.28</v>
      </c>
      <c r="L3829" s="45"/>
      <c r="M3829" s="6"/>
    </row>
    <row r="3830" ht="15.75" customHeight="1">
      <c r="A3830" s="162">
        <v>46199.0</v>
      </c>
      <c r="B3830" s="50"/>
      <c r="C3830" s="31" t="s">
        <v>2447</v>
      </c>
      <c r="D3830" s="32" t="s">
        <v>99</v>
      </c>
      <c r="E3830" s="31" t="s">
        <v>4140</v>
      </c>
      <c r="F3830" s="134">
        <v>46199.0</v>
      </c>
      <c r="G3830" s="54">
        <v>1.480998315E7</v>
      </c>
      <c r="H3830" s="14">
        <f t="shared" si="11"/>
        <v>3110096.462</v>
      </c>
      <c r="I3830" s="22">
        <v>444299.49</v>
      </c>
      <c r="J3830" s="22"/>
      <c r="K3830" s="15">
        <f t="shared" si="12"/>
        <v>18364379.1</v>
      </c>
      <c r="L3830" s="45"/>
      <c r="M3830" s="6"/>
    </row>
    <row r="3831" ht="15.75" customHeight="1">
      <c r="A3831" s="162">
        <v>46199.0</v>
      </c>
      <c r="B3831" s="50"/>
      <c r="C3831" s="31" t="s">
        <v>2447</v>
      </c>
      <c r="D3831" s="32" t="s">
        <v>99</v>
      </c>
      <c r="E3831" s="31" t="s">
        <v>4141</v>
      </c>
      <c r="F3831" s="134">
        <v>46199.0</v>
      </c>
      <c r="G3831" s="54">
        <v>1.373425296E7</v>
      </c>
      <c r="H3831" s="14">
        <f t="shared" si="11"/>
        <v>2884193.122</v>
      </c>
      <c r="I3831" s="22">
        <v>412027.59</v>
      </c>
      <c r="J3831" s="22"/>
      <c r="K3831" s="15">
        <f t="shared" si="12"/>
        <v>17030473.67</v>
      </c>
      <c r="L3831" s="45"/>
      <c r="M3831" s="6"/>
    </row>
    <row r="3832" ht="15.75" customHeight="1">
      <c r="A3832" s="162">
        <v>46199.0</v>
      </c>
      <c r="B3832" s="50"/>
      <c r="C3832" s="31" t="s">
        <v>2447</v>
      </c>
      <c r="D3832" s="32" t="s">
        <v>99</v>
      </c>
      <c r="E3832" s="31" t="s">
        <v>4142</v>
      </c>
      <c r="F3832" s="134">
        <v>46199.0</v>
      </c>
      <c r="G3832" s="54">
        <v>1.223626583E7</v>
      </c>
      <c r="H3832" s="14">
        <f t="shared" si="11"/>
        <v>2569615.824</v>
      </c>
      <c r="I3832" s="22">
        <v>367087.97</v>
      </c>
      <c r="J3832" s="22"/>
      <c r="K3832" s="15">
        <f t="shared" si="12"/>
        <v>15172969.62</v>
      </c>
      <c r="L3832" s="45"/>
      <c r="M3832" s="6"/>
    </row>
    <row r="3833" ht="15.75" customHeight="1">
      <c r="A3833" s="162">
        <v>46199.0</v>
      </c>
      <c r="B3833" s="50"/>
      <c r="C3833" s="31" t="s">
        <v>2447</v>
      </c>
      <c r="D3833" s="32" t="s">
        <v>99</v>
      </c>
      <c r="E3833" s="31" t="s">
        <v>4143</v>
      </c>
      <c r="F3833" s="134">
        <v>46199.0</v>
      </c>
      <c r="G3833" s="54">
        <v>1.000289314E7</v>
      </c>
      <c r="H3833" s="14">
        <f t="shared" si="11"/>
        <v>2100607.559</v>
      </c>
      <c r="I3833" s="22">
        <v>300086.79</v>
      </c>
      <c r="J3833" s="22"/>
      <c r="K3833" s="15">
        <f t="shared" si="12"/>
        <v>12403587.49</v>
      </c>
      <c r="L3833" s="45"/>
      <c r="M3833" s="6"/>
    </row>
    <row r="3834" ht="15.75" customHeight="1">
      <c r="A3834" s="162">
        <v>46199.0</v>
      </c>
      <c r="B3834" s="50"/>
      <c r="C3834" s="31" t="s">
        <v>2447</v>
      </c>
      <c r="D3834" s="32" t="s">
        <v>99</v>
      </c>
      <c r="E3834" s="31" t="s">
        <v>4144</v>
      </c>
      <c r="F3834" s="134">
        <v>46199.0</v>
      </c>
      <c r="G3834" s="54">
        <v>8336332.16</v>
      </c>
      <c r="H3834" s="14">
        <f t="shared" si="11"/>
        <v>1750629.754</v>
      </c>
      <c r="I3834" s="22">
        <v>250089.96</v>
      </c>
      <c r="J3834" s="22"/>
      <c r="K3834" s="15">
        <f t="shared" si="12"/>
        <v>10337051.87</v>
      </c>
      <c r="L3834" s="45"/>
      <c r="M3834" s="6"/>
    </row>
    <row r="3835" ht="15.75" customHeight="1">
      <c r="A3835" s="162">
        <v>46199.0</v>
      </c>
      <c r="B3835" s="50"/>
      <c r="C3835" s="31" t="s">
        <v>2447</v>
      </c>
      <c r="D3835" s="32" t="s">
        <v>15</v>
      </c>
      <c r="E3835" s="31" t="s">
        <v>4145</v>
      </c>
      <c r="F3835" s="134">
        <v>46199.0</v>
      </c>
      <c r="G3835" s="54">
        <v>3.389912502E7</v>
      </c>
      <c r="H3835" s="14">
        <f t="shared" si="11"/>
        <v>7118816.254</v>
      </c>
      <c r="I3835" s="22">
        <v>1016973.75</v>
      </c>
      <c r="J3835" s="22"/>
      <c r="K3835" s="15">
        <f t="shared" si="12"/>
        <v>42034915.02</v>
      </c>
      <c r="L3835" s="45"/>
      <c r="M3835" s="6"/>
    </row>
    <row r="3836" ht="15.75" customHeight="1">
      <c r="A3836" s="162">
        <v>46199.0</v>
      </c>
      <c r="B3836" s="50"/>
      <c r="C3836" s="31" t="s">
        <v>2447</v>
      </c>
      <c r="D3836" s="32" t="s">
        <v>15</v>
      </c>
      <c r="E3836" s="31" t="s">
        <v>4146</v>
      </c>
      <c r="F3836" s="134">
        <v>46199.0</v>
      </c>
      <c r="G3836" s="54">
        <v>2.943373216E7</v>
      </c>
      <c r="H3836" s="14">
        <f t="shared" si="11"/>
        <v>6181083.754</v>
      </c>
      <c r="I3836" s="22">
        <v>883011.96</v>
      </c>
      <c r="J3836" s="22"/>
      <c r="K3836" s="15">
        <f t="shared" si="12"/>
        <v>36497827.87</v>
      </c>
      <c r="L3836" s="45"/>
      <c r="M3836" s="6"/>
    </row>
    <row r="3837" ht="15.75" customHeight="1">
      <c r="A3837" s="162">
        <v>46199.0</v>
      </c>
      <c r="B3837" s="50"/>
      <c r="C3837" s="31" t="s">
        <v>2447</v>
      </c>
      <c r="D3837" s="32" t="s">
        <v>15</v>
      </c>
      <c r="E3837" s="31" t="s">
        <v>4147</v>
      </c>
      <c r="F3837" s="134">
        <v>46199.0</v>
      </c>
      <c r="G3837" s="54">
        <v>2.832233211E7</v>
      </c>
      <c r="H3837" s="14">
        <f t="shared" si="11"/>
        <v>5947689.743</v>
      </c>
      <c r="I3837" s="22">
        <v>849669.96</v>
      </c>
      <c r="J3837" s="22"/>
      <c r="K3837" s="15">
        <f t="shared" si="12"/>
        <v>35119691.81</v>
      </c>
      <c r="L3837" s="45"/>
      <c r="M3837" s="6"/>
    </row>
    <row r="3838" ht="15.75" customHeight="1">
      <c r="A3838" s="162">
        <v>46199.0</v>
      </c>
      <c r="B3838" s="50"/>
      <c r="C3838" s="31" t="s">
        <v>2447</v>
      </c>
      <c r="D3838" s="32" t="s">
        <v>15</v>
      </c>
      <c r="E3838" s="31" t="s">
        <v>4148</v>
      </c>
      <c r="F3838" s="134">
        <v>46199.0</v>
      </c>
      <c r="G3838" s="54">
        <v>2.193383345E7</v>
      </c>
      <c r="H3838" s="14">
        <f t="shared" si="11"/>
        <v>4606105.025</v>
      </c>
      <c r="I3838" s="22">
        <v>658015.0</v>
      </c>
      <c r="J3838" s="22"/>
      <c r="K3838" s="15">
        <f t="shared" si="12"/>
        <v>27197953.47</v>
      </c>
      <c r="L3838" s="45"/>
      <c r="M3838" s="6"/>
    </row>
    <row r="3839" ht="15.75" customHeight="1">
      <c r="A3839" s="162">
        <v>46199.0</v>
      </c>
      <c r="B3839" s="50"/>
      <c r="C3839" s="31" t="s">
        <v>2447</v>
      </c>
      <c r="D3839" s="32" t="s">
        <v>15</v>
      </c>
      <c r="E3839" s="31" t="s">
        <v>4149</v>
      </c>
      <c r="F3839" s="134">
        <v>46199.0</v>
      </c>
      <c r="G3839" s="54">
        <v>1.783928211E7</v>
      </c>
      <c r="H3839" s="14">
        <f t="shared" si="11"/>
        <v>3746249.243</v>
      </c>
      <c r="I3839" s="22">
        <v>535178.46</v>
      </c>
      <c r="J3839" s="22"/>
      <c r="K3839" s="15">
        <f t="shared" si="12"/>
        <v>22120709.81</v>
      </c>
      <c r="L3839" s="45"/>
      <c r="M3839" s="6"/>
    </row>
    <row r="3840" ht="15.75" customHeight="1">
      <c r="A3840" s="162">
        <v>46199.0</v>
      </c>
      <c r="B3840" s="50"/>
      <c r="C3840" s="31" t="s">
        <v>2447</v>
      </c>
      <c r="D3840" s="32" t="s">
        <v>15</v>
      </c>
      <c r="E3840" s="31" t="s">
        <v>4150</v>
      </c>
      <c r="F3840" s="134">
        <v>46199.0</v>
      </c>
      <c r="G3840" s="54">
        <v>1.532733245E7</v>
      </c>
      <c r="H3840" s="14">
        <f t="shared" si="11"/>
        <v>3218739.815</v>
      </c>
      <c r="I3840" s="22">
        <v>459819.97</v>
      </c>
      <c r="J3840" s="22"/>
      <c r="K3840" s="15">
        <f t="shared" si="12"/>
        <v>19005892.23</v>
      </c>
      <c r="L3840" s="45"/>
      <c r="M3840" s="6"/>
    </row>
    <row r="3841" ht="15.75" customHeight="1">
      <c r="A3841" s="162">
        <v>46199.0</v>
      </c>
      <c r="B3841" s="50"/>
      <c r="C3841" s="31" t="s">
        <v>2447</v>
      </c>
      <c r="D3841" s="32" t="s">
        <v>15</v>
      </c>
      <c r="E3841" s="31" t="s">
        <v>4151</v>
      </c>
      <c r="F3841" s="134">
        <v>46199.0</v>
      </c>
      <c r="G3841" s="54">
        <v>1.474932933E7</v>
      </c>
      <c r="H3841" s="14">
        <f t="shared" si="11"/>
        <v>3097359.159</v>
      </c>
      <c r="I3841" s="22">
        <v>442479.88</v>
      </c>
      <c r="J3841" s="22"/>
      <c r="K3841" s="15">
        <f t="shared" si="12"/>
        <v>18289168.37</v>
      </c>
      <c r="L3841" s="45"/>
      <c r="M3841" s="6"/>
    </row>
    <row r="3842" ht="15.75" customHeight="1">
      <c r="A3842" s="162">
        <v>46199.0</v>
      </c>
      <c r="B3842" s="50"/>
      <c r="C3842" s="31" t="s">
        <v>2447</v>
      </c>
      <c r="D3842" s="32" t="s">
        <v>15</v>
      </c>
      <c r="E3842" s="32" t="s">
        <v>4152</v>
      </c>
      <c r="F3842" s="134">
        <v>46199.0</v>
      </c>
      <c r="G3842" s="54">
        <v>1.183372347E7</v>
      </c>
      <c r="H3842" s="14">
        <f t="shared" si="11"/>
        <v>2485081.929</v>
      </c>
      <c r="I3842" s="22">
        <v>355011.7</v>
      </c>
      <c r="J3842" s="22"/>
      <c r="K3842" s="15">
        <f t="shared" si="12"/>
        <v>14673817.1</v>
      </c>
      <c r="L3842" s="45"/>
      <c r="M3842" s="6"/>
    </row>
    <row r="3843" ht="15.75" customHeight="1">
      <c r="A3843" s="218">
        <v>46199.0</v>
      </c>
      <c r="B3843" s="56"/>
      <c r="C3843" s="57" t="s">
        <v>2495</v>
      </c>
      <c r="D3843" s="58" t="s">
        <v>99</v>
      </c>
      <c r="E3843" s="57" t="s">
        <v>4153</v>
      </c>
      <c r="F3843" s="137">
        <v>46199.0</v>
      </c>
      <c r="G3843" s="155">
        <v>1.001236059E7</v>
      </c>
      <c r="H3843" s="9">
        <f t="shared" si="11"/>
        <v>2102595.724</v>
      </c>
      <c r="I3843" s="44">
        <v>300370.82</v>
      </c>
      <c r="J3843" s="44"/>
      <c r="K3843" s="10">
        <f t="shared" si="12"/>
        <v>12415327.13</v>
      </c>
      <c r="L3843" s="61"/>
      <c r="M3843" s="62"/>
    </row>
    <row r="3844" ht="15.75" customHeight="1">
      <c r="A3844" s="162">
        <v>46202.0</v>
      </c>
      <c r="B3844" s="50"/>
      <c r="C3844" s="31" t="s">
        <v>3919</v>
      </c>
      <c r="D3844" s="32" t="s">
        <v>99</v>
      </c>
      <c r="E3844" s="31" t="s">
        <v>4154</v>
      </c>
      <c r="F3844" s="134">
        <v>46199.0</v>
      </c>
      <c r="G3844" s="54">
        <v>1.691144026E7</v>
      </c>
      <c r="H3844" s="14">
        <f t="shared" si="11"/>
        <v>3551402.455</v>
      </c>
      <c r="I3844" s="22"/>
      <c r="J3844" s="22">
        <v>84557.2</v>
      </c>
      <c r="K3844" s="15">
        <f t="shared" si="12"/>
        <v>20547399.91</v>
      </c>
      <c r="L3844" s="45"/>
      <c r="M3844" s="6"/>
    </row>
    <row r="3845" ht="15.75" customHeight="1">
      <c r="A3845" s="162">
        <v>46202.0</v>
      </c>
      <c r="B3845" s="50"/>
      <c r="C3845" s="31" t="s">
        <v>3919</v>
      </c>
      <c r="D3845" s="32" t="s">
        <v>99</v>
      </c>
      <c r="E3845" s="31" t="s">
        <v>4155</v>
      </c>
      <c r="F3845" s="134">
        <v>46199.0</v>
      </c>
      <c r="G3845" s="54">
        <v>2.310337062E7</v>
      </c>
      <c r="H3845" s="14">
        <f t="shared" si="11"/>
        <v>4851707.83</v>
      </c>
      <c r="I3845" s="22"/>
      <c r="J3845" s="22">
        <v>115516.85</v>
      </c>
      <c r="K3845" s="15">
        <f t="shared" si="12"/>
        <v>28070595.3</v>
      </c>
      <c r="L3845" s="45"/>
      <c r="M3845" s="6"/>
    </row>
    <row r="3846" ht="15.75" customHeight="1">
      <c r="A3846" s="162">
        <v>46202.0</v>
      </c>
      <c r="B3846" s="50"/>
      <c r="C3846" s="31" t="s">
        <v>3919</v>
      </c>
      <c r="D3846" s="32" t="s">
        <v>15</v>
      </c>
      <c r="E3846" s="31" t="s">
        <v>4156</v>
      </c>
      <c r="F3846" s="134">
        <v>46199.0</v>
      </c>
      <c r="G3846" s="54">
        <v>1.767958029E7</v>
      </c>
      <c r="H3846" s="14">
        <f t="shared" si="11"/>
        <v>3712711.861</v>
      </c>
      <c r="I3846" s="22"/>
      <c r="J3846" s="22">
        <v>88397.9</v>
      </c>
      <c r="K3846" s="15">
        <f t="shared" si="12"/>
        <v>21480690.05</v>
      </c>
      <c r="L3846" s="45"/>
      <c r="M3846" s="6"/>
    </row>
    <row r="3847" ht="15.75" customHeight="1">
      <c r="A3847" s="162">
        <v>46202.0</v>
      </c>
      <c r="B3847" s="50"/>
      <c r="C3847" s="31" t="s">
        <v>3919</v>
      </c>
      <c r="D3847" s="32" t="s">
        <v>15</v>
      </c>
      <c r="E3847" s="31" t="s">
        <v>4157</v>
      </c>
      <c r="F3847" s="134">
        <v>46199.0</v>
      </c>
      <c r="G3847" s="54">
        <v>2.232836029E7</v>
      </c>
      <c r="H3847" s="14">
        <f t="shared" si="11"/>
        <v>4688955.661</v>
      </c>
      <c r="I3847" s="22"/>
      <c r="J3847" s="22">
        <v>111641.8</v>
      </c>
      <c r="K3847" s="15">
        <f t="shared" si="12"/>
        <v>27128957.75</v>
      </c>
      <c r="L3847" s="45"/>
      <c r="M3847" s="6"/>
    </row>
    <row r="3848" ht="15.75" customHeight="1">
      <c r="A3848" s="162">
        <v>46202.0</v>
      </c>
      <c r="B3848" s="50"/>
      <c r="C3848" s="31" t="s">
        <v>2434</v>
      </c>
      <c r="D3848" s="32" t="s">
        <v>15</v>
      </c>
      <c r="E3848" s="31" t="s">
        <v>4158</v>
      </c>
      <c r="F3848" s="134">
        <v>46199.0</v>
      </c>
      <c r="G3848" s="54">
        <v>1.410985029E7</v>
      </c>
      <c r="H3848" s="14">
        <f t="shared" si="11"/>
        <v>2963068.561</v>
      </c>
      <c r="I3848" s="22">
        <v>423295.51</v>
      </c>
      <c r="J3848" s="22">
        <v>211647.75</v>
      </c>
      <c r="K3848" s="15">
        <f t="shared" si="12"/>
        <v>17707862.11</v>
      </c>
      <c r="L3848" s="45"/>
      <c r="M3848" s="6"/>
    </row>
    <row r="3849" ht="15.75" customHeight="1">
      <c r="A3849" s="162">
        <v>46202.0</v>
      </c>
      <c r="B3849" s="50"/>
      <c r="C3849" s="31" t="s">
        <v>524</v>
      </c>
      <c r="D3849" s="32" t="s">
        <v>99</v>
      </c>
      <c r="E3849" s="31" t="s">
        <v>4159</v>
      </c>
      <c r="F3849" s="134">
        <v>46199.0</v>
      </c>
      <c r="G3849" s="54">
        <v>1.932374407E7</v>
      </c>
      <c r="H3849" s="14">
        <f t="shared" si="11"/>
        <v>4057986.255</v>
      </c>
      <c r="I3849" s="22"/>
      <c r="J3849" s="22"/>
      <c r="K3849" s="15">
        <f t="shared" si="12"/>
        <v>23381730.32</v>
      </c>
      <c r="L3849" s="45"/>
      <c r="M3849" s="6"/>
    </row>
    <row r="3850" ht="15.75" customHeight="1">
      <c r="A3850" s="162">
        <v>46202.0</v>
      </c>
      <c r="B3850" s="50"/>
      <c r="C3850" s="31" t="s">
        <v>268</v>
      </c>
      <c r="D3850" s="32" t="s">
        <v>99</v>
      </c>
      <c r="E3850" s="31" t="s">
        <v>4160</v>
      </c>
      <c r="F3850" s="134">
        <v>46199.0</v>
      </c>
      <c r="G3850" s="54">
        <v>1.635253312E7</v>
      </c>
      <c r="H3850" s="14">
        <f t="shared" si="11"/>
        <v>3434031.955</v>
      </c>
      <c r="I3850" s="22">
        <v>490575.99</v>
      </c>
      <c r="J3850" s="22">
        <v>327050.66</v>
      </c>
      <c r="K3850" s="15">
        <f t="shared" si="12"/>
        <v>20604191.73</v>
      </c>
      <c r="L3850" s="45"/>
      <c r="M3850" s="6"/>
    </row>
    <row r="3851" ht="15.75" customHeight="1">
      <c r="A3851" s="162">
        <v>46202.0</v>
      </c>
      <c r="B3851" s="50"/>
      <c r="C3851" s="31" t="s">
        <v>268</v>
      </c>
      <c r="D3851" s="32" t="s">
        <v>15</v>
      </c>
      <c r="E3851" s="31" t="s">
        <v>4161</v>
      </c>
      <c r="F3851" s="134">
        <v>46199.0</v>
      </c>
      <c r="G3851" s="54">
        <v>3.200081126E7</v>
      </c>
      <c r="H3851" s="14">
        <f t="shared" si="11"/>
        <v>6720170.365</v>
      </c>
      <c r="I3851" s="22">
        <v>960024.34</v>
      </c>
      <c r="J3851" s="22">
        <v>640016.23</v>
      </c>
      <c r="K3851" s="15">
        <f t="shared" si="12"/>
        <v>40321022.19</v>
      </c>
      <c r="L3851" s="45"/>
      <c r="M3851" s="6"/>
    </row>
    <row r="3852" ht="15.75" customHeight="1">
      <c r="A3852" s="162">
        <v>46202.0</v>
      </c>
      <c r="B3852" s="50"/>
      <c r="C3852" s="31" t="s">
        <v>268</v>
      </c>
      <c r="D3852" s="32" t="s">
        <v>15</v>
      </c>
      <c r="E3852" s="31" t="s">
        <v>4162</v>
      </c>
      <c r="F3852" s="134">
        <v>46199.0</v>
      </c>
      <c r="G3852" s="54">
        <v>5.250026562E7</v>
      </c>
      <c r="H3852" s="14">
        <f t="shared" si="11"/>
        <v>11025055.78</v>
      </c>
      <c r="I3852" s="22">
        <v>1575007.97</v>
      </c>
      <c r="J3852" s="22">
        <v>1050005.31</v>
      </c>
      <c r="K3852" s="15">
        <f t="shared" si="12"/>
        <v>66150334.68</v>
      </c>
      <c r="L3852" s="45"/>
      <c r="M3852" s="6"/>
    </row>
    <row r="3853" ht="15.75" customHeight="1">
      <c r="A3853" s="162">
        <v>46203.0</v>
      </c>
      <c r="B3853" s="50"/>
      <c r="C3853" s="31" t="s">
        <v>3596</v>
      </c>
      <c r="D3853" s="32" t="s">
        <v>99</v>
      </c>
      <c r="E3853" s="31" t="s">
        <v>4163</v>
      </c>
      <c r="F3853" s="134">
        <v>46199.0</v>
      </c>
      <c r="G3853" s="54">
        <v>7011580.15</v>
      </c>
      <c r="H3853" s="14">
        <f t="shared" si="11"/>
        <v>1472431.832</v>
      </c>
      <c r="I3853" s="22"/>
      <c r="J3853" s="22">
        <v>140231.6</v>
      </c>
      <c r="K3853" s="15">
        <f t="shared" si="12"/>
        <v>8624243.582</v>
      </c>
      <c r="L3853" s="45"/>
      <c r="M3853" s="6"/>
    </row>
    <row r="3854" ht="15.75" customHeight="1">
      <c r="A3854" s="218">
        <v>46203.0</v>
      </c>
      <c r="B3854" s="56"/>
      <c r="C3854" s="57" t="s">
        <v>4164</v>
      </c>
      <c r="D3854" s="58" t="s">
        <v>1021</v>
      </c>
      <c r="E3854" s="57" t="s">
        <v>4165</v>
      </c>
      <c r="F3854" s="137">
        <v>46199.0</v>
      </c>
      <c r="G3854" s="206">
        <v>4020661.08</v>
      </c>
      <c r="H3854" s="9">
        <f t="shared" si="11"/>
        <v>844338.8268</v>
      </c>
      <c r="I3854" s="44"/>
      <c r="J3854" s="44"/>
      <c r="K3854" s="10">
        <f t="shared" si="12"/>
        <v>4864999.907</v>
      </c>
      <c r="L3854" s="61"/>
      <c r="M3854" s="62"/>
    </row>
    <row r="3855" ht="15.75" customHeight="1">
      <c r="A3855" s="218">
        <v>46203.0</v>
      </c>
      <c r="B3855" s="56"/>
      <c r="C3855" s="57" t="s">
        <v>3385</v>
      </c>
      <c r="D3855" s="58" t="s">
        <v>1021</v>
      </c>
      <c r="E3855" s="57" t="s">
        <v>4166</v>
      </c>
      <c r="F3855" s="137">
        <v>46199.0</v>
      </c>
      <c r="G3855" s="206">
        <v>2.007892561E7</v>
      </c>
      <c r="H3855" s="9">
        <f t="shared" si="11"/>
        <v>4216574.378</v>
      </c>
      <c r="I3855" s="44"/>
      <c r="J3855" s="44"/>
      <c r="K3855" s="10">
        <f t="shared" si="12"/>
        <v>24295499.99</v>
      </c>
      <c r="L3855" s="61"/>
      <c r="M3855" s="62"/>
    </row>
    <row r="3856" ht="15.75" customHeight="1">
      <c r="A3856" s="162">
        <v>46203.0</v>
      </c>
      <c r="B3856" s="50"/>
      <c r="C3856" s="31" t="s">
        <v>4167</v>
      </c>
      <c r="D3856" s="32" t="s">
        <v>1543</v>
      </c>
      <c r="E3856" s="32" t="s">
        <v>4168</v>
      </c>
      <c r="F3856" s="134">
        <v>46199.0</v>
      </c>
      <c r="G3856" s="207">
        <v>7236052.16</v>
      </c>
      <c r="H3856" s="14">
        <f t="shared" si="11"/>
        <v>1519570.954</v>
      </c>
      <c r="I3856" s="22"/>
      <c r="J3856" s="22"/>
      <c r="K3856" s="15">
        <f t="shared" si="12"/>
        <v>8755623.114</v>
      </c>
      <c r="L3856" s="45"/>
      <c r="M3856" s="6"/>
    </row>
    <row r="3857" ht="15.75" customHeight="1">
      <c r="A3857" s="162">
        <v>46203.0</v>
      </c>
      <c r="B3857" s="50"/>
      <c r="C3857" s="31" t="s">
        <v>239</v>
      </c>
      <c r="D3857" s="32" t="s">
        <v>1543</v>
      </c>
      <c r="E3857" s="32" t="s">
        <v>4169</v>
      </c>
      <c r="F3857" s="134">
        <v>46199.0</v>
      </c>
      <c r="G3857" s="207">
        <v>5500251.13</v>
      </c>
      <c r="H3857" s="14">
        <f t="shared" si="11"/>
        <v>1155052.737</v>
      </c>
      <c r="I3857" s="22"/>
      <c r="J3857" s="22"/>
      <c r="K3857" s="15">
        <f t="shared" si="12"/>
        <v>6655303.867</v>
      </c>
      <c r="L3857" s="45"/>
      <c r="M3857" s="6"/>
    </row>
    <row r="3858" ht="15.75" customHeight="1">
      <c r="A3858" s="162">
        <v>46203.0</v>
      </c>
      <c r="B3858" s="50"/>
      <c r="C3858" s="31" t="s">
        <v>3887</v>
      </c>
      <c r="D3858" s="32" t="s">
        <v>1543</v>
      </c>
      <c r="E3858" s="32" t="s">
        <v>4170</v>
      </c>
      <c r="F3858" s="134">
        <v>46199.0</v>
      </c>
      <c r="G3858" s="207">
        <v>5149600.24</v>
      </c>
      <c r="H3858" s="14">
        <f t="shared" si="11"/>
        <v>1081416.05</v>
      </c>
      <c r="I3858" s="22"/>
      <c r="J3858" s="22"/>
      <c r="K3858" s="15">
        <f t="shared" si="12"/>
        <v>6231016.29</v>
      </c>
      <c r="L3858" s="45"/>
      <c r="M3858" s="6"/>
    </row>
    <row r="3859" ht="15.75" customHeight="1">
      <c r="A3859" s="162">
        <v>46203.0</v>
      </c>
      <c r="B3859" s="50"/>
      <c r="C3859" s="31" t="s">
        <v>4167</v>
      </c>
      <c r="D3859" s="32" t="s">
        <v>1543</v>
      </c>
      <c r="E3859" s="32" t="s">
        <v>4171</v>
      </c>
      <c r="F3859" s="134">
        <v>46199.0</v>
      </c>
      <c r="G3859" s="207">
        <v>8642085.46</v>
      </c>
      <c r="H3859" s="14">
        <f t="shared" si="11"/>
        <v>1814837.947</v>
      </c>
      <c r="I3859" s="22"/>
      <c r="J3859" s="22"/>
      <c r="K3859" s="15">
        <f t="shared" si="12"/>
        <v>10456923.41</v>
      </c>
      <c r="L3859" s="45"/>
      <c r="M3859" s="6"/>
    </row>
    <row r="3860" ht="15.75" customHeight="1">
      <c r="A3860" s="162">
        <v>46204.0</v>
      </c>
      <c r="B3860" s="50"/>
      <c r="C3860" s="31" t="s">
        <v>171</v>
      </c>
      <c r="D3860" s="32" t="s">
        <v>15</v>
      </c>
      <c r="E3860" s="31" t="s">
        <v>4172</v>
      </c>
      <c r="F3860" s="134">
        <v>46229.0</v>
      </c>
      <c r="G3860" s="54">
        <v>1.594482728E7</v>
      </c>
      <c r="H3860" s="14">
        <f t="shared" si="11"/>
        <v>3348413.729</v>
      </c>
      <c r="I3860" s="22"/>
      <c r="J3860" s="22"/>
      <c r="K3860" s="15">
        <f t="shared" si="12"/>
        <v>19293241.01</v>
      </c>
      <c r="L3860" s="45"/>
      <c r="M3860" s="6"/>
    </row>
    <row r="3861" ht="15.75" customHeight="1">
      <c r="A3861" s="162">
        <v>46204.0</v>
      </c>
      <c r="B3861" s="50"/>
      <c r="C3861" s="31" t="s">
        <v>171</v>
      </c>
      <c r="D3861" s="32" t="s">
        <v>15</v>
      </c>
      <c r="E3861" s="31" t="s">
        <v>4173</v>
      </c>
      <c r="F3861" s="134">
        <v>46229.0</v>
      </c>
      <c r="G3861" s="54">
        <v>1.432194285E7</v>
      </c>
      <c r="H3861" s="14">
        <f t="shared" si="11"/>
        <v>3007607.999</v>
      </c>
      <c r="I3861" s="22"/>
      <c r="J3861" s="22"/>
      <c r="K3861" s="15">
        <f t="shared" si="12"/>
        <v>17329550.85</v>
      </c>
      <c r="L3861" s="45"/>
      <c r="M3861" s="6"/>
    </row>
    <row r="3862" ht="15.75" customHeight="1">
      <c r="A3862" s="162">
        <v>46204.0</v>
      </c>
      <c r="B3862" s="50"/>
      <c r="C3862" s="31" t="s">
        <v>171</v>
      </c>
      <c r="D3862" s="32" t="s">
        <v>15</v>
      </c>
      <c r="E3862" s="32" t="s">
        <v>4174</v>
      </c>
      <c r="F3862" s="134">
        <v>46229.0</v>
      </c>
      <c r="G3862" s="54">
        <v>1.582849015E7</v>
      </c>
      <c r="H3862" s="14">
        <f t="shared" si="11"/>
        <v>3323982.932</v>
      </c>
      <c r="I3862" s="22"/>
      <c r="J3862" s="22"/>
      <c r="K3862" s="15">
        <f t="shared" si="12"/>
        <v>19152473.08</v>
      </c>
      <c r="L3862" s="45"/>
      <c r="M3862" s="6"/>
    </row>
    <row r="3863" ht="15.75" customHeight="1">
      <c r="A3863" s="162">
        <v>46204.0</v>
      </c>
      <c r="B3863" s="50"/>
      <c r="C3863" s="31" t="s">
        <v>171</v>
      </c>
      <c r="D3863" s="32" t="s">
        <v>15</v>
      </c>
      <c r="E3863" s="31" t="s">
        <v>4175</v>
      </c>
      <c r="F3863" s="134">
        <v>46229.0</v>
      </c>
      <c r="G3863" s="54">
        <v>1.527831924E7</v>
      </c>
      <c r="H3863" s="14">
        <f t="shared" si="11"/>
        <v>3208447.04</v>
      </c>
      <c r="I3863" s="22"/>
      <c r="J3863" s="22"/>
      <c r="K3863" s="15">
        <f t="shared" si="12"/>
        <v>18486766.28</v>
      </c>
      <c r="L3863" s="45"/>
      <c r="M3863" s="6"/>
    </row>
    <row r="3864" ht="15.75" customHeight="1">
      <c r="A3864" s="162">
        <v>46204.0</v>
      </c>
      <c r="B3864" s="50"/>
      <c r="C3864" s="31" t="s">
        <v>171</v>
      </c>
      <c r="D3864" s="32" t="s">
        <v>15</v>
      </c>
      <c r="E3864" s="32" t="s">
        <v>4176</v>
      </c>
      <c r="F3864" s="134">
        <v>46229.0</v>
      </c>
      <c r="G3864" s="54">
        <v>1.562669106E7</v>
      </c>
      <c r="H3864" s="14">
        <f t="shared" si="11"/>
        <v>3281605.123</v>
      </c>
      <c r="I3864" s="22"/>
      <c r="J3864" s="22"/>
      <c r="K3864" s="15">
        <f t="shared" si="12"/>
        <v>18908296.18</v>
      </c>
      <c r="L3864" s="45"/>
      <c r="M3864" s="6"/>
    </row>
    <row r="3865" ht="15.75" customHeight="1">
      <c r="A3865" s="162">
        <v>46205.0</v>
      </c>
      <c r="B3865" s="50"/>
      <c r="C3865" s="31" t="s">
        <v>4177</v>
      </c>
      <c r="D3865" s="32" t="s">
        <v>1543</v>
      </c>
      <c r="E3865" s="32" t="s">
        <v>4178</v>
      </c>
      <c r="F3865" s="134">
        <v>46199.0</v>
      </c>
      <c r="G3865" s="207">
        <v>5256025.13</v>
      </c>
      <c r="H3865" s="14">
        <f t="shared" si="11"/>
        <v>1103765.277</v>
      </c>
      <c r="I3865" s="22"/>
      <c r="J3865" s="22"/>
      <c r="K3865" s="15">
        <f t="shared" si="12"/>
        <v>6359790.407</v>
      </c>
      <c r="L3865" s="45"/>
      <c r="M3865" s="6"/>
    </row>
    <row r="3866" ht="15.75" customHeight="1">
      <c r="A3866" s="162">
        <v>46205.0</v>
      </c>
      <c r="B3866" s="50"/>
      <c r="C3866" s="31" t="s">
        <v>4177</v>
      </c>
      <c r="D3866" s="32" t="s">
        <v>1543</v>
      </c>
      <c r="E3866" s="32" t="s">
        <v>4179</v>
      </c>
      <c r="F3866" s="134">
        <v>46199.0</v>
      </c>
      <c r="G3866" s="207">
        <v>4895028.15</v>
      </c>
      <c r="H3866" s="14">
        <f t="shared" si="11"/>
        <v>1027955.912</v>
      </c>
      <c r="I3866" s="22"/>
      <c r="J3866" s="22"/>
      <c r="K3866" s="15">
        <f t="shared" si="12"/>
        <v>5922984.062</v>
      </c>
      <c r="L3866" s="45"/>
      <c r="M3866" s="6"/>
    </row>
    <row r="3867" ht="15.75" customHeight="1">
      <c r="A3867" s="162">
        <v>46205.0</v>
      </c>
      <c r="B3867" s="50"/>
      <c r="C3867" s="31" t="s">
        <v>4180</v>
      </c>
      <c r="D3867" s="32" t="s">
        <v>1543</v>
      </c>
      <c r="E3867" s="32" t="s">
        <v>4181</v>
      </c>
      <c r="F3867" s="134">
        <v>46199.0</v>
      </c>
      <c r="G3867" s="207">
        <v>4370251.13</v>
      </c>
      <c r="H3867" s="14">
        <f t="shared" si="11"/>
        <v>917752.7373</v>
      </c>
      <c r="I3867" s="22"/>
      <c r="J3867" s="22"/>
      <c r="K3867" s="15">
        <f t="shared" si="12"/>
        <v>5288003.867</v>
      </c>
      <c r="L3867" s="45"/>
      <c r="M3867" s="6"/>
    </row>
    <row r="3868" ht="15.75" customHeight="1">
      <c r="A3868" s="162">
        <v>46205.0</v>
      </c>
      <c r="B3868" s="50"/>
      <c r="C3868" s="31" t="s">
        <v>4177</v>
      </c>
      <c r="D3868" s="32" t="s">
        <v>1543</v>
      </c>
      <c r="E3868" s="32" t="s">
        <v>4182</v>
      </c>
      <c r="F3868" s="134">
        <v>46199.0</v>
      </c>
      <c r="G3868" s="207">
        <v>5163085.32</v>
      </c>
      <c r="H3868" s="14">
        <f t="shared" si="11"/>
        <v>1084247.917</v>
      </c>
      <c r="I3868" s="22"/>
      <c r="J3868" s="22"/>
      <c r="K3868" s="15">
        <f t="shared" si="12"/>
        <v>6247333.237</v>
      </c>
      <c r="L3868" s="45"/>
      <c r="M3868" s="6"/>
    </row>
    <row r="3869" ht="15.75" customHeight="1">
      <c r="A3869" s="162">
        <v>46205.0</v>
      </c>
      <c r="B3869" s="50"/>
      <c r="C3869" s="31" t="s">
        <v>4183</v>
      </c>
      <c r="D3869" s="32" t="s">
        <v>1543</v>
      </c>
      <c r="E3869" s="32" t="s">
        <v>4184</v>
      </c>
      <c r="F3869" s="134">
        <v>46199.0</v>
      </c>
      <c r="G3869" s="207">
        <v>6370521.13</v>
      </c>
      <c r="H3869" s="14">
        <f t="shared" si="11"/>
        <v>1337809.437</v>
      </c>
      <c r="I3869" s="22"/>
      <c r="J3869" s="22"/>
      <c r="K3869" s="15">
        <f t="shared" si="12"/>
        <v>7708330.567</v>
      </c>
      <c r="L3869" s="45"/>
      <c r="M3869" s="6"/>
    </row>
    <row r="3870" ht="15.75" customHeight="1">
      <c r="A3870" s="162">
        <v>46205.0</v>
      </c>
      <c r="B3870" s="50"/>
      <c r="C3870" s="31" t="s">
        <v>4177</v>
      </c>
      <c r="D3870" s="32" t="s">
        <v>1543</v>
      </c>
      <c r="E3870" s="32" t="s">
        <v>4185</v>
      </c>
      <c r="F3870" s="134">
        <v>46199.0</v>
      </c>
      <c r="G3870" s="207">
        <v>5196122.26</v>
      </c>
      <c r="H3870" s="14">
        <f t="shared" si="11"/>
        <v>1091185.675</v>
      </c>
      <c r="I3870" s="22"/>
      <c r="J3870" s="22"/>
      <c r="K3870" s="15">
        <f t="shared" si="12"/>
        <v>6287307.935</v>
      </c>
      <c r="L3870" s="45"/>
      <c r="M3870" s="6"/>
    </row>
    <row r="3871" ht="15.75" customHeight="1">
      <c r="A3871" s="162">
        <v>46205.0</v>
      </c>
      <c r="B3871" s="50"/>
      <c r="C3871" s="31" t="s">
        <v>1312</v>
      </c>
      <c r="D3871" s="32" t="s">
        <v>1543</v>
      </c>
      <c r="E3871" s="32" t="s">
        <v>4186</v>
      </c>
      <c r="F3871" s="134">
        <v>46199.0</v>
      </c>
      <c r="G3871" s="207">
        <v>2650650.1</v>
      </c>
      <c r="H3871" s="14">
        <f t="shared" si="11"/>
        <v>556636.521</v>
      </c>
      <c r="I3871" s="22"/>
      <c r="J3871" s="22"/>
      <c r="K3871" s="15">
        <f t="shared" si="12"/>
        <v>3207286.621</v>
      </c>
      <c r="L3871" s="45"/>
      <c r="M3871" s="6"/>
    </row>
    <row r="3872" ht="15.75" customHeight="1">
      <c r="A3872" s="162">
        <v>46205.0</v>
      </c>
      <c r="B3872" s="50"/>
      <c r="C3872" s="31" t="s">
        <v>4177</v>
      </c>
      <c r="D3872" s="32" t="s">
        <v>1543</v>
      </c>
      <c r="E3872" s="32" t="s">
        <v>4187</v>
      </c>
      <c r="F3872" s="134">
        <v>46199.0</v>
      </c>
      <c r="G3872" s="207">
        <v>4799808.12</v>
      </c>
      <c r="H3872" s="14">
        <f t="shared" si="11"/>
        <v>1007959.705</v>
      </c>
      <c r="I3872" s="22"/>
      <c r="J3872" s="22"/>
      <c r="K3872" s="15">
        <f t="shared" si="12"/>
        <v>5807767.825</v>
      </c>
      <c r="L3872" s="45"/>
      <c r="M3872" s="6"/>
    </row>
    <row r="3873" ht="15.75" customHeight="1">
      <c r="A3873" s="162">
        <v>46205.0</v>
      </c>
      <c r="B3873" s="50"/>
      <c r="C3873" s="31" t="s">
        <v>4183</v>
      </c>
      <c r="D3873" s="32" t="s">
        <v>1543</v>
      </c>
      <c r="E3873" s="32" t="s">
        <v>4188</v>
      </c>
      <c r="F3873" s="134">
        <v>46199.0</v>
      </c>
      <c r="G3873" s="207">
        <v>6007805.23</v>
      </c>
      <c r="H3873" s="14">
        <f t="shared" si="11"/>
        <v>1261639.098</v>
      </c>
      <c r="I3873" s="22"/>
      <c r="J3873" s="22"/>
      <c r="K3873" s="15">
        <f t="shared" si="12"/>
        <v>7269444.328</v>
      </c>
      <c r="L3873" s="45"/>
      <c r="M3873" s="6"/>
    </row>
    <row r="3874" ht="15.75" customHeight="1">
      <c r="A3874" s="162">
        <v>46205.0</v>
      </c>
      <c r="B3874" s="50"/>
      <c r="C3874" s="31" t="s">
        <v>4180</v>
      </c>
      <c r="D3874" s="32" t="s">
        <v>1543</v>
      </c>
      <c r="E3874" s="32" t="s">
        <v>4189</v>
      </c>
      <c r="F3874" s="134">
        <v>46199.0</v>
      </c>
      <c r="G3874" s="207">
        <v>4450125.64</v>
      </c>
      <c r="H3874" s="14">
        <f t="shared" si="11"/>
        <v>934526.3844</v>
      </c>
      <c r="I3874" s="22"/>
      <c r="J3874" s="22"/>
      <c r="K3874" s="15">
        <f t="shared" si="12"/>
        <v>5384652.024</v>
      </c>
      <c r="L3874" s="45"/>
      <c r="M3874" s="6"/>
    </row>
    <row r="3875" ht="15.75" customHeight="1">
      <c r="A3875" s="162">
        <v>46205.0</v>
      </c>
      <c r="B3875" s="50"/>
      <c r="C3875" s="31" t="s">
        <v>4177</v>
      </c>
      <c r="D3875" s="32" t="s">
        <v>1543</v>
      </c>
      <c r="E3875" s="32" t="s">
        <v>4190</v>
      </c>
      <c r="F3875" s="134">
        <v>46199.0</v>
      </c>
      <c r="G3875" s="207">
        <v>4690202.13</v>
      </c>
      <c r="H3875" s="14">
        <f t="shared" si="11"/>
        <v>984942.4473</v>
      </c>
      <c r="I3875" s="22"/>
      <c r="J3875" s="22"/>
      <c r="K3875" s="15">
        <f t="shared" si="12"/>
        <v>5675144.577</v>
      </c>
      <c r="L3875" s="45"/>
      <c r="M3875" s="6"/>
    </row>
    <row r="3876" ht="15.75" customHeight="1">
      <c r="A3876" s="162">
        <v>46205.0</v>
      </c>
      <c r="B3876" s="50"/>
      <c r="C3876" s="31" t="s">
        <v>1277</v>
      </c>
      <c r="D3876" s="32" t="s">
        <v>1543</v>
      </c>
      <c r="E3876" s="32" t="s">
        <v>4191</v>
      </c>
      <c r="F3876" s="134">
        <v>46199.0</v>
      </c>
      <c r="G3876" s="207">
        <v>6320360.4</v>
      </c>
      <c r="H3876" s="14">
        <f t="shared" si="11"/>
        <v>1327275.684</v>
      </c>
      <c r="I3876" s="22"/>
      <c r="J3876" s="22"/>
      <c r="K3876" s="15">
        <f t="shared" si="12"/>
        <v>7647636.084</v>
      </c>
      <c r="L3876" s="45"/>
      <c r="M3876" s="6"/>
    </row>
    <row r="3877" ht="15.75" customHeight="1">
      <c r="A3877" s="162">
        <v>46205.0</v>
      </c>
      <c r="B3877" s="50"/>
      <c r="C3877" s="31" t="s">
        <v>1279</v>
      </c>
      <c r="D3877" s="32" t="s">
        <v>1543</v>
      </c>
      <c r="E3877" s="32" t="s">
        <v>4192</v>
      </c>
      <c r="F3877" s="134">
        <v>46199.0</v>
      </c>
      <c r="G3877" s="207">
        <v>8790400.35</v>
      </c>
      <c r="H3877" s="14">
        <f t="shared" si="11"/>
        <v>1845984.074</v>
      </c>
      <c r="I3877" s="22"/>
      <c r="J3877" s="22"/>
      <c r="K3877" s="15">
        <f t="shared" si="12"/>
        <v>10636384.42</v>
      </c>
      <c r="L3877" s="45"/>
      <c r="M3877" s="6"/>
    </row>
    <row r="3878" ht="15.75" customHeight="1">
      <c r="A3878" s="162">
        <v>46205.0</v>
      </c>
      <c r="B3878" s="50"/>
      <c r="C3878" s="31" t="s">
        <v>1281</v>
      </c>
      <c r="D3878" s="32" t="s">
        <v>1543</v>
      </c>
      <c r="E3878" s="32" t="s">
        <v>4193</v>
      </c>
      <c r="F3878" s="134">
        <v>46199.0</v>
      </c>
      <c r="G3878" s="207">
        <v>1750600.32</v>
      </c>
      <c r="H3878" s="14">
        <f t="shared" si="11"/>
        <v>367626.0672</v>
      </c>
      <c r="I3878" s="22"/>
      <c r="J3878" s="22"/>
      <c r="K3878" s="15">
        <f t="shared" si="12"/>
        <v>2118226.387</v>
      </c>
      <c r="L3878" s="45"/>
      <c r="M3878" s="6"/>
    </row>
    <row r="3879" ht="15.75" customHeight="1">
      <c r="A3879" s="162">
        <v>46205.0</v>
      </c>
      <c r="B3879" s="50"/>
      <c r="C3879" s="31" t="s">
        <v>1283</v>
      </c>
      <c r="D3879" s="32" t="s">
        <v>1543</v>
      </c>
      <c r="E3879" s="32" t="s">
        <v>4194</v>
      </c>
      <c r="F3879" s="134">
        <v>46199.0</v>
      </c>
      <c r="G3879" s="207">
        <v>3805700.22</v>
      </c>
      <c r="H3879" s="14">
        <f t="shared" si="11"/>
        <v>799197.0462</v>
      </c>
      <c r="I3879" s="22"/>
      <c r="J3879" s="22"/>
      <c r="K3879" s="15">
        <f t="shared" si="12"/>
        <v>4604897.266</v>
      </c>
      <c r="L3879" s="45"/>
      <c r="M3879" s="6"/>
    </row>
    <row r="3880" ht="15.75" customHeight="1">
      <c r="A3880" s="162">
        <v>46205.0</v>
      </c>
      <c r="B3880" s="50"/>
      <c r="C3880" s="31" t="s">
        <v>1842</v>
      </c>
      <c r="D3880" s="32" t="s">
        <v>99</v>
      </c>
      <c r="E3880" s="31" t="s">
        <v>4195</v>
      </c>
      <c r="F3880" s="134">
        <v>46229.0</v>
      </c>
      <c r="G3880" s="54">
        <v>2.947138012E7</v>
      </c>
      <c r="H3880" s="14">
        <f t="shared" si="11"/>
        <v>6188989.825</v>
      </c>
      <c r="I3880" s="22"/>
      <c r="J3880" s="22"/>
      <c r="K3880" s="15">
        <f t="shared" si="12"/>
        <v>35660369.95</v>
      </c>
      <c r="L3880" s="45"/>
      <c r="M3880" s="6"/>
    </row>
    <row r="3881" ht="15.75" customHeight="1">
      <c r="A3881" s="162">
        <v>46205.0</v>
      </c>
      <c r="B3881" s="50"/>
      <c r="C3881" s="31" t="s">
        <v>1842</v>
      </c>
      <c r="D3881" s="32" t="s">
        <v>15</v>
      </c>
      <c r="E3881" s="31" t="s">
        <v>4196</v>
      </c>
      <c r="F3881" s="134">
        <v>46229.0</v>
      </c>
      <c r="G3881" s="54">
        <v>2.447625059E7</v>
      </c>
      <c r="H3881" s="14">
        <f t="shared" si="11"/>
        <v>5140012.624</v>
      </c>
      <c r="I3881" s="22"/>
      <c r="J3881" s="22">
        <v>171333.75</v>
      </c>
      <c r="K3881" s="15">
        <f t="shared" si="12"/>
        <v>29787596.96</v>
      </c>
      <c r="L3881" s="45"/>
      <c r="M3881" s="6"/>
    </row>
    <row r="3882" ht="15.75" customHeight="1">
      <c r="A3882" s="162">
        <v>46205.0</v>
      </c>
      <c r="B3882" s="50"/>
      <c r="C3882" s="31" t="s">
        <v>1842</v>
      </c>
      <c r="D3882" s="32" t="s">
        <v>15</v>
      </c>
      <c r="E3882" s="31" t="s">
        <v>4197</v>
      </c>
      <c r="F3882" s="134">
        <v>46229.0</v>
      </c>
      <c r="G3882" s="54">
        <v>2.412839012E7</v>
      </c>
      <c r="H3882" s="14">
        <f t="shared" si="11"/>
        <v>5066961.925</v>
      </c>
      <c r="I3882" s="22"/>
      <c r="J3882" s="22">
        <v>168898.73</v>
      </c>
      <c r="K3882" s="15">
        <f t="shared" si="12"/>
        <v>29364250.78</v>
      </c>
      <c r="L3882" s="45"/>
      <c r="M3882" s="6"/>
    </row>
    <row r="3883" ht="15.75" customHeight="1">
      <c r="A3883" s="162">
        <v>46206.0</v>
      </c>
      <c r="B3883" s="50"/>
      <c r="C3883" s="31" t="s">
        <v>527</v>
      </c>
      <c r="D3883" s="32" t="s">
        <v>15</v>
      </c>
      <c r="E3883" s="31" t="s">
        <v>4198</v>
      </c>
      <c r="F3883" s="134">
        <v>46229.0</v>
      </c>
      <c r="G3883" s="54">
        <v>1.020257019E7</v>
      </c>
      <c r="H3883" s="14">
        <f t="shared" si="11"/>
        <v>2142539.74</v>
      </c>
      <c r="I3883" s="22">
        <v>306077.11</v>
      </c>
      <c r="J3883" s="22"/>
      <c r="K3883" s="15">
        <f t="shared" si="12"/>
        <v>12651187.04</v>
      </c>
      <c r="L3883" s="45"/>
      <c r="M3883" s="6"/>
    </row>
    <row r="3884" ht="15.75" customHeight="1">
      <c r="A3884" s="162">
        <v>46206.0</v>
      </c>
      <c r="B3884" s="50"/>
      <c r="C3884" s="31" t="s">
        <v>168</v>
      </c>
      <c r="D3884" s="32" t="s">
        <v>15</v>
      </c>
      <c r="E3884" s="31" t="s">
        <v>4199</v>
      </c>
      <c r="F3884" s="134">
        <v>46229.0</v>
      </c>
      <c r="G3884" s="54">
        <v>1.140789019E7</v>
      </c>
      <c r="H3884" s="14">
        <f t="shared" si="11"/>
        <v>2395656.94</v>
      </c>
      <c r="I3884" s="22">
        <v>342236.71</v>
      </c>
      <c r="J3884" s="22"/>
      <c r="K3884" s="15">
        <f t="shared" si="12"/>
        <v>14145783.84</v>
      </c>
      <c r="L3884" s="45"/>
      <c r="M3884" s="6"/>
    </row>
    <row r="3885" ht="15.75" customHeight="1">
      <c r="A3885" s="162">
        <v>46206.0</v>
      </c>
      <c r="B3885" s="50"/>
      <c r="C3885" s="31" t="s">
        <v>1183</v>
      </c>
      <c r="D3885" s="32" t="s">
        <v>15</v>
      </c>
      <c r="E3885" s="31" t="s">
        <v>4200</v>
      </c>
      <c r="F3885" s="134">
        <v>46229.0</v>
      </c>
      <c r="G3885" s="54">
        <v>8932570.16</v>
      </c>
      <c r="H3885" s="14">
        <f t="shared" si="11"/>
        <v>1875839.734</v>
      </c>
      <c r="I3885" s="22">
        <v>267977.1</v>
      </c>
      <c r="J3885" s="22"/>
      <c r="K3885" s="15">
        <f t="shared" si="12"/>
        <v>11076386.99</v>
      </c>
      <c r="L3885" s="45"/>
      <c r="M3885" s="6"/>
    </row>
    <row r="3886" ht="15.75" customHeight="1">
      <c r="A3886" s="162">
        <v>46206.0</v>
      </c>
      <c r="B3886" s="50"/>
      <c r="C3886" s="31" t="s">
        <v>1183</v>
      </c>
      <c r="D3886" s="32" t="s">
        <v>15</v>
      </c>
      <c r="E3886" s="31" t="s">
        <v>4201</v>
      </c>
      <c r="F3886" s="134">
        <v>46229.0</v>
      </c>
      <c r="G3886" s="54">
        <v>1.168936459E7</v>
      </c>
      <c r="H3886" s="14">
        <f t="shared" si="11"/>
        <v>2454766.564</v>
      </c>
      <c r="I3886" s="22">
        <v>350680.94</v>
      </c>
      <c r="J3886" s="22"/>
      <c r="K3886" s="15">
        <f t="shared" si="12"/>
        <v>14494812.09</v>
      </c>
      <c r="L3886" s="45"/>
      <c r="M3886" s="6"/>
    </row>
    <row r="3887" ht="15.75" customHeight="1">
      <c r="A3887" s="162">
        <v>46206.0</v>
      </c>
      <c r="B3887" s="50"/>
      <c r="C3887" s="31" t="s">
        <v>1183</v>
      </c>
      <c r="D3887" s="32" t="s">
        <v>15</v>
      </c>
      <c r="E3887" s="31" t="s">
        <v>4202</v>
      </c>
      <c r="F3887" s="134">
        <v>46229.0</v>
      </c>
      <c r="G3887" s="54">
        <v>1.293348317E7</v>
      </c>
      <c r="H3887" s="14">
        <f t="shared" si="11"/>
        <v>2716031.466</v>
      </c>
      <c r="I3887" s="22">
        <v>388004.5</v>
      </c>
      <c r="J3887" s="22"/>
      <c r="K3887" s="15">
        <f t="shared" si="12"/>
        <v>16037519.14</v>
      </c>
      <c r="L3887" s="45"/>
      <c r="M3887" s="6"/>
    </row>
    <row r="3888" ht="15.75" customHeight="1">
      <c r="A3888" s="162">
        <v>46206.0</v>
      </c>
      <c r="B3888" s="50"/>
      <c r="C3888" s="31" t="s">
        <v>1183</v>
      </c>
      <c r="D3888" s="32" t="s">
        <v>15</v>
      </c>
      <c r="E3888" s="32" t="s">
        <v>4203</v>
      </c>
      <c r="F3888" s="134">
        <v>46229.0</v>
      </c>
      <c r="G3888" s="54">
        <v>8526907.14</v>
      </c>
      <c r="H3888" s="14">
        <f t="shared" si="11"/>
        <v>1790650.499</v>
      </c>
      <c r="I3888" s="22">
        <v>255807.21</v>
      </c>
      <c r="J3888" s="22"/>
      <c r="K3888" s="15">
        <f t="shared" si="12"/>
        <v>10573364.85</v>
      </c>
      <c r="L3888" s="45"/>
      <c r="M3888" s="6"/>
    </row>
    <row r="3889" ht="15.75" customHeight="1">
      <c r="A3889" s="162">
        <v>46206.0</v>
      </c>
      <c r="B3889" s="50"/>
      <c r="C3889" s="31" t="s">
        <v>1312</v>
      </c>
      <c r="D3889" s="32" t="s">
        <v>15</v>
      </c>
      <c r="E3889" s="31" t="s">
        <v>4204</v>
      </c>
      <c r="F3889" s="134">
        <v>46229.0</v>
      </c>
      <c r="G3889" s="54">
        <v>1100602.16</v>
      </c>
      <c r="H3889" s="14">
        <f t="shared" si="11"/>
        <v>231126.4536</v>
      </c>
      <c r="I3889" s="22">
        <v>33018.06</v>
      </c>
      <c r="J3889" s="22"/>
      <c r="K3889" s="15">
        <f t="shared" si="12"/>
        <v>1364746.674</v>
      </c>
      <c r="L3889" s="45"/>
      <c r="M3889" s="6"/>
    </row>
    <row r="3890" ht="15.75" customHeight="1">
      <c r="A3890" s="162">
        <v>46206.0</v>
      </c>
      <c r="B3890" s="50"/>
      <c r="C3890" s="31" t="s">
        <v>1277</v>
      </c>
      <c r="D3890" s="32" t="s">
        <v>15</v>
      </c>
      <c r="E3890" s="31" t="s">
        <v>4205</v>
      </c>
      <c r="F3890" s="134">
        <v>46229.0</v>
      </c>
      <c r="G3890" s="54">
        <v>3280709.13</v>
      </c>
      <c r="H3890" s="14">
        <f t="shared" si="11"/>
        <v>688948.9173</v>
      </c>
      <c r="I3890" s="22">
        <v>98421.27</v>
      </c>
      <c r="J3890" s="22"/>
      <c r="K3890" s="15">
        <f t="shared" si="12"/>
        <v>4068079.317</v>
      </c>
      <c r="L3890" s="45"/>
      <c r="M3890" s="6"/>
    </row>
    <row r="3891" ht="15.75" customHeight="1">
      <c r="A3891" s="162">
        <v>46206.0</v>
      </c>
      <c r="B3891" s="50"/>
      <c r="C3891" s="31" t="s">
        <v>1279</v>
      </c>
      <c r="D3891" s="32" t="s">
        <v>15</v>
      </c>
      <c r="E3891" s="31" t="s">
        <v>4206</v>
      </c>
      <c r="F3891" s="134">
        <v>46229.0</v>
      </c>
      <c r="G3891" s="54">
        <v>5540515.17</v>
      </c>
      <c r="H3891" s="14">
        <f t="shared" si="11"/>
        <v>1163508.186</v>
      </c>
      <c r="I3891" s="22">
        <v>166215.46</v>
      </c>
      <c r="J3891" s="22"/>
      <c r="K3891" s="15">
        <f t="shared" si="12"/>
        <v>6870238.816</v>
      </c>
      <c r="L3891" s="45"/>
      <c r="M3891" s="6"/>
    </row>
    <row r="3892" ht="15.75" customHeight="1">
      <c r="A3892" s="162">
        <v>46206.0</v>
      </c>
      <c r="B3892" s="50"/>
      <c r="C3892" s="31" t="s">
        <v>1281</v>
      </c>
      <c r="D3892" s="32" t="s">
        <v>15</v>
      </c>
      <c r="E3892" s="31" t="s">
        <v>4207</v>
      </c>
      <c r="F3892" s="134">
        <v>46229.0</v>
      </c>
      <c r="G3892" s="54">
        <v>1400902.13</v>
      </c>
      <c r="H3892" s="14">
        <f t="shared" si="11"/>
        <v>294189.4473</v>
      </c>
      <c r="I3892" s="22">
        <v>42027.06</v>
      </c>
      <c r="J3892" s="22"/>
      <c r="K3892" s="15">
        <f t="shared" si="12"/>
        <v>1737118.637</v>
      </c>
      <c r="L3892" s="45"/>
      <c r="M3892" s="6"/>
    </row>
    <row r="3893" ht="15.75" customHeight="1">
      <c r="A3893" s="162">
        <v>46206.0</v>
      </c>
      <c r="B3893" s="50"/>
      <c r="C3893" s="31" t="s">
        <v>1283</v>
      </c>
      <c r="D3893" s="32" t="s">
        <v>15</v>
      </c>
      <c r="E3893" s="31" t="s">
        <v>4208</v>
      </c>
      <c r="F3893" s="134">
        <v>46229.0</v>
      </c>
      <c r="G3893" s="54">
        <v>2690611.26</v>
      </c>
      <c r="H3893" s="14">
        <f t="shared" si="11"/>
        <v>565028.3646</v>
      </c>
      <c r="I3893" s="22">
        <v>80718.34</v>
      </c>
      <c r="J3893" s="22"/>
      <c r="K3893" s="15">
        <f t="shared" si="12"/>
        <v>3336357.965</v>
      </c>
      <c r="L3893" s="45"/>
      <c r="M3893" s="6"/>
    </row>
    <row r="3894" ht="15.75" customHeight="1">
      <c r="A3894" s="162">
        <v>46209.0</v>
      </c>
      <c r="B3894" s="50"/>
      <c r="C3894" s="31" t="s">
        <v>491</v>
      </c>
      <c r="D3894" s="32" t="s">
        <v>1543</v>
      </c>
      <c r="E3894" s="32" t="s">
        <v>4209</v>
      </c>
      <c r="F3894" s="134">
        <v>46229.0</v>
      </c>
      <c r="G3894" s="207">
        <v>3.224432208E7</v>
      </c>
      <c r="H3894" s="14">
        <f t="shared" si="11"/>
        <v>6771307.637</v>
      </c>
      <c r="I3894" s="22"/>
      <c r="J3894" s="22"/>
      <c r="K3894" s="15">
        <f t="shared" si="12"/>
        <v>39015629.72</v>
      </c>
      <c r="L3894" s="61"/>
      <c r="M3894" s="62"/>
    </row>
    <row r="3895" ht="15.75" customHeight="1">
      <c r="A3895" s="162">
        <v>46209.0</v>
      </c>
      <c r="B3895" s="50"/>
      <c r="C3895" s="31" t="s">
        <v>491</v>
      </c>
      <c r="D3895" s="32" t="s">
        <v>1543</v>
      </c>
      <c r="E3895" s="32" t="s">
        <v>4210</v>
      </c>
      <c r="F3895" s="134">
        <v>46229.0</v>
      </c>
      <c r="G3895" s="207">
        <v>2.833533226E7</v>
      </c>
      <c r="H3895" s="14">
        <f t="shared" si="11"/>
        <v>5950419.775</v>
      </c>
      <c r="I3895" s="22"/>
      <c r="J3895" s="22"/>
      <c r="K3895" s="15">
        <f t="shared" si="12"/>
        <v>34285752.03</v>
      </c>
      <c r="L3895" s="61"/>
      <c r="M3895" s="62"/>
    </row>
    <row r="3896" ht="15.75" customHeight="1">
      <c r="A3896" s="162">
        <v>46209.0</v>
      </c>
      <c r="B3896" s="50"/>
      <c r="C3896" s="31" t="s">
        <v>491</v>
      </c>
      <c r="D3896" s="32" t="s">
        <v>99</v>
      </c>
      <c r="E3896" s="31" t="s">
        <v>4211</v>
      </c>
      <c r="F3896" s="134">
        <v>46229.0</v>
      </c>
      <c r="G3896" s="54">
        <v>1.044633305E7</v>
      </c>
      <c r="H3896" s="14">
        <f t="shared" si="11"/>
        <v>2193729.941</v>
      </c>
      <c r="I3896" s="22">
        <v>313389.99</v>
      </c>
      <c r="J3896" s="22">
        <v>83570.66</v>
      </c>
      <c r="K3896" s="15">
        <f t="shared" si="12"/>
        <v>13037023.64</v>
      </c>
      <c r="L3896" s="45"/>
      <c r="M3896" s="6"/>
    </row>
    <row r="3897" ht="15.75" customHeight="1">
      <c r="A3897" s="162">
        <v>46209.0</v>
      </c>
      <c r="B3897" s="50"/>
      <c r="C3897" s="31" t="s">
        <v>491</v>
      </c>
      <c r="D3897" s="32" t="s">
        <v>99</v>
      </c>
      <c r="E3897" s="31" t="s">
        <v>4212</v>
      </c>
      <c r="F3897" s="134">
        <v>46229.0</v>
      </c>
      <c r="G3897" s="54">
        <v>1.573363315E7</v>
      </c>
      <c r="H3897" s="14">
        <f t="shared" si="11"/>
        <v>3304062.962</v>
      </c>
      <c r="I3897" s="22">
        <v>472008.99</v>
      </c>
      <c r="J3897" s="22">
        <v>125869.07</v>
      </c>
      <c r="K3897" s="15">
        <f t="shared" si="12"/>
        <v>19635574.17</v>
      </c>
      <c r="L3897" s="45"/>
      <c r="M3897" s="6"/>
    </row>
    <row r="3898" ht="15.75" customHeight="1">
      <c r="A3898" s="162">
        <v>46209.0</v>
      </c>
      <c r="B3898" s="50"/>
      <c r="C3898" s="31" t="s">
        <v>491</v>
      </c>
      <c r="D3898" s="32" t="s">
        <v>99</v>
      </c>
      <c r="E3898" s="32" t="s">
        <v>4213</v>
      </c>
      <c r="F3898" s="134">
        <v>46229.0</v>
      </c>
      <c r="G3898" s="54">
        <v>1.733643918E7</v>
      </c>
      <c r="H3898" s="14">
        <f t="shared" si="11"/>
        <v>3640652.228</v>
      </c>
      <c r="I3898" s="22">
        <v>520093.18</v>
      </c>
      <c r="J3898" s="22">
        <v>138691.51</v>
      </c>
      <c r="K3898" s="15">
        <f t="shared" si="12"/>
        <v>21635876.1</v>
      </c>
      <c r="L3898" s="45"/>
      <c r="M3898" s="6"/>
    </row>
    <row r="3899" ht="15.75" customHeight="1">
      <c r="A3899" s="162">
        <v>46209.0</v>
      </c>
      <c r="B3899" s="50"/>
      <c r="C3899" s="31" t="s">
        <v>491</v>
      </c>
      <c r="D3899" s="32" t="s">
        <v>99</v>
      </c>
      <c r="E3899" s="32" t="s">
        <v>4214</v>
      </c>
      <c r="F3899" s="134">
        <v>46229.0</v>
      </c>
      <c r="G3899" s="54">
        <v>1.234364362E7</v>
      </c>
      <c r="H3899" s="14">
        <f t="shared" si="11"/>
        <v>2592165.16</v>
      </c>
      <c r="I3899" s="22">
        <v>370309.31</v>
      </c>
      <c r="J3899" s="22">
        <v>98749.15</v>
      </c>
      <c r="K3899" s="15">
        <f t="shared" si="12"/>
        <v>15404867.24</v>
      </c>
      <c r="L3899" s="45"/>
      <c r="M3899" s="6"/>
    </row>
    <row r="3900" ht="15.75" customHeight="1">
      <c r="A3900" s="162">
        <v>46209.0</v>
      </c>
      <c r="B3900" s="50"/>
      <c r="C3900" s="31" t="s">
        <v>491</v>
      </c>
      <c r="D3900" s="32" t="s">
        <v>99</v>
      </c>
      <c r="E3900" s="32" t="s">
        <v>4215</v>
      </c>
      <c r="F3900" s="134">
        <v>46229.0</v>
      </c>
      <c r="G3900" s="54">
        <v>1.933733362E7</v>
      </c>
      <c r="H3900" s="14">
        <f t="shared" si="11"/>
        <v>4060840.06</v>
      </c>
      <c r="I3900" s="22">
        <v>580120.01</v>
      </c>
      <c r="J3900" s="22">
        <v>154698.67</v>
      </c>
      <c r="K3900" s="15">
        <f t="shared" si="12"/>
        <v>24132992.36</v>
      </c>
      <c r="L3900" s="45"/>
      <c r="M3900" s="6"/>
    </row>
    <row r="3901" ht="15.75" customHeight="1">
      <c r="A3901" s="162">
        <v>46209.0</v>
      </c>
      <c r="B3901" s="50"/>
      <c r="C3901" s="31" t="s">
        <v>491</v>
      </c>
      <c r="D3901" s="32" t="s">
        <v>99</v>
      </c>
      <c r="E3901" s="32" t="s">
        <v>4216</v>
      </c>
      <c r="F3901" s="134">
        <v>46229.0</v>
      </c>
      <c r="G3901" s="54">
        <v>1.893736317E7</v>
      </c>
      <c r="H3901" s="14">
        <f t="shared" si="11"/>
        <v>3976846.266</v>
      </c>
      <c r="I3901" s="22">
        <v>568120.9</v>
      </c>
      <c r="J3901" s="22">
        <v>151498.91</v>
      </c>
      <c r="K3901" s="15">
        <f t="shared" si="12"/>
        <v>23633829.25</v>
      </c>
      <c r="L3901" s="45"/>
      <c r="M3901" s="6"/>
    </row>
    <row r="3902" ht="15.75" customHeight="1">
      <c r="A3902" s="162">
        <v>46209.0</v>
      </c>
      <c r="B3902" s="50"/>
      <c r="C3902" s="31" t="s">
        <v>491</v>
      </c>
      <c r="D3902" s="32" t="s">
        <v>99</v>
      </c>
      <c r="E3902" s="32" t="s">
        <v>4217</v>
      </c>
      <c r="F3902" s="134">
        <v>46229.0</v>
      </c>
      <c r="G3902" s="54">
        <v>2.044362271E7</v>
      </c>
      <c r="H3902" s="14">
        <f t="shared" si="11"/>
        <v>4293160.769</v>
      </c>
      <c r="I3902" s="22">
        <v>613308.68</v>
      </c>
      <c r="J3902" s="22">
        <v>163548.98</v>
      </c>
      <c r="K3902" s="15">
        <f t="shared" si="12"/>
        <v>25513641.14</v>
      </c>
      <c r="L3902" s="45"/>
      <c r="M3902" s="6"/>
    </row>
    <row r="3903" ht="15.75" customHeight="1">
      <c r="A3903" s="162">
        <v>46210.0</v>
      </c>
      <c r="B3903" s="50"/>
      <c r="C3903" s="31" t="s">
        <v>491</v>
      </c>
      <c r="D3903" s="32" t="s">
        <v>15</v>
      </c>
      <c r="E3903" s="31" t="s">
        <v>4218</v>
      </c>
      <c r="F3903" s="134">
        <v>46229.0</v>
      </c>
      <c r="G3903" s="54">
        <v>1.823363307E7</v>
      </c>
      <c r="H3903" s="14">
        <f t="shared" si="11"/>
        <v>3829062.945</v>
      </c>
      <c r="I3903" s="22">
        <v>547008.99</v>
      </c>
      <c r="J3903" s="22">
        <v>145869.06</v>
      </c>
      <c r="K3903" s="15">
        <f t="shared" si="12"/>
        <v>22755574.06</v>
      </c>
      <c r="L3903" s="45"/>
      <c r="M3903" s="6"/>
    </row>
    <row r="3904" ht="15.75" customHeight="1">
      <c r="A3904" s="162">
        <v>46210.0</v>
      </c>
      <c r="B3904" s="50"/>
      <c r="C3904" s="31" t="s">
        <v>491</v>
      </c>
      <c r="D3904" s="32" t="s">
        <v>15</v>
      </c>
      <c r="E3904" s="31" t="s">
        <v>4219</v>
      </c>
      <c r="F3904" s="134">
        <v>46229.0</v>
      </c>
      <c r="G3904" s="54">
        <v>1.533424317E7</v>
      </c>
      <c r="H3904" s="14">
        <f t="shared" si="11"/>
        <v>3220191.066</v>
      </c>
      <c r="I3904" s="22">
        <v>460027.3</v>
      </c>
      <c r="J3904" s="22">
        <v>122673.95</v>
      </c>
      <c r="K3904" s="15">
        <f t="shared" si="12"/>
        <v>19137135.49</v>
      </c>
      <c r="L3904" s="45"/>
      <c r="M3904" s="6"/>
    </row>
    <row r="3905" ht="15.75" customHeight="1">
      <c r="A3905" s="162">
        <v>46210.0</v>
      </c>
      <c r="B3905" s="50"/>
      <c r="C3905" s="31" t="s">
        <v>491</v>
      </c>
      <c r="D3905" s="32" t="s">
        <v>15</v>
      </c>
      <c r="E3905" s="31" t="s">
        <v>4220</v>
      </c>
      <c r="F3905" s="134">
        <v>46229.0</v>
      </c>
      <c r="G3905" s="54">
        <v>1.394785717E7</v>
      </c>
      <c r="H3905" s="14">
        <f t="shared" si="11"/>
        <v>2929050.006</v>
      </c>
      <c r="I3905" s="22">
        <v>418435.72</v>
      </c>
      <c r="J3905" s="22">
        <v>111582.86</v>
      </c>
      <c r="K3905" s="15">
        <f t="shared" si="12"/>
        <v>17406925.76</v>
      </c>
      <c r="L3905" s="45"/>
      <c r="M3905" s="6"/>
    </row>
    <row r="3906" ht="15.75" customHeight="1">
      <c r="A3906" s="162">
        <v>46210.0</v>
      </c>
      <c r="B3906" s="50"/>
      <c r="C3906" s="31" t="s">
        <v>491</v>
      </c>
      <c r="D3906" s="32" t="s">
        <v>15</v>
      </c>
      <c r="E3906" s="31" t="s">
        <v>4221</v>
      </c>
      <c r="F3906" s="134">
        <v>46229.0</v>
      </c>
      <c r="G3906" s="54">
        <v>9933532.07</v>
      </c>
      <c r="H3906" s="14">
        <f t="shared" si="11"/>
        <v>2086041.735</v>
      </c>
      <c r="I3906" s="22">
        <v>298005.96</v>
      </c>
      <c r="J3906" s="22">
        <v>79468.26</v>
      </c>
      <c r="K3906" s="15">
        <f t="shared" si="12"/>
        <v>12397048.02</v>
      </c>
      <c r="L3906" s="45"/>
      <c r="M3906" s="6"/>
    </row>
    <row r="3907" ht="15.75" customHeight="1">
      <c r="A3907" s="162">
        <v>46210.0</v>
      </c>
      <c r="B3907" s="50"/>
      <c r="C3907" s="31" t="s">
        <v>491</v>
      </c>
      <c r="D3907" s="32" t="s">
        <v>15</v>
      </c>
      <c r="E3907" s="31" t="s">
        <v>4222</v>
      </c>
      <c r="F3907" s="134">
        <v>46229.0</v>
      </c>
      <c r="G3907" s="54">
        <v>1.733373418E7</v>
      </c>
      <c r="H3907" s="14">
        <f t="shared" si="11"/>
        <v>3640084.178</v>
      </c>
      <c r="I3907" s="22">
        <v>520012.03</v>
      </c>
      <c r="J3907" s="22">
        <v>138669.87</v>
      </c>
      <c r="K3907" s="15">
        <f t="shared" si="12"/>
        <v>21632500.26</v>
      </c>
      <c r="L3907" s="45"/>
      <c r="M3907" s="6"/>
    </row>
    <row r="3908" ht="15.75" customHeight="1">
      <c r="A3908" s="162">
        <v>46210.0</v>
      </c>
      <c r="B3908" s="50"/>
      <c r="C3908" s="31" t="s">
        <v>491</v>
      </c>
      <c r="D3908" s="32" t="s">
        <v>15</v>
      </c>
      <c r="E3908" s="31" t="s">
        <v>4223</v>
      </c>
      <c r="F3908" s="134">
        <v>46229.0</v>
      </c>
      <c r="G3908" s="54">
        <v>1.270897617E7</v>
      </c>
      <c r="H3908" s="14">
        <f t="shared" si="11"/>
        <v>2668884.996</v>
      </c>
      <c r="I3908" s="22">
        <v>381269.29</v>
      </c>
      <c r="J3908" s="22">
        <v>101671.81</v>
      </c>
      <c r="K3908" s="15">
        <f t="shared" si="12"/>
        <v>15860802.27</v>
      </c>
      <c r="L3908" s="45"/>
      <c r="M3908" s="6"/>
    </row>
    <row r="3909" ht="15.75" customHeight="1">
      <c r="A3909" s="162">
        <v>46210.0</v>
      </c>
      <c r="B3909" s="50"/>
      <c r="C3909" s="31" t="s">
        <v>491</v>
      </c>
      <c r="D3909" s="32" t="s">
        <v>15</v>
      </c>
      <c r="E3909" s="31" t="s">
        <v>4224</v>
      </c>
      <c r="F3909" s="134">
        <v>46229.0</v>
      </c>
      <c r="G3909" s="54">
        <v>1.807896817E7</v>
      </c>
      <c r="H3909" s="14">
        <f t="shared" si="11"/>
        <v>3796583.316</v>
      </c>
      <c r="I3909" s="22">
        <v>542369.05</v>
      </c>
      <c r="J3909" s="22">
        <v>144631.75</v>
      </c>
      <c r="K3909" s="15">
        <f t="shared" si="12"/>
        <v>22562552.29</v>
      </c>
      <c r="L3909" s="45"/>
      <c r="M3909" s="6"/>
    </row>
    <row r="3910" ht="15.75" customHeight="1">
      <c r="A3910" s="162">
        <v>46210.0</v>
      </c>
      <c r="B3910" s="50"/>
      <c r="C3910" s="31" t="s">
        <v>491</v>
      </c>
      <c r="D3910" s="32" t="s">
        <v>15</v>
      </c>
      <c r="E3910" s="31" t="s">
        <v>4225</v>
      </c>
      <c r="F3910" s="134">
        <v>46229.0</v>
      </c>
      <c r="G3910" s="54">
        <v>1.469886818E7</v>
      </c>
      <c r="H3910" s="14">
        <f t="shared" si="11"/>
        <v>3086762.318</v>
      </c>
      <c r="I3910" s="22">
        <v>440966.05</v>
      </c>
      <c r="J3910" s="22">
        <v>117590.95</v>
      </c>
      <c r="K3910" s="15">
        <f t="shared" si="12"/>
        <v>18344187.5</v>
      </c>
      <c r="L3910" s="45"/>
      <c r="M3910" s="6"/>
    </row>
    <row r="3911" ht="15.75" customHeight="1">
      <c r="A3911" s="162">
        <v>46210.0</v>
      </c>
      <c r="B3911" s="50"/>
      <c r="C3911" s="31" t="s">
        <v>491</v>
      </c>
      <c r="D3911" s="32" t="s">
        <v>15</v>
      </c>
      <c r="E3911" s="32" t="s">
        <v>4226</v>
      </c>
      <c r="F3911" s="134">
        <v>46229.0</v>
      </c>
      <c r="G3911" s="54">
        <v>2.055646315E7</v>
      </c>
      <c r="H3911" s="14">
        <f t="shared" si="11"/>
        <v>4316857.262</v>
      </c>
      <c r="I3911" s="22">
        <v>616693.89</v>
      </c>
      <c r="J3911" s="22">
        <v>164451.71</v>
      </c>
      <c r="K3911" s="15">
        <f t="shared" si="12"/>
        <v>25654466.01</v>
      </c>
      <c r="L3911" s="45"/>
      <c r="M3911" s="6"/>
    </row>
    <row r="3912" ht="15.75" customHeight="1">
      <c r="A3912" s="162">
        <v>46210.0</v>
      </c>
      <c r="B3912" s="50"/>
      <c r="C3912" s="31" t="s">
        <v>491</v>
      </c>
      <c r="D3912" s="32" t="s">
        <v>15</v>
      </c>
      <c r="E3912" s="31" t="s">
        <v>4227</v>
      </c>
      <c r="F3912" s="134">
        <v>46229.0</v>
      </c>
      <c r="G3912" s="54">
        <v>2.543325319E7</v>
      </c>
      <c r="H3912" s="14">
        <f t="shared" si="11"/>
        <v>5340983.17</v>
      </c>
      <c r="I3912" s="22">
        <v>762997.6</v>
      </c>
      <c r="J3912" s="22">
        <v>203466.03</v>
      </c>
      <c r="K3912" s="15">
        <f t="shared" si="12"/>
        <v>31740699.99</v>
      </c>
      <c r="L3912" s="45"/>
      <c r="M3912" s="6"/>
    </row>
    <row r="3913" ht="15.75" customHeight="1">
      <c r="A3913" s="162">
        <v>46210.0</v>
      </c>
      <c r="B3913" s="50"/>
      <c r="C3913" s="31" t="s">
        <v>1183</v>
      </c>
      <c r="D3913" s="32" t="s">
        <v>15</v>
      </c>
      <c r="E3913" s="31" t="s">
        <v>4228</v>
      </c>
      <c r="F3913" s="134">
        <v>46229.0</v>
      </c>
      <c r="G3913" s="54">
        <v>1.131255014E7</v>
      </c>
      <c r="H3913" s="14">
        <f t="shared" si="11"/>
        <v>2375635.529</v>
      </c>
      <c r="I3913" s="22">
        <v>339376.5</v>
      </c>
      <c r="J3913" s="22"/>
      <c r="K3913" s="15">
        <f t="shared" si="12"/>
        <v>14027562.17</v>
      </c>
      <c r="L3913" s="45"/>
      <c r="M3913" s="6"/>
    </row>
    <row r="3914" ht="15.75" customHeight="1">
      <c r="A3914" s="162">
        <v>46210.0</v>
      </c>
      <c r="B3914" s="50"/>
      <c r="C3914" s="31" t="s">
        <v>1183</v>
      </c>
      <c r="D3914" s="32" t="s">
        <v>15</v>
      </c>
      <c r="E3914" s="31" t="s">
        <v>4229</v>
      </c>
      <c r="F3914" s="134">
        <v>46229.0</v>
      </c>
      <c r="G3914" s="54">
        <v>6335232.29</v>
      </c>
      <c r="H3914" s="14">
        <f t="shared" si="11"/>
        <v>1330398.781</v>
      </c>
      <c r="I3914" s="22">
        <v>190056.97</v>
      </c>
      <c r="J3914" s="22"/>
      <c r="K3914" s="15">
        <f t="shared" si="12"/>
        <v>7855688.041</v>
      </c>
      <c r="L3914" s="45"/>
      <c r="M3914" s="6"/>
    </row>
    <row r="3915" ht="15.75" customHeight="1">
      <c r="A3915" s="162">
        <v>46210.0</v>
      </c>
      <c r="B3915" s="50"/>
      <c r="C3915" s="31" t="s">
        <v>1183</v>
      </c>
      <c r="D3915" s="32" t="s">
        <v>15</v>
      </c>
      <c r="E3915" s="31" t="s">
        <v>4230</v>
      </c>
      <c r="F3915" s="134">
        <v>46229.0</v>
      </c>
      <c r="G3915" s="54">
        <v>8388328.14</v>
      </c>
      <c r="H3915" s="14">
        <f t="shared" si="11"/>
        <v>1761548.909</v>
      </c>
      <c r="I3915" s="22">
        <v>251649.84</v>
      </c>
      <c r="J3915" s="22"/>
      <c r="K3915" s="15">
        <f t="shared" si="12"/>
        <v>10401526.89</v>
      </c>
      <c r="L3915" s="45"/>
      <c r="M3915" s="6"/>
    </row>
    <row r="3916" ht="15.75" customHeight="1">
      <c r="A3916" s="162">
        <v>46210.0</v>
      </c>
      <c r="B3916" s="50"/>
      <c r="C3916" s="31" t="s">
        <v>1183</v>
      </c>
      <c r="D3916" s="32" t="s">
        <v>15</v>
      </c>
      <c r="E3916" s="31" t="s">
        <v>4231</v>
      </c>
      <c r="F3916" s="134">
        <v>46229.0</v>
      </c>
      <c r="G3916" s="54">
        <v>1.044633329E7</v>
      </c>
      <c r="H3916" s="14">
        <f t="shared" si="11"/>
        <v>2193729.991</v>
      </c>
      <c r="I3916" s="22">
        <v>313390.0</v>
      </c>
      <c r="J3916" s="22"/>
      <c r="K3916" s="15">
        <f t="shared" si="12"/>
        <v>12953453.28</v>
      </c>
      <c r="L3916" s="45"/>
      <c r="M3916" s="6"/>
    </row>
    <row r="3917" ht="15.75" customHeight="1">
      <c r="A3917" s="162">
        <v>46210.0</v>
      </c>
      <c r="B3917" s="50"/>
      <c r="C3917" s="31" t="s">
        <v>1183</v>
      </c>
      <c r="D3917" s="32" t="s">
        <v>15</v>
      </c>
      <c r="E3917" s="31" t="s">
        <v>4232</v>
      </c>
      <c r="F3917" s="134">
        <v>46229.0</v>
      </c>
      <c r="G3917" s="54">
        <v>9003704.18</v>
      </c>
      <c r="H3917" s="14">
        <f t="shared" si="11"/>
        <v>1890777.878</v>
      </c>
      <c r="I3917" s="22">
        <v>270111.13</v>
      </c>
      <c r="J3917" s="22"/>
      <c r="K3917" s="15">
        <f t="shared" si="12"/>
        <v>11164593.19</v>
      </c>
      <c r="L3917" s="45"/>
      <c r="M3917" s="6"/>
    </row>
    <row r="3918" ht="15.75" customHeight="1">
      <c r="A3918" s="162">
        <v>46210.0</v>
      </c>
      <c r="B3918" s="50"/>
      <c r="C3918" s="31" t="s">
        <v>1183</v>
      </c>
      <c r="D3918" s="32" t="s">
        <v>15</v>
      </c>
      <c r="E3918" s="31" t="s">
        <v>4233</v>
      </c>
      <c r="F3918" s="134">
        <v>46229.0</v>
      </c>
      <c r="G3918" s="54">
        <v>4533533.19</v>
      </c>
      <c r="H3918" s="14">
        <f t="shared" si="11"/>
        <v>952041.9699</v>
      </c>
      <c r="I3918" s="22">
        <v>136006.0</v>
      </c>
      <c r="J3918" s="22"/>
      <c r="K3918" s="15">
        <f t="shared" si="12"/>
        <v>5621581.16</v>
      </c>
      <c r="L3918" s="45"/>
      <c r="M3918" s="6"/>
    </row>
    <row r="3919" ht="15.75" customHeight="1">
      <c r="A3919" s="162">
        <v>46210.0</v>
      </c>
      <c r="B3919" s="50"/>
      <c r="C3919" s="32" t="s">
        <v>53</v>
      </c>
      <c r="D3919" s="32" t="s">
        <v>15</v>
      </c>
      <c r="E3919" s="31" t="s">
        <v>4234</v>
      </c>
      <c r="F3919" s="134">
        <v>46229.0</v>
      </c>
      <c r="G3919" s="54">
        <v>4148413.22</v>
      </c>
      <c r="H3919" s="14">
        <f t="shared" si="11"/>
        <v>871166.7762</v>
      </c>
      <c r="I3919" s="22"/>
      <c r="J3919" s="22"/>
      <c r="K3919" s="15">
        <f t="shared" si="12"/>
        <v>5019579.996</v>
      </c>
      <c r="L3919" s="45"/>
      <c r="M3919" s="6"/>
    </row>
    <row r="3920" ht="15.75" customHeight="1">
      <c r="A3920" s="162">
        <v>46210.0</v>
      </c>
      <c r="B3920" s="50"/>
      <c r="C3920" s="31" t="s">
        <v>171</v>
      </c>
      <c r="D3920" s="32" t="s">
        <v>15</v>
      </c>
      <c r="E3920" s="31" t="s">
        <v>4235</v>
      </c>
      <c r="F3920" s="134">
        <v>46229.0</v>
      </c>
      <c r="G3920" s="54">
        <v>1.288322339E7</v>
      </c>
      <c r="H3920" s="14">
        <f t="shared" si="11"/>
        <v>2705476.912</v>
      </c>
      <c r="I3920" s="22"/>
      <c r="J3920" s="22"/>
      <c r="K3920" s="15">
        <f t="shared" si="12"/>
        <v>15588700.3</v>
      </c>
      <c r="L3920" s="45"/>
      <c r="M3920" s="6"/>
    </row>
    <row r="3921" ht="15.75" customHeight="1">
      <c r="A3921" s="162">
        <v>46210.0</v>
      </c>
      <c r="B3921" s="50"/>
      <c r="C3921" s="31" t="s">
        <v>171</v>
      </c>
      <c r="D3921" s="32" t="s">
        <v>15</v>
      </c>
      <c r="E3921" s="31" t="s">
        <v>4236</v>
      </c>
      <c r="F3921" s="134">
        <v>46229.0</v>
      </c>
      <c r="G3921" s="54">
        <v>1.551336311E7</v>
      </c>
      <c r="H3921" s="14">
        <f t="shared" si="11"/>
        <v>3257806.253</v>
      </c>
      <c r="I3921" s="22"/>
      <c r="J3921" s="22"/>
      <c r="K3921" s="15">
        <f t="shared" si="12"/>
        <v>18771169.36</v>
      </c>
      <c r="L3921" s="45"/>
      <c r="M3921" s="6"/>
    </row>
    <row r="3922" ht="15.75" customHeight="1">
      <c r="A3922" s="162">
        <v>46210.0</v>
      </c>
      <c r="B3922" s="50"/>
      <c r="C3922" s="31" t="s">
        <v>171</v>
      </c>
      <c r="D3922" s="32" t="s">
        <v>15</v>
      </c>
      <c r="E3922" s="31" t="s">
        <v>4237</v>
      </c>
      <c r="F3922" s="134">
        <v>46229.0</v>
      </c>
      <c r="G3922" s="54">
        <v>1.183273315E7</v>
      </c>
      <c r="H3922" s="14">
        <f t="shared" si="11"/>
        <v>2484873.962</v>
      </c>
      <c r="I3922" s="22"/>
      <c r="J3922" s="22"/>
      <c r="K3922" s="15">
        <f t="shared" si="12"/>
        <v>14317607.11</v>
      </c>
      <c r="L3922" s="45"/>
      <c r="M3922" s="6"/>
    </row>
    <row r="3923" ht="15.75" customHeight="1">
      <c r="A3923" s="162">
        <v>46210.0</v>
      </c>
      <c r="B3923" s="50"/>
      <c r="C3923" s="31" t="s">
        <v>171</v>
      </c>
      <c r="D3923" s="32" t="s">
        <v>15</v>
      </c>
      <c r="E3923" s="31" t="s">
        <v>4238</v>
      </c>
      <c r="F3923" s="134">
        <v>46229.0</v>
      </c>
      <c r="G3923" s="54">
        <v>1.033623352E7</v>
      </c>
      <c r="H3923" s="14">
        <f t="shared" si="11"/>
        <v>2170609.039</v>
      </c>
      <c r="I3923" s="22"/>
      <c r="J3923" s="22"/>
      <c r="K3923" s="15">
        <f t="shared" si="12"/>
        <v>12506842.56</v>
      </c>
      <c r="L3923" s="45"/>
      <c r="M3923" s="6"/>
    </row>
    <row r="3924" ht="15.75" customHeight="1">
      <c r="A3924" s="162">
        <v>46210.0</v>
      </c>
      <c r="B3924" s="50"/>
      <c r="C3924" s="31" t="s">
        <v>64</v>
      </c>
      <c r="D3924" s="32" t="s">
        <v>15</v>
      </c>
      <c r="E3924" s="32" t="s">
        <v>4239</v>
      </c>
      <c r="F3924" s="134">
        <v>46229.0</v>
      </c>
      <c r="G3924" s="54">
        <v>1.750980519E7</v>
      </c>
      <c r="H3924" s="14">
        <f t="shared" si="11"/>
        <v>3677059.09</v>
      </c>
      <c r="I3924" s="22"/>
      <c r="J3924" s="22"/>
      <c r="K3924" s="15">
        <f t="shared" si="12"/>
        <v>21186864.28</v>
      </c>
      <c r="L3924" s="45"/>
      <c r="M3924" s="6"/>
    </row>
    <row r="3925" ht="15.75" customHeight="1">
      <c r="A3925" s="162">
        <v>46210.0</v>
      </c>
      <c r="B3925" s="50"/>
      <c r="C3925" s="31" t="s">
        <v>64</v>
      </c>
      <c r="D3925" s="32" t="s">
        <v>99</v>
      </c>
      <c r="E3925" s="31" t="s">
        <v>4240</v>
      </c>
      <c r="F3925" s="134">
        <v>46229.0</v>
      </c>
      <c r="G3925" s="54">
        <v>1.551179018E7</v>
      </c>
      <c r="H3925" s="14">
        <f t="shared" si="11"/>
        <v>3257475.938</v>
      </c>
      <c r="I3925" s="22">
        <v>465353.71</v>
      </c>
      <c r="J3925" s="22"/>
      <c r="K3925" s="15">
        <f t="shared" si="12"/>
        <v>19234619.83</v>
      </c>
      <c r="L3925" s="45"/>
      <c r="M3925" s="6"/>
    </row>
    <row r="3926" ht="15.75" customHeight="1">
      <c r="A3926" s="162">
        <v>46210.0</v>
      </c>
      <c r="B3926" s="50"/>
      <c r="C3926" s="31" t="s">
        <v>1283</v>
      </c>
      <c r="D3926" s="32" t="s">
        <v>99</v>
      </c>
      <c r="E3926" s="31" t="s">
        <v>4241</v>
      </c>
      <c r="F3926" s="134">
        <v>46229.0</v>
      </c>
      <c r="G3926" s="54">
        <v>3370608.13</v>
      </c>
      <c r="H3926" s="14">
        <f t="shared" si="11"/>
        <v>707827.7073</v>
      </c>
      <c r="I3926" s="22">
        <v>101118.24</v>
      </c>
      <c r="J3926" s="22"/>
      <c r="K3926" s="15">
        <f t="shared" si="12"/>
        <v>4179554.077</v>
      </c>
      <c r="L3926" s="45"/>
      <c r="M3926" s="6"/>
    </row>
    <row r="3927" ht="15.75" customHeight="1">
      <c r="A3927" s="162">
        <v>46210.0</v>
      </c>
      <c r="B3927" s="50"/>
      <c r="C3927" s="31" t="s">
        <v>1281</v>
      </c>
      <c r="D3927" s="32" t="s">
        <v>99</v>
      </c>
      <c r="E3927" s="31" t="s">
        <v>4242</v>
      </c>
      <c r="F3927" s="134">
        <v>46229.0</v>
      </c>
      <c r="G3927" s="54">
        <v>930202.13</v>
      </c>
      <c r="H3927" s="14">
        <f t="shared" si="11"/>
        <v>195342.4473</v>
      </c>
      <c r="I3927" s="22">
        <v>27906.06</v>
      </c>
      <c r="J3927" s="22"/>
      <c r="K3927" s="15">
        <f t="shared" si="12"/>
        <v>1153450.637</v>
      </c>
      <c r="L3927" s="45"/>
      <c r="M3927" s="6"/>
    </row>
    <row r="3928" ht="15.75" customHeight="1">
      <c r="A3928" s="162">
        <v>46210.0</v>
      </c>
      <c r="B3928" s="50"/>
      <c r="C3928" s="31" t="s">
        <v>1279</v>
      </c>
      <c r="D3928" s="32" t="s">
        <v>99</v>
      </c>
      <c r="E3928" s="31" t="s">
        <v>4243</v>
      </c>
      <c r="F3928" s="134">
        <v>46229.0</v>
      </c>
      <c r="G3928" s="54">
        <v>6640508.11</v>
      </c>
      <c r="H3928" s="14">
        <f t="shared" si="11"/>
        <v>1394506.703</v>
      </c>
      <c r="I3928" s="22">
        <v>199215.24</v>
      </c>
      <c r="J3928" s="22"/>
      <c r="K3928" s="15">
        <f t="shared" si="12"/>
        <v>8234230.053</v>
      </c>
      <c r="L3928" s="45"/>
      <c r="M3928" s="6"/>
    </row>
    <row r="3929" ht="15.75" customHeight="1">
      <c r="A3929" s="162">
        <v>46210.0</v>
      </c>
      <c r="B3929" s="50"/>
      <c r="C3929" s="31" t="s">
        <v>1277</v>
      </c>
      <c r="D3929" s="32" t="s">
        <v>99</v>
      </c>
      <c r="E3929" s="31" t="s">
        <v>4244</v>
      </c>
      <c r="F3929" s="134">
        <v>46229.0</v>
      </c>
      <c r="G3929" s="54">
        <v>3282902.16</v>
      </c>
      <c r="H3929" s="14">
        <f t="shared" si="11"/>
        <v>689409.4536</v>
      </c>
      <c r="I3929" s="22">
        <v>98487.06</v>
      </c>
      <c r="J3929" s="22"/>
      <c r="K3929" s="15">
        <f t="shared" si="12"/>
        <v>4070798.674</v>
      </c>
      <c r="L3929" s="45"/>
      <c r="M3929" s="6"/>
    </row>
    <row r="3930" ht="15.75" customHeight="1">
      <c r="A3930" s="162">
        <v>46210.0</v>
      </c>
      <c r="B3930" s="50"/>
      <c r="C3930" s="31" t="s">
        <v>1312</v>
      </c>
      <c r="D3930" s="32" t="s">
        <v>99</v>
      </c>
      <c r="E3930" s="31" t="s">
        <v>4245</v>
      </c>
      <c r="F3930" s="134">
        <v>46229.0</v>
      </c>
      <c r="G3930" s="54">
        <v>1100511.25</v>
      </c>
      <c r="H3930" s="14">
        <f t="shared" si="11"/>
        <v>231107.3625</v>
      </c>
      <c r="I3930" s="22">
        <v>33015.34</v>
      </c>
      <c r="J3930" s="22"/>
      <c r="K3930" s="15">
        <f t="shared" si="12"/>
        <v>1364633.953</v>
      </c>
      <c r="L3930" s="45"/>
      <c r="M3930" s="6"/>
    </row>
    <row r="3931" ht="15.75" customHeight="1">
      <c r="A3931" s="162">
        <v>46210.0</v>
      </c>
      <c r="B3931" s="50"/>
      <c r="C3931" s="32" t="s">
        <v>53</v>
      </c>
      <c r="D3931" s="32" t="s">
        <v>15</v>
      </c>
      <c r="E3931" s="31" t="s">
        <v>4246</v>
      </c>
      <c r="F3931" s="134">
        <v>46229.0</v>
      </c>
      <c r="G3931" s="54">
        <v>1.238219835E7</v>
      </c>
      <c r="H3931" s="14">
        <f t="shared" si="11"/>
        <v>2600261.654</v>
      </c>
      <c r="I3931" s="22"/>
      <c r="J3931" s="22"/>
      <c r="K3931" s="15">
        <f t="shared" si="12"/>
        <v>14982460</v>
      </c>
      <c r="L3931" s="45"/>
      <c r="M3931" s="6"/>
    </row>
    <row r="3932" ht="15.75" customHeight="1">
      <c r="A3932" s="208">
        <v>46211.0</v>
      </c>
      <c r="B3932" s="158"/>
      <c r="C3932" s="147" t="s">
        <v>1854</v>
      </c>
      <c r="D3932" s="148" t="s">
        <v>15</v>
      </c>
      <c r="E3932" s="147" t="s">
        <v>4247</v>
      </c>
      <c r="F3932" s="215">
        <v>46229.0</v>
      </c>
      <c r="G3932" s="209">
        <v>2.42215308E7</v>
      </c>
      <c r="H3932" s="150">
        <f t="shared" si="11"/>
        <v>5086521.468</v>
      </c>
      <c r="I3932" s="151">
        <v>726645.92</v>
      </c>
      <c r="J3932" s="151">
        <v>363322.96</v>
      </c>
      <c r="K3932" s="152">
        <f t="shared" si="12"/>
        <v>30398021.15</v>
      </c>
      <c r="L3932" s="61"/>
      <c r="M3932" s="62"/>
    </row>
    <row r="3933" ht="15.75" customHeight="1">
      <c r="A3933" s="208">
        <v>46211.0</v>
      </c>
      <c r="B3933" s="158"/>
      <c r="C3933" s="147" t="s">
        <v>1854</v>
      </c>
      <c r="D3933" s="148" t="s">
        <v>15</v>
      </c>
      <c r="E3933" s="147" t="s">
        <v>4248</v>
      </c>
      <c r="F3933" s="215">
        <v>46229.0</v>
      </c>
      <c r="G3933" s="209">
        <v>2.42215308E7</v>
      </c>
      <c r="H3933" s="150">
        <f t="shared" si="11"/>
        <v>5086521.468</v>
      </c>
      <c r="I3933" s="151">
        <v>726645.92</v>
      </c>
      <c r="J3933" s="151">
        <v>363322.96</v>
      </c>
      <c r="K3933" s="152">
        <f t="shared" si="12"/>
        <v>30398021.15</v>
      </c>
      <c r="L3933" s="61"/>
      <c r="M3933" s="62"/>
    </row>
    <row r="3934" ht="15.75" customHeight="1">
      <c r="A3934" s="208">
        <v>46211.0</v>
      </c>
      <c r="B3934" s="158"/>
      <c r="C3934" s="147" t="s">
        <v>1854</v>
      </c>
      <c r="D3934" s="148" t="s">
        <v>15</v>
      </c>
      <c r="E3934" s="147" t="s">
        <v>4249</v>
      </c>
      <c r="F3934" s="215">
        <v>46229.0</v>
      </c>
      <c r="G3934" s="209">
        <v>2.42215308E7</v>
      </c>
      <c r="H3934" s="150">
        <f t="shared" si="11"/>
        <v>5086521.468</v>
      </c>
      <c r="I3934" s="151">
        <v>726645.92</v>
      </c>
      <c r="J3934" s="151">
        <v>363322.96</v>
      </c>
      <c r="K3934" s="152">
        <f t="shared" si="12"/>
        <v>30398021.15</v>
      </c>
      <c r="L3934" s="61"/>
      <c r="M3934" s="62"/>
    </row>
    <row r="3935" ht="15.75" customHeight="1">
      <c r="A3935" s="208">
        <v>46211.0</v>
      </c>
      <c r="B3935" s="158"/>
      <c r="C3935" s="147" t="s">
        <v>1854</v>
      </c>
      <c r="D3935" s="148" t="s">
        <v>15</v>
      </c>
      <c r="E3935" s="147" t="s">
        <v>4250</v>
      </c>
      <c r="F3935" s="215">
        <v>46229.0</v>
      </c>
      <c r="G3935" s="209">
        <v>2.42215308E7</v>
      </c>
      <c r="H3935" s="150">
        <f t="shared" si="11"/>
        <v>5086521.468</v>
      </c>
      <c r="I3935" s="151">
        <v>726645.92</v>
      </c>
      <c r="J3935" s="151">
        <v>363322.96</v>
      </c>
      <c r="K3935" s="152">
        <f t="shared" si="12"/>
        <v>30398021.15</v>
      </c>
      <c r="L3935" s="61"/>
      <c r="M3935" s="62"/>
    </row>
    <row r="3936" ht="15.75" customHeight="1">
      <c r="A3936" s="208">
        <v>46211.0</v>
      </c>
      <c r="B3936" s="158"/>
      <c r="C3936" s="147" t="s">
        <v>1854</v>
      </c>
      <c r="D3936" s="148" t="s">
        <v>15</v>
      </c>
      <c r="E3936" s="147" t="s">
        <v>4251</v>
      </c>
      <c r="F3936" s="215">
        <v>46229.0</v>
      </c>
      <c r="G3936" s="209">
        <v>2.42215308E7</v>
      </c>
      <c r="H3936" s="150">
        <f t="shared" si="11"/>
        <v>5086521.468</v>
      </c>
      <c r="I3936" s="151">
        <v>726645.92</v>
      </c>
      <c r="J3936" s="151">
        <v>363322.96</v>
      </c>
      <c r="K3936" s="152">
        <f t="shared" si="12"/>
        <v>30398021.15</v>
      </c>
      <c r="L3936" s="61"/>
      <c r="M3936" s="62"/>
    </row>
    <row r="3937" ht="15.75" customHeight="1">
      <c r="A3937" s="231">
        <v>46211.0</v>
      </c>
      <c r="B3937" s="232"/>
      <c r="C3937" s="233" t="s">
        <v>1854</v>
      </c>
      <c r="D3937" s="234" t="s">
        <v>15</v>
      </c>
      <c r="E3937" s="233" t="s">
        <v>4252</v>
      </c>
      <c r="F3937" s="235">
        <v>46229.0</v>
      </c>
      <c r="G3937" s="236">
        <v>2.63543571E7</v>
      </c>
      <c r="H3937" s="237">
        <f t="shared" si="11"/>
        <v>5534414.991</v>
      </c>
      <c r="I3937" s="238">
        <v>790630.71</v>
      </c>
      <c r="J3937" s="238">
        <v>395315.36</v>
      </c>
      <c r="K3937" s="239">
        <f t="shared" si="12"/>
        <v>33074718.16</v>
      </c>
      <c r="L3937" s="61"/>
      <c r="M3937" s="62"/>
    </row>
    <row r="3938" ht="15.75" customHeight="1">
      <c r="A3938" s="231">
        <v>46211.0</v>
      </c>
      <c r="B3938" s="232"/>
      <c r="C3938" s="233" t="s">
        <v>1854</v>
      </c>
      <c r="D3938" s="234" t="s">
        <v>15</v>
      </c>
      <c r="E3938" s="233" t="s">
        <v>4253</v>
      </c>
      <c r="F3938" s="235">
        <v>46229.0</v>
      </c>
      <c r="G3938" s="236">
        <v>1.743927218E7</v>
      </c>
      <c r="H3938" s="237">
        <f t="shared" si="11"/>
        <v>3662247.158</v>
      </c>
      <c r="I3938" s="238"/>
      <c r="J3938" s="238">
        <v>261589.08</v>
      </c>
      <c r="K3938" s="239">
        <f t="shared" si="12"/>
        <v>21363108.42</v>
      </c>
      <c r="L3938" s="61"/>
      <c r="M3938" s="62"/>
    </row>
    <row r="3939" ht="15.75" customHeight="1">
      <c r="A3939" s="208">
        <v>46211.0</v>
      </c>
      <c r="B3939" s="158"/>
      <c r="C3939" s="147" t="s">
        <v>1854</v>
      </c>
      <c r="D3939" s="148" t="s">
        <v>15</v>
      </c>
      <c r="E3939" s="147" t="s">
        <v>4254</v>
      </c>
      <c r="F3939" s="215">
        <v>46229.0</v>
      </c>
      <c r="G3939" s="209">
        <v>2.487901275E7</v>
      </c>
      <c r="H3939" s="150">
        <f t="shared" si="11"/>
        <v>5224592.678</v>
      </c>
      <c r="I3939" s="151"/>
      <c r="J3939" s="151">
        <v>373185.19</v>
      </c>
      <c r="K3939" s="152">
        <f t="shared" si="12"/>
        <v>30476790.62</v>
      </c>
      <c r="L3939" s="153"/>
      <c r="M3939" s="154"/>
    </row>
    <row r="3940" ht="15.75" customHeight="1">
      <c r="A3940" s="208">
        <v>46211.0</v>
      </c>
      <c r="B3940" s="158"/>
      <c r="C3940" s="147" t="s">
        <v>1854</v>
      </c>
      <c r="D3940" s="148" t="s">
        <v>15</v>
      </c>
      <c r="E3940" s="147" t="s">
        <v>4255</v>
      </c>
      <c r="F3940" s="215">
        <v>46229.0</v>
      </c>
      <c r="G3940" s="209">
        <v>1.721932218E7</v>
      </c>
      <c r="H3940" s="150">
        <f t="shared" si="11"/>
        <v>3616057.658</v>
      </c>
      <c r="I3940" s="151"/>
      <c r="J3940" s="151">
        <v>258289.83</v>
      </c>
      <c r="K3940" s="152">
        <f t="shared" si="12"/>
        <v>21093669.67</v>
      </c>
      <c r="L3940" s="153"/>
      <c r="M3940" s="154"/>
    </row>
    <row r="3941" ht="15.75" customHeight="1">
      <c r="A3941" s="231">
        <v>46211.0</v>
      </c>
      <c r="B3941" s="232"/>
      <c r="C3941" s="233" t="s">
        <v>1854</v>
      </c>
      <c r="D3941" s="234" t="s">
        <v>15</v>
      </c>
      <c r="E3941" s="233" t="s">
        <v>4256</v>
      </c>
      <c r="F3941" s="235">
        <v>46229.0</v>
      </c>
      <c r="G3941" s="236">
        <v>1.743522375E7</v>
      </c>
      <c r="H3941" s="237">
        <f t="shared" si="11"/>
        <v>3661396.988</v>
      </c>
      <c r="I3941" s="238"/>
      <c r="J3941" s="238">
        <v>261528.36</v>
      </c>
      <c r="K3941" s="239">
        <f t="shared" si="12"/>
        <v>21358149.1</v>
      </c>
      <c r="L3941" s="61"/>
      <c r="M3941" s="62"/>
    </row>
    <row r="3942" ht="15.75" customHeight="1">
      <c r="A3942" s="231">
        <v>46211.0</v>
      </c>
      <c r="B3942" s="232"/>
      <c r="C3942" s="233" t="s">
        <v>1854</v>
      </c>
      <c r="D3942" s="234" t="s">
        <v>15</v>
      </c>
      <c r="E3942" s="233" t="s">
        <v>4257</v>
      </c>
      <c r="F3942" s="235">
        <v>46229.0</v>
      </c>
      <c r="G3942" s="236">
        <v>1.4933272E7</v>
      </c>
      <c r="H3942" s="237">
        <f t="shared" si="11"/>
        <v>3135987.12</v>
      </c>
      <c r="I3942" s="238"/>
      <c r="J3942" s="238">
        <v>223999.08</v>
      </c>
      <c r="K3942" s="239">
        <f t="shared" si="12"/>
        <v>18293258.2</v>
      </c>
      <c r="L3942" s="61"/>
      <c r="M3942" s="62"/>
    </row>
    <row r="3943" ht="15.75" customHeight="1">
      <c r="A3943" s="231">
        <v>46211.0</v>
      </c>
      <c r="B3943" s="232"/>
      <c r="C3943" s="233" t="s">
        <v>1854</v>
      </c>
      <c r="D3943" s="234" t="s">
        <v>15</v>
      </c>
      <c r="E3943" s="233" t="s">
        <v>4258</v>
      </c>
      <c r="F3943" s="235">
        <v>46229.0</v>
      </c>
      <c r="G3943" s="236">
        <v>1.944323252E7</v>
      </c>
      <c r="H3943" s="237">
        <f t="shared" si="11"/>
        <v>4083078.829</v>
      </c>
      <c r="I3943" s="238"/>
      <c r="J3943" s="238">
        <v>291648.49</v>
      </c>
      <c r="K3943" s="239">
        <f t="shared" si="12"/>
        <v>23817959.84</v>
      </c>
      <c r="L3943" s="61"/>
      <c r="M3943" s="62"/>
    </row>
    <row r="3944" ht="15.75" customHeight="1">
      <c r="A3944" s="231">
        <v>46211.0</v>
      </c>
      <c r="B3944" s="232"/>
      <c r="C3944" s="233" t="s">
        <v>1854</v>
      </c>
      <c r="D3944" s="234" t="s">
        <v>15</v>
      </c>
      <c r="E3944" s="233" t="s">
        <v>4259</v>
      </c>
      <c r="F3944" s="235">
        <v>46229.0</v>
      </c>
      <c r="G3944" s="236">
        <v>1.544365318E7</v>
      </c>
      <c r="H3944" s="237">
        <f t="shared" si="11"/>
        <v>3243167.168</v>
      </c>
      <c r="I3944" s="238"/>
      <c r="J3944" s="238">
        <v>231654.8</v>
      </c>
      <c r="K3944" s="239">
        <f t="shared" si="12"/>
        <v>18918475.15</v>
      </c>
      <c r="L3944" s="61"/>
      <c r="M3944" s="62"/>
    </row>
    <row r="3945" ht="15.75" customHeight="1">
      <c r="A3945" s="162">
        <v>46211.0</v>
      </c>
      <c r="B3945" s="50"/>
      <c r="C3945" s="31" t="s">
        <v>1858</v>
      </c>
      <c r="D3945" s="32" t="s">
        <v>15</v>
      </c>
      <c r="E3945" s="32" t="s">
        <v>4260</v>
      </c>
      <c r="F3945" s="134">
        <v>46229.0</v>
      </c>
      <c r="G3945" s="54">
        <v>2.047870044E7</v>
      </c>
      <c r="H3945" s="14">
        <f t="shared" si="11"/>
        <v>4300527.092</v>
      </c>
      <c r="I3945" s="22">
        <v>614361.01</v>
      </c>
      <c r="J3945" s="22">
        <v>81914.8</v>
      </c>
      <c r="K3945" s="15">
        <f t="shared" si="12"/>
        <v>25475503.34</v>
      </c>
      <c r="L3945" s="45"/>
      <c r="M3945" s="6"/>
    </row>
    <row r="3946" ht="15.75" customHeight="1">
      <c r="A3946" s="162">
        <v>46211.0</v>
      </c>
      <c r="B3946" s="50"/>
      <c r="C3946" s="31" t="s">
        <v>1858</v>
      </c>
      <c r="D3946" s="32" t="s">
        <v>15</v>
      </c>
      <c r="E3946" s="32" t="s">
        <v>4261</v>
      </c>
      <c r="F3946" s="134">
        <v>46229.0</v>
      </c>
      <c r="G3946" s="54">
        <v>2.113930368E7</v>
      </c>
      <c r="H3946" s="14">
        <f t="shared" si="11"/>
        <v>4439253.773</v>
      </c>
      <c r="I3946" s="22">
        <v>634179.11</v>
      </c>
      <c r="J3946" s="22">
        <v>84557.21</v>
      </c>
      <c r="K3946" s="15">
        <f t="shared" si="12"/>
        <v>26297293.77</v>
      </c>
      <c r="L3946" s="45"/>
      <c r="M3946" s="6"/>
    </row>
    <row r="3947" ht="15.75" customHeight="1">
      <c r="A3947" s="162">
        <v>46211.0</v>
      </c>
      <c r="B3947" s="50"/>
      <c r="C3947" s="31" t="s">
        <v>1858</v>
      </c>
      <c r="D3947" s="32" t="s">
        <v>15</v>
      </c>
      <c r="E3947" s="32" t="s">
        <v>4262</v>
      </c>
      <c r="F3947" s="134">
        <v>46229.0</v>
      </c>
      <c r="G3947" s="54">
        <v>1.2886085E7</v>
      </c>
      <c r="H3947" s="14">
        <f t="shared" si="11"/>
        <v>2706077.85</v>
      </c>
      <c r="I3947" s="22">
        <v>386582.55</v>
      </c>
      <c r="J3947" s="22">
        <v>51544.34</v>
      </c>
      <c r="K3947" s="15">
        <f t="shared" si="12"/>
        <v>16030289.74</v>
      </c>
      <c r="L3947" s="45"/>
      <c r="M3947" s="6"/>
    </row>
    <row r="3948" ht="15.75" customHeight="1">
      <c r="A3948" s="162">
        <v>46211.0</v>
      </c>
      <c r="B3948" s="50"/>
      <c r="C3948" s="31" t="s">
        <v>1858</v>
      </c>
      <c r="D3948" s="32" t="s">
        <v>15</v>
      </c>
      <c r="E3948" s="32" t="s">
        <v>4263</v>
      </c>
      <c r="F3948" s="134">
        <v>46229.0</v>
      </c>
      <c r="G3948" s="54">
        <v>1.4112777E7</v>
      </c>
      <c r="H3948" s="14">
        <f t="shared" si="11"/>
        <v>2963683.17</v>
      </c>
      <c r="I3948" s="22">
        <v>423383.31</v>
      </c>
      <c r="J3948" s="22">
        <v>56451.11</v>
      </c>
      <c r="K3948" s="15">
        <f t="shared" si="12"/>
        <v>17556294.59</v>
      </c>
      <c r="L3948" s="45"/>
      <c r="M3948" s="6"/>
    </row>
    <row r="3949" ht="15.75" customHeight="1">
      <c r="A3949" s="162">
        <v>46211.0</v>
      </c>
      <c r="B3949" s="50"/>
      <c r="C3949" s="31" t="s">
        <v>1861</v>
      </c>
      <c r="D3949" s="32" t="s">
        <v>15</v>
      </c>
      <c r="E3949" s="31" t="s">
        <v>4264</v>
      </c>
      <c r="F3949" s="134">
        <v>46229.0</v>
      </c>
      <c r="G3949" s="54">
        <v>2.1420672E7</v>
      </c>
      <c r="H3949" s="14">
        <f t="shared" si="11"/>
        <v>4498341.12</v>
      </c>
      <c r="I3949" s="22">
        <v>642620.16</v>
      </c>
      <c r="J3949" s="22">
        <v>342730.75</v>
      </c>
      <c r="K3949" s="15">
        <f t="shared" si="12"/>
        <v>26904364.03</v>
      </c>
      <c r="L3949" s="45"/>
      <c r="M3949" s="6"/>
    </row>
    <row r="3950" ht="15.75" customHeight="1">
      <c r="A3950" s="162">
        <v>46211.0</v>
      </c>
      <c r="B3950" s="50"/>
      <c r="C3950" s="31" t="s">
        <v>1861</v>
      </c>
      <c r="D3950" s="32" t="s">
        <v>15</v>
      </c>
      <c r="E3950" s="31" t="s">
        <v>4265</v>
      </c>
      <c r="F3950" s="134">
        <v>46229.0</v>
      </c>
      <c r="G3950" s="54">
        <v>2.23132E7</v>
      </c>
      <c r="H3950" s="14">
        <f t="shared" si="11"/>
        <v>4685772</v>
      </c>
      <c r="I3950" s="22">
        <v>669396.0</v>
      </c>
      <c r="J3950" s="22">
        <v>357011.2</v>
      </c>
      <c r="K3950" s="15">
        <f t="shared" si="12"/>
        <v>28025379.2</v>
      </c>
      <c r="L3950" s="45"/>
      <c r="M3950" s="6"/>
    </row>
    <row r="3951" ht="15.75" customHeight="1">
      <c r="A3951" s="162">
        <v>46211.0</v>
      </c>
      <c r="B3951" s="50"/>
      <c r="C3951" s="31" t="s">
        <v>171</v>
      </c>
      <c r="D3951" s="32" t="s">
        <v>99</v>
      </c>
      <c r="E3951" s="32" t="s">
        <v>4266</v>
      </c>
      <c r="F3951" s="134">
        <v>46229.0</v>
      </c>
      <c r="G3951" s="54">
        <v>1.033623352E7</v>
      </c>
      <c r="H3951" s="14">
        <f t="shared" si="11"/>
        <v>2170609.039</v>
      </c>
      <c r="I3951" s="22"/>
      <c r="J3951" s="22"/>
      <c r="K3951" s="15">
        <f t="shared" si="12"/>
        <v>12506842.56</v>
      </c>
      <c r="L3951" s="45"/>
      <c r="M3951" s="6"/>
    </row>
    <row r="3952" ht="15.75" customHeight="1">
      <c r="A3952" s="162">
        <v>46211.0</v>
      </c>
      <c r="B3952" s="50"/>
      <c r="C3952" s="31" t="s">
        <v>171</v>
      </c>
      <c r="D3952" s="32" t="s">
        <v>99</v>
      </c>
      <c r="E3952" s="31" t="s">
        <v>4267</v>
      </c>
      <c r="F3952" s="134">
        <v>46229.0</v>
      </c>
      <c r="G3952" s="54">
        <v>1.183273315E7</v>
      </c>
      <c r="H3952" s="14">
        <f t="shared" si="11"/>
        <v>2484873.962</v>
      </c>
      <c r="I3952" s="22"/>
      <c r="J3952" s="22"/>
      <c r="K3952" s="15">
        <f t="shared" si="12"/>
        <v>14317607.11</v>
      </c>
      <c r="L3952" s="45"/>
      <c r="M3952" s="6"/>
    </row>
    <row r="3953" ht="15.75" customHeight="1">
      <c r="A3953" s="162">
        <v>46211.0</v>
      </c>
      <c r="B3953" s="50"/>
      <c r="C3953" s="31" t="s">
        <v>171</v>
      </c>
      <c r="D3953" s="32" t="s">
        <v>99</v>
      </c>
      <c r="E3953" s="31" t="s">
        <v>4268</v>
      </c>
      <c r="F3953" s="134">
        <v>46229.0</v>
      </c>
      <c r="G3953" s="54">
        <v>1.551336311E7</v>
      </c>
      <c r="H3953" s="14">
        <f t="shared" si="11"/>
        <v>3257806.253</v>
      </c>
      <c r="I3953" s="22"/>
      <c r="J3953" s="22"/>
      <c r="K3953" s="15">
        <f t="shared" si="12"/>
        <v>18771169.36</v>
      </c>
      <c r="L3953" s="45"/>
      <c r="M3953" s="6"/>
    </row>
    <row r="3954" ht="15.75" customHeight="1">
      <c r="A3954" s="162">
        <v>46211.0</v>
      </c>
      <c r="B3954" s="50"/>
      <c r="C3954" s="31" t="s">
        <v>171</v>
      </c>
      <c r="D3954" s="32" t="s">
        <v>99</v>
      </c>
      <c r="E3954" s="31" t="s">
        <v>4269</v>
      </c>
      <c r="F3954" s="134">
        <v>46229.0</v>
      </c>
      <c r="G3954" s="54">
        <v>1.288322339E7</v>
      </c>
      <c r="H3954" s="14">
        <f t="shared" si="11"/>
        <v>2705476.912</v>
      </c>
      <c r="I3954" s="22"/>
      <c r="J3954" s="22"/>
      <c r="K3954" s="15">
        <f t="shared" si="12"/>
        <v>15588700.3</v>
      </c>
      <c r="L3954" s="45"/>
      <c r="M3954" s="6"/>
    </row>
    <row r="3955" ht="15.75" customHeight="1">
      <c r="A3955" s="162">
        <v>46211.0</v>
      </c>
      <c r="B3955" s="50"/>
      <c r="C3955" s="31" t="s">
        <v>1854</v>
      </c>
      <c r="D3955" s="32" t="s">
        <v>99</v>
      </c>
      <c r="E3955" s="31" t="s">
        <v>4270</v>
      </c>
      <c r="F3955" s="134">
        <v>46229.0</v>
      </c>
      <c r="G3955" s="54">
        <v>2.73765975E7</v>
      </c>
      <c r="H3955" s="14">
        <f t="shared" si="11"/>
        <v>5749085.475</v>
      </c>
      <c r="I3955" s="22">
        <v>821297.93</v>
      </c>
      <c r="J3955" s="22">
        <v>410648.96</v>
      </c>
      <c r="K3955" s="15">
        <f t="shared" si="12"/>
        <v>34357629.87</v>
      </c>
      <c r="L3955" s="61"/>
      <c r="M3955" s="62"/>
    </row>
    <row r="3956" ht="15.75" customHeight="1">
      <c r="A3956" s="162">
        <v>46211.0</v>
      </c>
      <c r="B3956" s="50"/>
      <c r="C3956" s="31" t="s">
        <v>1854</v>
      </c>
      <c r="D3956" s="32" t="s">
        <v>99</v>
      </c>
      <c r="E3956" s="31" t="s">
        <v>4271</v>
      </c>
      <c r="F3956" s="134">
        <v>46229.0</v>
      </c>
      <c r="G3956" s="54">
        <v>2.73765975E7</v>
      </c>
      <c r="H3956" s="14">
        <f t="shared" si="11"/>
        <v>5749085.475</v>
      </c>
      <c r="I3956" s="22">
        <v>821297.93</v>
      </c>
      <c r="J3956" s="22">
        <v>410648.96</v>
      </c>
      <c r="K3956" s="15">
        <f t="shared" si="12"/>
        <v>34357629.87</v>
      </c>
      <c r="L3956" s="61"/>
      <c r="M3956" s="62"/>
    </row>
    <row r="3957" ht="15.75" customHeight="1">
      <c r="A3957" s="208">
        <v>46211.0</v>
      </c>
      <c r="B3957" s="158"/>
      <c r="C3957" s="147" t="s">
        <v>1854</v>
      </c>
      <c r="D3957" s="148" t="s">
        <v>99</v>
      </c>
      <c r="E3957" s="147" t="s">
        <v>4272</v>
      </c>
      <c r="F3957" s="215">
        <v>46229.0</v>
      </c>
      <c r="G3957" s="209">
        <v>2.73765975E7</v>
      </c>
      <c r="H3957" s="150">
        <f t="shared" si="11"/>
        <v>5749085.475</v>
      </c>
      <c r="I3957" s="151">
        <v>821297.93</v>
      </c>
      <c r="J3957" s="151">
        <v>410648.96</v>
      </c>
      <c r="K3957" s="152">
        <f t="shared" si="12"/>
        <v>34357629.87</v>
      </c>
      <c r="L3957" s="61"/>
      <c r="M3957" s="62"/>
    </row>
    <row r="3958" ht="15.75" customHeight="1">
      <c r="A3958" s="208">
        <v>46211.0</v>
      </c>
      <c r="B3958" s="158"/>
      <c r="C3958" s="147" t="s">
        <v>1854</v>
      </c>
      <c r="D3958" s="148" t="s">
        <v>99</v>
      </c>
      <c r="E3958" s="148" t="s">
        <v>4273</v>
      </c>
      <c r="F3958" s="215">
        <v>46229.0</v>
      </c>
      <c r="G3958" s="209">
        <v>2.73765975E7</v>
      </c>
      <c r="H3958" s="150">
        <f t="shared" si="11"/>
        <v>5749085.475</v>
      </c>
      <c r="I3958" s="151">
        <v>821297.93</v>
      </c>
      <c r="J3958" s="151">
        <v>410648.96</v>
      </c>
      <c r="K3958" s="152">
        <f t="shared" si="12"/>
        <v>34357629.87</v>
      </c>
      <c r="L3958" s="61"/>
      <c r="M3958" s="62"/>
    </row>
    <row r="3959" ht="15.75" customHeight="1">
      <c r="A3959" s="208">
        <v>46211.0</v>
      </c>
      <c r="B3959" s="158"/>
      <c r="C3959" s="147" t="s">
        <v>1854</v>
      </c>
      <c r="D3959" s="148" t="s">
        <v>99</v>
      </c>
      <c r="E3959" s="148" t="s">
        <v>4274</v>
      </c>
      <c r="F3959" s="215">
        <v>46229.0</v>
      </c>
      <c r="G3959" s="209">
        <v>1.238493215E7</v>
      </c>
      <c r="H3959" s="150">
        <f t="shared" si="11"/>
        <v>2600835.752</v>
      </c>
      <c r="I3959" s="151"/>
      <c r="J3959" s="151">
        <v>185773.98</v>
      </c>
      <c r="K3959" s="152">
        <f t="shared" si="12"/>
        <v>15171541.88</v>
      </c>
      <c r="L3959" s="61"/>
      <c r="M3959" s="62"/>
    </row>
    <row r="3960" ht="15.75" customHeight="1">
      <c r="A3960" s="162">
        <v>46211.0</v>
      </c>
      <c r="B3960" s="50"/>
      <c r="C3960" s="31" t="s">
        <v>1854</v>
      </c>
      <c r="D3960" s="32" t="s">
        <v>99</v>
      </c>
      <c r="E3960" s="32" t="s">
        <v>4275</v>
      </c>
      <c r="F3960" s="134">
        <v>46229.0</v>
      </c>
      <c r="G3960" s="54">
        <v>1.732626318E7</v>
      </c>
      <c r="H3960" s="14">
        <f t="shared" si="11"/>
        <v>3638515.268</v>
      </c>
      <c r="I3960" s="22"/>
      <c r="J3960" s="22">
        <v>259893.95</v>
      </c>
      <c r="K3960" s="15">
        <f t="shared" si="12"/>
        <v>21224672.4</v>
      </c>
      <c r="L3960" s="61"/>
      <c r="M3960" s="62"/>
    </row>
    <row r="3961" ht="15.75" customHeight="1">
      <c r="A3961" s="208">
        <v>46211.0</v>
      </c>
      <c r="B3961" s="158"/>
      <c r="C3961" s="147" t="s">
        <v>1861</v>
      </c>
      <c r="D3961" s="148" t="s">
        <v>99</v>
      </c>
      <c r="E3961" s="147" t="s">
        <v>4276</v>
      </c>
      <c r="F3961" s="215">
        <v>46229.0</v>
      </c>
      <c r="G3961" s="209">
        <v>3.751523839E7</v>
      </c>
      <c r="H3961" s="150">
        <f t="shared" si="11"/>
        <v>7878200.062</v>
      </c>
      <c r="I3961" s="151">
        <v>1125457.15</v>
      </c>
      <c r="J3961" s="151">
        <v>600243.81</v>
      </c>
      <c r="K3961" s="152">
        <f t="shared" si="12"/>
        <v>47119139.41</v>
      </c>
      <c r="L3961" s="153"/>
      <c r="M3961" s="154"/>
    </row>
    <row r="3962" ht="15.75" customHeight="1">
      <c r="A3962" s="208">
        <v>46211.0</v>
      </c>
      <c r="B3962" s="158"/>
      <c r="C3962" s="147" t="s">
        <v>1861</v>
      </c>
      <c r="D3962" s="148" t="s">
        <v>99</v>
      </c>
      <c r="E3962" s="148" t="s">
        <v>4277</v>
      </c>
      <c r="F3962" s="215">
        <v>46229.0</v>
      </c>
      <c r="G3962" s="209">
        <v>2.4701404E7</v>
      </c>
      <c r="H3962" s="150">
        <f t="shared" si="11"/>
        <v>5187294.84</v>
      </c>
      <c r="I3962" s="151">
        <v>741042.12</v>
      </c>
      <c r="J3962" s="151">
        <v>395222.46</v>
      </c>
      <c r="K3962" s="152">
        <f t="shared" si="12"/>
        <v>31024963.42</v>
      </c>
      <c r="L3962" s="153"/>
      <c r="M3962" s="154"/>
    </row>
    <row r="3963" ht="15.75" customHeight="1">
      <c r="A3963" s="162">
        <v>46211.0</v>
      </c>
      <c r="B3963" s="50"/>
      <c r="C3963" s="31" t="s">
        <v>171</v>
      </c>
      <c r="D3963" s="32" t="s">
        <v>15</v>
      </c>
      <c r="E3963" s="31" t="s">
        <v>4278</v>
      </c>
      <c r="F3963" s="134">
        <v>46229.0</v>
      </c>
      <c r="G3963" s="54">
        <v>-1.288322339E7</v>
      </c>
      <c r="H3963" s="14">
        <f t="shared" si="11"/>
        <v>-2705476.912</v>
      </c>
      <c r="I3963" s="22"/>
      <c r="J3963" s="22"/>
      <c r="K3963" s="15">
        <f t="shared" si="12"/>
        <v>-15588700.3</v>
      </c>
      <c r="L3963" s="45"/>
      <c r="M3963" s="6"/>
    </row>
    <row r="3964" ht="15.75" customHeight="1">
      <c r="A3964" s="162">
        <v>46211.0</v>
      </c>
      <c r="B3964" s="50"/>
      <c r="C3964" s="31" t="s">
        <v>171</v>
      </c>
      <c r="D3964" s="32" t="s">
        <v>15</v>
      </c>
      <c r="E3964" s="32" t="s">
        <v>4279</v>
      </c>
      <c r="F3964" s="134">
        <v>46229.0</v>
      </c>
      <c r="G3964" s="54">
        <v>-1.551336311E7</v>
      </c>
      <c r="H3964" s="14">
        <f t="shared" si="11"/>
        <v>-3257806.253</v>
      </c>
      <c r="I3964" s="22"/>
      <c r="J3964" s="22"/>
      <c r="K3964" s="15">
        <f t="shared" si="12"/>
        <v>-18771169.36</v>
      </c>
      <c r="L3964" s="45"/>
      <c r="M3964" s="6"/>
    </row>
    <row r="3965" ht="15.75" customHeight="1">
      <c r="A3965" s="162">
        <v>46211.0</v>
      </c>
      <c r="B3965" s="50"/>
      <c r="C3965" s="31" t="s">
        <v>171</v>
      </c>
      <c r="D3965" s="32" t="s">
        <v>15</v>
      </c>
      <c r="E3965" s="32" t="s">
        <v>4280</v>
      </c>
      <c r="F3965" s="134">
        <v>46229.0</v>
      </c>
      <c r="G3965" s="54">
        <v>-1.183273315E7</v>
      </c>
      <c r="H3965" s="14">
        <f t="shared" si="11"/>
        <v>-2484873.962</v>
      </c>
      <c r="I3965" s="22"/>
      <c r="J3965" s="22"/>
      <c r="K3965" s="15">
        <f t="shared" si="12"/>
        <v>-14317607.11</v>
      </c>
      <c r="L3965" s="45"/>
      <c r="M3965" s="6"/>
    </row>
    <row r="3966" ht="15.75" customHeight="1">
      <c r="A3966" s="162">
        <v>46211.0</v>
      </c>
      <c r="B3966" s="50"/>
      <c r="C3966" s="31" t="s">
        <v>171</v>
      </c>
      <c r="D3966" s="32" t="s">
        <v>15</v>
      </c>
      <c r="E3966" s="32" t="s">
        <v>4281</v>
      </c>
      <c r="F3966" s="134">
        <v>46229.0</v>
      </c>
      <c r="G3966" s="54">
        <v>-1.033623352E7</v>
      </c>
      <c r="H3966" s="14">
        <f t="shared" si="11"/>
        <v>-2170609.039</v>
      </c>
      <c r="I3966" s="22"/>
      <c r="J3966" s="22"/>
      <c r="K3966" s="15">
        <f t="shared" si="12"/>
        <v>-12506842.56</v>
      </c>
      <c r="L3966" s="45"/>
      <c r="M3966" s="6"/>
    </row>
    <row r="3967" ht="15.75" customHeight="1">
      <c r="A3967" s="162">
        <v>46213.0</v>
      </c>
      <c r="B3967" s="50"/>
      <c r="C3967" s="31" t="s">
        <v>1112</v>
      </c>
      <c r="D3967" s="32" t="s">
        <v>15</v>
      </c>
      <c r="E3967" s="31" t="s">
        <v>4282</v>
      </c>
      <c r="F3967" s="134">
        <v>46229.0</v>
      </c>
      <c r="G3967" s="54">
        <v>1.486958016E7</v>
      </c>
      <c r="H3967" s="14">
        <f t="shared" si="11"/>
        <v>3122611.834</v>
      </c>
      <c r="I3967" s="22"/>
      <c r="J3967" s="22">
        <v>1486.96</v>
      </c>
      <c r="K3967" s="15">
        <f t="shared" si="12"/>
        <v>17993678.95</v>
      </c>
      <c r="L3967" s="45"/>
      <c r="M3967" s="6"/>
    </row>
    <row r="3968" ht="15.75" customHeight="1">
      <c r="A3968" s="162">
        <v>46213.0</v>
      </c>
      <c r="B3968" s="50"/>
      <c r="C3968" s="31" t="s">
        <v>1112</v>
      </c>
      <c r="D3968" s="32" t="s">
        <v>15</v>
      </c>
      <c r="E3968" s="31" t="s">
        <v>4283</v>
      </c>
      <c r="F3968" s="134">
        <v>46229.0</v>
      </c>
      <c r="G3968" s="54">
        <v>1.529654042E7</v>
      </c>
      <c r="H3968" s="14">
        <f t="shared" si="11"/>
        <v>3212273.488</v>
      </c>
      <c r="I3968" s="22"/>
      <c r="J3968" s="22">
        <v>1529.65</v>
      </c>
      <c r="K3968" s="15">
        <f t="shared" si="12"/>
        <v>18510343.56</v>
      </c>
      <c r="L3968" s="45"/>
      <c r="M3968" s="6"/>
    </row>
    <row r="3969" ht="15.75" customHeight="1">
      <c r="A3969" s="162">
        <v>46213.0</v>
      </c>
      <c r="B3969" s="50"/>
      <c r="C3969" s="31" t="s">
        <v>1112</v>
      </c>
      <c r="D3969" s="32" t="s">
        <v>15</v>
      </c>
      <c r="E3969" s="31" t="s">
        <v>4284</v>
      </c>
      <c r="F3969" s="134">
        <v>46229.0</v>
      </c>
      <c r="G3969" s="54">
        <v>1.528636015E7</v>
      </c>
      <c r="H3969" s="14">
        <f t="shared" si="11"/>
        <v>3210135.632</v>
      </c>
      <c r="I3969" s="22"/>
      <c r="J3969" s="22">
        <v>1528.64</v>
      </c>
      <c r="K3969" s="15">
        <f t="shared" si="12"/>
        <v>18498024.42</v>
      </c>
      <c r="L3969" s="45"/>
      <c r="M3969" s="6"/>
    </row>
    <row r="3970" ht="15.75" customHeight="1">
      <c r="A3970" s="162">
        <v>46213.0</v>
      </c>
      <c r="B3970" s="50"/>
      <c r="C3970" s="31" t="s">
        <v>1112</v>
      </c>
      <c r="D3970" s="32" t="s">
        <v>15</v>
      </c>
      <c r="E3970" s="31" t="s">
        <v>4285</v>
      </c>
      <c r="F3970" s="134">
        <v>46229.0</v>
      </c>
      <c r="G3970" s="54">
        <v>1.455852075E7</v>
      </c>
      <c r="H3970" s="14">
        <f t="shared" si="11"/>
        <v>3057289.358</v>
      </c>
      <c r="I3970" s="22"/>
      <c r="J3970" s="22">
        <v>1455.85</v>
      </c>
      <c r="K3970" s="15">
        <f t="shared" si="12"/>
        <v>17617265.96</v>
      </c>
      <c r="L3970" s="45"/>
      <c r="M3970" s="6"/>
    </row>
    <row r="3971" ht="15.75" customHeight="1">
      <c r="A3971" s="162">
        <v>46213.0</v>
      </c>
      <c r="B3971" s="50"/>
      <c r="C3971" s="31" t="s">
        <v>1112</v>
      </c>
      <c r="D3971" s="32" t="s">
        <v>99</v>
      </c>
      <c r="E3971" s="32" t="s">
        <v>4286</v>
      </c>
      <c r="F3971" s="134">
        <v>46229.0</v>
      </c>
      <c r="G3971" s="54">
        <v>1.519825032E7</v>
      </c>
      <c r="H3971" s="14">
        <f t="shared" si="11"/>
        <v>3191632.567</v>
      </c>
      <c r="I3971" s="22"/>
      <c r="J3971" s="22">
        <v>1519.83</v>
      </c>
      <c r="K3971" s="15">
        <f t="shared" si="12"/>
        <v>18391402.72</v>
      </c>
      <c r="L3971" s="45"/>
      <c r="M3971" s="6"/>
    </row>
    <row r="3972" ht="15.75" customHeight="1">
      <c r="A3972" s="162">
        <v>46213.0</v>
      </c>
      <c r="B3972" s="50"/>
      <c r="C3972" s="31" t="s">
        <v>1112</v>
      </c>
      <c r="D3972" s="32" t="s">
        <v>99</v>
      </c>
      <c r="E3972" s="32" t="s">
        <v>4287</v>
      </c>
      <c r="F3972" s="134">
        <v>46229.0</v>
      </c>
      <c r="G3972" s="54">
        <v>1.478246026E7</v>
      </c>
      <c r="H3972" s="14">
        <f t="shared" si="11"/>
        <v>3104316.655</v>
      </c>
      <c r="I3972" s="22"/>
      <c r="J3972" s="22">
        <v>1478.25</v>
      </c>
      <c r="K3972" s="15">
        <f t="shared" si="12"/>
        <v>17888255.16</v>
      </c>
      <c r="L3972" s="45"/>
      <c r="M3972" s="6"/>
    </row>
    <row r="3973" ht="15.75" customHeight="1">
      <c r="A3973" s="162">
        <v>46213.0</v>
      </c>
      <c r="B3973" s="50"/>
      <c r="C3973" s="31" t="s">
        <v>1112</v>
      </c>
      <c r="D3973" s="32" t="s">
        <v>99</v>
      </c>
      <c r="E3973" s="32" t="s">
        <v>4288</v>
      </c>
      <c r="F3973" s="134">
        <v>46229.0</v>
      </c>
      <c r="G3973" s="54">
        <v>1.497557032E7</v>
      </c>
      <c r="H3973" s="14">
        <f t="shared" si="11"/>
        <v>3144869.767</v>
      </c>
      <c r="I3973" s="22"/>
      <c r="J3973" s="22">
        <v>1497.56</v>
      </c>
      <c r="K3973" s="15">
        <f t="shared" si="12"/>
        <v>18121937.65</v>
      </c>
      <c r="L3973" s="45"/>
      <c r="M3973" s="6"/>
    </row>
    <row r="3974" ht="15.75" customHeight="1">
      <c r="A3974" s="162">
        <v>46213.0</v>
      </c>
      <c r="B3974" s="50"/>
      <c r="C3974" s="31" t="s">
        <v>1112</v>
      </c>
      <c r="D3974" s="32" t="s">
        <v>99</v>
      </c>
      <c r="E3974" s="32" t="s">
        <v>4289</v>
      </c>
      <c r="F3974" s="134">
        <v>46229.0</v>
      </c>
      <c r="G3974" s="54">
        <v>1.505679063E7</v>
      </c>
      <c r="H3974" s="14">
        <f t="shared" si="11"/>
        <v>3161926.032</v>
      </c>
      <c r="I3974" s="22"/>
      <c r="J3974" s="22">
        <v>1505.68</v>
      </c>
      <c r="K3974" s="15">
        <f t="shared" si="12"/>
        <v>18220222.34</v>
      </c>
      <c r="L3974" s="45"/>
      <c r="M3974" s="6"/>
    </row>
    <row r="3975" ht="15.75" customHeight="1">
      <c r="A3975" s="162">
        <v>46213.0</v>
      </c>
      <c r="B3975" s="50"/>
      <c r="C3975" s="31" t="s">
        <v>3836</v>
      </c>
      <c r="D3975" s="32" t="s">
        <v>99</v>
      </c>
      <c r="E3975" s="31" t="s">
        <v>4290</v>
      </c>
      <c r="F3975" s="134">
        <v>46229.0</v>
      </c>
      <c r="G3975" s="54">
        <f>8048596.47/1.21</f>
        <v>6651732.62</v>
      </c>
      <c r="H3975" s="14">
        <f t="shared" si="11"/>
        <v>1396863.85</v>
      </c>
      <c r="I3975" s="22"/>
      <c r="J3975" s="22"/>
      <c r="K3975" s="15">
        <f t="shared" si="12"/>
        <v>8048596.47</v>
      </c>
      <c r="L3975" s="45"/>
      <c r="M3975" s="6"/>
    </row>
    <row r="3976" ht="15.75" customHeight="1">
      <c r="A3976" s="162">
        <v>46213.0</v>
      </c>
      <c r="B3976" s="50"/>
      <c r="C3976" s="31" t="s">
        <v>3385</v>
      </c>
      <c r="D3976" s="32" t="s">
        <v>15</v>
      </c>
      <c r="E3976" s="31" t="s">
        <v>4291</v>
      </c>
      <c r="F3976" s="134">
        <v>46229.0</v>
      </c>
      <c r="G3976" s="54">
        <v>5772105.16</v>
      </c>
      <c r="H3976" s="14">
        <f t="shared" si="11"/>
        <v>1212142.084</v>
      </c>
      <c r="I3976" s="22"/>
      <c r="J3976" s="22"/>
      <c r="K3976" s="15">
        <f t="shared" si="12"/>
        <v>6984247.244</v>
      </c>
      <c r="L3976" s="45"/>
      <c r="M3976" s="6"/>
    </row>
    <row r="3977" ht="15.75" customHeight="1">
      <c r="A3977" s="162">
        <v>46213.0</v>
      </c>
      <c r="B3977" s="50"/>
      <c r="C3977" s="32" t="s">
        <v>53</v>
      </c>
      <c r="D3977" s="32" t="s">
        <v>15</v>
      </c>
      <c r="E3977" s="31" t="s">
        <v>4292</v>
      </c>
      <c r="F3977" s="134">
        <v>46229.0</v>
      </c>
      <c r="G3977" s="54">
        <v>4151148.76</v>
      </c>
      <c r="H3977" s="14">
        <f t="shared" si="11"/>
        <v>871741.2396</v>
      </c>
      <c r="I3977" s="22"/>
      <c r="J3977" s="22"/>
      <c r="K3977" s="15">
        <f t="shared" si="12"/>
        <v>5022890</v>
      </c>
      <c r="L3977" s="45"/>
      <c r="M3977" s="6"/>
    </row>
    <row r="3978" ht="15.75" customHeight="1">
      <c r="A3978" s="162">
        <v>46213.0</v>
      </c>
      <c r="B3978" s="50"/>
      <c r="C3978" s="32" t="s">
        <v>3836</v>
      </c>
      <c r="D3978" s="32" t="s">
        <v>15</v>
      </c>
      <c r="E3978" s="32" t="s">
        <v>4293</v>
      </c>
      <c r="F3978" s="134">
        <v>46229.0</v>
      </c>
      <c r="G3978" s="54">
        <v>3.239704959E7</v>
      </c>
      <c r="H3978" s="14">
        <f t="shared" si="11"/>
        <v>6803380.414</v>
      </c>
      <c r="I3978" s="22"/>
      <c r="J3978" s="22"/>
      <c r="K3978" s="15">
        <f t="shared" si="12"/>
        <v>39200430</v>
      </c>
      <c r="L3978" s="45"/>
      <c r="M3978" s="6"/>
    </row>
    <row r="3979" ht="15.75" customHeight="1">
      <c r="A3979" s="162">
        <v>46213.0</v>
      </c>
      <c r="B3979" s="50"/>
      <c r="C3979" s="32" t="s">
        <v>53</v>
      </c>
      <c r="D3979" s="32" t="s">
        <v>15</v>
      </c>
      <c r="E3979" s="32" t="s">
        <v>4294</v>
      </c>
      <c r="F3979" s="134">
        <v>46229.0</v>
      </c>
      <c r="G3979" s="54">
        <v>1.240881818E7</v>
      </c>
      <c r="H3979" s="14">
        <f t="shared" si="11"/>
        <v>2605851.818</v>
      </c>
      <c r="I3979" s="22"/>
      <c r="J3979" s="22"/>
      <c r="K3979" s="15">
        <f t="shared" si="12"/>
        <v>15014670</v>
      </c>
      <c r="L3979" s="45"/>
      <c r="M3979" s="6"/>
    </row>
    <row r="3980" ht="15.75" customHeight="1">
      <c r="A3980" s="162">
        <v>46217.0</v>
      </c>
      <c r="B3980" s="50"/>
      <c r="C3980" s="31" t="s">
        <v>1312</v>
      </c>
      <c r="D3980" s="32" t="s">
        <v>15</v>
      </c>
      <c r="E3980" s="31" t="s">
        <v>4295</v>
      </c>
      <c r="F3980" s="134">
        <v>46229.0</v>
      </c>
      <c r="G3980" s="54">
        <v>1550650.23</v>
      </c>
      <c r="H3980" s="14">
        <f t="shared" si="11"/>
        <v>325636.5483</v>
      </c>
      <c r="I3980" s="22">
        <v>46519.51</v>
      </c>
      <c r="J3980" s="22"/>
      <c r="K3980" s="15">
        <f t="shared" si="12"/>
        <v>1922806.288</v>
      </c>
      <c r="L3980" s="45"/>
      <c r="M3980" s="6"/>
    </row>
    <row r="3981" ht="15.75" customHeight="1">
      <c r="A3981" s="162">
        <v>46217.0</v>
      </c>
      <c r="B3981" s="50"/>
      <c r="C3981" s="31" t="s">
        <v>1277</v>
      </c>
      <c r="D3981" s="32" t="s">
        <v>15</v>
      </c>
      <c r="E3981" s="31" t="s">
        <v>4296</v>
      </c>
      <c r="F3981" s="134">
        <v>46229.0</v>
      </c>
      <c r="G3981" s="54">
        <v>3820101.12</v>
      </c>
      <c r="H3981" s="14">
        <f t="shared" si="11"/>
        <v>802221.2352</v>
      </c>
      <c r="I3981" s="22">
        <v>114603.03</v>
      </c>
      <c r="J3981" s="22"/>
      <c r="K3981" s="15">
        <f t="shared" si="12"/>
        <v>4736925.385</v>
      </c>
      <c r="L3981" s="45"/>
      <c r="M3981" s="6"/>
    </row>
    <row r="3982" ht="15.75" customHeight="1">
      <c r="A3982" s="162">
        <v>46217.0</v>
      </c>
      <c r="B3982" s="50"/>
      <c r="C3982" s="31" t="s">
        <v>1279</v>
      </c>
      <c r="D3982" s="32" t="s">
        <v>15</v>
      </c>
      <c r="E3982" s="31" t="s">
        <v>4297</v>
      </c>
      <c r="F3982" s="134">
        <v>46229.0</v>
      </c>
      <c r="G3982" s="54">
        <v>5509402.65</v>
      </c>
      <c r="H3982" s="14">
        <f t="shared" si="11"/>
        <v>1156974.557</v>
      </c>
      <c r="I3982" s="22">
        <v>165282.08</v>
      </c>
      <c r="J3982" s="22"/>
      <c r="K3982" s="15">
        <f t="shared" si="12"/>
        <v>6831659.287</v>
      </c>
      <c r="L3982" s="45"/>
      <c r="M3982" s="6"/>
    </row>
    <row r="3983" ht="15.75" customHeight="1">
      <c r="A3983" s="162">
        <v>46217.0</v>
      </c>
      <c r="B3983" s="50"/>
      <c r="C3983" s="31" t="s">
        <v>1283</v>
      </c>
      <c r="D3983" s="32" t="s">
        <v>15</v>
      </c>
      <c r="E3983" s="31" t="s">
        <v>4298</v>
      </c>
      <c r="F3983" s="134">
        <v>46229.0</v>
      </c>
      <c r="G3983" s="54">
        <v>3515702.13</v>
      </c>
      <c r="H3983" s="14">
        <f t="shared" si="11"/>
        <v>738297.4473</v>
      </c>
      <c r="I3983" s="22">
        <v>105471.06</v>
      </c>
      <c r="J3983" s="22"/>
      <c r="K3983" s="15">
        <f t="shared" si="12"/>
        <v>4359470.637</v>
      </c>
      <c r="L3983" s="45"/>
      <c r="M3983" s="6"/>
    </row>
    <row r="3984" ht="15.75" customHeight="1">
      <c r="A3984" s="162">
        <v>46219.0</v>
      </c>
      <c r="B3984" s="50"/>
      <c r="C3984" s="31" t="s">
        <v>491</v>
      </c>
      <c r="D3984" s="32" t="s">
        <v>15</v>
      </c>
      <c r="E3984" s="31" t="s">
        <v>4299</v>
      </c>
      <c r="F3984" s="134">
        <v>46229.0</v>
      </c>
      <c r="G3984" s="54">
        <v>2.348725E7</v>
      </c>
      <c r="H3984" s="14">
        <f t="shared" si="11"/>
        <v>4932322.5</v>
      </c>
      <c r="I3984" s="22"/>
      <c r="J3984" s="22">
        <v>187898.0</v>
      </c>
      <c r="K3984" s="15">
        <f t="shared" si="12"/>
        <v>28607470.5</v>
      </c>
      <c r="L3984" s="45"/>
      <c r="M3984" s="6"/>
    </row>
    <row r="3985" ht="15.75" customHeight="1">
      <c r="A3985" s="162">
        <v>46219.0</v>
      </c>
      <c r="B3985" s="50"/>
      <c r="C3985" s="31" t="s">
        <v>1285</v>
      </c>
      <c r="D3985" s="32" t="s">
        <v>15</v>
      </c>
      <c r="E3985" s="31" t="s">
        <v>4300</v>
      </c>
      <c r="F3985" s="134">
        <v>46229.0</v>
      </c>
      <c r="G3985" s="54">
        <v>5007590.0</v>
      </c>
      <c r="H3985" s="14">
        <f t="shared" si="11"/>
        <v>1051593.9</v>
      </c>
      <c r="I3985" s="22"/>
      <c r="J3985" s="22"/>
      <c r="K3985" s="15">
        <f t="shared" si="12"/>
        <v>6059183.9</v>
      </c>
      <c r="L3985" s="45"/>
      <c r="M3985" s="6"/>
    </row>
    <row r="3986" ht="15.75" customHeight="1">
      <c r="A3986" s="162">
        <v>46219.0</v>
      </c>
      <c r="B3986" s="50"/>
      <c r="C3986" s="31" t="s">
        <v>567</v>
      </c>
      <c r="D3986" s="32" t="s">
        <v>15</v>
      </c>
      <c r="E3986" s="31" t="s">
        <v>4301</v>
      </c>
      <c r="F3986" s="134">
        <v>46229.0</v>
      </c>
      <c r="G3986" s="54">
        <v>3.825343401E7</v>
      </c>
      <c r="H3986" s="14">
        <f t="shared" si="11"/>
        <v>8033221.142</v>
      </c>
      <c r="I3986" s="22"/>
      <c r="J3986" s="22"/>
      <c r="K3986" s="15">
        <f t="shared" si="12"/>
        <v>46286655.15</v>
      </c>
      <c r="L3986" s="45"/>
      <c r="M3986" s="6"/>
    </row>
    <row r="3987" ht="15.75" customHeight="1">
      <c r="A3987" s="162">
        <v>46219.0</v>
      </c>
      <c r="B3987" s="50"/>
      <c r="C3987" s="31" t="s">
        <v>567</v>
      </c>
      <c r="D3987" s="32" t="s">
        <v>15</v>
      </c>
      <c r="E3987" s="31" t="s">
        <v>4302</v>
      </c>
      <c r="F3987" s="134">
        <v>46229.0</v>
      </c>
      <c r="G3987" s="54">
        <v>1.274345601E7</v>
      </c>
      <c r="H3987" s="14">
        <f t="shared" si="11"/>
        <v>2676125.762</v>
      </c>
      <c r="I3987" s="22"/>
      <c r="J3987" s="22"/>
      <c r="K3987" s="15">
        <f t="shared" si="12"/>
        <v>15419581.77</v>
      </c>
      <c r="L3987" s="45"/>
      <c r="M3987" s="6"/>
    </row>
    <row r="3988" ht="15.75" customHeight="1">
      <c r="A3988" s="162">
        <v>46219.0</v>
      </c>
      <c r="B3988" s="50"/>
      <c r="C3988" s="31" t="s">
        <v>491</v>
      </c>
      <c r="D3988" s="32" t="s">
        <v>99</v>
      </c>
      <c r="E3988" s="31" t="s">
        <v>4303</v>
      </c>
      <c r="F3988" s="134">
        <v>46229.0</v>
      </c>
      <c r="G3988" s="54">
        <v>2.52185E7</v>
      </c>
      <c r="H3988" s="14">
        <f t="shared" si="11"/>
        <v>5295885</v>
      </c>
      <c r="I3988" s="22"/>
      <c r="J3988" s="22">
        <v>201748.0</v>
      </c>
      <c r="K3988" s="15">
        <f t="shared" si="12"/>
        <v>30716133</v>
      </c>
      <c r="L3988" s="45"/>
      <c r="M3988" s="6"/>
    </row>
    <row r="3989" ht="15.75" customHeight="1">
      <c r="A3989" s="162">
        <v>46219.0</v>
      </c>
      <c r="B3989" s="50"/>
      <c r="C3989" s="31" t="s">
        <v>567</v>
      </c>
      <c r="D3989" s="32" t="s">
        <v>99</v>
      </c>
      <c r="E3989" s="31" t="s">
        <v>4304</v>
      </c>
      <c r="F3989" s="134">
        <v>46229.0</v>
      </c>
      <c r="G3989" s="54">
        <v>3.6225322E7</v>
      </c>
      <c r="H3989" s="14">
        <f t="shared" si="11"/>
        <v>7607317.62</v>
      </c>
      <c r="I3989" s="22"/>
      <c r="J3989" s="22"/>
      <c r="K3989" s="15">
        <f t="shared" si="12"/>
        <v>43832639.62</v>
      </c>
      <c r="L3989" s="45"/>
      <c r="M3989" s="6"/>
    </row>
    <row r="3990" ht="15.75" customHeight="1">
      <c r="A3990" s="162">
        <v>46219.0</v>
      </c>
      <c r="B3990" s="50"/>
      <c r="C3990" s="31" t="s">
        <v>567</v>
      </c>
      <c r="D3990" s="32" t="s">
        <v>99</v>
      </c>
      <c r="E3990" s="31" t="s">
        <v>4305</v>
      </c>
      <c r="F3990" s="134">
        <v>46229.0</v>
      </c>
      <c r="G3990" s="54">
        <v>1.429434701E7</v>
      </c>
      <c r="H3990" s="14">
        <f t="shared" si="11"/>
        <v>3001812.872</v>
      </c>
      <c r="I3990" s="22"/>
      <c r="J3990" s="22"/>
      <c r="K3990" s="15">
        <f t="shared" si="12"/>
        <v>17296159.88</v>
      </c>
      <c r="L3990" s="45"/>
      <c r="M3990" s="6"/>
    </row>
    <row r="3991" ht="15.75" customHeight="1">
      <c r="A3991" s="162">
        <v>46219.0</v>
      </c>
      <c r="B3991" s="50"/>
      <c r="C3991" s="31" t="s">
        <v>1279</v>
      </c>
      <c r="D3991" s="32" t="s">
        <v>99</v>
      </c>
      <c r="E3991" s="31" t="s">
        <v>4306</v>
      </c>
      <c r="F3991" s="134">
        <v>46229.0</v>
      </c>
      <c r="G3991" s="54">
        <v>5009500.0</v>
      </c>
      <c r="H3991" s="14">
        <f t="shared" si="11"/>
        <v>1051995</v>
      </c>
      <c r="I3991" s="22">
        <v>150285.0</v>
      </c>
      <c r="J3991" s="22"/>
      <c r="K3991" s="15">
        <f t="shared" si="12"/>
        <v>6211780</v>
      </c>
      <c r="L3991" s="45"/>
      <c r="M3991" s="6"/>
    </row>
    <row r="3992" ht="15.75" customHeight="1">
      <c r="A3992" s="218">
        <v>46219.0</v>
      </c>
      <c r="B3992" s="56"/>
      <c r="C3992" s="57" t="s">
        <v>1277</v>
      </c>
      <c r="D3992" s="58" t="s">
        <v>99</v>
      </c>
      <c r="E3992" s="57" t="s">
        <v>4307</v>
      </c>
      <c r="F3992" s="137">
        <v>46229.0</v>
      </c>
      <c r="G3992" s="155">
        <v>3080200.0</v>
      </c>
      <c r="H3992" s="9">
        <f t="shared" si="11"/>
        <v>646842</v>
      </c>
      <c r="I3992" s="44">
        <v>92406.0</v>
      </c>
      <c r="J3992" s="44"/>
      <c r="K3992" s="10">
        <f t="shared" si="12"/>
        <v>3819448</v>
      </c>
      <c r="L3992" s="61"/>
      <c r="M3992" s="62"/>
    </row>
    <row r="3993" ht="15.75" customHeight="1">
      <c r="A3993" s="162">
        <v>46219.0</v>
      </c>
      <c r="B3993" s="50"/>
      <c r="C3993" s="31" t="s">
        <v>1312</v>
      </c>
      <c r="D3993" s="32" t="s">
        <v>99</v>
      </c>
      <c r="E3993" s="31" t="s">
        <v>4308</v>
      </c>
      <c r="F3993" s="134">
        <v>46229.0</v>
      </c>
      <c r="G3993" s="54">
        <v>1050650.0</v>
      </c>
      <c r="H3993" s="14">
        <f t="shared" si="11"/>
        <v>220636.5</v>
      </c>
      <c r="I3993" s="22">
        <v>31519.5</v>
      </c>
      <c r="J3993" s="22"/>
      <c r="K3993" s="15">
        <f t="shared" si="12"/>
        <v>1302806</v>
      </c>
      <c r="L3993" s="45"/>
      <c r="M3993" s="6"/>
    </row>
    <row r="3994" ht="15.75" customHeight="1">
      <c r="A3994" s="162">
        <v>46220.0</v>
      </c>
      <c r="B3994" s="50"/>
      <c r="C3994" s="31" t="s">
        <v>1283</v>
      </c>
      <c r="D3994" s="32" t="s">
        <v>99</v>
      </c>
      <c r="E3994" s="31" t="s">
        <v>4309</v>
      </c>
      <c r="F3994" s="134">
        <v>46229.0</v>
      </c>
      <c r="G3994" s="54">
        <v>3015700.0</v>
      </c>
      <c r="H3994" s="14">
        <f t="shared" si="11"/>
        <v>633297</v>
      </c>
      <c r="I3994" s="22">
        <v>90471.0</v>
      </c>
      <c r="J3994" s="22"/>
      <c r="K3994" s="15">
        <f t="shared" si="12"/>
        <v>3739468</v>
      </c>
      <c r="L3994" s="45"/>
      <c r="M3994" s="6"/>
    </row>
    <row r="3995" ht="15.75" customHeight="1">
      <c r="A3995" s="162">
        <v>46220.0</v>
      </c>
      <c r="B3995" s="50"/>
      <c r="C3995" s="31" t="s">
        <v>1281</v>
      </c>
      <c r="D3995" s="32" t="s">
        <v>99</v>
      </c>
      <c r="E3995" s="31" t="s">
        <v>4310</v>
      </c>
      <c r="F3995" s="134">
        <v>46229.0</v>
      </c>
      <c r="G3995" s="54">
        <v>1660900.0</v>
      </c>
      <c r="H3995" s="14">
        <f t="shared" si="11"/>
        <v>348789</v>
      </c>
      <c r="I3995" s="22">
        <v>49827.0</v>
      </c>
      <c r="J3995" s="22"/>
      <c r="K3995" s="15">
        <f t="shared" si="12"/>
        <v>2059516</v>
      </c>
      <c r="L3995" s="45"/>
      <c r="M3995" s="6"/>
    </row>
    <row r="3996" ht="15.75" customHeight="1">
      <c r="A3996" s="162">
        <v>46220.0</v>
      </c>
      <c r="B3996" s="50"/>
      <c r="C3996" s="31" t="s">
        <v>1279</v>
      </c>
      <c r="D3996" s="32" t="s">
        <v>99</v>
      </c>
      <c r="E3996" s="31" t="s">
        <v>4306</v>
      </c>
      <c r="F3996" s="134">
        <v>46229.0</v>
      </c>
      <c r="G3996" s="54">
        <v>5009500.0</v>
      </c>
      <c r="H3996" s="14">
        <f t="shared" si="11"/>
        <v>1051995</v>
      </c>
      <c r="I3996" s="22">
        <v>150285.0</v>
      </c>
      <c r="J3996" s="22"/>
      <c r="K3996" s="15">
        <f t="shared" si="12"/>
        <v>6211780</v>
      </c>
      <c r="L3996" s="45"/>
      <c r="M3996" s="6"/>
    </row>
    <row r="3997" ht="15.75" customHeight="1">
      <c r="A3997" s="218">
        <v>46220.0</v>
      </c>
      <c r="B3997" s="56"/>
      <c r="C3997" s="57" t="s">
        <v>1277</v>
      </c>
      <c r="D3997" s="58" t="s">
        <v>99</v>
      </c>
      <c r="E3997" s="57" t="s">
        <v>4307</v>
      </c>
      <c r="F3997" s="137">
        <v>46229.0</v>
      </c>
      <c r="G3997" s="155">
        <v>3080200.0</v>
      </c>
      <c r="H3997" s="9">
        <f t="shared" si="11"/>
        <v>646842</v>
      </c>
      <c r="I3997" s="44">
        <v>92406.0</v>
      </c>
      <c r="J3997" s="44"/>
      <c r="K3997" s="10">
        <f t="shared" si="12"/>
        <v>3819448</v>
      </c>
      <c r="L3997" s="61"/>
      <c r="M3997" s="62"/>
    </row>
    <row r="3998" ht="15.75" customHeight="1">
      <c r="A3998" s="162">
        <v>46220.0</v>
      </c>
      <c r="B3998" s="50"/>
      <c r="C3998" s="31" t="s">
        <v>1312</v>
      </c>
      <c r="D3998" s="32" t="s">
        <v>99</v>
      </c>
      <c r="E3998" s="31" t="s">
        <v>4308</v>
      </c>
      <c r="F3998" s="134">
        <v>46229.0</v>
      </c>
      <c r="G3998" s="54">
        <v>1050650.0</v>
      </c>
      <c r="H3998" s="14">
        <f t="shared" si="11"/>
        <v>220636.5</v>
      </c>
      <c r="I3998" s="22">
        <v>31519.5</v>
      </c>
      <c r="J3998" s="22"/>
      <c r="K3998" s="15">
        <f t="shared" si="12"/>
        <v>1302806</v>
      </c>
      <c r="L3998" s="45"/>
      <c r="M3998" s="6"/>
    </row>
    <row r="3999" ht="15.75" customHeight="1">
      <c r="A3999" s="162">
        <v>46220.0</v>
      </c>
      <c r="B3999" s="50"/>
      <c r="C3999" s="31" t="s">
        <v>491</v>
      </c>
      <c r="D3999" s="32" t="s">
        <v>15</v>
      </c>
      <c r="E3999" s="31" t="s">
        <v>4299</v>
      </c>
      <c r="F3999" s="134">
        <v>46229.0</v>
      </c>
      <c r="G3999" s="54">
        <v>2.348725E7</v>
      </c>
      <c r="H3999" s="14">
        <f t="shared" si="11"/>
        <v>4932322.5</v>
      </c>
      <c r="I3999" s="22"/>
      <c r="J3999" s="22">
        <v>187898.0</v>
      </c>
      <c r="K3999" s="15">
        <f t="shared" si="12"/>
        <v>28607470.5</v>
      </c>
      <c r="L3999" s="45"/>
      <c r="M3999" s="6"/>
    </row>
    <row r="4000" ht="15.75" customHeight="1">
      <c r="A4000" s="162">
        <v>46220.0</v>
      </c>
      <c r="B4000" s="50"/>
      <c r="C4000" s="31" t="s">
        <v>1285</v>
      </c>
      <c r="D4000" s="32" t="s">
        <v>15</v>
      </c>
      <c r="E4000" s="31" t="s">
        <v>4300</v>
      </c>
      <c r="F4000" s="134">
        <v>46229.0</v>
      </c>
      <c r="G4000" s="54">
        <v>5007590.0</v>
      </c>
      <c r="H4000" s="14">
        <f t="shared" si="11"/>
        <v>1051593.9</v>
      </c>
      <c r="I4000" s="22"/>
      <c r="J4000" s="22"/>
      <c r="K4000" s="15">
        <f t="shared" si="12"/>
        <v>6059183.9</v>
      </c>
      <c r="L4000" s="45"/>
      <c r="M4000" s="6"/>
    </row>
    <row r="4001" ht="15.75" customHeight="1">
      <c r="A4001" s="162">
        <v>46220.0</v>
      </c>
      <c r="B4001" s="50"/>
      <c r="C4001" s="31" t="s">
        <v>196</v>
      </c>
      <c r="D4001" s="32" t="s">
        <v>15</v>
      </c>
      <c r="E4001" s="31" t="s">
        <v>4311</v>
      </c>
      <c r="F4001" s="134">
        <v>46229.0</v>
      </c>
      <c r="G4001" s="54">
        <v>2090122.36</v>
      </c>
      <c r="H4001" s="14">
        <f t="shared" si="11"/>
        <v>438925.6956</v>
      </c>
      <c r="I4001" s="22"/>
      <c r="J4001" s="22"/>
      <c r="K4001" s="15">
        <f t="shared" si="12"/>
        <v>2529048.056</v>
      </c>
      <c r="L4001" s="45"/>
      <c r="M4001" s="6"/>
    </row>
    <row r="4002" ht="15.75" customHeight="1">
      <c r="A4002" s="162">
        <v>46220.0</v>
      </c>
      <c r="B4002" s="50"/>
      <c r="C4002" s="31" t="s">
        <v>1183</v>
      </c>
      <c r="D4002" s="32" t="s">
        <v>15</v>
      </c>
      <c r="E4002" s="31" t="s">
        <v>4312</v>
      </c>
      <c r="F4002" s="134">
        <v>46229.0</v>
      </c>
      <c r="G4002" s="54">
        <v>1.203246008E7</v>
      </c>
      <c r="H4002" s="14">
        <f t="shared" si="11"/>
        <v>2526816.617</v>
      </c>
      <c r="I4002" s="22">
        <v>360973.8</v>
      </c>
      <c r="J4002" s="22"/>
      <c r="K4002" s="15">
        <f t="shared" si="12"/>
        <v>14920250.5</v>
      </c>
      <c r="L4002" s="45"/>
      <c r="M4002" s="6"/>
    </row>
    <row r="4003" ht="15.75" customHeight="1">
      <c r="A4003" s="162">
        <v>46220.0</v>
      </c>
      <c r="B4003" s="50"/>
      <c r="C4003" s="31" t="s">
        <v>1183</v>
      </c>
      <c r="D4003" s="32" t="s">
        <v>15</v>
      </c>
      <c r="E4003" s="31" t="s">
        <v>4313</v>
      </c>
      <c r="F4003" s="134">
        <v>46229.0</v>
      </c>
      <c r="G4003" s="54">
        <v>8129890.02</v>
      </c>
      <c r="H4003" s="14">
        <f t="shared" si="11"/>
        <v>1707276.904</v>
      </c>
      <c r="I4003" s="22">
        <v>243896.7</v>
      </c>
      <c r="J4003" s="22"/>
      <c r="K4003" s="15">
        <f t="shared" si="12"/>
        <v>10081063.62</v>
      </c>
      <c r="L4003" s="45"/>
      <c r="M4003" s="6"/>
    </row>
    <row r="4004" ht="15.75" customHeight="1">
      <c r="A4004" s="162">
        <v>46220.0</v>
      </c>
      <c r="B4004" s="50"/>
      <c r="C4004" s="31" t="s">
        <v>1183</v>
      </c>
      <c r="D4004" s="32" t="s">
        <v>15</v>
      </c>
      <c r="E4004" s="31" t="s">
        <v>4314</v>
      </c>
      <c r="F4004" s="134">
        <v>46229.0</v>
      </c>
      <c r="G4004" s="54">
        <v>9794685.78</v>
      </c>
      <c r="H4004" s="14">
        <f t="shared" si="11"/>
        <v>2056884.014</v>
      </c>
      <c r="I4004" s="22">
        <v>293840.57</v>
      </c>
      <c r="J4004" s="22"/>
      <c r="K4004" s="15">
        <f t="shared" si="12"/>
        <v>12145410.36</v>
      </c>
      <c r="L4004" s="45"/>
      <c r="M4004" s="6"/>
    </row>
    <row r="4005" ht="15.75" customHeight="1">
      <c r="A4005" s="162">
        <v>46220.0</v>
      </c>
      <c r="B4005" s="50"/>
      <c r="C4005" s="31" t="s">
        <v>1183</v>
      </c>
      <c r="D4005" s="32" t="s">
        <v>15</v>
      </c>
      <c r="E4005" s="31" t="s">
        <v>4315</v>
      </c>
      <c r="F4005" s="134">
        <v>46229.0</v>
      </c>
      <c r="G4005" s="54">
        <v>1.040100495E7</v>
      </c>
      <c r="H4005" s="14">
        <f t="shared" si="11"/>
        <v>2184211.04</v>
      </c>
      <c r="I4005" s="22">
        <v>312030.15</v>
      </c>
      <c r="J4005" s="22"/>
      <c r="K4005" s="15">
        <f t="shared" si="12"/>
        <v>12897246.14</v>
      </c>
      <c r="L4005" s="45"/>
      <c r="M4005" s="6"/>
    </row>
    <row r="4006" ht="15.75" customHeight="1">
      <c r="A4006" s="162">
        <v>46220.0</v>
      </c>
      <c r="B4006" s="50"/>
      <c r="C4006" s="31" t="s">
        <v>1183</v>
      </c>
      <c r="D4006" s="32" t="s">
        <v>15</v>
      </c>
      <c r="E4006" s="31" t="s">
        <v>4316</v>
      </c>
      <c r="F4006" s="134">
        <v>46229.0</v>
      </c>
      <c r="G4006" s="54">
        <v>9349928.14</v>
      </c>
      <c r="H4006" s="14">
        <f t="shared" si="11"/>
        <v>1963484.909</v>
      </c>
      <c r="I4006" s="22">
        <v>280497.84</v>
      </c>
      <c r="J4006" s="22"/>
      <c r="K4006" s="15">
        <f t="shared" si="12"/>
        <v>11593910.89</v>
      </c>
      <c r="L4006" s="45"/>
      <c r="M4006" s="6"/>
    </row>
    <row r="4007" ht="15.75" customHeight="1">
      <c r="A4007" s="162">
        <v>46220.0</v>
      </c>
      <c r="B4007" s="50"/>
      <c r="C4007" s="31" t="s">
        <v>1183</v>
      </c>
      <c r="D4007" s="32" t="s">
        <v>15</v>
      </c>
      <c r="E4007" s="32" t="s">
        <v>4317</v>
      </c>
      <c r="F4007" s="134">
        <v>46229.0</v>
      </c>
      <c r="G4007" s="54">
        <v>1.197164859E7</v>
      </c>
      <c r="H4007" s="14">
        <f t="shared" si="11"/>
        <v>2514046.204</v>
      </c>
      <c r="I4007" s="22">
        <v>359149.46</v>
      </c>
      <c r="J4007" s="22"/>
      <c r="K4007" s="15">
        <f t="shared" si="12"/>
        <v>14844844.25</v>
      </c>
      <c r="L4007" s="45"/>
      <c r="M4007" s="6"/>
    </row>
    <row r="4008" ht="15.75" customHeight="1">
      <c r="A4008" s="162">
        <v>46220.0</v>
      </c>
      <c r="B4008" s="50"/>
      <c r="C4008" s="31" t="s">
        <v>1183</v>
      </c>
      <c r="D4008" s="32" t="s">
        <v>99</v>
      </c>
      <c r="E4008" s="31" t="s">
        <v>4318</v>
      </c>
      <c r="F4008" s="134">
        <v>46229.0</v>
      </c>
      <c r="G4008" s="54">
        <v>1.115246116E7</v>
      </c>
      <c r="H4008" s="14">
        <f t="shared" si="11"/>
        <v>2342016.844</v>
      </c>
      <c r="I4008" s="22">
        <v>334573.83</v>
      </c>
      <c r="J4008" s="22"/>
      <c r="K4008" s="15">
        <f t="shared" si="12"/>
        <v>13829051.83</v>
      </c>
      <c r="L4008" s="45"/>
      <c r="M4008" s="6"/>
    </row>
    <row r="4009" ht="15.75" customHeight="1">
      <c r="A4009" s="162">
        <v>46220.0</v>
      </c>
      <c r="B4009" s="50"/>
      <c r="C4009" s="31" t="s">
        <v>1183</v>
      </c>
      <c r="D4009" s="32" t="s">
        <v>99</v>
      </c>
      <c r="E4009" s="31" t="s">
        <v>4319</v>
      </c>
      <c r="F4009" s="134">
        <v>46229.0</v>
      </c>
      <c r="G4009" s="54">
        <v>1.131062026E7</v>
      </c>
      <c r="H4009" s="14">
        <f t="shared" si="11"/>
        <v>2375230.255</v>
      </c>
      <c r="I4009" s="22">
        <v>339318.61</v>
      </c>
      <c r="J4009" s="22"/>
      <c r="K4009" s="15">
        <f t="shared" si="12"/>
        <v>14025169.12</v>
      </c>
      <c r="L4009" s="45"/>
      <c r="M4009" s="6"/>
    </row>
    <row r="4010" ht="15.75" customHeight="1">
      <c r="A4010" s="162">
        <v>46220.0</v>
      </c>
      <c r="B4010" s="50"/>
      <c r="C4010" s="31" t="s">
        <v>1183</v>
      </c>
      <c r="D4010" s="32" t="s">
        <v>99</v>
      </c>
      <c r="E4010" s="31" t="s">
        <v>4320</v>
      </c>
      <c r="F4010" s="134">
        <v>46229.0</v>
      </c>
      <c r="G4010" s="54">
        <v>9761220.32</v>
      </c>
      <c r="H4010" s="14">
        <f t="shared" si="11"/>
        <v>2049856.267</v>
      </c>
      <c r="I4010" s="22">
        <v>292836.61</v>
      </c>
      <c r="J4010" s="22"/>
      <c r="K4010" s="15">
        <f t="shared" si="12"/>
        <v>12103913.2</v>
      </c>
      <c r="L4010" s="45"/>
      <c r="M4010" s="6"/>
    </row>
    <row r="4011" ht="15.75" customHeight="1">
      <c r="A4011" s="162">
        <v>46220.0</v>
      </c>
      <c r="B4011" s="50"/>
      <c r="C4011" s="31" t="s">
        <v>1183</v>
      </c>
      <c r="D4011" s="32" t="s">
        <v>99</v>
      </c>
      <c r="E4011" s="32" t="s">
        <v>4321</v>
      </c>
      <c r="F4011" s="134">
        <v>46229.0</v>
      </c>
      <c r="G4011" s="54">
        <v>7902894.13</v>
      </c>
      <c r="H4011" s="14">
        <f t="shared" si="11"/>
        <v>1659607.767</v>
      </c>
      <c r="I4011" s="22">
        <v>237086.82</v>
      </c>
      <c r="J4011" s="22"/>
      <c r="K4011" s="15">
        <f t="shared" si="12"/>
        <v>9799588.717</v>
      </c>
      <c r="L4011" s="45"/>
      <c r="M4011" s="6"/>
    </row>
    <row r="4012" ht="15.75" customHeight="1">
      <c r="A4012" s="162">
        <v>46220.0</v>
      </c>
      <c r="B4012" s="50"/>
      <c r="C4012" s="31" t="s">
        <v>1312</v>
      </c>
      <c r="D4012" s="32" t="s">
        <v>15</v>
      </c>
      <c r="E4012" s="31" t="s">
        <v>4322</v>
      </c>
      <c r="F4012" s="134">
        <v>46229.0</v>
      </c>
      <c r="G4012" s="54">
        <v>1050802.16</v>
      </c>
      <c r="H4012" s="14">
        <f t="shared" si="11"/>
        <v>220668.4536</v>
      </c>
      <c r="I4012" s="22">
        <v>31524.06</v>
      </c>
      <c r="J4012" s="22"/>
      <c r="K4012" s="15">
        <f t="shared" si="12"/>
        <v>1302994.674</v>
      </c>
      <c r="L4012" s="45"/>
      <c r="M4012" s="6"/>
    </row>
    <row r="4013" ht="15.75" customHeight="1">
      <c r="A4013" s="162">
        <v>46220.0</v>
      </c>
      <c r="B4013" s="50"/>
      <c r="C4013" s="31" t="s">
        <v>1277</v>
      </c>
      <c r="D4013" s="32" t="s">
        <v>15</v>
      </c>
      <c r="E4013" s="31" t="s">
        <v>4323</v>
      </c>
      <c r="F4013" s="134">
        <v>46229.0</v>
      </c>
      <c r="G4013" s="54">
        <v>4080902.13</v>
      </c>
      <c r="H4013" s="14">
        <f t="shared" si="11"/>
        <v>856989.4473</v>
      </c>
      <c r="I4013" s="22">
        <v>122427.06</v>
      </c>
      <c r="J4013" s="22"/>
      <c r="K4013" s="15">
        <f t="shared" si="12"/>
        <v>5060318.637</v>
      </c>
      <c r="L4013" s="45"/>
      <c r="M4013" s="6"/>
    </row>
    <row r="4014" ht="15.75" customHeight="1">
      <c r="A4014" s="162">
        <v>46220.0</v>
      </c>
      <c r="B4014" s="50"/>
      <c r="C4014" s="31" t="s">
        <v>1279</v>
      </c>
      <c r="D4014" s="32" t="s">
        <v>15</v>
      </c>
      <c r="E4014" s="31" t="s">
        <v>4324</v>
      </c>
      <c r="F4014" s="134">
        <v>46229.0</v>
      </c>
      <c r="G4014" s="54">
        <v>6709502.63</v>
      </c>
      <c r="H4014" s="14">
        <f t="shared" si="11"/>
        <v>1408995.552</v>
      </c>
      <c r="I4014" s="22">
        <v>201285.08</v>
      </c>
      <c r="J4014" s="22"/>
      <c r="K4014" s="15">
        <f t="shared" si="12"/>
        <v>8319783.262</v>
      </c>
      <c r="L4014" s="45"/>
      <c r="M4014" s="6"/>
    </row>
    <row r="4015" ht="15.75" customHeight="1">
      <c r="A4015" s="162">
        <v>46220.0</v>
      </c>
      <c r="B4015" s="50"/>
      <c r="C4015" s="31" t="s">
        <v>1279</v>
      </c>
      <c r="D4015" s="32" t="s">
        <v>15</v>
      </c>
      <c r="E4015" s="32" t="s">
        <v>4325</v>
      </c>
      <c r="F4015" s="134">
        <v>46229.0</v>
      </c>
      <c r="G4015" s="54">
        <v>7020150.29</v>
      </c>
      <c r="H4015" s="14">
        <f t="shared" si="11"/>
        <v>1474231.561</v>
      </c>
      <c r="I4015" s="22">
        <v>210604.51</v>
      </c>
      <c r="J4015" s="22"/>
      <c r="K4015" s="15">
        <f t="shared" si="12"/>
        <v>8704986.361</v>
      </c>
      <c r="L4015" s="45"/>
      <c r="M4015" s="6"/>
    </row>
    <row r="4016" ht="15.75" customHeight="1">
      <c r="A4016" s="162">
        <v>46220.0</v>
      </c>
      <c r="B4016" s="50"/>
      <c r="C4016" s="31" t="s">
        <v>1283</v>
      </c>
      <c r="D4016" s="32" t="s">
        <v>15</v>
      </c>
      <c r="E4016" s="31" t="s">
        <v>4326</v>
      </c>
      <c r="F4016" s="134">
        <v>46229.0</v>
      </c>
      <c r="G4016" s="54">
        <v>3025502.6</v>
      </c>
      <c r="H4016" s="14">
        <f t="shared" si="11"/>
        <v>635355.546</v>
      </c>
      <c r="I4016" s="22">
        <v>90765.06</v>
      </c>
      <c r="J4016" s="22"/>
      <c r="K4016" s="15">
        <f t="shared" si="12"/>
        <v>3751623.206</v>
      </c>
      <c r="L4016" s="45"/>
      <c r="M4016" s="6"/>
    </row>
    <row r="4017" ht="15.75" customHeight="1">
      <c r="A4017" s="162">
        <v>46221.0</v>
      </c>
      <c r="B4017" s="50"/>
      <c r="C4017" s="31" t="s">
        <v>973</v>
      </c>
      <c r="D4017" s="32" t="s">
        <v>15</v>
      </c>
      <c r="E4017" s="31" t="s">
        <v>4327</v>
      </c>
      <c r="F4017" s="134">
        <v>46229.0</v>
      </c>
      <c r="G4017" s="54">
        <v>1.933762353E7</v>
      </c>
      <c r="H4017" s="14">
        <f t="shared" si="11"/>
        <v>4060900.941</v>
      </c>
      <c r="I4017" s="22">
        <v>580128.71</v>
      </c>
      <c r="J4017" s="22">
        <v>174038.61</v>
      </c>
      <c r="K4017" s="15">
        <f t="shared" si="12"/>
        <v>24152691.79</v>
      </c>
      <c r="L4017" s="45"/>
      <c r="M4017" s="6"/>
    </row>
    <row r="4018" ht="15.75" customHeight="1">
      <c r="A4018" s="162">
        <v>46221.0</v>
      </c>
      <c r="B4018" s="50"/>
      <c r="C4018" s="31" t="s">
        <v>973</v>
      </c>
      <c r="D4018" s="32" t="s">
        <v>15</v>
      </c>
      <c r="E4018" s="31" t="s">
        <v>4328</v>
      </c>
      <c r="F4018" s="134">
        <v>46229.0</v>
      </c>
      <c r="G4018" s="54">
        <v>1.782733216E7</v>
      </c>
      <c r="H4018" s="14">
        <f t="shared" si="11"/>
        <v>3743739.754</v>
      </c>
      <c r="I4018" s="22">
        <v>534819.96</v>
      </c>
      <c r="J4018" s="22">
        <v>160445.99</v>
      </c>
      <c r="K4018" s="15">
        <f t="shared" si="12"/>
        <v>22266337.86</v>
      </c>
      <c r="L4018" s="45"/>
      <c r="M4018" s="6"/>
    </row>
    <row r="4019" ht="15.75" customHeight="1">
      <c r="A4019" s="162">
        <v>46221.0</v>
      </c>
      <c r="B4019" s="50"/>
      <c r="C4019" s="31" t="s">
        <v>973</v>
      </c>
      <c r="D4019" s="32" t="s">
        <v>15</v>
      </c>
      <c r="E4019" s="31" t="s">
        <v>4329</v>
      </c>
      <c r="F4019" s="134">
        <v>46229.0</v>
      </c>
      <c r="G4019" s="54">
        <v>1.344003229E7</v>
      </c>
      <c r="H4019" s="14">
        <f t="shared" si="11"/>
        <v>2822406.781</v>
      </c>
      <c r="I4019" s="22">
        <v>403200.97</v>
      </c>
      <c r="J4019" s="22">
        <v>120960.29</v>
      </c>
      <c r="K4019" s="15">
        <f t="shared" si="12"/>
        <v>16786600.33</v>
      </c>
      <c r="L4019" s="45"/>
      <c r="M4019" s="6"/>
    </row>
    <row r="4020" ht="15.75" customHeight="1">
      <c r="A4020" s="162">
        <v>46221.0</v>
      </c>
      <c r="B4020" s="50"/>
      <c r="C4020" s="31" t="s">
        <v>973</v>
      </c>
      <c r="D4020" s="32" t="s">
        <v>15</v>
      </c>
      <c r="E4020" s="31" t="s">
        <v>4330</v>
      </c>
      <c r="F4020" s="134">
        <v>46229.0</v>
      </c>
      <c r="G4020" s="54">
        <v>1.639920179E7</v>
      </c>
      <c r="H4020" s="14">
        <f t="shared" si="11"/>
        <v>3443832.376</v>
      </c>
      <c r="I4020" s="22">
        <v>491976.05</v>
      </c>
      <c r="J4020" s="22">
        <v>147592.82</v>
      </c>
      <c r="K4020" s="15">
        <f t="shared" si="12"/>
        <v>20482603.04</v>
      </c>
      <c r="L4020" s="45"/>
      <c r="M4020" s="6"/>
    </row>
    <row r="4021" ht="15.75" customHeight="1">
      <c r="A4021" s="162">
        <v>46221.0</v>
      </c>
      <c r="B4021" s="50"/>
      <c r="C4021" s="31" t="s">
        <v>973</v>
      </c>
      <c r="D4021" s="32" t="s">
        <v>15</v>
      </c>
      <c r="E4021" s="31" t="s">
        <v>4331</v>
      </c>
      <c r="F4021" s="134">
        <v>46229.0</v>
      </c>
      <c r="G4021" s="54">
        <v>1.833362363E7</v>
      </c>
      <c r="H4021" s="14">
        <f t="shared" si="11"/>
        <v>3850060.962</v>
      </c>
      <c r="I4021" s="22">
        <v>550008.71</v>
      </c>
      <c r="J4021" s="22">
        <v>165002.61</v>
      </c>
      <c r="K4021" s="15">
        <f t="shared" si="12"/>
        <v>22898695.91</v>
      </c>
      <c r="L4021" s="45"/>
      <c r="M4021" s="6"/>
    </row>
    <row r="4022" ht="15.75" customHeight="1">
      <c r="A4022" s="162">
        <v>46221.0</v>
      </c>
      <c r="B4022" s="50"/>
      <c r="C4022" s="31" t="s">
        <v>973</v>
      </c>
      <c r="D4022" s="32" t="s">
        <v>15</v>
      </c>
      <c r="E4022" s="31" t="s">
        <v>4332</v>
      </c>
      <c r="F4022" s="134">
        <v>46229.0</v>
      </c>
      <c r="G4022" s="54">
        <v>1.170922228E7</v>
      </c>
      <c r="H4022" s="14">
        <f t="shared" si="11"/>
        <v>2458936.679</v>
      </c>
      <c r="I4022" s="22">
        <v>351276.67</v>
      </c>
      <c r="J4022" s="22">
        <v>105383.0</v>
      </c>
      <c r="K4022" s="15">
        <f t="shared" si="12"/>
        <v>14624818.63</v>
      </c>
      <c r="L4022" s="45"/>
      <c r="M4022" s="6"/>
    </row>
    <row r="4023" ht="15.75" customHeight="1">
      <c r="A4023" s="162">
        <v>46221.0</v>
      </c>
      <c r="B4023" s="50"/>
      <c r="C4023" s="31" t="s">
        <v>973</v>
      </c>
      <c r="D4023" s="32" t="s">
        <v>15</v>
      </c>
      <c r="E4023" s="31" t="s">
        <v>4333</v>
      </c>
      <c r="F4023" s="134">
        <v>46229.0</v>
      </c>
      <c r="G4023" s="54">
        <v>2.209175037E7</v>
      </c>
      <c r="H4023" s="14">
        <f t="shared" si="11"/>
        <v>4639267.578</v>
      </c>
      <c r="I4023" s="22">
        <v>662752.51</v>
      </c>
      <c r="J4023" s="22">
        <v>198825.75</v>
      </c>
      <c r="K4023" s="15">
        <f t="shared" si="12"/>
        <v>27592596.21</v>
      </c>
      <c r="L4023" s="45"/>
      <c r="M4023" s="6"/>
    </row>
    <row r="4024" ht="15.75" customHeight="1">
      <c r="A4024" s="162">
        <v>46221.0</v>
      </c>
      <c r="B4024" s="50"/>
      <c r="C4024" s="31" t="s">
        <v>973</v>
      </c>
      <c r="D4024" s="32" t="s">
        <v>15</v>
      </c>
      <c r="E4024" s="31" t="s">
        <v>4334</v>
      </c>
      <c r="F4024" s="134">
        <v>46229.0</v>
      </c>
      <c r="G4024" s="54">
        <v>3.500822362E7</v>
      </c>
      <c r="H4024" s="14">
        <f t="shared" si="11"/>
        <v>7351726.96</v>
      </c>
      <c r="I4024" s="22">
        <v>1050246.71</v>
      </c>
      <c r="J4024" s="22">
        <v>315074.01</v>
      </c>
      <c r="K4024" s="15">
        <f t="shared" si="12"/>
        <v>43725271.3</v>
      </c>
      <c r="L4024" s="45"/>
      <c r="M4024" s="6"/>
    </row>
    <row r="4025" ht="15.75" customHeight="1">
      <c r="A4025" s="162">
        <v>46221.0</v>
      </c>
      <c r="B4025" s="50"/>
      <c r="C4025" s="31" t="s">
        <v>973</v>
      </c>
      <c r="D4025" s="32" t="s">
        <v>15</v>
      </c>
      <c r="E4025" s="32" t="s">
        <v>4335</v>
      </c>
      <c r="F4025" s="134">
        <v>46229.0</v>
      </c>
      <c r="G4025" s="54">
        <v>2.682772163E7</v>
      </c>
      <c r="H4025" s="14">
        <f t="shared" si="11"/>
        <v>5633821.542</v>
      </c>
      <c r="I4025" s="22">
        <v>804831.65</v>
      </c>
      <c r="J4025" s="22">
        <v>241449.49</v>
      </c>
      <c r="K4025" s="15">
        <f t="shared" si="12"/>
        <v>33507824.31</v>
      </c>
      <c r="L4025" s="45"/>
      <c r="M4025" s="6"/>
    </row>
    <row r="4026" ht="15.75" customHeight="1">
      <c r="A4026" s="162">
        <v>46221.0</v>
      </c>
      <c r="B4026" s="50"/>
      <c r="C4026" s="31" t="s">
        <v>973</v>
      </c>
      <c r="D4026" s="32" t="s">
        <v>99</v>
      </c>
      <c r="E4026" s="32" t="s">
        <v>4336</v>
      </c>
      <c r="F4026" s="134">
        <v>46229.0</v>
      </c>
      <c r="G4026" s="54">
        <v>7870123.28</v>
      </c>
      <c r="H4026" s="14">
        <f t="shared" si="11"/>
        <v>1652725.889</v>
      </c>
      <c r="I4026" s="22">
        <v>236103.7</v>
      </c>
      <c r="J4026" s="22">
        <v>70831.11</v>
      </c>
      <c r="K4026" s="15">
        <f t="shared" si="12"/>
        <v>9829783.979</v>
      </c>
      <c r="L4026" s="45"/>
      <c r="M4026" s="6"/>
    </row>
    <row r="4027" ht="15.75" customHeight="1">
      <c r="A4027" s="162">
        <v>46221.0</v>
      </c>
      <c r="B4027" s="50"/>
      <c r="C4027" s="31" t="s">
        <v>973</v>
      </c>
      <c r="D4027" s="32" t="s">
        <v>99</v>
      </c>
      <c r="E4027" s="32" t="s">
        <v>4337</v>
      </c>
      <c r="F4027" s="134">
        <v>46229.0</v>
      </c>
      <c r="G4027" s="54">
        <v>8432363.11</v>
      </c>
      <c r="H4027" s="14">
        <f t="shared" si="11"/>
        <v>1770796.253</v>
      </c>
      <c r="I4027" s="22">
        <v>252970.89</v>
      </c>
      <c r="J4027" s="22">
        <v>75891.27</v>
      </c>
      <c r="K4027" s="15">
        <f t="shared" si="12"/>
        <v>10532021.52</v>
      </c>
      <c r="L4027" s="45"/>
      <c r="M4027" s="6"/>
    </row>
    <row r="4028" ht="15.75" customHeight="1">
      <c r="A4028" s="162">
        <v>46221.0</v>
      </c>
      <c r="B4028" s="50"/>
      <c r="C4028" s="31" t="s">
        <v>973</v>
      </c>
      <c r="D4028" s="32" t="s">
        <v>99</v>
      </c>
      <c r="E4028" s="32" t="s">
        <v>4338</v>
      </c>
      <c r="F4028" s="134">
        <v>46229.0</v>
      </c>
      <c r="G4028" s="54">
        <v>1.293373426E7</v>
      </c>
      <c r="H4028" s="14">
        <f t="shared" si="11"/>
        <v>2716084.195</v>
      </c>
      <c r="I4028" s="22">
        <v>388012.03</v>
      </c>
      <c r="J4028" s="22">
        <v>116403.61</v>
      </c>
      <c r="K4028" s="15">
        <f t="shared" si="12"/>
        <v>16154234.09</v>
      </c>
      <c r="L4028" s="45"/>
      <c r="M4028" s="6"/>
    </row>
    <row r="4029" ht="15.75" customHeight="1">
      <c r="A4029" s="162">
        <v>46221.0</v>
      </c>
      <c r="B4029" s="50"/>
      <c r="C4029" s="31" t="s">
        <v>973</v>
      </c>
      <c r="D4029" s="32" t="s">
        <v>99</v>
      </c>
      <c r="E4029" s="32" t="s">
        <v>4339</v>
      </c>
      <c r="F4029" s="134">
        <v>46229.0</v>
      </c>
      <c r="G4029" s="54">
        <v>1.722633286E7</v>
      </c>
      <c r="H4029" s="14">
        <f t="shared" si="11"/>
        <v>3617529.901</v>
      </c>
      <c r="I4029" s="22">
        <v>516789.99</v>
      </c>
      <c r="J4029" s="22">
        <v>155037.0</v>
      </c>
      <c r="K4029" s="15">
        <f t="shared" si="12"/>
        <v>21515689.75</v>
      </c>
      <c r="L4029" s="45"/>
      <c r="M4029" s="6"/>
    </row>
    <row r="4030" ht="15.75" customHeight="1">
      <c r="A4030" s="162">
        <v>46221.0</v>
      </c>
      <c r="B4030" s="50"/>
      <c r="C4030" s="31" t="s">
        <v>973</v>
      </c>
      <c r="D4030" s="32" t="s">
        <v>99</v>
      </c>
      <c r="E4030" s="32" t="s">
        <v>4340</v>
      </c>
      <c r="F4030" s="134">
        <v>46229.0</v>
      </c>
      <c r="G4030" s="54">
        <v>1.459902833E7</v>
      </c>
      <c r="H4030" s="14">
        <f t="shared" si="11"/>
        <v>3065795.949</v>
      </c>
      <c r="I4030" s="22">
        <v>437970.85</v>
      </c>
      <c r="J4030" s="22">
        <v>131391.25</v>
      </c>
      <c r="K4030" s="15">
        <f t="shared" si="12"/>
        <v>18234186.38</v>
      </c>
      <c r="L4030" s="45"/>
      <c r="M4030" s="6"/>
    </row>
    <row r="4031" ht="15.75" customHeight="1">
      <c r="A4031" s="218">
        <v>46221.0</v>
      </c>
      <c r="B4031" s="56"/>
      <c r="C4031" s="57" t="s">
        <v>1283</v>
      </c>
      <c r="D4031" s="58" t="s">
        <v>99</v>
      </c>
      <c r="E4031" s="57" t="s">
        <v>4341</v>
      </c>
      <c r="F4031" s="137">
        <v>46229.0</v>
      </c>
      <c r="G4031" s="155">
        <v>5015705.26</v>
      </c>
      <c r="H4031" s="9">
        <f t="shared" si="11"/>
        <v>1053298.105</v>
      </c>
      <c r="I4031" s="44">
        <v>150471.16</v>
      </c>
      <c r="J4031" s="44"/>
      <c r="K4031" s="10">
        <f t="shared" si="12"/>
        <v>6219474.525</v>
      </c>
      <c r="L4031" s="61"/>
      <c r="M4031" s="62"/>
    </row>
    <row r="4032" ht="15.75" customHeight="1">
      <c r="A4032" s="162">
        <v>46221.0</v>
      </c>
      <c r="B4032" s="50"/>
      <c r="C4032" s="31" t="s">
        <v>1312</v>
      </c>
      <c r="D4032" s="32" t="s">
        <v>99</v>
      </c>
      <c r="E4032" s="31" t="s">
        <v>4342</v>
      </c>
      <c r="F4032" s="134">
        <v>46229.0</v>
      </c>
      <c r="G4032" s="54">
        <v>1550650.59</v>
      </c>
      <c r="H4032" s="14">
        <f t="shared" si="11"/>
        <v>325636.6239</v>
      </c>
      <c r="I4032" s="22">
        <v>46519.52</v>
      </c>
      <c r="J4032" s="22"/>
      <c r="K4032" s="15">
        <f t="shared" si="12"/>
        <v>1922806.734</v>
      </c>
      <c r="L4032" s="45"/>
      <c r="M4032" s="6"/>
    </row>
    <row r="4033" ht="15.75" customHeight="1">
      <c r="A4033" s="162">
        <v>46221.0</v>
      </c>
      <c r="B4033" s="50"/>
      <c r="C4033" s="31" t="s">
        <v>1277</v>
      </c>
      <c r="D4033" s="32" t="s">
        <v>99</v>
      </c>
      <c r="E4033" s="31" t="s">
        <v>4343</v>
      </c>
      <c r="F4033" s="134">
        <v>46229.0</v>
      </c>
      <c r="G4033" s="54">
        <v>5080205.16</v>
      </c>
      <c r="H4033" s="14">
        <f t="shared" si="11"/>
        <v>1066843.084</v>
      </c>
      <c r="I4033" s="22">
        <v>152406.15</v>
      </c>
      <c r="J4033" s="22"/>
      <c r="K4033" s="15">
        <f t="shared" si="12"/>
        <v>6299454.394</v>
      </c>
      <c r="L4033" s="45"/>
      <c r="M4033" s="6"/>
    </row>
    <row r="4034" ht="15.75" customHeight="1">
      <c r="A4034" s="162">
        <v>46221.0</v>
      </c>
      <c r="B4034" s="50"/>
      <c r="C4034" s="31" t="s">
        <v>1279</v>
      </c>
      <c r="D4034" s="32" t="s">
        <v>99</v>
      </c>
      <c r="E4034" s="31" t="s">
        <v>4344</v>
      </c>
      <c r="F4034" s="134">
        <v>46229.0</v>
      </c>
      <c r="G4034" s="54">
        <v>6079502.36</v>
      </c>
      <c r="H4034" s="14">
        <f t="shared" si="11"/>
        <v>1276695.496</v>
      </c>
      <c r="I4034" s="22">
        <v>182385.07</v>
      </c>
      <c r="J4034" s="22"/>
      <c r="K4034" s="15">
        <f t="shared" si="12"/>
        <v>7538582.926</v>
      </c>
      <c r="L4034" s="45"/>
      <c r="M4034" s="6"/>
    </row>
    <row r="4035" ht="15.75" customHeight="1">
      <c r="A4035" s="162">
        <v>46221.0</v>
      </c>
      <c r="B4035" s="50"/>
      <c r="C4035" s="31" t="s">
        <v>1281</v>
      </c>
      <c r="D4035" s="32" t="s">
        <v>99</v>
      </c>
      <c r="E4035" s="31" t="s">
        <v>4345</v>
      </c>
      <c r="F4035" s="134">
        <v>46229.0</v>
      </c>
      <c r="G4035" s="54">
        <v>1120905.23</v>
      </c>
      <c r="H4035" s="14">
        <f t="shared" si="11"/>
        <v>235390.0983</v>
      </c>
      <c r="I4035" s="22">
        <v>33627.16</v>
      </c>
      <c r="J4035" s="22"/>
      <c r="K4035" s="15">
        <f t="shared" si="12"/>
        <v>1389922.488</v>
      </c>
      <c r="L4035" s="45"/>
      <c r="M4035" s="6"/>
    </row>
    <row r="4036" ht="15.75" customHeight="1">
      <c r="A4036" s="162">
        <v>46221.0</v>
      </c>
      <c r="B4036" s="50"/>
      <c r="C4036" s="31" t="s">
        <v>1279</v>
      </c>
      <c r="D4036" s="32" t="s">
        <v>99</v>
      </c>
      <c r="E4036" s="31" t="s">
        <v>4346</v>
      </c>
      <c r="F4036" s="134">
        <v>46229.0</v>
      </c>
      <c r="G4036" s="54">
        <v>5100805.23</v>
      </c>
      <c r="H4036" s="14">
        <f t="shared" si="11"/>
        <v>1071169.098</v>
      </c>
      <c r="I4036" s="22">
        <v>153024.16</v>
      </c>
      <c r="J4036" s="22"/>
      <c r="K4036" s="15">
        <f t="shared" si="12"/>
        <v>6324998.488</v>
      </c>
      <c r="L4036" s="45"/>
      <c r="M4036" s="6"/>
    </row>
    <row r="4037" ht="15.75" customHeight="1">
      <c r="A4037" s="162">
        <v>46225.0</v>
      </c>
      <c r="B4037" s="50"/>
      <c r="C4037" s="31" t="s">
        <v>4347</v>
      </c>
      <c r="D4037" s="32" t="s">
        <v>99</v>
      </c>
      <c r="E4037" s="31" t="s">
        <v>4348</v>
      </c>
      <c r="F4037" s="134">
        <v>46229.0</v>
      </c>
      <c r="G4037" s="54">
        <v>7604302.63</v>
      </c>
      <c r="H4037" s="14">
        <f t="shared" si="11"/>
        <v>1596903.552</v>
      </c>
      <c r="I4037" s="22"/>
      <c r="J4037" s="22">
        <v>152086.05</v>
      </c>
      <c r="K4037" s="15">
        <f t="shared" si="12"/>
        <v>9353292.232</v>
      </c>
      <c r="L4037" s="45"/>
      <c r="M4037" s="6"/>
    </row>
    <row r="4038" ht="15.75" customHeight="1">
      <c r="A4038" s="162">
        <v>46225.0</v>
      </c>
      <c r="B4038" s="50"/>
      <c r="C4038" s="31" t="s">
        <v>4347</v>
      </c>
      <c r="D4038" s="32" t="s">
        <v>99</v>
      </c>
      <c r="E4038" s="31" t="s">
        <v>4349</v>
      </c>
      <c r="F4038" s="134">
        <v>46229.0</v>
      </c>
      <c r="G4038" s="54">
        <v>8409560.63</v>
      </c>
      <c r="H4038" s="14">
        <f t="shared" si="11"/>
        <v>1766007.732</v>
      </c>
      <c r="I4038" s="22">
        <v>252286.82</v>
      </c>
      <c r="J4038" s="22">
        <v>168191.21</v>
      </c>
      <c r="K4038" s="15">
        <f t="shared" si="12"/>
        <v>10596046.39</v>
      </c>
      <c r="L4038" s="45"/>
      <c r="M4038" s="6"/>
    </row>
    <row r="4039" ht="15.75" customHeight="1">
      <c r="A4039" s="162">
        <v>46226.0</v>
      </c>
      <c r="B4039" s="50"/>
      <c r="C4039" s="31" t="s">
        <v>1285</v>
      </c>
      <c r="D4039" s="32" t="s">
        <v>15</v>
      </c>
      <c r="E4039" s="31" t="s">
        <v>4350</v>
      </c>
      <c r="F4039" s="134">
        <v>46229.0</v>
      </c>
      <c r="G4039" s="54">
        <v>5007590.26</v>
      </c>
      <c r="H4039" s="14">
        <f t="shared" si="11"/>
        <v>1051593.955</v>
      </c>
      <c r="I4039" s="22"/>
      <c r="J4039" s="22"/>
      <c r="K4039" s="15">
        <f t="shared" si="12"/>
        <v>6059184.215</v>
      </c>
      <c r="L4039" s="45"/>
      <c r="M4039" s="6"/>
    </row>
    <row r="4040" ht="15.75" customHeight="1">
      <c r="A4040" s="162">
        <v>46227.0</v>
      </c>
      <c r="B4040" s="50"/>
      <c r="C4040" s="32" t="s">
        <v>4351</v>
      </c>
      <c r="D4040" s="32" t="s">
        <v>99</v>
      </c>
      <c r="E4040" s="32" t="s">
        <v>4352</v>
      </c>
      <c r="F4040" s="134">
        <v>46229.0</v>
      </c>
      <c r="G4040" s="54">
        <v>7309483.22</v>
      </c>
      <c r="H4040" s="14">
        <f t="shared" si="11"/>
        <v>1534991.476</v>
      </c>
      <c r="I4040" s="22">
        <v>219284.5</v>
      </c>
      <c r="J4040" s="22"/>
      <c r="K4040" s="15">
        <f t="shared" si="12"/>
        <v>9063759.196</v>
      </c>
      <c r="L4040" s="45"/>
      <c r="M4040" s="6"/>
    </row>
    <row r="4041" ht="15.75" customHeight="1">
      <c r="A4041" s="162">
        <v>46227.0</v>
      </c>
      <c r="B4041" s="50"/>
      <c r="C4041" s="32" t="s">
        <v>4351</v>
      </c>
      <c r="D4041" s="32" t="s">
        <v>99</v>
      </c>
      <c r="E4041" s="32" t="s">
        <v>4353</v>
      </c>
      <c r="F4041" s="134">
        <v>46229.0</v>
      </c>
      <c r="G4041" s="240">
        <v>9364115.26</v>
      </c>
      <c r="H4041" s="14">
        <f t="shared" si="11"/>
        <v>1966464.205</v>
      </c>
      <c r="I4041" s="22">
        <v>280923.46</v>
      </c>
      <c r="J4041" s="22"/>
      <c r="K4041" s="15">
        <f t="shared" si="12"/>
        <v>11611502.92</v>
      </c>
      <c r="L4041" s="45"/>
      <c r="M4041" s="6"/>
    </row>
    <row r="4042" ht="15.75" customHeight="1">
      <c r="A4042" s="162">
        <v>46227.0</v>
      </c>
      <c r="B4042" s="50"/>
      <c r="C4042" s="32" t="s">
        <v>4351</v>
      </c>
      <c r="D4042" s="32" t="s">
        <v>99</v>
      </c>
      <c r="E4042" s="32" t="s">
        <v>4354</v>
      </c>
      <c r="F4042" s="134">
        <v>46229.0</v>
      </c>
      <c r="G4042" s="240">
        <v>3215009.46</v>
      </c>
      <c r="H4042" s="14">
        <f t="shared" si="11"/>
        <v>675151.9866</v>
      </c>
      <c r="I4042" s="22">
        <v>96450.28</v>
      </c>
      <c r="J4042" s="22"/>
      <c r="K4042" s="15">
        <f t="shared" si="12"/>
        <v>3986611.727</v>
      </c>
      <c r="L4042" s="45"/>
      <c r="M4042" s="6"/>
    </row>
    <row r="4043" ht="15.75" customHeight="1">
      <c r="A4043" s="218">
        <v>46230.0</v>
      </c>
      <c r="B4043" s="56"/>
      <c r="C4043" s="57" t="s">
        <v>1179</v>
      </c>
      <c r="D4043" s="58" t="s">
        <v>99</v>
      </c>
      <c r="E4043" s="57" t="s">
        <v>4355</v>
      </c>
      <c r="F4043" s="137">
        <v>46229.0</v>
      </c>
      <c r="G4043" s="155">
        <v>9872350.26</v>
      </c>
      <c r="H4043" s="9">
        <f t="shared" si="11"/>
        <v>2073193.555</v>
      </c>
      <c r="I4043" s="44"/>
      <c r="J4043" s="44">
        <v>197447.01</v>
      </c>
      <c r="K4043" s="10">
        <f t="shared" si="12"/>
        <v>12142990.82</v>
      </c>
      <c r="L4043" s="61"/>
      <c r="M4043" s="62"/>
    </row>
    <row r="4044" ht="15.75" customHeight="1">
      <c r="A4044" s="218">
        <v>46230.0</v>
      </c>
      <c r="B4044" s="56"/>
      <c r="C4044" s="57" t="s">
        <v>1179</v>
      </c>
      <c r="D4044" s="58" t="s">
        <v>99</v>
      </c>
      <c r="E4044" s="57" t="s">
        <v>4356</v>
      </c>
      <c r="F4044" s="137">
        <v>46229.0</v>
      </c>
      <c r="G4044" s="155">
        <v>9993440.59</v>
      </c>
      <c r="H4044" s="9">
        <f t="shared" si="11"/>
        <v>2098622.524</v>
      </c>
      <c r="I4044" s="44"/>
      <c r="J4044" s="44">
        <v>199868.81</v>
      </c>
      <c r="K4044" s="10">
        <f t="shared" si="12"/>
        <v>12291931.92</v>
      </c>
      <c r="L4044" s="61"/>
      <c r="M4044" s="62"/>
    </row>
    <row r="4045" ht="15.75" customHeight="1">
      <c r="A4045" s="218">
        <v>46230.0</v>
      </c>
      <c r="B4045" s="56"/>
      <c r="C4045" s="57" t="s">
        <v>1179</v>
      </c>
      <c r="D4045" s="58" t="s">
        <v>99</v>
      </c>
      <c r="E4045" s="58" t="s">
        <v>4357</v>
      </c>
      <c r="F4045" s="137">
        <v>46229.0</v>
      </c>
      <c r="G4045" s="155">
        <v>1.011640526E7</v>
      </c>
      <c r="H4045" s="9">
        <f t="shared" si="11"/>
        <v>2124445.105</v>
      </c>
      <c r="I4045" s="44"/>
      <c r="J4045" s="44"/>
      <c r="K4045" s="10">
        <f t="shared" si="12"/>
        <v>12240850.36</v>
      </c>
      <c r="L4045" s="61"/>
      <c r="M4045" s="62"/>
    </row>
    <row r="4046" ht="15.75" customHeight="1">
      <c r="A4046" s="218">
        <v>46230.0</v>
      </c>
      <c r="B4046" s="56"/>
      <c r="C4046" s="57" t="s">
        <v>1179</v>
      </c>
      <c r="D4046" s="58" t="s">
        <v>15</v>
      </c>
      <c r="E4046" s="57" t="s">
        <v>4358</v>
      </c>
      <c r="F4046" s="137">
        <v>46229.0</v>
      </c>
      <c r="G4046" s="155">
        <v>2.278266082E7</v>
      </c>
      <c r="H4046" s="9">
        <f t="shared" si="11"/>
        <v>4784358.772</v>
      </c>
      <c r="I4046" s="44"/>
      <c r="J4046" s="44">
        <v>455653.22</v>
      </c>
      <c r="K4046" s="10">
        <f t="shared" si="12"/>
        <v>28022672.81</v>
      </c>
      <c r="L4046" s="61"/>
      <c r="M4046" s="62"/>
    </row>
    <row r="4047" ht="15.75" customHeight="1">
      <c r="A4047" s="218">
        <v>46230.0</v>
      </c>
      <c r="B4047" s="56"/>
      <c r="C4047" s="57" t="s">
        <v>1179</v>
      </c>
      <c r="D4047" s="58" t="s">
        <v>15</v>
      </c>
      <c r="E4047" s="57" t="s">
        <v>4359</v>
      </c>
      <c r="F4047" s="137">
        <v>46229.0</v>
      </c>
      <c r="G4047" s="155">
        <v>1.735039029E7</v>
      </c>
      <c r="H4047" s="9">
        <f t="shared" si="11"/>
        <v>3643581.961</v>
      </c>
      <c r="I4047" s="44"/>
      <c r="J4047" s="44">
        <v>347007.81</v>
      </c>
      <c r="K4047" s="10">
        <f t="shared" si="12"/>
        <v>21340980.06</v>
      </c>
      <c r="L4047" s="61"/>
      <c r="M4047" s="62"/>
    </row>
    <row r="4048" ht="15.75" customHeight="1">
      <c r="A4048" s="162">
        <v>46230.0</v>
      </c>
      <c r="B4048" s="50"/>
      <c r="C4048" s="31" t="s">
        <v>1183</v>
      </c>
      <c r="D4048" s="32" t="s">
        <v>15</v>
      </c>
      <c r="E4048" s="31" t="s">
        <v>4360</v>
      </c>
      <c r="F4048" s="134">
        <v>46229.0</v>
      </c>
      <c r="G4048" s="54">
        <v>7932440.15</v>
      </c>
      <c r="H4048" s="14">
        <f t="shared" si="11"/>
        <v>1665812.432</v>
      </c>
      <c r="I4048" s="22">
        <v>237973.2</v>
      </c>
      <c r="J4048" s="22"/>
      <c r="K4048" s="15">
        <f t="shared" si="12"/>
        <v>9836225.782</v>
      </c>
      <c r="L4048" s="45"/>
      <c r="M4048" s="6"/>
    </row>
    <row r="4049" ht="15.75" customHeight="1">
      <c r="A4049" s="162">
        <v>46230.0</v>
      </c>
      <c r="B4049" s="50"/>
      <c r="C4049" s="31" t="s">
        <v>1183</v>
      </c>
      <c r="D4049" s="32" t="s">
        <v>15</v>
      </c>
      <c r="E4049" s="31" t="s">
        <v>4361</v>
      </c>
      <c r="F4049" s="134">
        <v>46229.0</v>
      </c>
      <c r="G4049" s="54">
        <v>6323232.28</v>
      </c>
      <c r="H4049" s="14">
        <f t="shared" si="11"/>
        <v>1327878.779</v>
      </c>
      <c r="I4049" s="22">
        <v>189696.97</v>
      </c>
      <c r="J4049" s="22"/>
      <c r="K4049" s="15">
        <f t="shared" si="12"/>
        <v>7840808.029</v>
      </c>
      <c r="L4049" s="45"/>
      <c r="M4049" s="6"/>
    </row>
    <row r="4050" ht="15.75" customHeight="1">
      <c r="A4050" s="162">
        <v>46230.0</v>
      </c>
      <c r="B4050" s="50"/>
      <c r="C4050" s="31" t="s">
        <v>1183</v>
      </c>
      <c r="D4050" s="32" t="s">
        <v>15</v>
      </c>
      <c r="E4050" s="31" t="s">
        <v>4362</v>
      </c>
      <c r="F4050" s="134">
        <v>46229.0</v>
      </c>
      <c r="G4050" s="54">
        <v>7829480.15</v>
      </c>
      <c r="H4050" s="14">
        <f t="shared" si="11"/>
        <v>1644190.832</v>
      </c>
      <c r="I4050" s="22">
        <v>234884.4</v>
      </c>
      <c r="J4050" s="22"/>
      <c r="K4050" s="15">
        <f t="shared" si="12"/>
        <v>9708555.382</v>
      </c>
      <c r="L4050" s="45"/>
      <c r="M4050" s="6"/>
    </row>
    <row r="4051" ht="15.75" customHeight="1">
      <c r="A4051" s="162">
        <v>46230.0</v>
      </c>
      <c r="B4051" s="50"/>
      <c r="C4051" s="31" t="s">
        <v>1183</v>
      </c>
      <c r="D4051" s="32" t="s">
        <v>15</v>
      </c>
      <c r="E4051" s="31" t="s">
        <v>4363</v>
      </c>
      <c r="F4051" s="134">
        <v>46229.0</v>
      </c>
      <c r="G4051" s="54">
        <v>7949128.22</v>
      </c>
      <c r="H4051" s="14">
        <f t="shared" si="11"/>
        <v>1669316.926</v>
      </c>
      <c r="I4051" s="22">
        <v>238473.85</v>
      </c>
      <c r="J4051" s="22"/>
      <c r="K4051" s="15">
        <f t="shared" si="12"/>
        <v>9856918.996</v>
      </c>
      <c r="L4051" s="45"/>
      <c r="M4051" s="6"/>
    </row>
    <row r="4052" ht="15.75" customHeight="1">
      <c r="A4052" s="162">
        <v>46231.0</v>
      </c>
      <c r="B4052" s="50"/>
      <c r="C4052" s="31" t="s">
        <v>4351</v>
      </c>
      <c r="D4052" s="32" t="s">
        <v>15</v>
      </c>
      <c r="E4052" s="31" t="s">
        <v>4364</v>
      </c>
      <c r="F4052" s="134">
        <v>46229.0</v>
      </c>
      <c r="G4052" s="54">
        <v>8105664.37</v>
      </c>
      <c r="H4052" s="14">
        <f t="shared" si="11"/>
        <v>1702189.518</v>
      </c>
      <c r="I4052" s="22">
        <v>243169.93</v>
      </c>
      <c r="J4052" s="22"/>
      <c r="K4052" s="15">
        <f t="shared" si="12"/>
        <v>10051023.82</v>
      </c>
      <c r="L4052" s="45"/>
      <c r="M4052" s="6"/>
    </row>
    <row r="4053" ht="15.75" customHeight="1">
      <c r="A4053" s="162">
        <v>46231.0</v>
      </c>
      <c r="B4053" s="50"/>
      <c r="C4053" s="31" t="s">
        <v>4351</v>
      </c>
      <c r="D4053" s="32" t="s">
        <v>15</v>
      </c>
      <c r="E4053" s="31" t="s">
        <v>4365</v>
      </c>
      <c r="F4053" s="134">
        <v>46229.0</v>
      </c>
      <c r="G4053" s="54">
        <v>4968102.95</v>
      </c>
      <c r="H4053" s="14">
        <f t="shared" si="11"/>
        <v>1043301.62</v>
      </c>
      <c r="I4053" s="22"/>
      <c r="J4053" s="22"/>
      <c r="K4053" s="15">
        <f t="shared" si="12"/>
        <v>6011404.57</v>
      </c>
      <c r="L4053" s="45"/>
      <c r="M4053" s="6"/>
    </row>
    <row r="4054" ht="15.75" customHeight="1">
      <c r="A4054" s="162">
        <v>46231.0</v>
      </c>
      <c r="B4054" s="50"/>
      <c r="C4054" s="31" t="s">
        <v>4351</v>
      </c>
      <c r="D4054" s="32" t="s">
        <v>15</v>
      </c>
      <c r="E4054" s="31" t="s">
        <v>4366</v>
      </c>
      <c r="F4054" s="134">
        <v>46229.0</v>
      </c>
      <c r="G4054" s="54">
        <v>5631003.78</v>
      </c>
      <c r="H4054" s="14">
        <f t="shared" si="11"/>
        <v>1182510.794</v>
      </c>
      <c r="I4054" s="22"/>
      <c r="J4054" s="22"/>
      <c r="K4054" s="15">
        <f t="shared" si="12"/>
        <v>6813514.574</v>
      </c>
      <c r="L4054" s="45"/>
      <c r="M4054" s="6"/>
    </row>
    <row r="4055" ht="15.75" customHeight="1">
      <c r="A4055" s="162">
        <v>46231.0</v>
      </c>
      <c r="B4055" s="50"/>
      <c r="C4055" s="31" t="s">
        <v>4351</v>
      </c>
      <c r="D4055" s="32" t="s">
        <v>15</v>
      </c>
      <c r="E4055" s="32" t="s">
        <v>4367</v>
      </c>
      <c r="F4055" s="134">
        <v>46229.0</v>
      </c>
      <c r="G4055" s="54">
        <v>6745404.85</v>
      </c>
      <c r="H4055" s="14">
        <f t="shared" si="11"/>
        <v>1416535.019</v>
      </c>
      <c r="I4055" s="22"/>
      <c r="J4055" s="22"/>
      <c r="K4055" s="15">
        <f t="shared" si="12"/>
        <v>8161939.869</v>
      </c>
      <c r="L4055" s="45"/>
      <c r="M4055" s="6"/>
    </row>
    <row r="4056" ht="15.75" customHeight="1">
      <c r="A4056" s="162">
        <v>46231.0</v>
      </c>
      <c r="B4056" s="50"/>
      <c r="C4056" s="31" t="s">
        <v>4351</v>
      </c>
      <c r="D4056" s="32" t="s">
        <v>15</v>
      </c>
      <c r="E4056" s="32" t="s">
        <v>4368</v>
      </c>
      <c r="F4056" s="134">
        <v>46229.0</v>
      </c>
      <c r="G4056" s="54">
        <v>1.027484326E7</v>
      </c>
      <c r="H4056" s="14">
        <f t="shared" si="11"/>
        <v>2157717.085</v>
      </c>
      <c r="I4056" s="22">
        <v>308245.3</v>
      </c>
      <c r="J4056" s="22"/>
      <c r="K4056" s="15">
        <f t="shared" si="12"/>
        <v>12740805.64</v>
      </c>
      <c r="L4056" s="45"/>
      <c r="M4056" s="6"/>
    </row>
    <row r="4057" ht="15.75" customHeight="1">
      <c r="A4057" s="162">
        <v>46231.0</v>
      </c>
      <c r="B4057" s="50"/>
      <c r="C4057" s="31" t="s">
        <v>4351</v>
      </c>
      <c r="D4057" s="32" t="s">
        <v>15</v>
      </c>
      <c r="E4057" s="32" t="s">
        <v>4369</v>
      </c>
      <c r="F4057" s="134">
        <v>46229.0</v>
      </c>
      <c r="G4057" s="54">
        <v>9168347.28</v>
      </c>
      <c r="H4057" s="14">
        <f t="shared" si="11"/>
        <v>1925352.929</v>
      </c>
      <c r="I4057" s="22">
        <v>275050.42</v>
      </c>
      <c r="J4057" s="22"/>
      <c r="K4057" s="15">
        <f t="shared" si="12"/>
        <v>11368750.63</v>
      </c>
      <c r="L4057" s="45"/>
      <c r="M4057" s="6"/>
    </row>
    <row r="4058" ht="15.75" customHeight="1">
      <c r="A4058" s="162">
        <v>46233.0</v>
      </c>
      <c r="B4058" s="50"/>
      <c r="C4058" s="31" t="s">
        <v>1189</v>
      </c>
      <c r="D4058" s="32" t="s">
        <v>15</v>
      </c>
      <c r="E4058" s="31" t="s">
        <v>4370</v>
      </c>
      <c r="F4058" s="134">
        <v>46229.0</v>
      </c>
      <c r="G4058" s="54">
        <v>1.653158074E7</v>
      </c>
      <c r="H4058" s="14">
        <f t="shared" si="11"/>
        <v>3471631.955</v>
      </c>
      <c r="I4058" s="22">
        <v>495947.42</v>
      </c>
      <c r="J4058" s="22"/>
      <c r="K4058" s="15">
        <f t="shared" si="12"/>
        <v>20499160.12</v>
      </c>
      <c r="L4058" s="45"/>
      <c r="M4058" s="6"/>
    </row>
    <row r="4059" ht="15.75" customHeight="1">
      <c r="A4059" s="162">
        <v>46233.0</v>
      </c>
      <c r="B4059" s="50"/>
      <c r="C4059" s="31" t="s">
        <v>247</v>
      </c>
      <c r="D4059" s="32" t="s">
        <v>15</v>
      </c>
      <c r="E4059" s="31" t="s">
        <v>4371</v>
      </c>
      <c r="F4059" s="134">
        <v>46229.0</v>
      </c>
      <c r="G4059" s="54">
        <v>1.189236026E7</v>
      </c>
      <c r="H4059" s="14">
        <f t="shared" si="11"/>
        <v>2497395.655</v>
      </c>
      <c r="I4059" s="22"/>
      <c r="J4059" s="22"/>
      <c r="K4059" s="15">
        <f t="shared" si="12"/>
        <v>14389755.91</v>
      </c>
      <c r="L4059" s="45"/>
      <c r="M4059" s="6"/>
    </row>
    <row r="4060" ht="15.75" customHeight="1">
      <c r="A4060" s="162">
        <v>46233.0</v>
      </c>
      <c r="B4060" s="50"/>
      <c r="C4060" s="31" t="s">
        <v>247</v>
      </c>
      <c r="D4060" s="32" t="s">
        <v>15</v>
      </c>
      <c r="E4060" s="31" t="s">
        <v>4372</v>
      </c>
      <c r="F4060" s="134">
        <v>46229.0</v>
      </c>
      <c r="G4060" s="54">
        <v>1.211255019E7</v>
      </c>
      <c r="H4060" s="14">
        <f t="shared" si="11"/>
        <v>2543635.54</v>
      </c>
      <c r="I4060" s="22"/>
      <c r="J4060" s="22"/>
      <c r="K4060" s="15">
        <f t="shared" si="12"/>
        <v>14656185.73</v>
      </c>
      <c r="L4060" s="45"/>
      <c r="M4060" s="6"/>
    </row>
    <row r="4061" ht="15.75" customHeight="1">
      <c r="A4061" s="162">
        <v>46233.0</v>
      </c>
      <c r="B4061" s="50"/>
      <c r="C4061" s="31" t="s">
        <v>3919</v>
      </c>
      <c r="D4061" s="32" t="s">
        <v>15</v>
      </c>
      <c r="E4061" s="31" t="s">
        <v>4373</v>
      </c>
      <c r="F4061" s="134">
        <v>46229.0</v>
      </c>
      <c r="G4061" s="54">
        <v>1.653228026E7</v>
      </c>
      <c r="H4061" s="14">
        <f t="shared" si="11"/>
        <v>3471778.855</v>
      </c>
      <c r="I4061" s="22"/>
      <c r="J4061" s="22">
        <v>82661.4</v>
      </c>
      <c r="K4061" s="15">
        <f t="shared" si="12"/>
        <v>20086720.51</v>
      </c>
      <c r="L4061" s="45"/>
      <c r="M4061" s="6"/>
    </row>
    <row r="4062" ht="15.75" customHeight="1">
      <c r="A4062" s="218">
        <v>46233.0</v>
      </c>
      <c r="B4062" s="56"/>
      <c r="C4062" s="58" t="s">
        <v>4374</v>
      </c>
      <c r="D4062" s="58" t="s">
        <v>4375</v>
      </c>
      <c r="E4062" s="58" t="s">
        <v>4376</v>
      </c>
      <c r="F4062" s="137">
        <v>46229.0</v>
      </c>
      <c r="G4062" s="155">
        <v>4.100620782E7</v>
      </c>
      <c r="H4062" s="9">
        <f t="shared" si="11"/>
        <v>8611303.642</v>
      </c>
      <c r="I4062" s="44"/>
      <c r="J4062" s="44"/>
      <c r="K4062" s="10">
        <f t="shared" si="12"/>
        <v>49617511.46</v>
      </c>
      <c r="L4062" s="61"/>
      <c r="M4062" s="62"/>
    </row>
    <row r="4063" ht="15.75" customHeight="1">
      <c r="A4063" s="218">
        <v>46233.0</v>
      </c>
      <c r="B4063" s="56"/>
      <c r="C4063" s="58" t="s">
        <v>4374</v>
      </c>
      <c r="D4063" s="58" t="s">
        <v>4377</v>
      </c>
      <c r="E4063" s="58" t="s">
        <v>4378</v>
      </c>
      <c r="F4063" s="137">
        <v>46229.0</v>
      </c>
      <c r="G4063" s="155">
        <v>2.388176529E7</v>
      </c>
      <c r="H4063" s="9">
        <f t="shared" si="11"/>
        <v>5015170.711</v>
      </c>
      <c r="I4063" s="44"/>
      <c r="J4063" s="44"/>
      <c r="K4063" s="10">
        <f t="shared" si="12"/>
        <v>28896936</v>
      </c>
      <c r="L4063" s="61"/>
      <c r="M4063" s="62"/>
    </row>
    <row r="4064" ht="15.75" customHeight="1">
      <c r="A4064" s="218">
        <v>46233.0</v>
      </c>
      <c r="B4064" s="56"/>
      <c r="C4064" s="58" t="s">
        <v>4374</v>
      </c>
      <c r="D4064" s="58" t="s">
        <v>4375</v>
      </c>
      <c r="E4064" s="58" t="s">
        <v>4379</v>
      </c>
      <c r="F4064" s="137">
        <v>46229.0</v>
      </c>
      <c r="G4064" s="155">
        <v>4.097072622E7</v>
      </c>
      <c r="H4064" s="9">
        <f t="shared" si="11"/>
        <v>8603852.506</v>
      </c>
      <c r="I4064" s="44"/>
      <c r="J4064" s="44"/>
      <c r="K4064" s="10">
        <f t="shared" si="12"/>
        <v>49574578.73</v>
      </c>
      <c r="L4064" s="61"/>
      <c r="M4064" s="62"/>
    </row>
    <row r="4065" ht="15.75" customHeight="1">
      <c r="A4065" s="218">
        <v>46233.0</v>
      </c>
      <c r="B4065" s="56"/>
      <c r="C4065" s="58" t="s">
        <v>4374</v>
      </c>
      <c r="D4065" s="58" t="s">
        <v>4377</v>
      </c>
      <c r="E4065" s="58" t="s">
        <v>4380</v>
      </c>
      <c r="F4065" s="137">
        <v>46229.0</v>
      </c>
      <c r="G4065" s="155">
        <v>2.37171157E7</v>
      </c>
      <c r="H4065" s="9">
        <f t="shared" si="11"/>
        <v>4980594.297</v>
      </c>
      <c r="I4065" s="44"/>
      <c r="J4065" s="44"/>
      <c r="K4065" s="10">
        <f t="shared" si="12"/>
        <v>28697710</v>
      </c>
      <c r="L4065" s="61"/>
      <c r="M4065" s="62"/>
    </row>
    <row r="4066" ht="15.75" customHeight="1">
      <c r="A4066" s="218">
        <v>46233.0</v>
      </c>
      <c r="B4066" s="56"/>
      <c r="C4066" s="58" t="s">
        <v>4374</v>
      </c>
      <c r="D4066" s="58" t="s">
        <v>4375</v>
      </c>
      <c r="E4066" s="58" t="s">
        <v>4381</v>
      </c>
      <c r="F4066" s="137">
        <v>46229.0</v>
      </c>
      <c r="G4066" s="155">
        <v>4.097072622E7</v>
      </c>
      <c r="H4066" s="9">
        <f t="shared" si="11"/>
        <v>8603852.506</v>
      </c>
      <c r="I4066" s="44"/>
      <c r="J4066" s="44"/>
      <c r="K4066" s="10">
        <f t="shared" si="12"/>
        <v>49574578.73</v>
      </c>
      <c r="L4066" s="61"/>
      <c r="M4066" s="62"/>
    </row>
    <row r="4067" ht="15.75" customHeight="1">
      <c r="A4067" s="218">
        <v>46233.0</v>
      </c>
      <c r="B4067" s="56"/>
      <c r="C4067" s="58" t="s">
        <v>4374</v>
      </c>
      <c r="D4067" s="58" t="s">
        <v>4377</v>
      </c>
      <c r="E4067" s="58" t="s">
        <v>4382</v>
      </c>
      <c r="F4067" s="137">
        <v>46229.0</v>
      </c>
      <c r="G4067" s="155">
        <v>7.706069781E7</v>
      </c>
      <c r="H4067" s="9">
        <f t="shared" si="11"/>
        <v>16182746.54</v>
      </c>
      <c r="I4067" s="44"/>
      <c r="J4067" s="44"/>
      <c r="K4067" s="10">
        <f t="shared" si="12"/>
        <v>93243444.35</v>
      </c>
      <c r="L4067" s="61"/>
      <c r="M4067" s="62"/>
    </row>
    <row r="4068" ht="15.75" customHeight="1">
      <c r="A4068" s="218">
        <v>46233.0</v>
      </c>
      <c r="B4068" s="56"/>
      <c r="C4068" s="58" t="s">
        <v>4374</v>
      </c>
      <c r="D4068" s="58" t="s">
        <v>4375</v>
      </c>
      <c r="E4068" s="58" t="s">
        <v>4383</v>
      </c>
      <c r="F4068" s="137">
        <v>46229.0</v>
      </c>
      <c r="G4068" s="155">
        <v>2396988.53</v>
      </c>
      <c r="H4068" s="9">
        <f t="shared" si="11"/>
        <v>503367.5913</v>
      </c>
      <c r="I4068" s="44"/>
      <c r="J4068" s="44"/>
      <c r="K4068" s="10">
        <f t="shared" si="12"/>
        <v>2900356.121</v>
      </c>
      <c r="L4068" s="61"/>
      <c r="M4068" s="62"/>
    </row>
    <row r="4069" ht="15.75" customHeight="1">
      <c r="A4069" s="218">
        <v>46234.0</v>
      </c>
      <c r="B4069" s="56"/>
      <c r="C4069" s="58" t="s">
        <v>3412</v>
      </c>
      <c r="D4069" s="57" t="s">
        <v>1021</v>
      </c>
      <c r="E4069" s="57" t="s">
        <v>4384</v>
      </c>
      <c r="F4069" s="137">
        <v>46229.0</v>
      </c>
      <c r="G4069" s="206">
        <v>4033057.65</v>
      </c>
      <c r="H4069" s="9">
        <f t="shared" si="11"/>
        <v>846942.1065</v>
      </c>
      <c r="I4069" s="44"/>
      <c r="J4069" s="44"/>
      <c r="K4069" s="10">
        <f t="shared" si="12"/>
        <v>4879999.757</v>
      </c>
      <c r="L4069" s="61"/>
      <c r="M4069" s="62"/>
    </row>
    <row r="4070" ht="15.75" customHeight="1">
      <c r="A4070" s="218">
        <v>46234.0</v>
      </c>
      <c r="B4070" s="56"/>
      <c r="C4070" s="57" t="s">
        <v>3412</v>
      </c>
      <c r="D4070" s="57" t="s">
        <v>1021</v>
      </c>
      <c r="E4070" s="57" t="s">
        <v>4385</v>
      </c>
      <c r="F4070" s="137">
        <v>46229.0</v>
      </c>
      <c r="G4070" s="206">
        <v>3764462.81</v>
      </c>
      <c r="H4070" s="9">
        <f t="shared" si="11"/>
        <v>790537.1901</v>
      </c>
      <c r="I4070" s="44"/>
      <c r="J4070" s="44"/>
      <c r="K4070" s="10">
        <f t="shared" si="12"/>
        <v>4555000</v>
      </c>
      <c r="L4070" s="61"/>
      <c r="M4070" s="62"/>
    </row>
    <row r="4071" ht="15.75" customHeight="1">
      <c r="A4071" s="218">
        <v>46234.0</v>
      </c>
      <c r="B4071" s="56"/>
      <c r="C4071" s="57" t="s">
        <v>3412</v>
      </c>
      <c r="D4071" s="57" t="s">
        <v>1021</v>
      </c>
      <c r="E4071" s="57" t="s">
        <v>4386</v>
      </c>
      <c r="F4071" s="137">
        <v>46229.0</v>
      </c>
      <c r="G4071" s="206">
        <v>3816421.49</v>
      </c>
      <c r="H4071" s="9">
        <f t="shared" si="11"/>
        <v>801448.5129</v>
      </c>
      <c r="I4071" s="44"/>
      <c r="J4071" s="44"/>
      <c r="K4071" s="10">
        <f t="shared" si="12"/>
        <v>4617870.003</v>
      </c>
      <c r="L4071" s="61"/>
      <c r="M4071" s="62"/>
    </row>
    <row r="4072" ht="15.75" customHeight="1">
      <c r="A4072" s="218">
        <v>46234.0</v>
      </c>
      <c r="B4072" s="56"/>
      <c r="C4072" s="57" t="s">
        <v>3412</v>
      </c>
      <c r="D4072" s="57" t="s">
        <v>1021</v>
      </c>
      <c r="E4072" s="58" t="s">
        <v>4387</v>
      </c>
      <c r="F4072" s="137">
        <v>46229.0</v>
      </c>
      <c r="G4072" s="206">
        <v>3821487.6</v>
      </c>
      <c r="H4072" s="9">
        <f t="shared" si="11"/>
        <v>802512.396</v>
      </c>
      <c r="I4072" s="44"/>
      <c r="J4072" s="44"/>
      <c r="K4072" s="10">
        <f t="shared" si="12"/>
        <v>4623999.996</v>
      </c>
      <c r="L4072" s="61"/>
      <c r="M4072" s="62"/>
    </row>
    <row r="4073" ht="15.75" customHeight="1">
      <c r="A4073" s="162">
        <v>46234.0</v>
      </c>
      <c r="B4073" s="50"/>
      <c r="C4073" s="31" t="s">
        <v>1183</v>
      </c>
      <c r="D4073" s="32" t="s">
        <v>15</v>
      </c>
      <c r="E4073" s="31" t="s">
        <v>4388</v>
      </c>
      <c r="F4073" s="134">
        <v>46229.0</v>
      </c>
      <c r="G4073" s="54">
        <v>6314890.15</v>
      </c>
      <c r="H4073" s="14">
        <f t="shared" si="11"/>
        <v>1326126.932</v>
      </c>
      <c r="I4073" s="22">
        <v>189446.7</v>
      </c>
      <c r="J4073" s="22"/>
      <c r="K4073" s="15">
        <f t="shared" si="12"/>
        <v>7830463.782</v>
      </c>
      <c r="L4073" s="45"/>
      <c r="M4073" s="6"/>
    </row>
    <row r="4074" ht="15.75" customHeight="1">
      <c r="A4074" s="162">
        <v>46234.0</v>
      </c>
      <c r="B4074" s="50"/>
      <c r="C4074" s="31" t="s">
        <v>1183</v>
      </c>
      <c r="D4074" s="32" t="s">
        <v>15</v>
      </c>
      <c r="E4074" s="31" t="s">
        <v>4389</v>
      </c>
      <c r="F4074" s="134">
        <v>46229.0</v>
      </c>
      <c r="G4074" s="54">
        <v>1.198221871E7</v>
      </c>
      <c r="H4074" s="14">
        <f t="shared" si="11"/>
        <v>2516265.929</v>
      </c>
      <c r="I4074" s="22">
        <v>359466.56</v>
      </c>
      <c r="J4074" s="22"/>
      <c r="K4074" s="15">
        <f t="shared" si="12"/>
        <v>14857951.2</v>
      </c>
      <c r="L4074" s="45"/>
      <c r="M4074" s="6"/>
    </row>
    <row r="4075" ht="15.75" customHeight="1">
      <c r="A4075" s="162">
        <v>46234.0</v>
      </c>
      <c r="B4075" s="50"/>
      <c r="C4075" s="31" t="s">
        <v>1183</v>
      </c>
      <c r="D4075" s="32" t="s">
        <v>15</v>
      </c>
      <c r="E4075" s="31" t="s">
        <v>4390</v>
      </c>
      <c r="F4075" s="134">
        <v>46229.0</v>
      </c>
      <c r="G4075" s="54">
        <v>7336332.19</v>
      </c>
      <c r="H4075" s="14">
        <f t="shared" si="11"/>
        <v>1540629.76</v>
      </c>
      <c r="I4075" s="22">
        <v>220089.97</v>
      </c>
      <c r="J4075" s="22"/>
      <c r="K4075" s="15">
        <f t="shared" si="12"/>
        <v>9097051.92</v>
      </c>
      <c r="L4075" s="45"/>
      <c r="M4075" s="6"/>
    </row>
    <row r="4076" ht="15.75" customHeight="1">
      <c r="A4076" s="162">
        <v>46234.0</v>
      </c>
      <c r="B4076" s="50"/>
      <c r="C4076" s="31" t="s">
        <v>1183</v>
      </c>
      <c r="D4076" s="32" t="s">
        <v>15</v>
      </c>
      <c r="E4076" s="31" t="s">
        <v>4391</v>
      </c>
      <c r="F4076" s="134">
        <v>46229.0</v>
      </c>
      <c r="G4076" s="54">
        <v>9402232.18</v>
      </c>
      <c r="H4076" s="14">
        <f t="shared" si="11"/>
        <v>1974468.758</v>
      </c>
      <c r="I4076" s="22">
        <v>282066.97</v>
      </c>
      <c r="J4076" s="22"/>
      <c r="K4076" s="15">
        <f t="shared" si="12"/>
        <v>11658767.91</v>
      </c>
      <c r="L4076" s="45"/>
      <c r="M4076" s="6"/>
    </row>
    <row r="4077" ht="15.75" customHeight="1">
      <c r="A4077" s="162">
        <v>46234.0</v>
      </c>
      <c r="B4077" s="50"/>
      <c r="C4077" s="31" t="s">
        <v>1183</v>
      </c>
      <c r="D4077" s="32" t="s">
        <v>15</v>
      </c>
      <c r="E4077" s="31" t="s">
        <v>4392</v>
      </c>
      <c r="F4077" s="134">
        <v>46229.0</v>
      </c>
      <c r="G4077" s="54">
        <v>8976158.12</v>
      </c>
      <c r="H4077" s="14">
        <f t="shared" si="11"/>
        <v>1884993.205</v>
      </c>
      <c r="I4077" s="22">
        <v>269284.74</v>
      </c>
      <c r="J4077" s="22"/>
      <c r="K4077" s="15">
        <f t="shared" si="12"/>
        <v>11130436.07</v>
      </c>
      <c r="L4077" s="45"/>
      <c r="M4077" s="6"/>
    </row>
    <row r="4078" ht="15.75" customHeight="1">
      <c r="A4078" s="162">
        <v>46234.0</v>
      </c>
      <c r="B4078" s="50"/>
      <c r="C4078" s="31" t="s">
        <v>2958</v>
      </c>
      <c r="D4078" s="32" t="s">
        <v>15</v>
      </c>
      <c r="E4078" s="31" t="s">
        <v>4393</v>
      </c>
      <c r="F4078" s="134">
        <v>46229.0</v>
      </c>
      <c r="G4078" s="54">
        <v>1.001147082E7</v>
      </c>
      <c r="H4078" s="14">
        <f t="shared" si="11"/>
        <v>2102408.872</v>
      </c>
      <c r="I4078" s="22">
        <v>300344.12</v>
      </c>
      <c r="J4078" s="22"/>
      <c r="K4078" s="15">
        <f t="shared" si="12"/>
        <v>12414223.81</v>
      </c>
      <c r="L4078" s="45"/>
      <c r="M4078" s="6"/>
    </row>
    <row r="4079" ht="15.75" customHeight="1">
      <c r="A4079" s="162">
        <v>46234.0</v>
      </c>
      <c r="B4079" s="50"/>
      <c r="C4079" s="31" t="s">
        <v>111</v>
      </c>
      <c r="D4079" s="32" t="s">
        <v>15</v>
      </c>
      <c r="E4079" s="31" t="s">
        <v>4394</v>
      </c>
      <c r="F4079" s="134">
        <v>46229.0</v>
      </c>
      <c r="G4079" s="54">
        <v>1.831887019E7</v>
      </c>
      <c r="H4079" s="14">
        <f t="shared" si="11"/>
        <v>3846962.74</v>
      </c>
      <c r="I4079" s="22"/>
      <c r="J4079" s="22"/>
      <c r="K4079" s="15">
        <f t="shared" si="12"/>
        <v>22165832.93</v>
      </c>
      <c r="L4079" s="45"/>
      <c r="M4079" s="6"/>
    </row>
    <row r="4080" ht="15.75" customHeight="1">
      <c r="A4080" s="162">
        <v>46234.0</v>
      </c>
      <c r="B4080" s="50"/>
      <c r="C4080" s="31" t="s">
        <v>111</v>
      </c>
      <c r="D4080" s="32" t="s">
        <v>15</v>
      </c>
      <c r="E4080" s="31" t="s">
        <v>4395</v>
      </c>
      <c r="F4080" s="134">
        <v>46229.0</v>
      </c>
      <c r="G4080" s="54">
        <v>1.626044026E7</v>
      </c>
      <c r="H4080" s="14">
        <f t="shared" si="11"/>
        <v>3414692.455</v>
      </c>
      <c r="I4080" s="22">
        <v>487813.21</v>
      </c>
      <c r="J4080" s="22"/>
      <c r="K4080" s="15">
        <f t="shared" si="12"/>
        <v>20162945.92</v>
      </c>
      <c r="L4080" s="45"/>
      <c r="M4080" s="6"/>
    </row>
    <row r="4081" ht="15.75" customHeight="1">
      <c r="A4081" s="162">
        <v>46234.0</v>
      </c>
      <c r="B4081" s="50"/>
      <c r="C4081" s="31" t="s">
        <v>111</v>
      </c>
      <c r="D4081" s="32" t="s">
        <v>15</v>
      </c>
      <c r="E4081" s="31" t="s">
        <v>4396</v>
      </c>
      <c r="F4081" s="134">
        <v>46229.0</v>
      </c>
      <c r="G4081" s="54">
        <v>9213460.12</v>
      </c>
      <c r="H4081" s="14">
        <f t="shared" si="11"/>
        <v>1934826.625</v>
      </c>
      <c r="I4081" s="22"/>
      <c r="J4081" s="22"/>
      <c r="K4081" s="15">
        <f t="shared" si="12"/>
        <v>11148286.75</v>
      </c>
      <c r="L4081" s="45"/>
      <c r="M4081" s="6"/>
    </row>
    <row r="4082" ht="15.75" customHeight="1">
      <c r="A4082" s="162">
        <v>46234.0</v>
      </c>
      <c r="B4082" s="50"/>
      <c r="C4082" s="31" t="s">
        <v>111</v>
      </c>
      <c r="D4082" s="32" t="s">
        <v>15</v>
      </c>
      <c r="E4082" s="31" t="s">
        <v>4397</v>
      </c>
      <c r="F4082" s="134">
        <v>46229.0</v>
      </c>
      <c r="G4082" s="54">
        <v>6215870.19</v>
      </c>
      <c r="H4082" s="14">
        <f t="shared" si="11"/>
        <v>1305332.74</v>
      </c>
      <c r="I4082" s="22"/>
      <c r="J4082" s="22"/>
      <c r="K4082" s="15">
        <f t="shared" si="12"/>
        <v>7521202.93</v>
      </c>
      <c r="L4082" s="45"/>
      <c r="M4082" s="6"/>
    </row>
    <row r="4083" ht="15.75" customHeight="1">
      <c r="A4083" s="218">
        <v>46235.0</v>
      </c>
      <c r="B4083" s="56"/>
      <c r="C4083" s="57" t="s">
        <v>3885</v>
      </c>
      <c r="D4083" s="58" t="s">
        <v>15</v>
      </c>
      <c r="E4083" s="58" t="s">
        <v>4398</v>
      </c>
      <c r="F4083" s="137">
        <v>46229.0</v>
      </c>
      <c r="G4083" s="206">
        <v>5865399.75</v>
      </c>
      <c r="H4083" s="9">
        <f t="shared" si="11"/>
        <v>1231733.948</v>
      </c>
      <c r="I4083" s="44">
        <v>469231.98</v>
      </c>
      <c r="J4083" s="44"/>
      <c r="K4083" s="10">
        <f t="shared" si="12"/>
        <v>7566365.678</v>
      </c>
      <c r="L4083" s="61"/>
      <c r="M4083" s="62"/>
    </row>
    <row r="4084" ht="15.75" customHeight="1">
      <c r="A4084" s="218">
        <v>46235.0</v>
      </c>
      <c r="B4084" s="56"/>
      <c r="C4084" s="57" t="s">
        <v>3885</v>
      </c>
      <c r="D4084" s="58" t="s">
        <v>15</v>
      </c>
      <c r="E4084" s="58" t="s">
        <v>4399</v>
      </c>
      <c r="F4084" s="137">
        <v>46229.0</v>
      </c>
      <c r="G4084" s="206">
        <v>4955673.75</v>
      </c>
      <c r="H4084" s="9">
        <f t="shared" si="11"/>
        <v>1040691.488</v>
      </c>
      <c r="I4084" s="44">
        <v>396453.9</v>
      </c>
      <c r="J4084" s="44"/>
      <c r="K4084" s="10">
        <f t="shared" si="12"/>
        <v>6392819.138</v>
      </c>
      <c r="L4084" s="61"/>
      <c r="M4084" s="62"/>
    </row>
    <row r="4085" ht="15.75" customHeight="1">
      <c r="A4085" s="162">
        <v>46235.0</v>
      </c>
      <c r="B4085" s="50"/>
      <c r="C4085" s="31" t="s">
        <v>3883</v>
      </c>
      <c r="D4085" s="32" t="s">
        <v>15</v>
      </c>
      <c r="E4085" s="32" t="s">
        <v>4400</v>
      </c>
      <c r="F4085" s="134">
        <v>46229.0</v>
      </c>
      <c r="G4085" s="207">
        <v>9356930.19</v>
      </c>
      <c r="H4085" s="14">
        <f t="shared" si="11"/>
        <v>1964955.34</v>
      </c>
      <c r="I4085" s="22">
        <v>748554.42</v>
      </c>
      <c r="J4085" s="22"/>
      <c r="K4085" s="15">
        <f t="shared" si="12"/>
        <v>12070439.95</v>
      </c>
      <c r="L4085" s="45"/>
      <c r="M4085" s="6"/>
    </row>
    <row r="4086" ht="15.75" customHeight="1">
      <c r="A4086" s="162">
        <v>46235.0</v>
      </c>
      <c r="B4086" s="50"/>
      <c r="C4086" s="31" t="s">
        <v>3883</v>
      </c>
      <c r="D4086" s="32" t="s">
        <v>15</v>
      </c>
      <c r="E4086" s="32" t="s">
        <v>4401</v>
      </c>
      <c r="F4086" s="134">
        <v>46229.0</v>
      </c>
      <c r="G4086" s="207">
        <v>9101345.16</v>
      </c>
      <c r="H4086" s="14">
        <f t="shared" si="11"/>
        <v>1911282.484</v>
      </c>
      <c r="I4086" s="22">
        <v>455067.26</v>
      </c>
      <c r="J4086" s="22"/>
      <c r="K4086" s="15">
        <f t="shared" si="12"/>
        <v>11467694.9</v>
      </c>
      <c r="L4086" s="45"/>
      <c r="M4086" s="6"/>
    </row>
    <row r="4087" ht="15.75" customHeight="1">
      <c r="A4087" s="218">
        <v>46235.0</v>
      </c>
      <c r="B4087" s="56"/>
      <c r="C4087" s="57" t="s">
        <v>2616</v>
      </c>
      <c r="D4087" s="58" t="s">
        <v>15</v>
      </c>
      <c r="E4087" s="58" t="s">
        <v>4402</v>
      </c>
      <c r="F4087" s="137">
        <v>46229.0</v>
      </c>
      <c r="G4087" s="206">
        <v>1.103581205E7</v>
      </c>
      <c r="H4087" s="9">
        <f t="shared" si="11"/>
        <v>2317520.531</v>
      </c>
      <c r="I4087" s="44">
        <v>551790.6</v>
      </c>
      <c r="J4087" s="44"/>
      <c r="K4087" s="10">
        <f t="shared" si="12"/>
        <v>13905123.18</v>
      </c>
      <c r="L4087" s="61"/>
      <c r="M4087" s="62"/>
    </row>
    <row r="4088" ht="15.75" customHeight="1">
      <c r="A4088" s="162">
        <v>46235.0</v>
      </c>
      <c r="B4088" s="50"/>
      <c r="C4088" s="31" t="s">
        <v>4403</v>
      </c>
      <c r="D4088" s="32" t="s">
        <v>15</v>
      </c>
      <c r="E4088" s="32" t="s">
        <v>4404</v>
      </c>
      <c r="F4088" s="134">
        <v>46229.0</v>
      </c>
      <c r="G4088" s="207">
        <v>9534808.13</v>
      </c>
      <c r="H4088" s="14">
        <f t="shared" si="11"/>
        <v>2002309.707</v>
      </c>
      <c r="I4088" s="22">
        <v>476740.41</v>
      </c>
      <c r="J4088" s="22"/>
      <c r="K4088" s="15">
        <f t="shared" si="12"/>
        <v>12013858.25</v>
      </c>
      <c r="L4088" s="45"/>
      <c r="M4088" s="6"/>
    </row>
    <row r="4089" ht="15.75" customHeight="1">
      <c r="A4089" s="162">
        <v>46235.0</v>
      </c>
      <c r="B4089" s="50"/>
      <c r="C4089" s="31" t="s">
        <v>4403</v>
      </c>
      <c r="D4089" s="32" t="s">
        <v>15</v>
      </c>
      <c r="E4089" s="32" t="s">
        <v>4405</v>
      </c>
      <c r="F4089" s="134">
        <v>46229.0</v>
      </c>
      <c r="G4089" s="207">
        <v>8855202.62</v>
      </c>
      <c r="H4089" s="14">
        <f t="shared" si="11"/>
        <v>1859592.55</v>
      </c>
      <c r="I4089" s="22">
        <v>442760.13</v>
      </c>
      <c r="J4089" s="22"/>
      <c r="K4089" s="15">
        <f t="shared" si="12"/>
        <v>11157555.3</v>
      </c>
      <c r="L4089" s="45"/>
      <c r="M4089" s="6"/>
    </row>
    <row r="4090" ht="15.75" customHeight="1">
      <c r="A4090" s="162">
        <v>46235.0</v>
      </c>
      <c r="B4090" s="50"/>
      <c r="C4090" s="31" t="s">
        <v>4180</v>
      </c>
      <c r="D4090" s="32" t="s">
        <v>15</v>
      </c>
      <c r="E4090" s="32" t="s">
        <v>3386</v>
      </c>
      <c r="F4090" s="134">
        <v>46229.0</v>
      </c>
      <c r="G4090" s="207">
        <v>9644211.06</v>
      </c>
      <c r="H4090" s="14">
        <f t="shared" si="11"/>
        <v>2025284.323</v>
      </c>
      <c r="I4090" s="22">
        <v>289326.33</v>
      </c>
      <c r="J4090" s="22"/>
      <c r="K4090" s="15">
        <f t="shared" si="12"/>
        <v>11958821.71</v>
      </c>
      <c r="L4090" s="45"/>
      <c r="M4090" s="6"/>
    </row>
    <row r="4091" ht="15.75" customHeight="1">
      <c r="A4091" s="162">
        <v>46235.0</v>
      </c>
      <c r="B4091" s="50"/>
      <c r="C4091" s="31" t="s">
        <v>3883</v>
      </c>
      <c r="D4091" s="32" t="s">
        <v>15</v>
      </c>
      <c r="E4091" s="32" t="s">
        <v>4406</v>
      </c>
      <c r="F4091" s="134">
        <v>46229.0</v>
      </c>
      <c r="G4091" s="207">
        <v>8014505.12</v>
      </c>
      <c r="H4091" s="14">
        <f t="shared" si="11"/>
        <v>1683046.075</v>
      </c>
      <c r="I4091" s="22">
        <v>400725.26</v>
      </c>
      <c r="J4091" s="22"/>
      <c r="K4091" s="15">
        <f t="shared" si="12"/>
        <v>10098276.46</v>
      </c>
      <c r="L4091" s="45"/>
      <c r="M4091" s="6"/>
    </row>
    <row r="4092" ht="15.75" customHeight="1">
      <c r="A4092" s="218">
        <v>46235.0</v>
      </c>
      <c r="B4092" s="56"/>
      <c r="C4092" s="57" t="s">
        <v>3883</v>
      </c>
      <c r="D4092" s="58" t="s">
        <v>99</v>
      </c>
      <c r="E4092" s="58" t="s">
        <v>4407</v>
      </c>
      <c r="F4092" s="137">
        <v>46229.0</v>
      </c>
      <c r="G4092" s="206">
        <v>7945608.13</v>
      </c>
      <c r="H4092" s="9">
        <f t="shared" si="11"/>
        <v>1668577.707</v>
      </c>
      <c r="I4092" s="44">
        <v>397280.41</v>
      </c>
      <c r="J4092" s="44"/>
      <c r="K4092" s="10">
        <f t="shared" si="12"/>
        <v>10011466.25</v>
      </c>
      <c r="L4092" s="61"/>
      <c r="M4092" s="62"/>
    </row>
    <row r="4093" ht="15.75" customHeight="1">
      <c r="A4093" s="218">
        <v>46235.0</v>
      </c>
      <c r="B4093" s="56"/>
      <c r="C4093" s="57" t="s">
        <v>3883</v>
      </c>
      <c r="D4093" s="58" t="s">
        <v>99</v>
      </c>
      <c r="E4093" s="58" t="s">
        <v>3217</v>
      </c>
      <c r="F4093" s="137">
        <v>46229.0</v>
      </c>
      <c r="G4093" s="206">
        <v>5033112.08</v>
      </c>
      <c r="H4093" s="9">
        <f t="shared" si="11"/>
        <v>1056953.537</v>
      </c>
      <c r="I4093" s="44">
        <v>251655.6</v>
      </c>
      <c r="J4093" s="44"/>
      <c r="K4093" s="10">
        <f t="shared" si="12"/>
        <v>6341721.217</v>
      </c>
      <c r="L4093" s="61"/>
      <c r="M4093" s="62"/>
    </row>
    <row r="4094" ht="15.75" customHeight="1">
      <c r="A4094" s="162">
        <v>46235.0</v>
      </c>
      <c r="B4094" s="50"/>
      <c r="C4094" s="31" t="s">
        <v>2613</v>
      </c>
      <c r="D4094" s="32" t="s">
        <v>99</v>
      </c>
      <c r="E4094" s="32" t="s">
        <v>3218</v>
      </c>
      <c r="F4094" s="134">
        <v>46229.0</v>
      </c>
      <c r="G4094" s="207">
        <v>1.548973E7</v>
      </c>
      <c r="H4094" s="14">
        <f t="shared" si="11"/>
        <v>3252843.3</v>
      </c>
      <c r="I4094" s="22">
        <v>464691.9</v>
      </c>
      <c r="J4094" s="22"/>
      <c r="K4094" s="15">
        <f t="shared" si="12"/>
        <v>19207265.2</v>
      </c>
      <c r="L4094" s="45"/>
      <c r="M4094" s="6"/>
    </row>
    <row r="4095" ht="15.75" customHeight="1">
      <c r="A4095" s="218">
        <v>46235.0</v>
      </c>
      <c r="B4095" s="56"/>
      <c r="C4095" s="57" t="s">
        <v>4180</v>
      </c>
      <c r="D4095" s="241" t="s">
        <v>1543</v>
      </c>
      <c r="E4095" s="58" t="s">
        <v>4408</v>
      </c>
      <c r="F4095" s="137">
        <v>46229.0</v>
      </c>
      <c r="G4095" s="206">
        <v>1.035580802E7</v>
      </c>
      <c r="H4095" s="9">
        <f t="shared" si="11"/>
        <v>2174719.684</v>
      </c>
      <c r="I4095" s="44"/>
      <c r="J4095" s="44"/>
      <c r="K4095" s="10">
        <f t="shared" si="12"/>
        <v>12530527.7</v>
      </c>
      <c r="L4095" s="61"/>
      <c r="M4095" s="62"/>
    </row>
    <row r="4096" ht="15.75" customHeight="1">
      <c r="A4096" s="218">
        <v>46235.0</v>
      </c>
      <c r="B4096" s="56"/>
      <c r="C4096" s="57" t="s">
        <v>2616</v>
      </c>
      <c r="D4096" s="241" t="s">
        <v>1543</v>
      </c>
      <c r="E4096" s="58" t="s">
        <v>4409</v>
      </c>
      <c r="F4096" s="137">
        <v>46229.0</v>
      </c>
      <c r="G4096" s="206">
        <v>9456711.05</v>
      </c>
      <c r="H4096" s="9">
        <f t="shared" si="11"/>
        <v>1985909.321</v>
      </c>
      <c r="I4096" s="44"/>
      <c r="J4096" s="44"/>
      <c r="K4096" s="10">
        <f t="shared" si="12"/>
        <v>11442620.37</v>
      </c>
      <c r="L4096" s="61"/>
      <c r="M4096" s="62"/>
    </row>
    <row r="4097" ht="15.75" customHeight="1">
      <c r="A4097" s="218">
        <v>46235.0</v>
      </c>
      <c r="B4097" s="56"/>
      <c r="C4097" s="57" t="s">
        <v>3885</v>
      </c>
      <c r="D4097" s="241" t="s">
        <v>1543</v>
      </c>
      <c r="E4097" s="58" t="s">
        <v>4410</v>
      </c>
      <c r="F4097" s="137">
        <v>46229.0</v>
      </c>
      <c r="G4097" s="206">
        <v>1.058691575E7</v>
      </c>
      <c r="H4097" s="9">
        <f t="shared" si="11"/>
        <v>2223252.308</v>
      </c>
      <c r="I4097" s="44"/>
      <c r="J4097" s="44"/>
      <c r="K4097" s="10">
        <f t="shared" si="12"/>
        <v>12810168.06</v>
      </c>
      <c r="L4097" s="61"/>
      <c r="M4097" s="62"/>
    </row>
    <row r="4098" ht="15.75" customHeight="1">
      <c r="A4098" s="218">
        <v>46235.0</v>
      </c>
      <c r="B4098" s="56"/>
      <c r="C4098" s="57" t="s">
        <v>3885</v>
      </c>
      <c r="D4098" s="241" t="s">
        <v>1543</v>
      </c>
      <c r="E4098" s="58" t="s">
        <v>4411</v>
      </c>
      <c r="F4098" s="137">
        <v>46229.0</v>
      </c>
      <c r="G4098" s="206">
        <v>9155218.41</v>
      </c>
      <c r="H4098" s="9">
        <f t="shared" si="11"/>
        <v>1922595.866</v>
      </c>
      <c r="I4098" s="44"/>
      <c r="J4098" s="44"/>
      <c r="K4098" s="10">
        <f t="shared" si="12"/>
        <v>11077814.28</v>
      </c>
      <c r="L4098" s="61"/>
      <c r="M4098" s="62"/>
    </row>
    <row r="4099" ht="15.75" customHeight="1">
      <c r="A4099" s="162">
        <v>46235.0</v>
      </c>
      <c r="B4099" s="50"/>
      <c r="C4099" s="31" t="s">
        <v>3883</v>
      </c>
      <c r="D4099" s="32" t="s">
        <v>1543</v>
      </c>
      <c r="E4099" s="32" t="s">
        <v>4412</v>
      </c>
      <c r="F4099" s="134">
        <v>46229.0</v>
      </c>
      <c r="G4099" s="207">
        <v>8231623.06</v>
      </c>
      <c r="H4099" s="14">
        <f t="shared" si="11"/>
        <v>1728640.843</v>
      </c>
      <c r="I4099" s="22"/>
      <c r="J4099" s="22"/>
      <c r="K4099" s="15">
        <f t="shared" si="12"/>
        <v>9960263.903</v>
      </c>
      <c r="L4099" s="45"/>
      <c r="M4099" s="6"/>
    </row>
    <row r="4100" ht="15.75" customHeight="1">
      <c r="A4100" s="162">
        <v>46235.0</v>
      </c>
      <c r="B4100" s="50"/>
      <c r="C4100" s="31" t="s">
        <v>3883</v>
      </c>
      <c r="D4100" s="32" t="s">
        <v>1543</v>
      </c>
      <c r="E4100" s="32" t="s">
        <v>4413</v>
      </c>
      <c r="F4100" s="134">
        <v>46229.0</v>
      </c>
      <c r="G4100" s="207">
        <v>8105306.35</v>
      </c>
      <c r="H4100" s="14">
        <f t="shared" si="11"/>
        <v>1702114.334</v>
      </c>
      <c r="I4100" s="22"/>
      <c r="J4100" s="22"/>
      <c r="K4100" s="15">
        <f t="shared" si="12"/>
        <v>9807420.684</v>
      </c>
      <c r="L4100" s="45"/>
      <c r="M4100" s="6"/>
    </row>
    <row r="4101" ht="15.75" customHeight="1">
      <c r="A4101" s="162">
        <v>46237.0</v>
      </c>
      <c r="B4101" s="50"/>
      <c r="C4101" s="31" t="s">
        <v>1842</v>
      </c>
      <c r="D4101" s="32" t="s">
        <v>99</v>
      </c>
      <c r="E4101" s="31" t="s">
        <v>4414</v>
      </c>
      <c r="F4101" s="107" t="s">
        <v>4415</v>
      </c>
      <c r="G4101" s="54">
        <v>3.244379016E7</v>
      </c>
      <c r="H4101" s="14">
        <f t="shared" si="11"/>
        <v>6813195.934</v>
      </c>
      <c r="I4101" s="22"/>
      <c r="J4101" s="22"/>
      <c r="K4101" s="15">
        <f t="shared" si="12"/>
        <v>39256986.09</v>
      </c>
      <c r="L4101" s="45"/>
      <c r="M4101" s="6"/>
    </row>
    <row r="4102" ht="15.75" customHeight="1">
      <c r="A4102" s="162">
        <v>46237.0</v>
      </c>
      <c r="B4102" s="50"/>
      <c r="C4102" s="31" t="s">
        <v>1842</v>
      </c>
      <c r="D4102" s="32" t="s">
        <v>15</v>
      </c>
      <c r="E4102" s="31" t="s">
        <v>4416</v>
      </c>
      <c r="F4102" s="107" t="s">
        <v>4415</v>
      </c>
      <c r="G4102" s="54">
        <v>2.692137016E7</v>
      </c>
      <c r="H4102" s="14">
        <f t="shared" si="11"/>
        <v>5653487.734</v>
      </c>
      <c r="I4102" s="22"/>
      <c r="J4102" s="22">
        <v>188449.59</v>
      </c>
      <c r="K4102" s="15">
        <f t="shared" si="12"/>
        <v>32763307.48</v>
      </c>
      <c r="L4102" s="45"/>
      <c r="M4102" s="6"/>
    </row>
    <row r="4103" ht="15.75" customHeight="1">
      <c r="A4103" s="162">
        <v>46237.0</v>
      </c>
      <c r="B4103" s="50"/>
      <c r="C4103" s="31" t="s">
        <v>1842</v>
      </c>
      <c r="D4103" s="32" t="s">
        <v>15</v>
      </c>
      <c r="E4103" s="31" t="s">
        <v>4417</v>
      </c>
      <c r="F4103" s="107" t="s">
        <v>4415</v>
      </c>
      <c r="G4103" s="54">
        <v>2.652248013E7</v>
      </c>
      <c r="H4103" s="14">
        <f t="shared" si="11"/>
        <v>5569720.827</v>
      </c>
      <c r="I4103" s="22"/>
      <c r="J4103" s="22">
        <v>185657.36</v>
      </c>
      <c r="K4103" s="15">
        <f t="shared" si="12"/>
        <v>32277858.32</v>
      </c>
      <c r="L4103" s="45"/>
      <c r="M4103" s="6"/>
    </row>
    <row r="4104" ht="15.75" customHeight="1">
      <c r="A4104" s="162">
        <v>46237.0</v>
      </c>
      <c r="B4104" s="50"/>
      <c r="C4104" s="31" t="s">
        <v>171</v>
      </c>
      <c r="D4104" s="32" t="s">
        <v>15</v>
      </c>
      <c r="E4104" s="31" t="s">
        <v>4418</v>
      </c>
      <c r="F4104" s="107" t="s">
        <v>4415</v>
      </c>
      <c r="G4104" s="54">
        <v>7089129.28</v>
      </c>
      <c r="H4104" s="14">
        <f t="shared" si="11"/>
        <v>1488717.149</v>
      </c>
      <c r="I4104" s="22"/>
      <c r="J4104" s="22"/>
      <c r="K4104" s="15">
        <f t="shared" si="12"/>
        <v>8577846.429</v>
      </c>
      <c r="L4104" s="45"/>
      <c r="M4104" s="6"/>
    </row>
    <row r="4105" ht="15.75" customHeight="1">
      <c r="A4105" s="162">
        <v>46237.0</v>
      </c>
      <c r="B4105" s="50"/>
      <c r="C4105" s="31" t="s">
        <v>171</v>
      </c>
      <c r="D4105" s="32" t="s">
        <v>15</v>
      </c>
      <c r="E4105" s="31" t="s">
        <v>4419</v>
      </c>
      <c r="F4105" s="107" t="s">
        <v>4415</v>
      </c>
      <c r="G4105" s="54">
        <v>1.040232115E7</v>
      </c>
      <c r="H4105" s="14">
        <f t="shared" si="11"/>
        <v>2184487.442</v>
      </c>
      <c r="I4105" s="22"/>
      <c r="J4105" s="22"/>
      <c r="K4105" s="15">
        <f t="shared" si="12"/>
        <v>12586808.59</v>
      </c>
      <c r="L4105" s="45"/>
      <c r="M4105" s="6"/>
    </row>
    <row r="4106" ht="15.75" customHeight="1">
      <c r="A4106" s="162">
        <v>46237.0</v>
      </c>
      <c r="B4106" s="50"/>
      <c r="C4106" s="31" t="s">
        <v>171</v>
      </c>
      <c r="D4106" s="32" t="s">
        <v>15</v>
      </c>
      <c r="E4106" s="31" t="s">
        <v>4420</v>
      </c>
      <c r="F4106" s="107" t="s">
        <v>4415</v>
      </c>
      <c r="G4106" s="54">
        <v>1.723423311E7</v>
      </c>
      <c r="H4106" s="14">
        <f t="shared" si="11"/>
        <v>3619188.953</v>
      </c>
      <c r="I4106" s="22"/>
      <c r="J4106" s="22"/>
      <c r="K4106" s="15">
        <f t="shared" si="12"/>
        <v>20853422.06</v>
      </c>
      <c r="L4106" s="45"/>
      <c r="M4106" s="6"/>
    </row>
    <row r="4107" ht="15.75" customHeight="1">
      <c r="A4107" s="162">
        <v>46237.0</v>
      </c>
      <c r="B4107" s="50"/>
      <c r="C4107" s="31" t="s">
        <v>171</v>
      </c>
      <c r="D4107" s="32" t="s">
        <v>15</v>
      </c>
      <c r="E4107" s="31" t="s">
        <v>4421</v>
      </c>
      <c r="F4107" s="107" t="s">
        <v>4415</v>
      </c>
      <c r="G4107" s="54">
        <v>1.922636211E7</v>
      </c>
      <c r="H4107" s="14">
        <f t="shared" si="11"/>
        <v>4037536.043</v>
      </c>
      <c r="I4107" s="22"/>
      <c r="J4107" s="22"/>
      <c r="K4107" s="15">
        <f t="shared" si="12"/>
        <v>23263898.15</v>
      </c>
      <c r="L4107" s="45"/>
      <c r="M4107" s="6"/>
    </row>
    <row r="4108" ht="15.75" customHeight="1">
      <c r="A4108" s="162">
        <v>46237.0</v>
      </c>
      <c r="B4108" s="50"/>
      <c r="C4108" s="31" t="s">
        <v>171</v>
      </c>
      <c r="D4108" s="32" t="s">
        <v>15</v>
      </c>
      <c r="E4108" s="31" t="s">
        <v>4422</v>
      </c>
      <c r="F4108" s="107" t="s">
        <v>4415</v>
      </c>
      <c r="G4108" s="54">
        <v>1.733533212E7</v>
      </c>
      <c r="H4108" s="14">
        <f t="shared" si="11"/>
        <v>3640419.745</v>
      </c>
      <c r="I4108" s="22"/>
      <c r="J4108" s="22"/>
      <c r="K4108" s="15">
        <f t="shared" si="12"/>
        <v>20975751.87</v>
      </c>
      <c r="L4108" s="45"/>
      <c r="M4108" s="6"/>
    </row>
    <row r="4109" ht="15.75" customHeight="1">
      <c r="A4109" s="162">
        <v>46237.0</v>
      </c>
      <c r="B4109" s="50"/>
      <c r="C4109" s="31" t="s">
        <v>171</v>
      </c>
      <c r="D4109" s="32" t="s">
        <v>15</v>
      </c>
      <c r="E4109" s="32" t="s">
        <v>4423</v>
      </c>
      <c r="F4109" s="107" t="s">
        <v>4415</v>
      </c>
      <c r="G4109" s="54">
        <v>1.490182513E7</v>
      </c>
      <c r="H4109" s="14">
        <f t="shared" si="11"/>
        <v>3129383.277</v>
      </c>
      <c r="I4109" s="22"/>
      <c r="J4109" s="22"/>
      <c r="K4109" s="15">
        <f t="shared" si="12"/>
        <v>18031208.41</v>
      </c>
      <c r="L4109" s="45"/>
      <c r="M4109" s="6"/>
    </row>
    <row r="4110" ht="15.75" customHeight="1">
      <c r="A4110" s="162">
        <v>46238.0</v>
      </c>
      <c r="B4110" s="50"/>
      <c r="C4110" s="31" t="s">
        <v>567</v>
      </c>
      <c r="D4110" s="32" t="s">
        <v>99</v>
      </c>
      <c r="E4110" s="31" t="s">
        <v>4424</v>
      </c>
      <c r="F4110" s="107" t="s">
        <v>4415</v>
      </c>
      <c r="G4110" s="54">
        <v>1.650056613E7</v>
      </c>
      <c r="H4110" s="14">
        <f t="shared" si="11"/>
        <v>3465118.887</v>
      </c>
      <c r="I4110" s="22"/>
      <c r="J4110" s="22"/>
      <c r="K4110" s="15">
        <f t="shared" si="12"/>
        <v>19965685.02</v>
      </c>
      <c r="L4110" s="45"/>
      <c r="M4110" s="6"/>
    </row>
    <row r="4111" ht="15.75" customHeight="1">
      <c r="A4111" s="162">
        <v>46238.0</v>
      </c>
      <c r="B4111" s="50"/>
      <c r="C4111" s="31" t="s">
        <v>567</v>
      </c>
      <c r="D4111" s="32" t="s">
        <v>99</v>
      </c>
      <c r="E4111" s="32" t="s">
        <v>4425</v>
      </c>
      <c r="F4111" s="107" t="s">
        <v>4415</v>
      </c>
      <c r="G4111" s="54">
        <v>3.745015203E7</v>
      </c>
      <c r="H4111" s="14">
        <f t="shared" si="11"/>
        <v>7864531.926</v>
      </c>
      <c r="I4111" s="22"/>
      <c r="J4111" s="22"/>
      <c r="K4111" s="15">
        <f t="shared" si="12"/>
        <v>45314683.96</v>
      </c>
      <c r="L4111" s="45"/>
      <c r="M4111" s="6"/>
    </row>
    <row r="4112" ht="15.75" customHeight="1">
      <c r="A4112" s="162">
        <v>46238.0</v>
      </c>
      <c r="B4112" s="50"/>
      <c r="C4112" s="31" t="s">
        <v>567</v>
      </c>
      <c r="D4112" s="32" t="s">
        <v>15</v>
      </c>
      <c r="E4112" s="31" t="s">
        <v>4426</v>
      </c>
      <c r="F4112" s="107" t="s">
        <v>4415</v>
      </c>
      <c r="G4112" s="54">
        <v>4.020021116E7</v>
      </c>
      <c r="H4112" s="14">
        <f t="shared" si="11"/>
        <v>8442044.344</v>
      </c>
      <c r="I4112" s="22"/>
      <c r="J4112" s="22"/>
      <c r="K4112" s="15">
        <f t="shared" si="12"/>
        <v>48642255.5</v>
      </c>
      <c r="L4112" s="45"/>
      <c r="M4112" s="6"/>
    </row>
    <row r="4113" ht="15.75" customHeight="1">
      <c r="A4113" s="162">
        <v>46238.0</v>
      </c>
      <c r="B4113" s="50"/>
      <c r="C4113" s="31" t="s">
        <v>567</v>
      </c>
      <c r="D4113" s="32" t="s">
        <v>15</v>
      </c>
      <c r="E4113" s="31" t="s">
        <v>4427</v>
      </c>
      <c r="F4113" s="107" t="s">
        <v>4415</v>
      </c>
      <c r="G4113" s="54">
        <v>1.232675016E7</v>
      </c>
      <c r="H4113" s="14">
        <f t="shared" si="11"/>
        <v>2588617.534</v>
      </c>
      <c r="I4113" s="22"/>
      <c r="J4113" s="22"/>
      <c r="K4113" s="15">
        <f t="shared" si="12"/>
        <v>14915367.69</v>
      </c>
      <c r="L4113" s="45"/>
      <c r="M4113" s="6"/>
    </row>
    <row r="4114" ht="15.75" customHeight="1">
      <c r="A4114" s="162">
        <v>46238.0</v>
      </c>
      <c r="B4114" s="50"/>
      <c r="C4114" s="31" t="s">
        <v>1685</v>
      </c>
      <c r="D4114" s="32" t="s">
        <v>15</v>
      </c>
      <c r="E4114" s="31" t="s">
        <v>4428</v>
      </c>
      <c r="F4114" s="107" t="s">
        <v>4415</v>
      </c>
      <c r="G4114" s="54">
        <v>1.200936026E7</v>
      </c>
      <c r="H4114" s="14">
        <f t="shared" si="11"/>
        <v>2521965.655</v>
      </c>
      <c r="I4114" s="22">
        <v>360280.81</v>
      </c>
      <c r="J4114" s="22"/>
      <c r="K4114" s="15">
        <f t="shared" si="12"/>
        <v>14891606.72</v>
      </c>
      <c r="L4114" s="45"/>
      <c r="M4114" s="6"/>
    </row>
    <row r="4115" ht="15.75" customHeight="1">
      <c r="A4115" s="162">
        <v>46238.0</v>
      </c>
      <c r="B4115" s="50"/>
      <c r="C4115" s="31" t="s">
        <v>4429</v>
      </c>
      <c r="D4115" s="32" t="s">
        <v>15</v>
      </c>
      <c r="E4115" s="31" t="s">
        <v>4430</v>
      </c>
      <c r="F4115" s="107" t="s">
        <v>4415</v>
      </c>
      <c r="G4115" s="54">
        <v>2.644726013E7</v>
      </c>
      <c r="H4115" s="14">
        <f t="shared" si="11"/>
        <v>5553924.627</v>
      </c>
      <c r="I4115" s="22">
        <v>793417.8</v>
      </c>
      <c r="J4115" s="22">
        <v>1322363.01</v>
      </c>
      <c r="K4115" s="15">
        <f t="shared" si="12"/>
        <v>34116965.57</v>
      </c>
      <c r="L4115" s="45"/>
      <c r="M4115" s="6"/>
    </row>
    <row r="4116" ht="15.75" customHeight="1">
      <c r="A4116" s="162">
        <v>46238.0</v>
      </c>
      <c r="B4116" s="50"/>
      <c r="C4116" s="31" t="s">
        <v>4429</v>
      </c>
      <c r="D4116" s="32" t="s">
        <v>15</v>
      </c>
      <c r="E4116" s="31" t="s">
        <v>4431</v>
      </c>
      <c r="F4116" s="107" t="s">
        <v>4415</v>
      </c>
      <c r="G4116" s="54">
        <v>1.790692513E7</v>
      </c>
      <c r="H4116" s="14">
        <f t="shared" si="11"/>
        <v>3760454.277</v>
      </c>
      <c r="I4116" s="22">
        <v>537207.75</v>
      </c>
      <c r="J4116" s="22">
        <v>895346.26</v>
      </c>
      <c r="K4116" s="15">
        <f t="shared" si="12"/>
        <v>23099933.42</v>
      </c>
      <c r="L4116" s="45"/>
      <c r="M4116" s="6"/>
    </row>
    <row r="4117" ht="15.75" customHeight="1">
      <c r="A4117" s="162">
        <v>46240.0</v>
      </c>
      <c r="B4117" s="50"/>
      <c r="C4117" s="31" t="s">
        <v>410</v>
      </c>
      <c r="D4117" s="32" t="s">
        <v>15</v>
      </c>
      <c r="E4117" s="31" t="s">
        <v>4432</v>
      </c>
      <c r="F4117" s="107" t="s">
        <v>4415</v>
      </c>
      <c r="G4117" s="54">
        <v>3889440.0</v>
      </c>
      <c r="H4117" s="14">
        <f t="shared" si="11"/>
        <v>816782.4</v>
      </c>
      <c r="I4117" s="22"/>
      <c r="J4117" s="22"/>
      <c r="K4117" s="15">
        <f t="shared" si="12"/>
        <v>4706222.4</v>
      </c>
      <c r="L4117" s="45"/>
      <c r="M4117" s="6"/>
    </row>
    <row r="4118" ht="15.75" customHeight="1">
      <c r="A4118" s="162">
        <v>46240.0</v>
      </c>
      <c r="B4118" s="50"/>
      <c r="C4118" s="31" t="s">
        <v>410</v>
      </c>
      <c r="D4118" s="32" t="s">
        <v>15</v>
      </c>
      <c r="E4118" s="31" t="s">
        <v>4433</v>
      </c>
      <c r="F4118" s="107" t="s">
        <v>4415</v>
      </c>
      <c r="G4118" s="54">
        <v>8121370.0</v>
      </c>
      <c r="H4118" s="14">
        <f t="shared" si="11"/>
        <v>1705487.7</v>
      </c>
      <c r="I4118" s="22"/>
      <c r="J4118" s="22"/>
      <c r="K4118" s="15">
        <f t="shared" si="12"/>
        <v>9826857.7</v>
      </c>
      <c r="L4118" s="45"/>
      <c r="M4118" s="6"/>
    </row>
    <row r="4119" ht="15.75" customHeight="1">
      <c r="A4119" s="162">
        <v>46240.0</v>
      </c>
      <c r="B4119" s="50"/>
      <c r="C4119" s="31" t="s">
        <v>55</v>
      </c>
      <c r="D4119" s="32" t="s">
        <v>15</v>
      </c>
      <c r="E4119" s="31" t="s">
        <v>4434</v>
      </c>
      <c r="F4119" s="107" t="s">
        <v>4415</v>
      </c>
      <c r="G4119" s="54">
        <v>1.023239E7</v>
      </c>
      <c r="H4119" s="14">
        <f t="shared" si="11"/>
        <v>2148801.9</v>
      </c>
      <c r="I4119" s="22"/>
      <c r="J4119" s="22">
        <v>511619.5</v>
      </c>
      <c r="K4119" s="15">
        <f t="shared" si="12"/>
        <v>12892811.4</v>
      </c>
      <c r="L4119" s="45"/>
      <c r="M4119" s="6"/>
    </row>
    <row r="4120" ht="15.75" customHeight="1">
      <c r="A4120" s="162">
        <v>46240.0</v>
      </c>
      <c r="B4120" s="50"/>
      <c r="C4120" s="31" t="s">
        <v>242</v>
      </c>
      <c r="D4120" s="32" t="s">
        <v>15</v>
      </c>
      <c r="E4120" s="31" t="s">
        <v>4435</v>
      </c>
      <c r="F4120" s="107" t="s">
        <v>4415</v>
      </c>
      <c r="G4120" s="54">
        <v>9782350.0</v>
      </c>
      <c r="H4120" s="14">
        <f t="shared" si="11"/>
        <v>2054293.5</v>
      </c>
      <c r="I4120" s="22"/>
      <c r="J4120" s="22">
        <v>195647.0</v>
      </c>
      <c r="K4120" s="15">
        <f t="shared" si="12"/>
        <v>12032290.5</v>
      </c>
      <c r="L4120" s="45"/>
      <c r="M4120" s="6"/>
    </row>
    <row r="4121" ht="15.75" customHeight="1">
      <c r="A4121" s="162">
        <v>46240.0</v>
      </c>
      <c r="B4121" s="50"/>
      <c r="C4121" s="31" t="s">
        <v>64</v>
      </c>
      <c r="D4121" s="32" t="s">
        <v>15</v>
      </c>
      <c r="E4121" s="31" t="s">
        <v>4436</v>
      </c>
      <c r="F4121" s="107" t="s">
        <v>4415</v>
      </c>
      <c r="G4121" s="54">
        <v>1.751427E7</v>
      </c>
      <c r="H4121" s="14">
        <f t="shared" si="11"/>
        <v>3677996.7</v>
      </c>
      <c r="I4121" s="22"/>
      <c r="J4121" s="22"/>
      <c r="K4121" s="15">
        <f t="shared" si="12"/>
        <v>21192266.7</v>
      </c>
      <c r="L4121" s="45"/>
      <c r="M4121" s="6"/>
    </row>
    <row r="4122" ht="15.75" customHeight="1">
      <c r="A4122" s="162">
        <v>46240.0</v>
      </c>
      <c r="B4122" s="50"/>
      <c r="C4122" s="32" t="s">
        <v>53</v>
      </c>
      <c r="D4122" s="32" t="s">
        <v>15</v>
      </c>
      <c r="E4122" s="31" t="s">
        <v>4437</v>
      </c>
      <c r="F4122" s="107" t="s">
        <v>4415</v>
      </c>
      <c r="G4122" s="54">
        <v>4158256.2</v>
      </c>
      <c r="H4122" s="14">
        <f t="shared" si="11"/>
        <v>873233.802</v>
      </c>
      <c r="I4122" s="22"/>
      <c r="J4122" s="22"/>
      <c r="K4122" s="15">
        <f t="shared" si="12"/>
        <v>5031490.002</v>
      </c>
      <c r="L4122" s="45"/>
      <c r="M4122" s="6"/>
    </row>
    <row r="4123" ht="15.75" customHeight="1">
      <c r="A4123" s="162">
        <v>46240.0</v>
      </c>
      <c r="B4123" s="50"/>
      <c r="C4123" s="32" t="s">
        <v>53</v>
      </c>
      <c r="D4123" s="32" t="s">
        <v>15</v>
      </c>
      <c r="E4123" s="31" t="s">
        <v>4438</v>
      </c>
      <c r="F4123" s="107" t="s">
        <v>4415</v>
      </c>
      <c r="G4123" s="54">
        <v>1.241524793E7</v>
      </c>
      <c r="H4123" s="14">
        <f t="shared" si="11"/>
        <v>2607202.065</v>
      </c>
      <c r="I4123" s="22"/>
      <c r="J4123" s="22"/>
      <c r="K4123" s="15">
        <f t="shared" si="12"/>
        <v>15022450</v>
      </c>
      <c r="L4123" s="45"/>
      <c r="M4123" s="6"/>
    </row>
    <row r="4124" ht="15.75" customHeight="1">
      <c r="A4124" s="162">
        <v>46240.0</v>
      </c>
      <c r="B4124" s="50"/>
      <c r="C4124" s="31" t="s">
        <v>1112</v>
      </c>
      <c r="D4124" s="32" t="s">
        <v>15</v>
      </c>
      <c r="E4124" s="31" t="s">
        <v>4439</v>
      </c>
      <c r="F4124" s="107" t="s">
        <v>4415</v>
      </c>
      <c r="G4124" s="54">
        <v>1.461952E7</v>
      </c>
      <c r="H4124" s="14">
        <f t="shared" si="11"/>
        <v>3070099.2</v>
      </c>
      <c r="I4124" s="22"/>
      <c r="J4124" s="22">
        <v>1461.95</v>
      </c>
      <c r="K4124" s="15">
        <f t="shared" si="12"/>
        <v>17691081.15</v>
      </c>
      <c r="L4124" s="45"/>
      <c r="M4124" s="6"/>
    </row>
    <row r="4125" ht="15.75" customHeight="1">
      <c r="A4125" s="162">
        <v>46240.0</v>
      </c>
      <c r="B4125" s="50"/>
      <c r="C4125" s="31" t="s">
        <v>1112</v>
      </c>
      <c r="D4125" s="32" t="s">
        <v>15</v>
      </c>
      <c r="E4125" s="32" t="s">
        <v>4440</v>
      </c>
      <c r="F4125" s="107" t="s">
        <v>4415</v>
      </c>
      <c r="G4125" s="54">
        <v>1.538936E7</v>
      </c>
      <c r="H4125" s="14">
        <f t="shared" si="11"/>
        <v>3231765.6</v>
      </c>
      <c r="I4125" s="22"/>
      <c r="J4125" s="22">
        <v>1538.94</v>
      </c>
      <c r="K4125" s="15">
        <f t="shared" si="12"/>
        <v>18622664.54</v>
      </c>
      <c r="L4125" s="45"/>
      <c r="M4125" s="6"/>
    </row>
    <row r="4126" ht="15.75" customHeight="1">
      <c r="A4126" s="162">
        <v>46240.0</v>
      </c>
      <c r="B4126" s="50"/>
      <c r="C4126" s="31" t="s">
        <v>1112</v>
      </c>
      <c r="D4126" s="32" t="s">
        <v>15</v>
      </c>
      <c r="E4126" s="32" t="s">
        <v>4441</v>
      </c>
      <c r="F4126" s="107" t="s">
        <v>4415</v>
      </c>
      <c r="G4126" s="54">
        <v>1.523144E7</v>
      </c>
      <c r="H4126" s="14">
        <f t="shared" si="11"/>
        <v>3198602.4</v>
      </c>
      <c r="I4126" s="22"/>
      <c r="J4126" s="22">
        <v>1523.14</v>
      </c>
      <c r="K4126" s="15">
        <f t="shared" si="12"/>
        <v>18431565.54</v>
      </c>
      <c r="L4126" s="45"/>
      <c r="M4126" s="6"/>
    </row>
    <row r="4127" ht="15.75" customHeight="1">
      <c r="A4127" s="162">
        <v>46240.0</v>
      </c>
      <c r="B4127" s="50"/>
      <c r="C4127" s="31" t="s">
        <v>1112</v>
      </c>
      <c r="D4127" s="32" t="s">
        <v>15</v>
      </c>
      <c r="E4127" s="32" t="s">
        <v>4442</v>
      </c>
      <c r="F4127" s="107" t="s">
        <v>4415</v>
      </c>
      <c r="G4127" s="54">
        <v>1.479246E7</v>
      </c>
      <c r="H4127" s="14">
        <f t="shared" si="11"/>
        <v>3106416.6</v>
      </c>
      <c r="I4127" s="22"/>
      <c r="J4127" s="22">
        <v>1479.25</v>
      </c>
      <c r="K4127" s="15">
        <f t="shared" si="12"/>
        <v>17900355.85</v>
      </c>
      <c r="L4127" s="45"/>
      <c r="M4127" s="6"/>
    </row>
    <row r="4128" ht="15.75" customHeight="1">
      <c r="A4128" s="162">
        <v>46240.0</v>
      </c>
      <c r="B4128" s="50"/>
      <c r="C4128" s="31" t="s">
        <v>1112</v>
      </c>
      <c r="D4128" s="32" t="s">
        <v>99</v>
      </c>
      <c r="E4128" s="32" t="s">
        <v>4443</v>
      </c>
      <c r="F4128" s="107" t="s">
        <v>4415</v>
      </c>
      <c r="G4128" s="54">
        <v>1.481246E7</v>
      </c>
      <c r="H4128" s="14">
        <f t="shared" si="11"/>
        <v>3110616.6</v>
      </c>
      <c r="I4128" s="22"/>
      <c r="J4128" s="22">
        <v>1481.25</v>
      </c>
      <c r="K4128" s="15">
        <f t="shared" si="12"/>
        <v>17924557.85</v>
      </c>
      <c r="L4128" s="45"/>
      <c r="M4128" s="6"/>
    </row>
    <row r="4129" ht="15.75" customHeight="1">
      <c r="A4129" s="162">
        <v>46240.0</v>
      </c>
      <c r="B4129" s="50"/>
      <c r="C4129" s="31" t="s">
        <v>1112</v>
      </c>
      <c r="D4129" s="32" t="s">
        <v>99</v>
      </c>
      <c r="E4129" s="32" t="s">
        <v>4444</v>
      </c>
      <c r="F4129" s="107" t="s">
        <v>4415</v>
      </c>
      <c r="G4129" s="54">
        <v>1.472457E7</v>
      </c>
      <c r="H4129" s="14">
        <f t="shared" si="11"/>
        <v>3092159.7</v>
      </c>
      <c r="I4129" s="22"/>
      <c r="J4129" s="22">
        <v>1472.46</v>
      </c>
      <c r="K4129" s="15">
        <f t="shared" si="12"/>
        <v>17818202.16</v>
      </c>
      <c r="L4129" s="45"/>
      <c r="M4129" s="6"/>
    </row>
    <row r="4130" ht="15.75" customHeight="1">
      <c r="A4130" s="162">
        <v>46240.0</v>
      </c>
      <c r="B4130" s="50"/>
      <c r="C4130" s="31" t="s">
        <v>1112</v>
      </c>
      <c r="D4130" s="32" t="s">
        <v>99</v>
      </c>
      <c r="E4130" s="32" t="s">
        <v>4445</v>
      </c>
      <c r="F4130" s="107" t="s">
        <v>4415</v>
      </c>
      <c r="G4130" s="54">
        <v>1.519755E7</v>
      </c>
      <c r="H4130" s="14">
        <f t="shared" si="11"/>
        <v>3191485.5</v>
      </c>
      <c r="I4130" s="22"/>
      <c r="J4130" s="22">
        <v>1519.76</v>
      </c>
      <c r="K4130" s="15">
        <f t="shared" si="12"/>
        <v>18390555.26</v>
      </c>
      <c r="L4130" s="45"/>
      <c r="M4130" s="6"/>
    </row>
    <row r="4131" ht="15.75" customHeight="1">
      <c r="A4131" s="162">
        <v>46240.0</v>
      </c>
      <c r="B4131" s="50"/>
      <c r="C4131" s="31" t="s">
        <v>1112</v>
      </c>
      <c r="D4131" s="32" t="s">
        <v>99</v>
      </c>
      <c r="E4131" s="32" t="s">
        <v>4446</v>
      </c>
      <c r="F4131" s="107" t="s">
        <v>4415</v>
      </c>
      <c r="G4131" s="54">
        <v>1.528989E7</v>
      </c>
      <c r="H4131" s="14">
        <f t="shared" si="11"/>
        <v>3210876.9</v>
      </c>
      <c r="I4131" s="22"/>
      <c r="J4131" s="22">
        <v>1528.99</v>
      </c>
      <c r="K4131" s="15">
        <f t="shared" si="12"/>
        <v>18502295.89</v>
      </c>
      <c r="L4131" s="45"/>
      <c r="M4131" s="6"/>
    </row>
    <row r="4132" ht="15.75" customHeight="1">
      <c r="A4132" s="162">
        <v>46240.0</v>
      </c>
      <c r="B4132" s="50"/>
      <c r="C4132" s="31" t="s">
        <v>64</v>
      </c>
      <c r="D4132" s="32" t="s">
        <v>99</v>
      </c>
      <c r="E4132" s="31" t="s">
        <v>4447</v>
      </c>
      <c r="F4132" s="107" t="s">
        <v>4415</v>
      </c>
      <c r="G4132" s="54">
        <v>1.551428E7</v>
      </c>
      <c r="H4132" s="14">
        <f t="shared" si="11"/>
        <v>3257998.8</v>
      </c>
      <c r="I4132" s="22">
        <v>465428.4</v>
      </c>
      <c r="J4132" s="22"/>
      <c r="K4132" s="15">
        <f t="shared" si="12"/>
        <v>19237707.2</v>
      </c>
      <c r="L4132" s="45"/>
      <c r="M4132" s="6"/>
    </row>
    <row r="4133" ht="15.75" customHeight="1">
      <c r="A4133" s="162">
        <v>46241.0</v>
      </c>
      <c r="B4133" s="50"/>
      <c r="C4133" s="31" t="s">
        <v>4448</v>
      </c>
      <c r="D4133" s="107" t="s">
        <v>1543</v>
      </c>
      <c r="E4133" s="32" t="s">
        <v>4449</v>
      </c>
      <c r="F4133" s="134">
        <v>46229.0</v>
      </c>
      <c r="G4133" s="207">
        <v>1.121505099E7</v>
      </c>
      <c r="H4133" s="14">
        <f t="shared" si="11"/>
        <v>2355160.708</v>
      </c>
      <c r="I4133" s="22"/>
      <c r="J4133" s="22"/>
      <c r="K4133" s="15">
        <f t="shared" si="12"/>
        <v>13570211.7</v>
      </c>
      <c r="L4133" s="45"/>
      <c r="M4133" s="6"/>
    </row>
    <row r="4134" ht="15.75" customHeight="1">
      <c r="A4134" s="162">
        <v>46241.0</v>
      </c>
      <c r="B4134" s="50"/>
      <c r="C4134" s="31" t="s">
        <v>4448</v>
      </c>
      <c r="D4134" s="107" t="s">
        <v>1543</v>
      </c>
      <c r="E4134" s="32" t="s">
        <v>4450</v>
      </c>
      <c r="F4134" s="134">
        <v>46229.0</v>
      </c>
      <c r="G4134" s="207">
        <v>7985080.25</v>
      </c>
      <c r="H4134" s="14">
        <f t="shared" si="11"/>
        <v>1676866.853</v>
      </c>
      <c r="I4134" s="22"/>
      <c r="J4134" s="22"/>
      <c r="K4134" s="15">
        <f t="shared" si="12"/>
        <v>9661947.103</v>
      </c>
      <c r="L4134" s="45"/>
      <c r="M4134" s="6"/>
    </row>
    <row r="4135" ht="15.75" customHeight="1">
      <c r="A4135" s="162">
        <v>46241.0</v>
      </c>
      <c r="B4135" s="50"/>
      <c r="C4135" s="31" t="s">
        <v>4429</v>
      </c>
      <c r="D4135" s="32" t="s">
        <v>15</v>
      </c>
      <c r="E4135" s="32" t="s">
        <v>4451</v>
      </c>
      <c r="F4135" s="107" t="s">
        <v>4415</v>
      </c>
      <c r="G4135" s="54">
        <v>-2.644726013E7</v>
      </c>
      <c r="H4135" s="14">
        <f t="shared" si="11"/>
        <v>-5553924.627</v>
      </c>
      <c r="I4135" s="22">
        <v>-793417.8</v>
      </c>
      <c r="J4135" s="22">
        <v>-1322363.01</v>
      </c>
      <c r="K4135" s="15">
        <f t="shared" si="12"/>
        <v>-34116965.57</v>
      </c>
      <c r="L4135" s="45"/>
      <c r="M4135" s="6"/>
    </row>
    <row r="4136" ht="15.75" customHeight="1">
      <c r="A4136" s="162">
        <v>46241.0</v>
      </c>
      <c r="B4136" s="50"/>
      <c r="C4136" s="31" t="s">
        <v>527</v>
      </c>
      <c r="D4136" s="32" t="s">
        <v>15</v>
      </c>
      <c r="E4136" s="31" t="s">
        <v>4452</v>
      </c>
      <c r="F4136" s="107" t="s">
        <v>4415</v>
      </c>
      <c r="G4136" s="54">
        <v>1.501135016E7</v>
      </c>
      <c r="H4136" s="14">
        <f t="shared" si="11"/>
        <v>3152383.534</v>
      </c>
      <c r="I4136" s="22">
        <v>450340.5</v>
      </c>
      <c r="J4136" s="22"/>
      <c r="K4136" s="15">
        <f t="shared" si="12"/>
        <v>18614074.19</v>
      </c>
      <c r="L4136" s="45"/>
      <c r="M4136" s="6"/>
    </row>
    <row r="4137" ht="15.75" customHeight="1">
      <c r="A4137" s="162">
        <v>46241.0</v>
      </c>
      <c r="B4137" s="50"/>
      <c r="C4137" s="31" t="s">
        <v>1183</v>
      </c>
      <c r="D4137" s="32" t="s">
        <v>15</v>
      </c>
      <c r="E4137" s="31" t="s">
        <v>4453</v>
      </c>
      <c r="F4137" s="107" t="s">
        <v>4415</v>
      </c>
      <c r="G4137" s="54">
        <v>1.379001216E7</v>
      </c>
      <c r="H4137" s="14">
        <f t="shared" si="11"/>
        <v>2895902.554</v>
      </c>
      <c r="I4137" s="22">
        <v>413700.36</v>
      </c>
      <c r="J4137" s="22"/>
      <c r="K4137" s="15">
        <f t="shared" si="12"/>
        <v>17099615.07</v>
      </c>
      <c r="L4137" s="45"/>
      <c r="M4137" s="6"/>
    </row>
    <row r="4138" ht="15.75" customHeight="1">
      <c r="A4138" s="162">
        <v>46241.0</v>
      </c>
      <c r="B4138" s="50"/>
      <c r="C4138" s="31" t="s">
        <v>1183</v>
      </c>
      <c r="D4138" s="32" t="s">
        <v>15</v>
      </c>
      <c r="E4138" s="31" t="s">
        <v>4454</v>
      </c>
      <c r="F4138" s="107" t="s">
        <v>4415</v>
      </c>
      <c r="G4138" s="54">
        <v>6631558.26</v>
      </c>
      <c r="H4138" s="14">
        <f t="shared" si="11"/>
        <v>1392627.235</v>
      </c>
      <c r="I4138" s="22">
        <v>198946.75</v>
      </c>
      <c r="J4138" s="22"/>
      <c r="K4138" s="15">
        <f t="shared" si="12"/>
        <v>8223132.245</v>
      </c>
      <c r="L4138" s="45"/>
      <c r="M4138" s="6"/>
    </row>
    <row r="4139" ht="15.75" customHeight="1">
      <c r="A4139" s="162">
        <v>46241.0</v>
      </c>
      <c r="B4139" s="50"/>
      <c r="C4139" s="31" t="s">
        <v>1183</v>
      </c>
      <c r="D4139" s="32" t="s">
        <v>15</v>
      </c>
      <c r="E4139" s="31" t="s">
        <v>4455</v>
      </c>
      <c r="F4139" s="107" t="s">
        <v>4415</v>
      </c>
      <c r="G4139" s="54">
        <v>6419208.13</v>
      </c>
      <c r="H4139" s="14">
        <f t="shared" si="11"/>
        <v>1348033.707</v>
      </c>
      <c r="I4139" s="22">
        <v>192576.24</v>
      </c>
      <c r="J4139" s="22"/>
      <c r="K4139" s="15">
        <f t="shared" si="12"/>
        <v>7959818.077</v>
      </c>
      <c r="L4139" s="45"/>
      <c r="M4139" s="6"/>
    </row>
    <row r="4140" ht="15.75" customHeight="1">
      <c r="A4140" s="162">
        <v>46241.0</v>
      </c>
      <c r="B4140" s="50"/>
      <c r="C4140" s="31" t="s">
        <v>1183</v>
      </c>
      <c r="D4140" s="32" t="s">
        <v>15</v>
      </c>
      <c r="E4140" s="31" t="s">
        <v>4456</v>
      </c>
      <c r="F4140" s="107" t="s">
        <v>4415</v>
      </c>
      <c r="G4140" s="54">
        <v>8172380.16</v>
      </c>
      <c r="H4140" s="14">
        <f t="shared" si="11"/>
        <v>1716199.834</v>
      </c>
      <c r="I4140" s="22">
        <v>245171.4</v>
      </c>
      <c r="J4140" s="22"/>
      <c r="K4140" s="15">
        <f t="shared" si="12"/>
        <v>10133751.39</v>
      </c>
      <c r="L4140" s="45"/>
      <c r="M4140" s="6"/>
    </row>
    <row r="4141" ht="15.75" customHeight="1">
      <c r="A4141" s="162">
        <v>46241.0</v>
      </c>
      <c r="B4141" s="50"/>
      <c r="C4141" s="31" t="s">
        <v>1183</v>
      </c>
      <c r="D4141" s="32" t="s">
        <v>15</v>
      </c>
      <c r="E4141" s="31" t="s">
        <v>4457</v>
      </c>
      <c r="F4141" s="107" t="s">
        <v>4415</v>
      </c>
      <c r="G4141" s="54">
        <v>5909232.11</v>
      </c>
      <c r="H4141" s="14">
        <f t="shared" si="11"/>
        <v>1240938.743</v>
      </c>
      <c r="I4141" s="22">
        <v>177276.96</v>
      </c>
      <c r="J4141" s="22"/>
      <c r="K4141" s="15">
        <f t="shared" si="12"/>
        <v>7327447.813</v>
      </c>
      <c r="L4141" s="45"/>
      <c r="M4141" s="6"/>
    </row>
    <row r="4142" ht="15.75" customHeight="1">
      <c r="A4142" s="162">
        <v>46241.0</v>
      </c>
      <c r="B4142" s="50"/>
      <c r="C4142" s="31" t="s">
        <v>3385</v>
      </c>
      <c r="D4142" s="32" t="s">
        <v>15</v>
      </c>
      <c r="E4142" s="31" t="s">
        <v>4458</v>
      </c>
      <c r="F4142" s="107" t="s">
        <v>4415</v>
      </c>
      <c r="G4142" s="54">
        <v>2468402.13</v>
      </c>
      <c r="H4142" s="14">
        <f t="shared" si="11"/>
        <v>518364.4473</v>
      </c>
      <c r="I4142" s="22"/>
      <c r="J4142" s="22"/>
      <c r="K4142" s="15">
        <f t="shared" si="12"/>
        <v>2986766.577</v>
      </c>
      <c r="L4142" s="45"/>
      <c r="M4142" s="6"/>
    </row>
    <row r="4143" ht="15.75" customHeight="1">
      <c r="A4143" s="162">
        <v>46241.0</v>
      </c>
      <c r="B4143" s="50"/>
      <c r="C4143" s="32" t="s">
        <v>4047</v>
      </c>
      <c r="D4143" s="32" t="s">
        <v>15</v>
      </c>
      <c r="E4143" s="31" t="s">
        <v>4459</v>
      </c>
      <c r="F4143" s="107" t="s">
        <v>4415</v>
      </c>
      <c r="G4143" s="54">
        <v>1.400125316E7</v>
      </c>
      <c r="H4143" s="14">
        <f t="shared" si="11"/>
        <v>2940263.164</v>
      </c>
      <c r="I4143" s="22"/>
      <c r="J4143" s="22"/>
      <c r="K4143" s="15">
        <f t="shared" si="12"/>
        <v>16941516.32</v>
      </c>
      <c r="L4143" s="45"/>
      <c r="M4143" s="6"/>
    </row>
    <row r="4144" ht="15.75" customHeight="1">
      <c r="A4144" s="162">
        <v>46241.0</v>
      </c>
      <c r="B4144" s="50"/>
      <c r="C4144" s="31" t="s">
        <v>4460</v>
      </c>
      <c r="D4144" s="32" t="s">
        <v>15</v>
      </c>
      <c r="E4144" s="31" t="s">
        <v>4461</v>
      </c>
      <c r="F4144" s="107" t="s">
        <v>4415</v>
      </c>
      <c r="G4144" s="54">
        <v>6198790.52</v>
      </c>
      <c r="H4144" s="14">
        <f t="shared" si="11"/>
        <v>1301746.009</v>
      </c>
      <c r="I4144" s="22">
        <v>185963.72</v>
      </c>
      <c r="J4144" s="22">
        <v>309939.53</v>
      </c>
      <c r="K4144" s="15">
        <f t="shared" si="12"/>
        <v>7996439.779</v>
      </c>
      <c r="L4144" s="45"/>
      <c r="M4144" s="6"/>
    </row>
    <row r="4145" ht="15.75" customHeight="1">
      <c r="A4145" s="218">
        <v>46241.0</v>
      </c>
      <c r="B4145" s="56"/>
      <c r="C4145" s="57" t="s">
        <v>4462</v>
      </c>
      <c r="D4145" s="58" t="s">
        <v>15</v>
      </c>
      <c r="E4145" s="57" t="s">
        <v>4463</v>
      </c>
      <c r="F4145" s="120" t="s">
        <v>4415</v>
      </c>
      <c r="G4145" s="155">
        <v>4958680.12</v>
      </c>
      <c r="H4145" s="9">
        <f t="shared" si="11"/>
        <v>1041322.825</v>
      </c>
      <c r="I4145" s="44">
        <v>148760.4</v>
      </c>
      <c r="J4145" s="44">
        <v>247934.01</v>
      </c>
      <c r="K4145" s="10">
        <f t="shared" si="12"/>
        <v>6396697.355</v>
      </c>
      <c r="L4145" s="61"/>
      <c r="M4145" s="62"/>
    </row>
    <row r="4146" ht="15.75" customHeight="1">
      <c r="A4146" s="218">
        <v>46241.0</v>
      </c>
      <c r="B4146" s="56"/>
      <c r="C4146" s="57" t="s">
        <v>4464</v>
      </c>
      <c r="D4146" s="58" t="s">
        <v>99</v>
      </c>
      <c r="E4146" s="57" t="s">
        <v>4465</v>
      </c>
      <c r="F4146" s="120" t="s">
        <v>4415</v>
      </c>
      <c r="G4146" s="155">
        <v>4368527.08</v>
      </c>
      <c r="H4146" s="9">
        <f t="shared" si="11"/>
        <v>917390.6868</v>
      </c>
      <c r="I4146" s="44"/>
      <c r="J4146" s="44"/>
      <c r="K4146" s="10">
        <f t="shared" si="12"/>
        <v>5285917.767</v>
      </c>
      <c r="L4146" s="61"/>
      <c r="M4146" s="62"/>
    </row>
    <row r="4147" ht="15.75" customHeight="1">
      <c r="A4147" s="218">
        <v>46241.0</v>
      </c>
      <c r="B4147" s="56"/>
      <c r="C4147" s="57" t="s">
        <v>4464</v>
      </c>
      <c r="D4147" s="58" t="s">
        <v>99</v>
      </c>
      <c r="E4147" s="57" t="s">
        <v>4466</v>
      </c>
      <c r="F4147" s="120" t="s">
        <v>4415</v>
      </c>
      <c r="G4147" s="155">
        <v>3891742.09</v>
      </c>
      <c r="H4147" s="9">
        <f t="shared" si="11"/>
        <v>817265.8389</v>
      </c>
      <c r="I4147" s="44"/>
      <c r="J4147" s="44"/>
      <c r="K4147" s="10">
        <f t="shared" si="12"/>
        <v>4709007.929</v>
      </c>
      <c r="L4147" s="61"/>
      <c r="M4147" s="62"/>
    </row>
    <row r="4148" ht="15.75" customHeight="1">
      <c r="A4148" s="218">
        <v>46241.0</v>
      </c>
      <c r="B4148" s="56"/>
      <c r="C4148" s="57" t="s">
        <v>4464</v>
      </c>
      <c r="D4148" s="58" t="s">
        <v>99</v>
      </c>
      <c r="E4148" s="57" t="s">
        <v>4467</v>
      </c>
      <c r="F4148" s="120" t="s">
        <v>4415</v>
      </c>
      <c r="G4148" s="155">
        <v>3312457.85</v>
      </c>
      <c r="H4148" s="9">
        <f t="shared" si="11"/>
        <v>695616.1485</v>
      </c>
      <c r="I4148" s="44"/>
      <c r="J4148" s="44"/>
      <c r="K4148" s="10">
        <f t="shared" si="12"/>
        <v>4008073.999</v>
      </c>
      <c r="L4148" s="61"/>
      <c r="M4148" s="62"/>
    </row>
    <row r="4149" ht="15.75" customHeight="1">
      <c r="A4149" s="218">
        <v>46241.0</v>
      </c>
      <c r="B4149" s="56"/>
      <c r="C4149" s="57" t="s">
        <v>4464</v>
      </c>
      <c r="D4149" s="58" t="s">
        <v>99</v>
      </c>
      <c r="E4149" s="57" t="s">
        <v>4468</v>
      </c>
      <c r="F4149" s="120" t="s">
        <v>4415</v>
      </c>
      <c r="G4149" s="155">
        <v>4125879.12</v>
      </c>
      <c r="H4149" s="9">
        <f t="shared" si="11"/>
        <v>866434.6152</v>
      </c>
      <c r="I4149" s="44"/>
      <c r="J4149" s="44"/>
      <c r="K4149" s="10">
        <f t="shared" si="12"/>
        <v>4992313.735</v>
      </c>
      <c r="L4149" s="61"/>
      <c r="M4149" s="62"/>
    </row>
    <row r="4150" ht="15.75" customHeight="1">
      <c r="A4150" s="162">
        <v>46242.0</v>
      </c>
      <c r="B4150" s="50"/>
      <c r="C4150" s="32" t="s">
        <v>4047</v>
      </c>
      <c r="D4150" s="32" t="s">
        <v>15</v>
      </c>
      <c r="E4150" s="31" t="s">
        <v>4469</v>
      </c>
      <c r="F4150" s="107" t="s">
        <v>4415</v>
      </c>
      <c r="G4150" s="54">
        <v>1.400125316E7</v>
      </c>
      <c r="H4150" s="14">
        <f t="shared" si="11"/>
        <v>2940263.164</v>
      </c>
      <c r="I4150" s="22"/>
      <c r="J4150" s="22"/>
      <c r="K4150" s="15">
        <f t="shared" si="12"/>
        <v>16941516.32</v>
      </c>
      <c r="L4150" s="45"/>
      <c r="M4150" s="6"/>
    </row>
    <row r="4151" ht="15.75" customHeight="1">
      <c r="A4151" s="162">
        <v>46244.0</v>
      </c>
      <c r="B4151" s="50"/>
      <c r="C4151" s="31" t="s">
        <v>1312</v>
      </c>
      <c r="D4151" s="32" t="s">
        <v>15</v>
      </c>
      <c r="E4151" s="31" t="s">
        <v>4470</v>
      </c>
      <c r="F4151" s="107" t="s">
        <v>4415</v>
      </c>
      <c r="G4151" s="54">
        <v>2400711.26</v>
      </c>
      <c r="H4151" s="14">
        <f t="shared" si="11"/>
        <v>504149.3646</v>
      </c>
      <c r="I4151" s="22">
        <v>72021.34</v>
      </c>
      <c r="J4151" s="22"/>
      <c r="K4151" s="15">
        <f t="shared" si="12"/>
        <v>2976881.965</v>
      </c>
      <c r="L4151" s="45"/>
      <c r="M4151" s="6"/>
    </row>
    <row r="4152" ht="15.75" customHeight="1">
      <c r="A4152" s="162">
        <v>46244.0</v>
      </c>
      <c r="B4152" s="50"/>
      <c r="C4152" s="31" t="s">
        <v>1277</v>
      </c>
      <c r="D4152" s="32" t="s">
        <v>15</v>
      </c>
      <c r="E4152" s="31" t="s">
        <v>4471</v>
      </c>
      <c r="F4152" s="107" t="s">
        <v>4415</v>
      </c>
      <c r="G4152" s="54">
        <v>3590550.16</v>
      </c>
      <c r="H4152" s="14">
        <f t="shared" si="11"/>
        <v>754015.5336</v>
      </c>
      <c r="I4152" s="22">
        <v>107716.5</v>
      </c>
      <c r="J4152" s="22"/>
      <c r="K4152" s="15">
        <f t="shared" si="12"/>
        <v>4452282.194</v>
      </c>
      <c r="L4152" s="45"/>
      <c r="M4152" s="6"/>
    </row>
    <row r="4153" ht="15.75" customHeight="1">
      <c r="A4153" s="162">
        <v>46244.0</v>
      </c>
      <c r="B4153" s="50"/>
      <c r="C4153" s="31" t="s">
        <v>1279</v>
      </c>
      <c r="D4153" s="32" t="s">
        <v>15</v>
      </c>
      <c r="E4153" s="31" t="s">
        <v>4472</v>
      </c>
      <c r="F4153" s="107" t="s">
        <v>4415</v>
      </c>
      <c r="G4153" s="54">
        <v>5850990.62</v>
      </c>
      <c r="H4153" s="14">
        <f t="shared" si="11"/>
        <v>1228708.03</v>
      </c>
      <c r="I4153" s="22">
        <v>175529.72</v>
      </c>
      <c r="J4153" s="22"/>
      <c r="K4153" s="15">
        <f t="shared" si="12"/>
        <v>7255228.37</v>
      </c>
      <c r="L4153" s="45"/>
      <c r="M4153" s="6"/>
    </row>
    <row r="4154" ht="15.75" customHeight="1">
      <c r="A4154" s="162">
        <v>46244.0</v>
      </c>
      <c r="B4154" s="50"/>
      <c r="C4154" s="31" t="s">
        <v>171</v>
      </c>
      <c r="D4154" s="32" t="s">
        <v>99</v>
      </c>
      <c r="E4154" s="32" t="s">
        <v>4473</v>
      </c>
      <c r="F4154" s="107" t="s">
        <v>4415</v>
      </c>
      <c r="G4154" s="54">
        <v>1.633522332E7</v>
      </c>
      <c r="H4154" s="14">
        <f t="shared" si="11"/>
        <v>3430396.897</v>
      </c>
      <c r="I4154" s="22"/>
      <c r="J4154" s="22"/>
      <c r="K4154" s="15">
        <f t="shared" si="12"/>
        <v>19765620.22</v>
      </c>
      <c r="L4154" s="45"/>
      <c r="M4154" s="6"/>
    </row>
    <row r="4155" ht="15.75" customHeight="1">
      <c r="A4155" s="162">
        <v>46244.0</v>
      </c>
      <c r="B4155" s="50"/>
      <c r="C4155" s="31" t="s">
        <v>171</v>
      </c>
      <c r="D4155" s="32" t="s">
        <v>99</v>
      </c>
      <c r="E4155" s="32" t="s">
        <v>4474</v>
      </c>
      <c r="F4155" s="107" t="s">
        <v>4415</v>
      </c>
      <c r="G4155" s="54">
        <v>8664777.26</v>
      </c>
      <c r="H4155" s="14">
        <f t="shared" si="11"/>
        <v>1819603.225</v>
      </c>
      <c r="I4155" s="22"/>
      <c r="J4155" s="22"/>
      <c r="K4155" s="15">
        <f t="shared" si="12"/>
        <v>10484380.48</v>
      </c>
      <c r="L4155" s="45"/>
      <c r="M4155" s="6"/>
    </row>
    <row r="4156" ht="15.75" customHeight="1">
      <c r="A4156" s="162">
        <v>46244.0</v>
      </c>
      <c r="B4156" s="50"/>
      <c r="C4156" s="31" t="s">
        <v>1283</v>
      </c>
      <c r="D4156" s="32" t="s">
        <v>15</v>
      </c>
      <c r="E4156" s="31" t="s">
        <v>4475</v>
      </c>
      <c r="F4156" s="107" t="s">
        <v>4415</v>
      </c>
      <c r="G4156" s="54">
        <v>3590605.16</v>
      </c>
      <c r="H4156" s="14">
        <f t="shared" si="11"/>
        <v>754027.0836</v>
      </c>
      <c r="I4156" s="22">
        <v>107718.15</v>
      </c>
      <c r="J4156" s="22"/>
      <c r="K4156" s="15">
        <f t="shared" si="12"/>
        <v>4452350.394</v>
      </c>
      <c r="L4156" s="45"/>
      <c r="M4156" s="6"/>
    </row>
    <row r="4157" ht="15.75" customHeight="1">
      <c r="A4157" s="162">
        <v>46246.0</v>
      </c>
      <c r="B4157" s="50"/>
      <c r="C4157" s="31" t="s">
        <v>1283</v>
      </c>
      <c r="D4157" s="32" t="s">
        <v>99</v>
      </c>
      <c r="E4157" s="31" t="s">
        <v>4476</v>
      </c>
      <c r="F4157" s="107" t="s">
        <v>4415</v>
      </c>
      <c r="G4157" s="54">
        <v>7010026.47</v>
      </c>
      <c r="H4157" s="14">
        <f t="shared" si="11"/>
        <v>1472105.559</v>
      </c>
      <c r="I4157" s="22">
        <v>210300.79</v>
      </c>
      <c r="J4157" s="22"/>
      <c r="K4157" s="15">
        <f t="shared" si="12"/>
        <v>8692432.819</v>
      </c>
      <c r="L4157" s="45"/>
      <c r="M4157" s="6"/>
    </row>
    <row r="4158" ht="15.75" customHeight="1">
      <c r="A4158" s="162">
        <v>46246.0</v>
      </c>
      <c r="B4158" s="50"/>
      <c r="C4158" s="31" t="s">
        <v>1279</v>
      </c>
      <c r="D4158" s="32" t="s">
        <v>99</v>
      </c>
      <c r="E4158" s="31" t="s">
        <v>4477</v>
      </c>
      <c r="F4158" s="107" t="s">
        <v>4415</v>
      </c>
      <c r="G4158" s="54">
        <v>1.432211633E7</v>
      </c>
      <c r="H4158" s="14">
        <f t="shared" si="11"/>
        <v>3007644.429</v>
      </c>
      <c r="I4158" s="22">
        <v>429663.49</v>
      </c>
      <c r="J4158" s="22"/>
      <c r="K4158" s="15">
        <f t="shared" si="12"/>
        <v>17759424.25</v>
      </c>
      <c r="L4158" s="45"/>
      <c r="M4158" s="6"/>
    </row>
    <row r="4159" ht="15.75" customHeight="1">
      <c r="A4159" s="218">
        <v>46246.0</v>
      </c>
      <c r="B4159" s="56"/>
      <c r="C4159" s="57" t="s">
        <v>1277</v>
      </c>
      <c r="D4159" s="58" t="s">
        <v>99</v>
      </c>
      <c r="E4159" s="57" t="s">
        <v>4478</v>
      </c>
      <c r="F4159" s="120" t="s">
        <v>4415</v>
      </c>
      <c r="G4159" s="155">
        <v>9744546.43</v>
      </c>
      <c r="H4159" s="9">
        <f t="shared" si="11"/>
        <v>2046354.75</v>
      </c>
      <c r="I4159" s="44">
        <v>292336.39</v>
      </c>
      <c r="J4159" s="44"/>
      <c r="K4159" s="10">
        <f t="shared" si="12"/>
        <v>12083237.57</v>
      </c>
      <c r="L4159" s="61"/>
      <c r="M4159" s="62"/>
    </row>
    <row r="4160" ht="15.75" customHeight="1">
      <c r="A4160" s="162">
        <v>46246.0</v>
      </c>
      <c r="B4160" s="50"/>
      <c r="C4160" s="31" t="s">
        <v>1312</v>
      </c>
      <c r="D4160" s="32" t="s">
        <v>99</v>
      </c>
      <c r="E4160" s="31" t="s">
        <v>4479</v>
      </c>
      <c r="F4160" s="107" t="s">
        <v>4415</v>
      </c>
      <c r="G4160" s="54">
        <v>3232177.7</v>
      </c>
      <c r="H4160" s="14">
        <f t="shared" si="11"/>
        <v>678757.317</v>
      </c>
      <c r="I4160" s="22">
        <v>96965.33</v>
      </c>
      <c r="J4160" s="22"/>
      <c r="K4160" s="15">
        <f t="shared" si="12"/>
        <v>4007900.347</v>
      </c>
      <c r="L4160" s="45"/>
      <c r="M4160" s="6"/>
    </row>
    <row r="4161" ht="15.75" customHeight="1">
      <c r="A4161" s="208">
        <v>46246.0</v>
      </c>
      <c r="B4161" s="158"/>
      <c r="C4161" s="147" t="s">
        <v>1854</v>
      </c>
      <c r="D4161" s="148" t="s">
        <v>99</v>
      </c>
      <c r="E4161" s="147" t="s">
        <v>4480</v>
      </c>
      <c r="F4161" s="242" t="s">
        <v>4415</v>
      </c>
      <c r="G4161" s="209">
        <v>2.187634375E7</v>
      </c>
      <c r="H4161" s="150">
        <f t="shared" si="11"/>
        <v>4594032.188</v>
      </c>
      <c r="I4161" s="151">
        <v>656290.31</v>
      </c>
      <c r="J4161" s="151">
        <v>328145.16</v>
      </c>
      <c r="K4161" s="152">
        <f t="shared" si="12"/>
        <v>27454811.41</v>
      </c>
      <c r="L4161" s="61"/>
      <c r="M4161" s="62"/>
    </row>
    <row r="4162" ht="15.75" customHeight="1">
      <c r="A4162" s="208">
        <v>46246.0</v>
      </c>
      <c r="B4162" s="158"/>
      <c r="C4162" s="147" t="s">
        <v>1854</v>
      </c>
      <c r="D4162" s="148" t="s">
        <v>99</v>
      </c>
      <c r="E4162" s="147" t="s">
        <v>4481</v>
      </c>
      <c r="F4162" s="242" t="s">
        <v>4415</v>
      </c>
      <c r="G4162" s="209">
        <v>2.187634375E7</v>
      </c>
      <c r="H4162" s="150">
        <f t="shared" si="11"/>
        <v>4594032.188</v>
      </c>
      <c r="I4162" s="151">
        <v>656290.31</v>
      </c>
      <c r="J4162" s="151">
        <v>328145.16</v>
      </c>
      <c r="K4162" s="152">
        <f t="shared" si="12"/>
        <v>27454811.41</v>
      </c>
      <c r="L4162" s="61"/>
      <c r="M4162" s="62"/>
    </row>
    <row r="4163" ht="15.75" customHeight="1">
      <c r="A4163" s="218">
        <v>46246.0</v>
      </c>
      <c r="B4163" s="56"/>
      <c r="C4163" s="57" t="s">
        <v>1854</v>
      </c>
      <c r="D4163" s="58" t="s">
        <v>99</v>
      </c>
      <c r="E4163" s="57" t="s">
        <v>4482</v>
      </c>
      <c r="F4163" s="120" t="s">
        <v>4415</v>
      </c>
      <c r="G4163" s="155">
        <v>2.187634375E7</v>
      </c>
      <c r="H4163" s="9">
        <f t="shared" si="11"/>
        <v>4594032.188</v>
      </c>
      <c r="I4163" s="44">
        <v>656290.31</v>
      </c>
      <c r="J4163" s="44">
        <v>328145.16</v>
      </c>
      <c r="K4163" s="10">
        <f t="shared" si="12"/>
        <v>27454811.41</v>
      </c>
      <c r="L4163" s="61"/>
      <c r="M4163" s="62"/>
    </row>
    <row r="4164" ht="15.75" customHeight="1">
      <c r="A4164" s="208">
        <v>46246.0</v>
      </c>
      <c r="B4164" s="158"/>
      <c r="C4164" s="147" t="s">
        <v>1854</v>
      </c>
      <c r="D4164" s="148" t="s">
        <v>99</v>
      </c>
      <c r="E4164" s="148" t="s">
        <v>4483</v>
      </c>
      <c r="F4164" s="242" t="s">
        <v>4415</v>
      </c>
      <c r="G4164" s="209">
        <v>2.187634375E7</v>
      </c>
      <c r="H4164" s="150">
        <f t="shared" si="11"/>
        <v>4594032.188</v>
      </c>
      <c r="I4164" s="151">
        <v>656290.31</v>
      </c>
      <c r="J4164" s="151">
        <v>328145.16</v>
      </c>
      <c r="K4164" s="152">
        <f t="shared" si="12"/>
        <v>27454811.41</v>
      </c>
      <c r="L4164" s="61"/>
      <c r="M4164" s="62"/>
    </row>
    <row r="4165" ht="15.75" customHeight="1">
      <c r="A4165" s="208">
        <v>46246.0</v>
      </c>
      <c r="B4165" s="158"/>
      <c r="C4165" s="147" t="s">
        <v>1854</v>
      </c>
      <c r="D4165" s="148" t="s">
        <v>99</v>
      </c>
      <c r="E4165" s="147" t="s">
        <v>4484</v>
      </c>
      <c r="F4165" s="242" t="s">
        <v>4415</v>
      </c>
      <c r="G4165" s="209">
        <v>2.187634375E7</v>
      </c>
      <c r="H4165" s="150">
        <f t="shared" si="11"/>
        <v>4594032.188</v>
      </c>
      <c r="I4165" s="151">
        <v>656290.31</v>
      </c>
      <c r="J4165" s="151">
        <v>328145.16</v>
      </c>
      <c r="K4165" s="152">
        <f t="shared" si="12"/>
        <v>27454811.41</v>
      </c>
      <c r="L4165" s="61"/>
      <c r="M4165" s="62"/>
    </row>
    <row r="4166" ht="15.75" customHeight="1">
      <c r="A4166" s="218">
        <v>46246.0</v>
      </c>
      <c r="B4166" s="56"/>
      <c r="C4166" s="57" t="s">
        <v>1854</v>
      </c>
      <c r="D4166" s="58" t="s">
        <v>99</v>
      </c>
      <c r="E4166" s="57" t="s">
        <v>4485</v>
      </c>
      <c r="F4166" s="120" t="s">
        <v>4415</v>
      </c>
      <c r="G4166" s="155">
        <v>1.183336308E7</v>
      </c>
      <c r="H4166" s="9">
        <f t="shared" si="11"/>
        <v>2485006.247</v>
      </c>
      <c r="I4166" s="44"/>
      <c r="J4166" s="44">
        <v>177500.45</v>
      </c>
      <c r="K4166" s="10">
        <f t="shared" si="12"/>
        <v>14495869.78</v>
      </c>
      <c r="L4166" s="61"/>
      <c r="M4166" s="62"/>
    </row>
    <row r="4167" ht="15.75" customHeight="1">
      <c r="A4167" s="218">
        <v>46246.0</v>
      </c>
      <c r="B4167" s="56"/>
      <c r="C4167" s="57" t="s">
        <v>1854</v>
      </c>
      <c r="D4167" s="58" t="s">
        <v>99</v>
      </c>
      <c r="E4167" s="57" t="s">
        <v>4486</v>
      </c>
      <c r="F4167" s="120" t="s">
        <v>4415</v>
      </c>
      <c r="G4167" s="155">
        <v>1.690020209E7</v>
      </c>
      <c r="H4167" s="9">
        <f t="shared" si="11"/>
        <v>3549042.439</v>
      </c>
      <c r="I4167" s="44"/>
      <c r="J4167" s="44">
        <v>253503.03</v>
      </c>
      <c r="K4167" s="10">
        <f t="shared" si="12"/>
        <v>20702747.56</v>
      </c>
      <c r="L4167" s="61"/>
      <c r="M4167" s="62"/>
    </row>
    <row r="4168" ht="15.75" customHeight="1">
      <c r="A4168" s="218">
        <v>46246.0</v>
      </c>
      <c r="B4168" s="56"/>
      <c r="C4168" s="57" t="s">
        <v>1854</v>
      </c>
      <c r="D4168" s="58" t="s">
        <v>99</v>
      </c>
      <c r="E4168" s="57" t="s">
        <v>4487</v>
      </c>
      <c r="F4168" s="120" t="s">
        <v>4415</v>
      </c>
      <c r="G4168" s="155">
        <v>1.521192212E7</v>
      </c>
      <c r="H4168" s="9">
        <f t="shared" si="11"/>
        <v>3194503.645</v>
      </c>
      <c r="I4168" s="44"/>
      <c r="J4168" s="44">
        <v>228178.83</v>
      </c>
      <c r="K4168" s="10">
        <f t="shared" si="12"/>
        <v>18634604.6</v>
      </c>
      <c r="L4168" s="61"/>
      <c r="M4168" s="62"/>
    </row>
    <row r="4169" ht="15.75" customHeight="1">
      <c r="A4169" s="162">
        <v>46246.0</v>
      </c>
      <c r="B4169" s="50"/>
      <c r="C4169" s="31" t="s">
        <v>1861</v>
      </c>
      <c r="D4169" s="32" t="s">
        <v>99</v>
      </c>
      <c r="E4169" s="31" t="s">
        <v>4488</v>
      </c>
      <c r="F4169" s="107" t="s">
        <v>4415</v>
      </c>
      <c r="G4169" s="54">
        <v>3.10062561E7</v>
      </c>
      <c r="H4169" s="14">
        <f t="shared" si="11"/>
        <v>6511313.781</v>
      </c>
      <c r="I4169" s="22">
        <v>930187.68</v>
      </c>
      <c r="J4169" s="22">
        <v>496100.1</v>
      </c>
      <c r="K4169" s="15">
        <f t="shared" si="12"/>
        <v>38943857.66</v>
      </c>
      <c r="L4169" s="45"/>
      <c r="M4169" s="6"/>
    </row>
    <row r="4170" ht="15.75" customHeight="1">
      <c r="A4170" s="162">
        <v>46246.0</v>
      </c>
      <c r="B4170" s="50"/>
      <c r="C4170" s="31" t="s">
        <v>1861</v>
      </c>
      <c r="D4170" s="32" t="s">
        <v>99</v>
      </c>
      <c r="E4170" s="31" t="s">
        <v>4489</v>
      </c>
      <c r="F4170" s="107" t="s">
        <v>4415</v>
      </c>
      <c r="G4170" s="54">
        <v>2.127863374E7</v>
      </c>
      <c r="H4170" s="14">
        <f t="shared" si="11"/>
        <v>4468513.085</v>
      </c>
      <c r="I4170" s="22">
        <v>638359.01</v>
      </c>
      <c r="J4170" s="22">
        <v>340458.14</v>
      </c>
      <c r="K4170" s="15">
        <f t="shared" si="12"/>
        <v>26725963.98</v>
      </c>
      <c r="L4170" s="45"/>
      <c r="M4170" s="6"/>
    </row>
    <row r="4171" ht="15.75" customHeight="1">
      <c r="A4171" s="162">
        <v>46246.0</v>
      </c>
      <c r="B4171" s="50"/>
      <c r="C4171" s="31" t="s">
        <v>1861</v>
      </c>
      <c r="D4171" s="32" t="s">
        <v>99</v>
      </c>
      <c r="E4171" s="31" t="s">
        <v>4490</v>
      </c>
      <c r="F4171" s="107" t="s">
        <v>4415</v>
      </c>
      <c r="G4171" s="54">
        <v>2.046022475E7</v>
      </c>
      <c r="H4171" s="14">
        <f t="shared" si="11"/>
        <v>4296647.198</v>
      </c>
      <c r="I4171" s="22">
        <v>613806.74</v>
      </c>
      <c r="J4171" s="22">
        <v>327363.6</v>
      </c>
      <c r="K4171" s="15">
        <f t="shared" si="12"/>
        <v>25698042.29</v>
      </c>
      <c r="L4171" s="45"/>
      <c r="M4171" s="6"/>
    </row>
    <row r="4172" ht="15.75" customHeight="1">
      <c r="A4172" s="231">
        <v>46246.0</v>
      </c>
      <c r="B4172" s="232"/>
      <c r="C4172" s="233" t="s">
        <v>1854</v>
      </c>
      <c r="D4172" s="234" t="s">
        <v>15</v>
      </c>
      <c r="E4172" s="233" t="s">
        <v>4491</v>
      </c>
      <c r="F4172" s="243" t="s">
        <v>4415</v>
      </c>
      <c r="G4172" s="236">
        <v>1.743927206E7</v>
      </c>
      <c r="H4172" s="237">
        <f t="shared" si="11"/>
        <v>3662247.133</v>
      </c>
      <c r="I4172" s="238"/>
      <c r="J4172" s="238">
        <v>261589.08</v>
      </c>
      <c r="K4172" s="239">
        <f t="shared" si="12"/>
        <v>21363108.27</v>
      </c>
      <c r="L4172" s="61"/>
      <c r="M4172" s="62"/>
    </row>
    <row r="4173" ht="15.75" customHeight="1">
      <c r="A4173" s="231">
        <v>46246.0</v>
      </c>
      <c r="B4173" s="232"/>
      <c r="C4173" s="233" t="s">
        <v>1854</v>
      </c>
      <c r="D4173" s="234" t="s">
        <v>15</v>
      </c>
      <c r="E4173" s="233" t="s">
        <v>4492</v>
      </c>
      <c r="F4173" s="243" t="s">
        <v>4415</v>
      </c>
      <c r="G4173" s="236">
        <v>1.382263312E7</v>
      </c>
      <c r="H4173" s="237">
        <f t="shared" si="11"/>
        <v>2902752.955</v>
      </c>
      <c r="I4173" s="238"/>
      <c r="J4173" s="238">
        <v>207339.5</v>
      </c>
      <c r="K4173" s="239">
        <f t="shared" si="12"/>
        <v>16932725.58</v>
      </c>
      <c r="L4173" s="61"/>
      <c r="M4173" s="62"/>
    </row>
    <row r="4174" ht="15.75" customHeight="1">
      <c r="A4174" s="218">
        <v>46246.0</v>
      </c>
      <c r="B4174" s="56"/>
      <c r="C4174" s="57" t="s">
        <v>1854</v>
      </c>
      <c r="D4174" s="58" t="s">
        <v>15</v>
      </c>
      <c r="E4174" s="57" t="s">
        <v>4493</v>
      </c>
      <c r="F4174" s="120" t="s">
        <v>4415</v>
      </c>
      <c r="G4174" s="155">
        <v>1.721932208E7</v>
      </c>
      <c r="H4174" s="9">
        <f t="shared" si="11"/>
        <v>3616057.637</v>
      </c>
      <c r="I4174" s="44"/>
      <c r="J4174" s="44">
        <v>258289.83</v>
      </c>
      <c r="K4174" s="10">
        <f t="shared" si="12"/>
        <v>21093669.55</v>
      </c>
      <c r="L4174" s="61"/>
      <c r="M4174" s="62"/>
    </row>
    <row r="4175" ht="15.75" customHeight="1">
      <c r="A4175" s="218">
        <v>46246.0</v>
      </c>
      <c r="B4175" s="56"/>
      <c r="C4175" s="57" t="s">
        <v>1854</v>
      </c>
      <c r="D4175" s="58" t="s">
        <v>15</v>
      </c>
      <c r="E4175" s="57" t="s">
        <v>4494</v>
      </c>
      <c r="F4175" s="120" t="s">
        <v>4415</v>
      </c>
      <c r="G4175" s="155">
        <v>1.733422312E7</v>
      </c>
      <c r="H4175" s="9">
        <f t="shared" si="11"/>
        <v>3640186.855</v>
      </c>
      <c r="I4175" s="44"/>
      <c r="J4175" s="44">
        <v>260013.35</v>
      </c>
      <c r="K4175" s="10">
        <f t="shared" si="12"/>
        <v>21234423.33</v>
      </c>
      <c r="L4175" s="61"/>
      <c r="M4175" s="62"/>
    </row>
    <row r="4176" ht="15.75" customHeight="1">
      <c r="A4176" s="218">
        <v>46246.0</v>
      </c>
      <c r="B4176" s="56"/>
      <c r="C4176" s="57" t="s">
        <v>1854</v>
      </c>
      <c r="D4176" s="58" t="s">
        <v>15</v>
      </c>
      <c r="E4176" s="57" t="s">
        <v>4495</v>
      </c>
      <c r="F4176" s="120" t="s">
        <v>4415</v>
      </c>
      <c r="G4176" s="155">
        <v>1.493327215E7</v>
      </c>
      <c r="H4176" s="9">
        <f t="shared" si="11"/>
        <v>3135987.152</v>
      </c>
      <c r="I4176" s="44"/>
      <c r="J4176" s="44">
        <v>223999.08</v>
      </c>
      <c r="K4176" s="10">
        <f t="shared" si="12"/>
        <v>18293258.38</v>
      </c>
      <c r="L4176" s="61"/>
      <c r="M4176" s="62"/>
    </row>
    <row r="4177" ht="15.75" customHeight="1">
      <c r="A4177" s="218">
        <v>46246.0</v>
      </c>
      <c r="B4177" s="56"/>
      <c r="C4177" s="57" t="s">
        <v>1854</v>
      </c>
      <c r="D4177" s="58" t="s">
        <v>15</v>
      </c>
      <c r="E4177" s="57" t="s">
        <v>4496</v>
      </c>
      <c r="F4177" s="120" t="s">
        <v>4415</v>
      </c>
      <c r="G4177" s="155">
        <v>1.049282712E7</v>
      </c>
      <c r="H4177" s="9">
        <f t="shared" si="11"/>
        <v>2203493.695</v>
      </c>
      <c r="I4177" s="44"/>
      <c r="J4177" s="44">
        <v>157392.41</v>
      </c>
      <c r="K4177" s="10">
        <f t="shared" si="12"/>
        <v>12853713.23</v>
      </c>
      <c r="L4177" s="61"/>
      <c r="M4177" s="62"/>
    </row>
    <row r="4178" ht="15.75" customHeight="1">
      <c r="A4178" s="218">
        <v>46246.0</v>
      </c>
      <c r="B4178" s="56"/>
      <c r="C4178" s="57" t="s">
        <v>1854</v>
      </c>
      <c r="D4178" s="58" t="s">
        <v>15</v>
      </c>
      <c r="E4178" s="57" t="s">
        <v>4497</v>
      </c>
      <c r="F4178" s="120" t="s">
        <v>4415</v>
      </c>
      <c r="G4178" s="155">
        <v>1.544365362E7</v>
      </c>
      <c r="H4178" s="9">
        <f t="shared" si="11"/>
        <v>3243167.26</v>
      </c>
      <c r="I4178" s="44"/>
      <c r="J4178" s="44">
        <v>231654.8</v>
      </c>
      <c r="K4178" s="10">
        <f t="shared" si="12"/>
        <v>18918475.68</v>
      </c>
      <c r="L4178" s="61"/>
      <c r="M4178" s="62"/>
    </row>
    <row r="4179" ht="15.75" customHeight="1">
      <c r="A4179" s="218">
        <v>46246.0</v>
      </c>
      <c r="B4179" s="56"/>
      <c r="C4179" s="57" t="s">
        <v>1854</v>
      </c>
      <c r="D4179" s="58" t="s">
        <v>15</v>
      </c>
      <c r="E4179" s="57" t="s">
        <v>4498</v>
      </c>
      <c r="F4179" s="120" t="s">
        <v>4415</v>
      </c>
      <c r="G4179" s="155">
        <v>2.774658875E7</v>
      </c>
      <c r="H4179" s="9">
        <f t="shared" si="11"/>
        <v>5826783.638</v>
      </c>
      <c r="I4179" s="44">
        <v>832397.66</v>
      </c>
      <c r="J4179" s="44">
        <v>416198.83</v>
      </c>
      <c r="K4179" s="10">
        <f t="shared" si="12"/>
        <v>34821968.88</v>
      </c>
      <c r="L4179" s="61"/>
      <c r="M4179" s="62"/>
    </row>
    <row r="4180" ht="15.75" customHeight="1">
      <c r="A4180" s="218">
        <v>46246.0</v>
      </c>
      <c r="B4180" s="56"/>
      <c r="C4180" s="57" t="s">
        <v>1854</v>
      </c>
      <c r="D4180" s="58" t="s">
        <v>15</v>
      </c>
      <c r="E4180" s="57" t="s">
        <v>4499</v>
      </c>
      <c r="F4180" s="120" t="s">
        <v>4415</v>
      </c>
      <c r="G4180" s="155">
        <v>2.774658875E7</v>
      </c>
      <c r="H4180" s="9">
        <f t="shared" si="11"/>
        <v>5826783.638</v>
      </c>
      <c r="I4180" s="44">
        <v>832397.66</v>
      </c>
      <c r="J4180" s="44">
        <v>416198.83</v>
      </c>
      <c r="K4180" s="10">
        <f t="shared" si="12"/>
        <v>34821968.88</v>
      </c>
      <c r="L4180" s="61"/>
      <c r="M4180" s="62"/>
    </row>
    <row r="4181" ht="15.75" customHeight="1">
      <c r="A4181" s="218">
        <v>46246.0</v>
      </c>
      <c r="B4181" s="56"/>
      <c r="C4181" s="57" t="s">
        <v>1854</v>
      </c>
      <c r="D4181" s="58" t="s">
        <v>15</v>
      </c>
      <c r="E4181" s="57" t="s">
        <v>4500</v>
      </c>
      <c r="F4181" s="120" t="s">
        <v>4415</v>
      </c>
      <c r="G4181" s="155">
        <v>2.774658875E7</v>
      </c>
      <c r="H4181" s="9">
        <f t="shared" si="11"/>
        <v>5826783.638</v>
      </c>
      <c r="I4181" s="44">
        <v>832397.66</v>
      </c>
      <c r="J4181" s="44">
        <v>416198.83</v>
      </c>
      <c r="K4181" s="10">
        <f t="shared" si="12"/>
        <v>34821968.88</v>
      </c>
      <c r="L4181" s="61"/>
      <c r="M4181" s="62"/>
    </row>
    <row r="4182" ht="15.75" customHeight="1">
      <c r="A4182" s="218">
        <v>46246.0</v>
      </c>
      <c r="B4182" s="56"/>
      <c r="C4182" s="57" t="s">
        <v>1854</v>
      </c>
      <c r="D4182" s="58" t="s">
        <v>15</v>
      </c>
      <c r="E4182" s="58" t="s">
        <v>4501</v>
      </c>
      <c r="F4182" s="120" t="s">
        <v>4415</v>
      </c>
      <c r="G4182" s="155">
        <v>2.88564523E7</v>
      </c>
      <c r="H4182" s="9">
        <f t="shared" si="11"/>
        <v>6059854.983</v>
      </c>
      <c r="I4182" s="44">
        <v>865693.57</v>
      </c>
      <c r="J4182" s="44">
        <v>432846.78</v>
      </c>
      <c r="K4182" s="10">
        <f t="shared" si="12"/>
        <v>36214847.63</v>
      </c>
      <c r="L4182" s="61"/>
      <c r="M4182" s="62"/>
    </row>
    <row r="4183" ht="15.75" customHeight="1">
      <c r="A4183" s="218">
        <v>46246.0</v>
      </c>
      <c r="B4183" s="56"/>
      <c r="C4183" s="57" t="s">
        <v>1854</v>
      </c>
      <c r="D4183" s="58" t="s">
        <v>15</v>
      </c>
      <c r="E4183" s="58" t="s">
        <v>4502</v>
      </c>
      <c r="F4183" s="120" t="s">
        <v>4415</v>
      </c>
      <c r="G4183" s="155">
        <v>2.88564523E7</v>
      </c>
      <c r="H4183" s="9">
        <f t="shared" si="11"/>
        <v>6059854.983</v>
      </c>
      <c r="I4183" s="44">
        <v>865693.57</v>
      </c>
      <c r="J4183" s="44">
        <v>432846.78</v>
      </c>
      <c r="K4183" s="10">
        <f t="shared" si="12"/>
        <v>36214847.63</v>
      </c>
      <c r="L4183" s="61"/>
      <c r="M4183" s="62"/>
    </row>
    <row r="4184" ht="15.75" customHeight="1">
      <c r="A4184" s="231">
        <v>46246.0</v>
      </c>
      <c r="B4184" s="232"/>
      <c r="C4184" s="233" t="s">
        <v>1854</v>
      </c>
      <c r="D4184" s="234" t="s">
        <v>15</v>
      </c>
      <c r="E4184" s="234" t="s">
        <v>4503</v>
      </c>
      <c r="F4184" s="243" t="s">
        <v>4415</v>
      </c>
      <c r="G4184" s="236">
        <v>2.122127392E7</v>
      </c>
      <c r="H4184" s="237">
        <f t="shared" si="11"/>
        <v>4456467.523</v>
      </c>
      <c r="I4184" s="238">
        <v>636638.22</v>
      </c>
      <c r="J4184" s="238">
        <v>318319.11</v>
      </c>
      <c r="K4184" s="239">
        <f t="shared" si="12"/>
        <v>26632698.77</v>
      </c>
      <c r="L4184" s="61"/>
      <c r="M4184" s="62"/>
    </row>
    <row r="4185" ht="15.75" customHeight="1">
      <c r="A4185" s="162">
        <v>46246.0</v>
      </c>
      <c r="B4185" s="50"/>
      <c r="C4185" s="31" t="s">
        <v>1858</v>
      </c>
      <c r="D4185" s="32" t="s">
        <v>15</v>
      </c>
      <c r="E4185" s="31" t="s">
        <v>4504</v>
      </c>
      <c r="F4185" s="107" t="s">
        <v>4415</v>
      </c>
      <c r="G4185" s="54">
        <v>2.27547626E7</v>
      </c>
      <c r="H4185" s="14">
        <f t="shared" si="11"/>
        <v>4778500.146</v>
      </c>
      <c r="I4185" s="22">
        <v>682642.88</v>
      </c>
      <c r="J4185" s="22">
        <v>91019.05</v>
      </c>
      <c r="K4185" s="15">
        <f t="shared" si="12"/>
        <v>28306924.68</v>
      </c>
      <c r="L4185" s="45"/>
      <c r="M4185" s="6"/>
    </row>
    <row r="4186" ht="15.75" customHeight="1">
      <c r="A4186" s="162">
        <v>46246.0</v>
      </c>
      <c r="B4186" s="50"/>
      <c r="C4186" s="31" t="s">
        <v>1858</v>
      </c>
      <c r="D4186" s="32" t="s">
        <v>15</v>
      </c>
      <c r="E4186" s="31" t="s">
        <v>4505</v>
      </c>
      <c r="F4186" s="107" t="s">
        <v>4415</v>
      </c>
      <c r="G4186" s="54">
        <v>2.27547626E7</v>
      </c>
      <c r="H4186" s="14">
        <f t="shared" si="11"/>
        <v>4778500.146</v>
      </c>
      <c r="I4186" s="22">
        <v>682642.88</v>
      </c>
      <c r="J4186" s="22">
        <v>91019.05</v>
      </c>
      <c r="K4186" s="15">
        <f t="shared" si="12"/>
        <v>28306924.68</v>
      </c>
      <c r="L4186" s="45"/>
      <c r="M4186" s="6"/>
    </row>
    <row r="4187" ht="15.75" customHeight="1">
      <c r="A4187" s="162">
        <v>46246.0</v>
      </c>
      <c r="B4187" s="50"/>
      <c r="C4187" s="31" t="s">
        <v>1858</v>
      </c>
      <c r="D4187" s="32" t="s">
        <v>15</v>
      </c>
      <c r="E4187" s="31" t="s">
        <v>4506</v>
      </c>
      <c r="F4187" s="107" t="s">
        <v>4415</v>
      </c>
      <c r="G4187" s="54">
        <v>1.512251895E7</v>
      </c>
      <c r="H4187" s="14">
        <f t="shared" si="11"/>
        <v>3175728.98</v>
      </c>
      <c r="I4187" s="22">
        <v>453675.57</v>
      </c>
      <c r="J4187" s="22">
        <v>60490.08</v>
      </c>
      <c r="K4187" s="15">
        <f t="shared" si="12"/>
        <v>18812413.58</v>
      </c>
      <c r="L4187" s="45"/>
      <c r="M4187" s="6"/>
    </row>
    <row r="4188" ht="15.75" customHeight="1">
      <c r="A4188" s="162">
        <v>46246.0</v>
      </c>
      <c r="B4188" s="50"/>
      <c r="C4188" s="31" t="s">
        <v>1858</v>
      </c>
      <c r="D4188" s="32" t="s">
        <v>15</v>
      </c>
      <c r="E4188" s="31" t="s">
        <v>4507</v>
      </c>
      <c r="F4188" s="107" t="s">
        <v>4415</v>
      </c>
      <c r="G4188" s="54">
        <v>1.622956797E7</v>
      </c>
      <c r="H4188" s="14">
        <f t="shared" si="11"/>
        <v>3408209.274</v>
      </c>
      <c r="I4188" s="22">
        <v>486887.04</v>
      </c>
      <c r="J4188" s="22">
        <v>64918.27</v>
      </c>
      <c r="K4188" s="15">
        <f t="shared" si="12"/>
        <v>20189582.55</v>
      </c>
      <c r="L4188" s="45"/>
      <c r="M4188" s="6"/>
    </row>
    <row r="4189" ht="15.75" customHeight="1">
      <c r="A4189" s="162">
        <v>46246.0</v>
      </c>
      <c r="B4189" s="50"/>
      <c r="C4189" s="31" t="s">
        <v>1861</v>
      </c>
      <c r="D4189" s="32" t="s">
        <v>15</v>
      </c>
      <c r="E4189" s="31" t="s">
        <v>4508</v>
      </c>
      <c r="F4189" s="107" t="s">
        <v>4415</v>
      </c>
      <c r="G4189" s="54">
        <v>2.409762825E7</v>
      </c>
      <c r="H4189" s="14">
        <f t="shared" si="11"/>
        <v>5060501.933</v>
      </c>
      <c r="I4189" s="22">
        <v>722928.85</v>
      </c>
      <c r="J4189" s="22">
        <v>385562.05</v>
      </c>
      <c r="K4189" s="15">
        <f t="shared" si="12"/>
        <v>30266621.08</v>
      </c>
      <c r="L4189" s="45"/>
      <c r="M4189" s="6"/>
    </row>
    <row r="4190" ht="15.75" customHeight="1">
      <c r="A4190" s="218">
        <v>46246.0</v>
      </c>
      <c r="B4190" s="56"/>
      <c r="C4190" s="57" t="s">
        <v>1861</v>
      </c>
      <c r="D4190" s="58" t="s">
        <v>15</v>
      </c>
      <c r="E4190" s="58" t="s">
        <v>4509</v>
      </c>
      <c r="F4190" s="120" t="s">
        <v>4415</v>
      </c>
      <c r="G4190" s="155">
        <v>2.4990133E7</v>
      </c>
      <c r="H4190" s="9">
        <f t="shared" si="11"/>
        <v>5247927.93</v>
      </c>
      <c r="I4190" s="44">
        <v>749703.99</v>
      </c>
      <c r="J4190" s="44">
        <v>399842.13</v>
      </c>
      <c r="K4190" s="10">
        <f t="shared" si="12"/>
        <v>31387607.05</v>
      </c>
      <c r="L4190" s="61"/>
      <c r="M4190" s="62"/>
    </row>
    <row r="4191" ht="15.75" customHeight="1">
      <c r="A4191" s="162">
        <v>46247.0</v>
      </c>
      <c r="B4191" s="50"/>
      <c r="C4191" s="31" t="s">
        <v>1277</v>
      </c>
      <c r="D4191" s="32" t="s">
        <v>15</v>
      </c>
      <c r="E4191" s="31" t="s">
        <v>4510</v>
      </c>
      <c r="F4191" s="107" t="s">
        <v>4415</v>
      </c>
      <c r="G4191" s="54">
        <v>7012010.8</v>
      </c>
      <c r="H4191" s="14">
        <f t="shared" si="11"/>
        <v>1472522.268</v>
      </c>
      <c r="I4191" s="22">
        <v>210360.32</v>
      </c>
      <c r="J4191" s="22"/>
      <c r="K4191" s="15">
        <f t="shared" si="12"/>
        <v>8694893.388</v>
      </c>
      <c r="L4191" s="45"/>
      <c r="M4191" s="6"/>
    </row>
    <row r="4192" ht="15.75" customHeight="1">
      <c r="A4192" s="162">
        <v>46247.0</v>
      </c>
      <c r="B4192" s="50"/>
      <c r="C4192" s="31" t="s">
        <v>1283</v>
      </c>
      <c r="D4192" s="32" t="s">
        <v>15</v>
      </c>
      <c r="E4192" s="31" t="s">
        <v>4511</v>
      </c>
      <c r="F4192" s="107" t="s">
        <v>4415</v>
      </c>
      <c r="G4192" s="54">
        <v>7015085.27</v>
      </c>
      <c r="H4192" s="14">
        <f t="shared" si="11"/>
        <v>1473167.907</v>
      </c>
      <c r="I4192" s="22">
        <v>210452.56</v>
      </c>
      <c r="J4192" s="22"/>
      <c r="K4192" s="15">
        <f t="shared" si="12"/>
        <v>8698705.737</v>
      </c>
      <c r="L4192" s="45"/>
      <c r="M4192" s="6"/>
    </row>
    <row r="4193" ht="15.75" customHeight="1">
      <c r="A4193" s="162">
        <v>46247.0</v>
      </c>
      <c r="B4193" s="50"/>
      <c r="C4193" s="31" t="s">
        <v>1279</v>
      </c>
      <c r="D4193" s="32" t="s">
        <v>15</v>
      </c>
      <c r="E4193" s="31" t="s">
        <v>4512</v>
      </c>
      <c r="F4193" s="107" t="s">
        <v>4415</v>
      </c>
      <c r="G4193" s="54">
        <v>1.301402331E7</v>
      </c>
      <c r="H4193" s="14">
        <f t="shared" si="11"/>
        <v>2732944.895</v>
      </c>
      <c r="I4193" s="22">
        <v>390420.7</v>
      </c>
      <c r="J4193" s="22"/>
      <c r="K4193" s="15">
        <f t="shared" si="12"/>
        <v>16137388.91</v>
      </c>
      <c r="L4193" s="45"/>
      <c r="M4193" s="6"/>
    </row>
    <row r="4194" ht="15.75" customHeight="1">
      <c r="A4194" s="218">
        <v>46248.0</v>
      </c>
      <c r="B4194" s="56"/>
      <c r="C4194" s="57" t="s">
        <v>491</v>
      </c>
      <c r="D4194" s="58" t="s">
        <v>99</v>
      </c>
      <c r="E4194" s="57" t="s">
        <v>4513</v>
      </c>
      <c r="F4194" s="120" t="s">
        <v>4415</v>
      </c>
      <c r="G4194" s="155">
        <v>1.373272226E7</v>
      </c>
      <c r="H4194" s="9">
        <f t="shared" si="11"/>
        <v>2883871.675</v>
      </c>
      <c r="I4194" s="44">
        <v>411981.67</v>
      </c>
      <c r="J4194" s="44">
        <v>109861.78</v>
      </c>
      <c r="K4194" s="10">
        <f t="shared" si="12"/>
        <v>17138437.38</v>
      </c>
      <c r="L4194" s="61"/>
      <c r="M4194" s="62"/>
    </row>
    <row r="4195" ht="15.75" customHeight="1">
      <c r="A4195" s="218">
        <v>46248.0</v>
      </c>
      <c r="B4195" s="56"/>
      <c r="C4195" s="57" t="s">
        <v>491</v>
      </c>
      <c r="D4195" s="58" t="s">
        <v>99</v>
      </c>
      <c r="E4195" s="57" t="s">
        <v>4514</v>
      </c>
      <c r="F4195" s="120" t="s">
        <v>4415</v>
      </c>
      <c r="G4195" s="155">
        <v>1.430293309E7</v>
      </c>
      <c r="H4195" s="9">
        <f t="shared" si="11"/>
        <v>3003615.949</v>
      </c>
      <c r="I4195" s="44">
        <v>429087.99</v>
      </c>
      <c r="J4195" s="44">
        <v>114423.46</v>
      </c>
      <c r="K4195" s="10">
        <f t="shared" si="12"/>
        <v>17850060.49</v>
      </c>
      <c r="L4195" s="61"/>
      <c r="M4195" s="62"/>
    </row>
    <row r="4196" ht="15.75" customHeight="1">
      <c r="A4196" s="218">
        <v>46248.0</v>
      </c>
      <c r="B4196" s="56"/>
      <c r="C4196" s="57" t="s">
        <v>491</v>
      </c>
      <c r="D4196" s="58" t="s">
        <v>99</v>
      </c>
      <c r="E4196" s="57" t="s">
        <v>4515</v>
      </c>
      <c r="F4196" s="120" t="s">
        <v>4415</v>
      </c>
      <c r="G4196" s="155">
        <v>1.590022215E7</v>
      </c>
      <c r="H4196" s="9">
        <f t="shared" si="11"/>
        <v>3339046.652</v>
      </c>
      <c r="I4196" s="44">
        <v>477006.66</v>
      </c>
      <c r="J4196" s="44">
        <v>127201.78</v>
      </c>
      <c r="K4196" s="10">
        <f t="shared" si="12"/>
        <v>19843477.24</v>
      </c>
      <c r="L4196" s="61"/>
      <c r="M4196" s="62"/>
    </row>
    <row r="4197" ht="15.75" customHeight="1">
      <c r="A4197" s="218">
        <v>46248.0</v>
      </c>
      <c r="B4197" s="56"/>
      <c r="C4197" s="57" t="s">
        <v>491</v>
      </c>
      <c r="D4197" s="58" t="s">
        <v>99</v>
      </c>
      <c r="E4197" s="57" t="s">
        <v>4516</v>
      </c>
      <c r="F4197" s="120" t="s">
        <v>4415</v>
      </c>
      <c r="G4197" s="155">
        <v>1.890002226E7</v>
      </c>
      <c r="H4197" s="9">
        <f t="shared" si="11"/>
        <v>3969004.675</v>
      </c>
      <c r="I4197" s="44">
        <v>567000.67</v>
      </c>
      <c r="J4197" s="44">
        <v>151200.18</v>
      </c>
      <c r="K4197" s="10">
        <f t="shared" si="12"/>
        <v>23587227.78</v>
      </c>
      <c r="L4197" s="61"/>
      <c r="M4197" s="62"/>
    </row>
    <row r="4198" ht="15.75" customHeight="1">
      <c r="A4198" s="162">
        <v>46248.0</v>
      </c>
      <c r="B4198" s="50"/>
      <c r="C4198" s="31" t="s">
        <v>491</v>
      </c>
      <c r="D4198" s="32" t="s">
        <v>15</v>
      </c>
      <c r="E4198" s="32" t="s">
        <v>4517</v>
      </c>
      <c r="F4198" s="107" t="s">
        <v>4415</v>
      </c>
      <c r="G4198" s="54">
        <v>2.732252315E7</v>
      </c>
      <c r="H4198" s="14">
        <f t="shared" si="11"/>
        <v>5737729.862</v>
      </c>
      <c r="I4198" s="22">
        <v>819675.69</v>
      </c>
      <c r="J4198" s="22">
        <v>218580.19</v>
      </c>
      <c r="K4198" s="15">
        <f t="shared" si="12"/>
        <v>34098508.89</v>
      </c>
      <c r="L4198" s="45"/>
      <c r="M4198" s="6"/>
    </row>
    <row r="4199" ht="15.75" customHeight="1">
      <c r="A4199" s="162">
        <v>46248.0</v>
      </c>
      <c r="B4199" s="50"/>
      <c r="C4199" s="31" t="s">
        <v>491</v>
      </c>
      <c r="D4199" s="32" t="s">
        <v>15</v>
      </c>
      <c r="E4199" s="31" t="s">
        <v>4518</v>
      </c>
      <c r="F4199" s="107" t="s">
        <v>4415</v>
      </c>
      <c r="G4199" s="54">
        <v>1.732326324E7</v>
      </c>
      <c r="H4199" s="14">
        <f t="shared" si="11"/>
        <v>3637885.28</v>
      </c>
      <c r="I4199" s="22">
        <v>519697.9</v>
      </c>
      <c r="J4199" s="22">
        <v>138586.11</v>
      </c>
      <c r="K4199" s="15">
        <f t="shared" si="12"/>
        <v>21619432.53</v>
      </c>
      <c r="L4199" s="45"/>
      <c r="M4199" s="6"/>
    </row>
    <row r="4200" ht="15.75" customHeight="1">
      <c r="A4200" s="162">
        <v>46248.0</v>
      </c>
      <c r="B4200" s="50"/>
      <c r="C4200" s="31" t="s">
        <v>491</v>
      </c>
      <c r="D4200" s="32" t="s">
        <v>15</v>
      </c>
      <c r="E4200" s="31" t="s">
        <v>4519</v>
      </c>
      <c r="F4200" s="107" t="s">
        <v>4415</v>
      </c>
      <c r="G4200" s="54">
        <v>1.006984425E7</v>
      </c>
      <c r="H4200" s="14">
        <f t="shared" si="11"/>
        <v>2114667.293</v>
      </c>
      <c r="I4200" s="22">
        <v>302095.33</v>
      </c>
      <c r="J4200" s="22">
        <v>80558.75</v>
      </c>
      <c r="K4200" s="15">
        <f t="shared" si="12"/>
        <v>12567165.62</v>
      </c>
      <c r="L4200" s="45"/>
      <c r="M4200" s="6"/>
    </row>
    <row r="4201" ht="15.75" customHeight="1">
      <c r="A4201" s="162">
        <v>46248.0</v>
      </c>
      <c r="B4201" s="50"/>
      <c r="C4201" s="31" t="s">
        <v>491</v>
      </c>
      <c r="D4201" s="32" t="s">
        <v>15</v>
      </c>
      <c r="E4201" s="32" t="s">
        <v>4520</v>
      </c>
      <c r="F4201" s="107" t="s">
        <v>4415</v>
      </c>
      <c r="G4201" s="54">
        <v>1.844373342E7</v>
      </c>
      <c r="H4201" s="14">
        <f t="shared" si="11"/>
        <v>3873184.018</v>
      </c>
      <c r="I4201" s="22">
        <v>553312.0</v>
      </c>
      <c r="J4201" s="22">
        <v>147549.87</v>
      </c>
      <c r="K4201" s="15">
        <f t="shared" si="12"/>
        <v>23017779.31</v>
      </c>
      <c r="L4201" s="45"/>
      <c r="M4201" s="6"/>
    </row>
    <row r="4202" ht="15.75" customHeight="1">
      <c r="A4202" s="162">
        <v>46248.0</v>
      </c>
      <c r="B4202" s="50"/>
      <c r="C4202" s="31" t="s">
        <v>491</v>
      </c>
      <c r="D4202" s="32" t="s">
        <v>15</v>
      </c>
      <c r="E4202" s="32" t="s">
        <v>4521</v>
      </c>
      <c r="F4202" s="107" t="s">
        <v>4415</v>
      </c>
      <c r="G4202" s="54">
        <v>1.743463342E7</v>
      </c>
      <c r="H4202" s="14">
        <f t="shared" si="11"/>
        <v>3661273.018</v>
      </c>
      <c r="I4202" s="22">
        <v>523039.0</v>
      </c>
      <c r="J4202" s="22">
        <v>139477.07</v>
      </c>
      <c r="K4202" s="15">
        <f t="shared" si="12"/>
        <v>21758422.51</v>
      </c>
      <c r="L4202" s="45"/>
      <c r="M4202" s="6"/>
    </row>
    <row r="4203" ht="15.75" customHeight="1">
      <c r="A4203" s="162">
        <v>46248.0</v>
      </c>
      <c r="B4203" s="50"/>
      <c r="C4203" s="31" t="s">
        <v>491</v>
      </c>
      <c r="D4203" s="32" t="s">
        <v>15</v>
      </c>
      <c r="E4203" s="32" t="s">
        <v>4522</v>
      </c>
      <c r="F4203" s="107" t="s">
        <v>4415</v>
      </c>
      <c r="G4203" s="54">
        <v>1.122211942E7</v>
      </c>
      <c r="H4203" s="14">
        <f t="shared" si="11"/>
        <v>2356645.078</v>
      </c>
      <c r="I4203" s="22">
        <v>336663.58</v>
      </c>
      <c r="J4203" s="22">
        <v>89776.96</v>
      </c>
      <c r="K4203" s="15">
        <f t="shared" si="12"/>
        <v>14005205.04</v>
      </c>
      <c r="L4203" s="45"/>
      <c r="M4203" s="6"/>
    </row>
    <row r="4204" ht="15.75" customHeight="1">
      <c r="A4204" s="162">
        <v>46252.0</v>
      </c>
      <c r="B4204" s="50"/>
      <c r="C4204" s="31" t="s">
        <v>1283</v>
      </c>
      <c r="D4204" s="32" t="s">
        <v>99</v>
      </c>
      <c r="E4204" s="31" t="s">
        <v>4523</v>
      </c>
      <c r="F4204" s="107" t="s">
        <v>4415</v>
      </c>
      <c r="G4204" s="54">
        <v>2510140.26</v>
      </c>
      <c r="H4204" s="14">
        <f t="shared" si="11"/>
        <v>527129.4546</v>
      </c>
      <c r="I4204" s="22">
        <v>75304.21</v>
      </c>
      <c r="J4204" s="22"/>
      <c r="K4204" s="15">
        <f t="shared" si="12"/>
        <v>3112573.925</v>
      </c>
      <c r="L4204" s="45"/>
      <c r="M4204" s="6"/>
    </row>
    <row r="4205" ht="15.75" customHeight="1">
      <c r="A4205" s="218">
        <v>46252.0</v>
      </c>
      <c r="B4205" s="56"/>
      <c r="C4205" s="57" t="s">
        <v>1277</v>
      </c>
      <c r="D4205" s="58" t="s">
        <v>99</v>
      </c>
      <c r="E4205" s="57" t="s">
        <v>4524</v>
      </c>
      <c r="F4205" s="120" t="s">
        <v>4415</v>
      </c>
      <c r="G4205" s="155">
        <v>2050305.12</v>
      </c>
      <c r="H4205" s="9">
        <f t="shared" si="11"/>
        <v>430564.0752</v>
      </c>
      <c r="I4205" s="44">
        <v>61509.15</v>
      </c>
      <c r="J4205" s="44"/>
      <c r="K4205" s="10">
        <f t="shared" si="12"/>
        <v>2542378.345</v>
      </c>
      <c r="L4205" s="61"/>
      <c r="M4205" s="62"/>
    </row>
    <row r="4206" ht="15.75" customHeight="1">
      <c r="A4206" s="162">
        <v>46252.0</v>
      </c>
      <c r="B4206" s="50"/>
      <c r="C4206" s="31" t="s">
        <v>1279</v>
      </c>
      <c r="D4206" s="32" t="s">
        <v>99</v>
      </c>
      <c r="E4206" s="31" t="s">
        <v>4525</v>
      </c>
      <c r="F4206" s="107" t="s">
        <v>4415</v>
      </c>
      <c r="G4206" s="54">
        <v>8050501.19</v>
      </c>
      <c r="H4206" s="14">
        <f t="shared" si="11"/>
        <v>1690605.25</v>
      </c>
      <c r="I4206" s="22">
        <v>241515.04</v>
      </c>
      <c r="J4206" s="22"/>
      <c r="K4206" s="15">
        <f t="shared" si="12"/>
        <v>9982621.48</v>
      </c>
      <c r="L4206" s="45"/>
      <c r="M4206" s="6"/>
    </row>
    <row r="4207" ht="15.75" customHeight="1">
      <c r="A4207" s="218">
        <v>46252.0</v>
      </c>
      <c r="B4207" s="56"/>
      <c r="C4207" s="57" t="s">
        <v>4464</v>
      </c>
      <c r="D4207" s="58" t="s">
        <v>99</v>
      </c>
      <c r="E4207" s="57" t="s">
        <v>4526</v>
      </c>
      <c r="F4207" s="120" t="s">
        <v>4415</v>
      </c>
      <c r="G4207" s="155">
        <v>4128364.05</v>
      </c>
      <c r="H4207" s="9">
        <f t="shared" si="11"/>
        <v>866956.4505</v>
      </c>
      <c r="I4207" s="44"/>
      <c r="J4207" s="44"/>
      <c r="K4207" s="10">
        <f t="shared" si="12"/>
        <v>4995320.501</v>
      </c>
      <c r="L4207" s="61"/>
      <c r="M4207" s="62"/>
    </row>
    <row r="4208" ht="15.75" customHeight="1">
      <c r="A4208" s="218">
        <v>46252.0</v>
      </c>
      <c r="B4208" s="56"/>
      <c r="C4208" s="57" t="s">
        <v>4464</v>
      </c>
      <c r="D4208" s="58" t="s">
        <v>99</v>
      </c>
      <c r="E4208" s="58" t="s">
        <v>4527</v>
      </c>
      <c r="F4208" s="120" t="s">
        <v>4415</v>
      </c>
      <c r="G4208" s="155">
        <v>3132655.16</v>
      </c>
      <c r="H4208" s="9">
        <f t="shared" si="11"/>
        <v>657857.5836</v>
      </c>
      <c r="I4208" s="44"/>
      <c r="J4208" s="44"/>
      <c r="K4208" s="10">
        <f t="shared" si="12"/>
        <v>3790512.744</v>
      </c>
      <c r="L4208" s="61"/>
      <c r="M4208" s="62"/>
    </row>
    <row r="4209" ht="15.75" customHeight="1">
      <c r="A4209" s="218">
        <v>46252.0</v>
      </c>
      <c r="B4209" s="56"/>
      <c r="C4209" s="57" t="s">
        <v>4464</v>
      </c>
      <c r="D4209" s="58" t="s">
        <v>99</v>
      </c>
      <c r="E4209" s="58" t="s">
        <v>4528</v>
      </c>
      <c r="F4209" s="120" t="s">
        <v>4415</v>
      </c>
      <c r="G4209" s="155">
        <v>3908504.26</v>
      </c>
      <c r="H4209" s="9">
        <f t="shared" si="11"/>
        <v>820785.8946</v>
      </c>
      <c r="I4209" s="44"/>
      <c r="J4209" s="44"/>
      <c r="K4209" s="10">
        <f t="shared" si="12"/>
        <v>4729290.155</v>
      </c>
      <c r="L4209" s="61"/>
      <c r="M4209" s="62"/>
    </row>
    <row r="4210" ht="15.75" customHeight="1">
      <c r="A4210" s="218">
        <v>46252.0</v>
      </c>
      <c r="B4210" s="56"/>
      <c r="C4210" s="57" t="s">
        <v>4464</v>
      </c>
      <c r="D4210" s="58" t="s">
        <v>99</v>
      </c>
      <c r="E4210" s="58" t="s">
        <v>4529</v>
      </c>
      <c r="F4210" s="120" t="s">
        <v>4415</v>
      </c>
      <c r="G4210" s="155">
        <v>1390457.19</v>
      </c>
      <c r="H4210" s="9">
        <f t="shared" si="11"/>
        <v>291996.0099</v>
      </c>
      <c r="I4210" s="44"/>
      <c r="J4210" s="44"/>
      <c r="K4210" s="10">
        <f t="shared" si="12"/>
        <v>1682453.2</v>
      </c>
      <c r="L4210" s="61"/>
      <c r="M4210" s="62"/>
    </row>
    <row r="4211" ht="15.75" customHeight="1">
      <c r="A4211" s="162">
        <v>46253.0</v>
      </c>
      <c r="B4211" s="50"/>
      <c r="C4211" s="31" t="s">
        <v>1285</v>
      </c>
      <c r="D4211" s="32" t="s">
        <v>15</v>
      </c>
      <c r="E4211" s="31" t="s">
        <v>4530</v>
      </c>
      <c r="F4211" s="107" t="s">
        <v>4415</v>
      </c>
      <c r="G4211" s="54">
        <v>5012290.43</v>
      </c>
      <c r="H4211" s="14">
        <f t="shared" si="11"/>
        <v>1052580.99</v>
      </c>
      <c r="I4211" s="22"/>
      <c r="J4211" s="22"/>
      <c r="K4211" s="15">
        <f t="shared" si="12"/>
        <v>6064871.42</v>
      </c>
      <c r="L4211" s="45"/>
      <c r="M4211" s="6"/>
    </row>
    <row r="4212" ht="15.75" customHeight="1">
      <c r="A4212" s="162">
        <v>46253.0</v>
      </c>
      <c r="B4212" s="50"/>
      <c r="C4212" s="31" t="s">
        <v>4531</v>
      </c>
      <c r="D4212" s="32" t="s">
        <v>15</v>
      </c>
      <c r="E4212" s="31" t="s">
        <v>4532</v>
      </c>
      <c r="F4212" s="107" t="s">
        <v>4415</v>
      </c>
      <c r="G4212" s="54">
        <v>1.498725014E7</v>
      </c>
      <c r="H4212" s="14">
        <f t="shared" si="11"/>
        <v>3147322.529</v>
      </c>
      <c r="I4212" s="22"/>
      <c r="J4212" s="22">
        <v>449617.5</v>
      </c>
      <c r="K4212" s="15">
        <f t="shared" si="12"/>
        <v>18584190.17</v>
      </c>
      <c r="L4212" s="45"/>
      <c r="M4212" s="6"/>
    </row>
    <row r="4213" ht="15.75" customHeight="1">
      <c r="A4213" s="244"/>
      <c r="B4213" s="50"/>
      <c r="C4213" s="31" t="s">
        <v>4531</v>
      </c>
      <c r="D4213" s="32" t="s">
        <v>15</v>
      </c>
      <c r="E4213" s="31" t="s">
        <v>4533</v>
      </c>
      <c r="F4213" s="107" t="s">
        <v>4415</v>
      </c>
      <c r="G4213" s="54">
        <v>1.512244018E7</v>
      </c>
      <c r="H4213" s="14">
        <f t="shared" si="11"/>
        <v>3175712.438</v>
      </c>
      <c r="I4213" s="22"/>
      <c r="J4213" s="22">
        <v>453673.21</v>
      </c>
      <c r="K4213" s="15">
        <f t="shared" si="12"/>
        <v>18751825.83</v>
      </c>
      <c r="L4213" s="45"/>
      <c r="M4213" s="6"/>
    </row>
    <row r="4214" ht="15.75" customHeight="1">
      <c r="A4214" s="244"/>
      <c r="B4214" s="50"/>
      <c r="C4214" s="31" t="s">
        <v>4531</v>
      </c>
      <c r="D4214" s="32" t="s">
        <v>15</v>
      </c>
      <c r="E4214" s="31" t="s">
        <v>4534</v>
      </c>
      <c r="F4214" s="107" t="s">
        <v>4415</v>
      </c>
      <c r="G4214" s="54">
        <v>1.489568075E7</v>
      </c>
      <c r="H4214" s="14">
        <f t="shared" si="11"/>
        <v>3128092.958</v>
      </c>
      <c r="I4214" s="22"/>
      <c r="J4214" s="22">
        <v>446870.42</v>
      </c>
      <c r="K4214" s="15">
        <f t="shared" si="12"/>
        <v>18470644.13</v>
      </c>
      <c r="L4214" s="45"/>
      <c r="M4214" s="6"/>
    </row>
    <row r="4215" ht="15.75" customHeight="1">
      <c r="A4215" s="162">
        <v>46253.0</v>
      </c>
      <c r="B4215" s="50"/>
      <c r="C4215" s="31" t="s">
        <v>4531</v>
      </c>
      <c r="D4215" s="32" t="s">
        <v>99</v>
      </c>
      <c r="E4215" s="31" t="s">
        <v>4535</v>
      </c>
      <c r="F4215" s="107" t="s">
        <v>4415</v>
      </c>
      <c r="G4215" s="54">
        <v>1.227833019E7</v>
      </c>
      <c r="H4215" s="14">
        <f t="shared" si="11"/>
        <v>2578449.34</v>
      </c>
      <c r="I4215" s="22"/>
      <c r="J4215" s="22">
        <v>368349.91</v>
      </c>
      <c r="K4215" s="15">
        <f t="shared" si="12"/>
        <v>15225129.44</v>
      </c>
      <c r="L4215" s="45"/>
      <c r="M4215" s="6"/>
    </row>
    <row r="4216" ht="15.75" customHeight="1">
      <c r="A4216" s="162">
        <v>46253.0</v>
      </c>
      <c r="B4216" s="50"/>
      <c r="C4216" s="31" t="s">
        <v>4531</v>
      </c>
      <c r="D4216" s="32" t="s">
        <v>99</v>
      </c>
      <c r="E4216" s="31" t="s">
        <v>4536</v>
      </c>
      <c r="F4216" s="107" t="s">
        <v>4415</v>
      </c>
      <c r="G4216" s="54">
        <v>1.273569042E7</v>
      </c>
      <c r="H4216" s="14">
        <f t="shared" si="11"/>
        <v>2674494.988</v>
      </c>
      <c r="I4216" s="22"/>
      <c r="J4216" s="22">
        <v>382070.71</v>
      </c>
      <c r="K4216" s="15">
        <f t="shared" si="12"/>
        <v>15792256.12</v>
      </c>
      <c r="L4216" s="45"/>
      <c r="M4216" s="6"/>
    </row>
    <row r="4217" ht="15.75" customHeight="1">
      <c r="A4217" s="162">
        <v>46253.0</v>
      </c>
      <c r="B4217" s="50"/>
      <c r="C4217" s="31" t="s">
        <v>1183</v>
      </c>
      <c r="D4217" s="32" t="s">
        <v>15</v>
      </c>
      <c r="E4217" s="31" t="s">
        <v>4537</v>
      </c>
      <c r="F4217" s="107" t="s">
        <v>4415</v>
      </c>
      <c r="G4217" s="54">
        <v>7892222.08</v>
      </c>
      <c r="H4217" s="14">
        <f t="shared" si="11"/>
        <v>1657366.637</v>
      </c>
      <c r="I4217" s="22">
        <v>236766.66</v>
      </c>
      <c r="J4217" s="22"/>
      <c r="K4217" s="15">
        <f t="shared" si="12"/>
        <v>9786355.377</v>
      </c>
      <c r="L4217" s="45"/>
      <c r="M4217" s="6"/>
    </row>
    <row r="4218" ht="15.75" customHeight="1">
      <c r="A4218" s="162">
        <v>46253.0</v>
      </c>
      <c r="B4218" s="50"/>
      <c r="C4218" s="31" t="s">
        <v>1183</v>
      </c>
      <c r="D4218" s="32" t="s">
        <v>15</v>
      </c>
      <c r="E4218" s="31" t="s">
        <v>4538</v>
      </c>
      <c r="F4218" s="107" t="s">
        <v>4415</v>
      </c>
      <c r="G4218" s="54">
        <v>1.199222042E7</v>
      </c>
      <c r="H4218" s="14">
        <f t="shared" si="11"/>
        <v>2518366.288</v>
      </c>
      <c r="I4218" s="22">
        <v>359766.61</v>
      </c>
      <c r="J4218" s="22"/>
      <c r="K4218" s="15">
        <f t="shared" si="12"/>
        <v>14870353.32</v>
      </c>
      <c r="L4218" s="45"/>
      <c r="M4218" s="6"/>
    </row>
    <row r="4219" ht="15.75" customHeight="1">
      <c r="A4219" s="162">
        <v>46253.0</v>
      </c>
      <c r="B4219" s="50"/>
      <c r="C4219" s="31" t="s">
        <v>1183</v>
      </c>
      <c r="D4219" s="32" t="s">
        <v>15</v>
      </c>
      <c r="E4219" s="31" t="s">
        <v>4539</v>
      </c>
      <c r="F4219" s="107" t="s">
        <v>4415</v>
      </c>
      <c r="G4219" s="54">
        <v>1.279766612E7</v>
      </c>
      <c r="H4219" s="14">
        <f t="shared" si="11"/>
        <v>2687509.885</v>
      </c>
      <c r="I4219" s="22">
        <v>383929.98</v>
      </c>
      <c r="J4219" s="22"/>
      <c r="K4219" s="15">
        <f t="shared" si="12"/>
        <v>15869105.99</v>
      </c>
      <c r="L4219" s="45"/>
      <c r="M4219" s="6"/>
    </row>
    <row r="4220" ht="15.75" customHeight="1">
      <c r="A4220" s="162">
        <v>46253.0</v>
      </c>
      <c r="B4220" s="50"/>
      <c r="C4220" s="31" t="s">
        <v>1183</v>
      </c>
      <c r="D4220" s="32" t="s">
        <v>15</v>
      </c>
      <c r="E4220" s="31" t="s">
        <v>4540</v>
      </c>
      <c r="F4220" s="107" t="s">
        <v>4415</v>
      </c>
      <c r="G4220" s="54">
        <v>7890111.26</v>
      </c>
      <c r="H4220" s="14">
        <f t="shared" si="11"/>
        <v>1656923.365</v>
      </c>
      <c r="I4220" s="22">
        <v>236703.34</v>
      </c>
      <c r="J4220" s="22"/>
      <c r="K4220" s="15">
        <f t="shared" si="12"/>
        <v>9783737.965</v>
      </c>
      <c r="L4220" s="45"/>
      <c r="M4220" s="6"/>
    </row>
    <row r="4221" ht="15.75" customHeight="1">
      <c r="A4221" s="162">
        <v>46253.0</v>
      </c>
      <c r="B4221" s="50"/>
      <c r="C4221" s="31" t="s">
        <v>1183</v>
      </c>
      <c r="D4221" s="32" t="s">
        <v>15</v>
      </c>
      <c r="E4221" s="31" t="s">
        <v>4541</v>
      </c>
      <c r="F4221" s="107" t="s">
        <v>4415</v>
      </c>
      <c r="G4221" s="54">
        <v>1.438273266E7</v>
      </c>
      <c r="H4221" s="14">
        <f t="shared" si="11"/>
        <v>3020373.859</v>
      </c>
      <c r="I4221" s="22">
        <v>431481.98</v>
      </c>
      <c r="J4221" s="22"/>
      <c r="K4221" s="15">
        <f t="shared" si="12"/>
        <v>17834588.5</v>
      </c>
      <c r="L4221" s="45"/>
      <c r="M4221" s="6"/>
    </row>
    <row r="4222" ht="15.75" customHeight="1">
      <c r="A4222" s="162">
        <v>46253.0</v>
      </c>
      <c r="B4222" s="50"/>
      <c r="C4222" s="31" t="s">
        <v>1183</v>
      </c>
      <c r="D4222" s="32" t="s">
        <v>15</v>
      </c>
      <c r="E4222" s="31" t="s">
        <v>4542</v>
      </c>
      <c r="F4222" s="107" t="s">
        <v>4415</v>
      </c>
      <c r="G4222" s="54">
        <v>1.732256218E7</v>
      </c>
      <c r="H4222" s="14">
        <f t="shared" si="11"/>
        <v>3637738.058</v>
      </c>
      <c r="I4222" s="22">
        <v>519676.87</v>
      </c>
      <c r="J4222" s="22"/>
      <c r="K4222" s="15">
        <f t="shared" si="12"/>
        <v>21479977.11</v>
      </c>
      <c r="L4222" s="45"/>
      <c r="M4222" s="6"/>
    </row>
    <row r="4223" ht="15.75" customHeight="1">
      <c r="A4223" s="162">
        <v>46253.0</v>
      </c>
      <c r="B4223" s="50"/>
      <c r="C4223" s="31" t="s">
        <v>1183</v>
      </c>
      <c r="D4223" s="32" t="s">
        <v>15</v>
      </c>
      <c r="E4223" s="31" t="s">
        <v>4543</v>
      </c>
      <c r="F4223" s="107" t="s">
        <v>4415</v>
      </c>
      <c r="G4223" s="54">
        <v>1.733832215E7</v>
      </c>
      <c r="H4223" s="14">
        <f t="shared" si="11"/>
        <v>3641047.652</v>
      </c>
      <c r="I4223" s="22">
        <v>520149.66</v>
      </c>
      <c r="J4223" s="22"/>
      <c r="K4223" s="15">
        <f t="shared" si="12"/>
        <v>21499519.46</v>
      </c>
      <c r="L4223" s="45"/>
      <c r="M4223" s="6"/>
    </row>
    <row r="4224" ht="15.75" customHeight="1">
      <c r="A4224" s="162">
        <v>46253.0</v>
      </c>
      <c r="B4224" s="50"/>
      <c r="C4224" s="31" t="s">
        <v>1183</v>
      </c>
      <c r="D4224" s="32" t="s">
        <v>15</v>
      </c>
      <c r="E4224" s="31" t="s">
        <v>4544</v>
      </c>
      <c r="F4224" s="107" t="s">
        <v>4415</v>
      </c>
      <c r="G4224" s="54">
        <v>1.134633718E7</v>
      </c>
      <c r="H4224" s="14">
        <f t="shared" si="11"/>
        <v>2382730.808</v>
      </c>
      <c r="I4224" s="22">
        <v>340390.12</v>
      </c>
      <c r="J4224" s="22"/>
      <c r="K4224" s="15">
        <f t="shared" si="12"/>
        <v>14069458.11</v>
      </c>
      <c r="L4224" s="45"/>
      <c r="M4224" s="6"/>
    </row>
    <row r="4225" ht="15.75" customHeight="1">
      <c r="A4225" s="218">
        <v>46258.0</v>
      </c>
      <c r="B4225" s="56"/>
      <c r="C4225" s="57" t="s">
        <v>124</v>
      </c>
      <c r="D4225" s="58" t="s">
        <v>15</v>
      </c>
      <c r="E4225" s="57" t="s">
        <v>4545</v>
      </c>
      <c r="F4225" s="120" t="s">
        <v>4415</v>
      </c>
      <c r="G4225" s="155">
        <v>3978360.59</v>
      </c>
      <c r="H4225" s="9">
        <f t="shared" si="11"/>
        <v>835455.7239</v>
      </c>
      <c r="I4225" s="44"/>
      <c r="J4225" s="44"/>
      <c r="K4225" s="10">
        <f t="shared" si="12"/>
        <v>4813816.314</v>
      </c>
      <c r="L4225" s="61"/>
      <c r="M4225" s="62"/>
    </row>
    <row r="4226" ht="15.75" customHeight="1">
      <c r="A4226" s="218">
        <v>46258.0</v>
      </c>
      <c r="B4226" s="56"/>
      <c r="C4226" s="57" t="s">
        <v>4464</v>
      </c>
      <c r="D4226" s="58" t="s">
        <v>99</v>
      </c>
      <c r="E4226" s="57" t="s">
        <v>4546</v>
      </c>
      <c r="F4226" s="120" t="s">
        <v>4415</v>
      </c>
      <c r="G4226" s="155">
        <v>4215874.08</v>
      </c>
      <c r="H4226" s="9">
        <f t="shared" si="11"/>
        <v>885333.5568</v>
      </c>
      <c r="I4226" s="44"/>
      <c r="J4226" s="44"/>
      <c r="K4226" s="10">
        <f t="shared" si="12"/>
        <v>5101207.637</v>
      </c>
      <c r="L4226" s="61"/>
      <c r="M4226" s="62"/>
    </row>
    <row r="4227" ht="15.75" customHeight="1">
      <c r="A4227" s="218">
        <v>46258.0</v>
      </c>
      <c r="B4227" s="56"/>
      <c r="C4227" s="57" t="s">
        <v>4464</v>
      </c>
      <c r="D4227" s="58" t="s">
        <v>99</v>
      </c>
      <c r="E4227" s="57" t="s">
        <v>4547</v>
      </c>
      <c r="F4227" s="120" t="s">
        <v>4415</v>
      </c>
      <c r="G4227" s="155">
        <v>4789511.07</v>
      </c>
      <c r="H4227" s="9">
        <f t="shared" si="11"/>
        <v>1005797.325</v>
      </c>
      <c r="I4227" s="44"/>
      <c r="J4227" s="44"/>
      <c r="K4227" s="10">
        <f t="shared" si="12"/>
        <v>5795308.395</v>
      </c>
      <c r="L4227" s="61"/>
      <c r="M4227" s="62"/>
    </row>
    <row r="4228" ht="15.75" customHeight="1">
      <c r="A4228" s="218">
        <v>46258.0</v>
      </c>
      <c r="B4228" s="56"/>
      <c r="C4228" s="57" t="s">
        <v>4464</v>
      </c>
      <c r="D4228" s="58" t="s">
        <v>99</v>
      </c>
      <c r="E4228" s="57" t="s">
        <v>4548</v>
      </c>
      <c r="F4228" s="120" t="s">
        <v>4415</v>
      </c>
      <c r="G4228" s="155">
        <v>3123456.08</v>
      </c>
      <c r="H4228" s="9">
        <f t="shared" si="11"/>
        <v>655925.7768</v>
      </c>
      <c r="I4228" s="44"/>
      <c r="J4228" s="44"/>
      <c r="K4228" s="10">
        <f t="shared" si="12"/>
        <v>3779381.857</v>
      </c>
      <c r="L4228" s="61"/>
      <c r="M4228" s="62"/>
    </row>
    <row r="4229" ht="15.75" customHeight="1">
      <c r="A4229" s="218">
        <v>46258.0</v>
      </c>
      <c r="B4229" s="56"/>
      <c r="C4229" s="57" t="s">
        <v>4464</v>
      </c>
      <c r="D4229" s="58" t="s">
        <v>99</v>
      </c>
      <c r="E4229" s="57" t="s">
        <v>4549</v>
      </c>
      <c r="F4229" s="120" t="s">
        <v>4415</v>
      </c>
      <c r="G4229" s="155">
        <v>3158212.07</v>
      </c>
      <c r="H4229" s="9">
        <f t="shared" si="11"/>
        <v>663224.5347</v>
      </c>
      <c r="I4229" s="44"/>
      <c r="J4229" s="44"/>
      <c r="K4229" s="10">
        <f t="shared" si="12"/>
        <v>3821436.605</v>
      </c>
      <c r="L4229" s="61"/>
      <c r="M4229" s="62"/>
    </row>
    <row r="4230" ht="15.75" customHeight="1">
      <c r="A4230" s="162">
        <v>46258.0</v>
      </c>
      <c r="B4230" s="50"/>
      <c r="C4230" s="31" t="s">
        <v>3859</v>
      </c>
      <c r="D4230" s="32" t="s">
        <v>99</v>
      </c>
      <c r="E4230" s="31" t="s">
        <v>4550</v>
      </c>
      <c r="F4230" s="107" t="s">
        <v>4415</v>
      </c>
      <c r="G4230" s="54">
        <v>2.600105562E7</v>
      </c>
      <c r="H4230" s="14">
        <f t="shared" si="11"/>
        <v>5460221.68</v>
      </c>
      <c r="I4230" s="22">
        <v>780031.67</v>
      </c>
      <c r="J4230" s="22">
        <v>390015.83</v>
      </c>
      <c r="K4230" s="15">
        <f t="shared" si="12"/>
        <v>32631324.8</v>
      </c>
      <c r="L4230" s="45"/>
      <c r="M4230" s="6"/>
    </row>
    <row r="4231" ht="15.75" customHeight="1">
      <c r="A4231" s="162">
        <v>46258.0</v>
      </c>
      <c r="B4231" s="50"/>
      <c r="C4231" s="31" t="s">
        <v>1721</v>
      </c>
      <c r="D4231" s="32" t="s">
        <v>99</v>
      </c>
      <c r="E4231" s="32" t="s">
        <v>4551</v>
      </c>
      <c r="F4231" s="107" t="s">
        <v>4415</v>
      </c>
      <c r="G4231" s="54">
        <v>2.400119463E7</v>
      </c>
      <c r="H4231" s="14">
        <f t="shared" si="11"/>
        <v>5040250.872</v>
      </c>
      <c r="I4231" s="22">
        <v>720035.84</v>
      </c>
      <c r="J4231" s="22">
        <v>1200059.73</v>
      </c>
      <c r="K4231" s="15">
        <f t="shared" si="12"/>
        <v>30961541.07</v>
      </c>
      <c r="L4231" s="45"/>
      <c r="M4231" s="6"/>
    </row>
    <row r="4232" ht="15.75" customHeight="1">
      <c r="A4232" s="162">
        <v>46258.0</v>
      </c>
      <c r="B4232" s="50"/>
      <c r="C4232" s="31" t="s">
        <v>3117</v>
      </c>
      <c r="D4232" s="32" t="s">
        <v>99</v>
      </c>
      <c r="E4232" s="31" t="s">
        <v>4552</v>
      </c>
      <c r="F4232" s="107" t="s">
        <v>4415</v>
      </c>
      <c r="G4232" s="54">
        <v>1.500076118E7</v>
      </c>
      <c r="H4232" s="14">
        <f t="shared" si="11"/>
        <v>3150159.848</v>
      </c>
      <c r="I4232" s="22">
        <v>450022.84</v>
      </c>
      <c r="J4232" s="22">
        <v>225011.42</v>
      </c>
      <c r="K4232" s="15">
        <f t="shared" si="12"/>
        <v>18825955.29</v>
      </c>
      <c r="L4232" s="45"/>
      <c r="M4232" s="6"/>
    </row>
    <row r="4233" ht="15.75" customHeight="1">
      <c r="A4233" s="162">
        <v>46259.0</v>
      </c>
      <c r="B4233" s="50"/>
      <c r="C4233" s="31" t="s">
        <v>4351</v>
      </c>
      <c r="D4233" s="32" t="s">
        <v>99</v>
      </c>
      <c r="E4233" s="31" t="s">
        <v>4553</v>
      </c>
      <c r="F4233" s="107" t="s">
        <v>4415</v>
      </c>
      <c r="G4233" s="54">
        <v>1.361807798E7</v>
      </c>
      <c r="H4233" s="14">
        <f t="shared" si="11"/>
        <v>2859796.376</v>
      </c>
      <c r="I4233" s="22">
        <v>408542.34</v>
      </c>
      <c r="J4233" s="22"/>
      <c r="K4233" s="15">
        <f t="shared" si="12"/>
        <v>16886416.7</v>
      </c>
      <c r="L4233" s="45"/>
      <c r="M4233" s="6"/>
    </row>
    <row r="4234" ht="15.75" customHeight="1">
      <c r="A4234" s="162">
        <v>46259.0</v>
      </c>
      <c r="B4234" s="50"/>
      <c r="C4234" s="31" t="s">
        <v>4351</v>
      </c>
      <c r="D4234" s="32" t="s">
        <v>99</v>
      </c>
      <c r="E4234" s="32" t="s">
        <v>4554</v>
      </c>
      <c r="F4234" s="107" t="s">
        <v>4415</v>
      </c>
      <c r="G4234" s="54">
        <v>7621003.69</v>
      </c>
      <c r="H4234" s="14">
        <f t="shared" si="11"/>
        <v>1600410.775</v>
      </c>
      <c r="I4234" s="22">
        <v>228630.11</v>
      </c>
      <c r="J4234" s="22"/>
      <c r="K4234" s="15">
        <f t="shared" si="12"/>
        <v>9450044.575</v>
      </c>
      <c r="L4234" s="45"/>
      <c r="M4234" s="6"/>
    </row>
    <row r="4235" ht="15.75" customHeight="1">
      <c r="A4235" s="162">
        <v>46259.0</v>
      </c>
      <c r="B4235" s="50"/>
      <c r="C4235" s="31" t="s">
        <v>4351</v>
      </c>
      <c r="D4235" s="32" t="s">
        <v>99</v>
      </c>
      <c r="E4235" s="32" t="s">
        <v>4555</v>
      </c>
      <c r="F4235" s="107" t="s">
        <v>4415</v>
      </c>
      <c r="G4235" s="54">
        <v>9918006.46</v>
      </c>
      <c r="H4235" s="14">
        <f t="shared" si="11"/>
        <v>2082781.357</v>
      </c>
      <c r="I4235" s="22">
        <v>297540.19</v>
      </c>
      <c r="J4235" s="22"/>
      <c r="K4235" s="15">
        <f t="shared" si="12"/>
        <v>12298328.01</v>
      </c>
      <c r="L4235" s="45"/>
      <c r="M4235" s="6"/>
    </row>
    <row r="4236" ht="15.75" customHeight="1">
      <c r="A4236" s="162">
        <v>46259.0</v>
      </c>
      <c r="B4236" s="50"/>
      <c r="C4236" s="31" t="s">
        <v>4351</v>
      </c>
      <c r="D4236" s="32" t="s">
        <v>99</v>
      </c>
      <c r="E4236" s="31" t="s">
        <v>4556</v>
      </c>
      <c r="F4236" s="107" t="s">
        <v>4415</v>
      </c>
      <c r="G4236" s="54">
        <v>8750226.04</v>
      </c>
      <c r="H4236" s="14">
        <f t="shared" si="11"/>
        <v>1837547.468</v>
      </c>
      <c r="I4236" s="22">
        <v>262506.78</v>
      </c>
      <c r="J4236" s="22"/>
      <c r="K4236" s="15">
        <f t="shared" si="12"/>
        <v>10850280.29</v>
      </c>
      <c r="L4236" s="45"/>
      <c r="M4236" s="6"/>
    </row>
    <row r="4237" ht="15.75" customHeight="1">
      <c r="A4237" s="162">
        <v>46259.0</v>
      </c>
      <c r="B4237" s="50"/>
      <c r="C4237" s="31" t="s">
        <v>4351</v>
      </c>
      <c r="D4237" s="32" t="s">
        <v>15</v>
      </c>
      <c r="E4237" s="31" t="s">
        <v>4557</v>
      </c>
      <c r="F4237" s="107" t="s">
        <v>4415</v>
      </c>
      <c r="G4237" s="54">
        <v>9326987.02</v>
      </c>
      <c r="H4237" s="14">
        <f t="shared" si="11"/>
        <v>1958667.274</v>
      </c>
      <c r="I4237" s="22">
        <v>279809.61</v>
      </c>
      <c r="J4237" s="22"/>
      <c r="K4237" s="15">
        <f t="shared" si="12"/>
        <v>11565463.9</v>
      </c>
      <c r="L4237" s="45"/>
      <c r="M4237" s="6"/>
    </row>
    <row r="4238" ht="15.75" customHeight="1">
      <c r="A4238" s="162">
        <v>46259.0</v>
      </c>
      <c r="B4238" s="50"/>
      <c r="C4238" s="31" t="s">
        <v>4351</v>
      </c>
      <c r="D4238" s="32" t="s">
        <v>15</v>
      </c>
      <c r="E4238" s="31" t="s">
        <v>4558</v>
      </c>
      <c r="F4238" s="107" t="s">
        <v>4415</v>
      </c>
      <c r="G4238" s="54">
        <v>8960119.14</v>
      </c>
      <c r="H4238" s="14">
        <f t="shared" si="11"/>
        <v>1881625.019</v>
      </c>
      <c r="I4238" s="22">
        <v>268803.57</v>
      </c>
      <c r="J4238" s="22"/>
      <c r="K4238" s="15">
        <f t="shared" si="12"/>
        <v>11110547.73</v>
      </c>
      <c r="L4238" s="45"/>
      <c r="M4238" s="6"/>
    </row>
    <row r="4239" ht="15.75" customHeight="1">
      <c r="A4239" s="162">
        <v>46259.0</v>
      </c>
      <c r="B4239" s="50"/>
      <c r="C4239" s="31" t="s">
        <v>4351</v>
      </c>
      <c r="D4239" s="32" t="s">
        <v>15</v>
      </c>
      <c r="E4239" s="31" t="s">
        <v>4559</v>
      </c>
      <c r="F4239" s="107" t="s">
        <v>4415</v>
      </c>
      <c r="G4239" s="54">
        <v>1.501108766E7</v>
      </c>
      <c r="H4239" s="14">
        <f t="shared" si="11"/>
        <v>3152328.409</v>
      </c>
      <c r="I4239" s="22">
        <v>450332.63</v>
      </c>
      <c r="J4239" s="22"/>
      <c r="K4239" s="15">
        <f t="shared" si="12"/>
        <v>18613748.7</v>
      </c>
      <c r="L4239" s="45"/>
      <c r="M4239" s="6"/>
    </row>
    <row r="4240" ht="15.75" customHeight="1">
      <c r="A4240" s="162">
        <v>46259.0</v>
      </c>
      <c r="B4240" s="50"/>
      <c r="C4240" s="31" t="s">
        <v>4351</v>
      </c>
      <c r="D4240" s="32" t="s">
        <v>15</v>
      </c>
      <c r="E4240" s="31" t="s">
        <v>4560</v>
      </c>
      <c r="F4240" s="107" t="s">
        <v>4415</v>
      </c>
      <c r="G4240" s="54">
        <v>6710910.03</v>
      </c>
      <c r="H4240" s="14">
        <f t="shared" si="11"/>
        <v>1409291.106</v>
      </c>
      <c r="I4240" s="22">
        <v>201327.3</v>
      </c>
      <c r="J4240" s="22"/>
      <c r="K4240" s="15">
        <f t="shared" si="12"/>
        <v>8321528.436</v>
      </c>
      <c r="L4240" s="45"/>
      <c r="M4240" s="6"/>
    </row>
    <row r="4241" ht="15.75" customHeight="1">
      <c r="A4241" s="162">
        <v>46259.0</v>
      </c>
      <c r="B4241" s="50"/>
      <c r="C4241" s="31" t="s">
        <v>4351</v>
      </c>
      <c r="D4241" s="32" t="s">
        <v>15</v>
      </c>
      <c r="E4241" s="31" t="s">
        <v>4561</v>
      </c>
      <c r="F4241" s="107" t="s">
        <v>4415</v>
      </c>
      <c r="G4241" s="54">
        <v>9323098.49</v>
      </c>
      <c r="H4241" s="14">
        <f t="shared" si="11"/>
        <v>1957850.683</v>
      </c>
      <c r="I4241" s="22">
        <v>279692.95</v>
      </c>
      <c r="J4241" s="22"/>
      <c r="K4241" s="15">
        <f t="shared" si="12"/>
        <v>11560642.12</v>
      </c>
      <c r="L4241" s="45"/>
      <c r="M4241" s="6"/>
    </row>
    <row r="4242" ht="15.75" customHeight="1">
      <c r="A4242" s="162">
        <v>46259.0</v>
      </c>
      <c r="B4242" s="50"/>
      <c r="C4242" s="31" t="s">
        <v>4351</v>
      </c>
      <c r="D4242" s="32" t="s">
        <v>15</v>
      </c>
      <c r="E4242" s="31" t="s">
        <v>4562</v>
      </c>
      <c r="F4242" s="107" t="s">
        <v>4415</v>
      </c>
      <c r="G4242" s="54">
        <v>1.355459846E7</v>
      </c>
      <c r="H4242" s="14">
        <f t="shared" si="11"/>
        <v>2846465.677</v>
      </c>
      <c r="I4242" s="22">
        <v>406637.95</v>
      </c>
      <c r="J4242" s="22"/>
      <c r="K4242" s="15">
        <f t="shared" si="12"/>
        <v>16807702.09</v>
      </c>
      <c r="L4242" s="45"/>
      <c r="M4242" s="6"/>
    </row>
    <row r="4243" ht="15.75" customHeight="1">
      <c r="A4243" s="162">
        <v>46259.0</v>
      </c>
      <c r="B4243" s="50"/>
      <c r="C4243" s="31" t="s">
        <v>4351</v>
      </c>
      <c r="D4243" s="32" t="s">
        <v>15</v>
      </c>
      <c r="E4243" s="31" t="s">
        <v>4563</v>
      </c>
      <c r="F4243" s="107" t="s">
        <v>4415</v>
      </c>
      <c r="G4243" s="54">
        <v>1.452151291E7</v>
      </c>
      <c r="H4243" s="14">
        <f t="shared" si="11"/>
        <v>3049517.711</v>
      </c>
      <c r="I4243" s="22">
        <v>435645.39</v>
      </c>
      <c r="J4243" s="22"/>
      <c r="K4243" s="15">
        <f t="shared" si="12"/>
        <v>18006676.01</v>
      </c>
      <c r="L4243" s="45"/>
      <c r="M4243" s="6"/>
    </row>
    <row r="4244" ht="15.75" customHeight="1">
      <c r="A4244" s="162">
        <v>46259.0</v>
      </c>
      <c r="B4244" s="50"/>
      <c r="C4244" s="31" t="s">
        <v>4351</v>
      </c>
      <c r="D4244" s="32" t="s">
        <v>15</v>
      </c>
      <c r="E4244" s="31" t="s">
        <v>4564</v>
      </c>
      <c r="F4244" s="107" t="s">
        <v>4415</v>
      </c>
      <c r="G4244" s="54">
        <v>9631960.55</v>
      </c>
      <c r="H4244" s="14">
        <f t="shared" si="11"/>
        <v>2022711.716</v>
      </c>
      <c r="I4244" s="22">
        <v>288958.82</v>
      </c>
      <c r="J4244" s="22"/>
      <c r="K4244" s="15">
        <f t="shared" si="12"/>
        <v>11943631.09</v>
      </c>
      <c r="L4244" s="45"/>
      <c r="M4244" s="6"/>
    </row>
    <row r="4245" ht="15.75" customHeight="1">
      <c r="A4245" s="162">
        <v>46259.0</v>
      </c>
      <c r="B4245" s="50"/>
      <c r="C4245" s="31" t="s">
        <v>4351</v>
      </c>
      <c r="D4245" s="32" t="s">
        <v>15</v>
      </c>
      <c r="E4245" s="31" t="s">
        <v>4565</v>
      </c>
      <c r="F4245" s="107" t="s">
        <v>4415</v>
      </c>
      <c r="G4245" s="54">
        <v>1.203801027E7</v>
      </c>
      <c r="H4245" s="14">
        <f t="shared" si="11"/>
        <v>2527982.157</v>
      </c>
      <c r="I4245" s="22">
        <v>361140.31</v>
      </c>
      <c r="J4245" s="22"/>
      <c r="K4245" s="15">
        <f t="shared" si="12"/>
        <v>14927132.74</v>
      </c>
      <c r="L4245" s="45"/>
      <c r="M4245" s="6"/>
    </row>
    <row r="4246" ht="15.75" customHeight="1">
      <c r="A4246" s="162">
        <v>46259.0</v>
      </c>
      <c r="B4246" s="50"/>
      <c r="C4246" s="31" t="s">
        <v>4351</v>
      </c>
      <c r="D4246" s="32" t="s">
        <v>15</v>
      </c>
      <c r="E4246" s="31" t="s">
        <v>4566</v>
      </c>
      <c r="F4246" s="107" t="s">
        <v>4415</v>
      </c>
      <c r="G4246" s="54">
        <v>1.109584478E7</v>
      </c>
      <c r="H4246" s="14">
        <f t="shared" si="11"/>
        <v>2330127.404</v>
      </c>
      <c r="I4246" s="22">
        <v>332875.34</v>
      </c>
      <c r="J4246" s="22"/>
      <c r="K4246" s="15">
        <f t="shared" si="12"/>
        <v>13758847.52</v>
      </c>
      <c r="L4246" s="45"/>
      <c r="M4246" s="6"/>
    </row>
    <row r="4247" ht="15.75" customHeight="1">
      <c r="A4247" s="218">
        <v>46259.0</v>
      </c>
      <c r="B4247" s="56"/>
      <c r="C4247" s="57" t="s">
        <v>4567</v>
      </c>
      <c r="D4247" s="58" t="s">
        <v>15</v>
      </c>
      <c r="E4247" s="57" t="s">
        <v>4568</v>
      </c>
      <c r="F4247" s="120" t="s">
        <v>4415</v>
      </c>
      <c r="G4247" s="155">
        <v>1.541857018E7</v>
      </c>
      <c r="H4247" s="9">
        <f t="shared" si="11"/>
        <v>3237899.738</v>
      </c>
      <c r="I4247" s="44"/>
      <c r="J4247" s="44"/>
      <c r="K4247" s="10">
        <f t="shared" si="12"/>
        <v>18656469.92</v>
      </c>
      <c r="L4247" s="61"/>
      <c r="M4247" s="62"/>
    </row>
    <row r="4248" ht="15.75" customHeight="1">
      <c r="A4248" s="162">
        <v>46260.0</v>
      </c>
      <c r="B4248" s="50"/>
      <c r="C4248" s="31" t="s">
        <v>2346</v>
      </c>
      <c r="D4248" s="32" t="s">
        <v>15</v>
      </c>
      <c r="E4248" s="31" t="s">
        <v>4569</v>
      </c>
      <c r="F4248" s="107" t="s">
        <v>4415</v>
      </c>
      <c r="G4248" s="54">
        <v>1.489332308E7</v>
      </c>
      <c r="H4248" s="14">
        <f t="shared" si="11"/>
        <v>3127597.847</v>
      </c>
      <c r="I4248" s="22">
        <v>446799.69</v>
      </c>
      <c r="J4248" s="22">
        <v>223399.85</v>
      </c>
      <c r="K4248" s="15">
        <f t="shared" si="12"/>
        <v>18691120.47</v>
      </c>
      <c r="L4248" s="45"/>
      <c r="M4248" s="6"/>
    </row>
    <row r="4249" ht="15.75" customHeight="1">
      <c r="A4249" s="162">
        <v>46260.0</v>
      </c>
      <c r="B4249" s="50"/>
      <c r="C4249" s="31" t="s">
        <v>2346</v>
      </c>
      <c r="D4249" s="32" t="s">
        <v>15</v>
      </c>
      <c r="E4249" s="31" t="s">
        <v>4570</v>
      </c>
      <c r="F4249" s="107" t="s">
        <v>4415</v>
      </c>
      <c r="G4249" s="54">
        <v>1.372253262E7</v>
      </c>
      <c r="H4249" s="14">
        <f t="shared" si="11"/>
        <v>2881731.85</v>
      </c>
      <c r="I4249" s="22">
        <v>411675.98</v>
      </c>
      <c r="J4249" s="22">
        <v>205837.99</v>
      </c>
      <c r="K4249" s="15">
        <f t="shared" si="12"/>
        <v>17221778.44</v>
      </c>
      <c r="L4249" s="45"/>
      <c r="M4249" s="6"/>
    </row>
    <row r="4250" ht="15.75" customHeight="1">
      <c r="A4250" s="162">
        <v>46260.0</v>
      </c>
      <c r="B4250" s="50"/>
      <c r="C4250" s="31" t="s">
        <v>2346</v>
      </c>
      <c r="D4250" s="32" t="s">
        <v>15</v>
      </c>
      <c r="E4250" s="31" t="s">
        <v>4571</v>
      </c>
      <c r="F4250" s="107" t="s">
        <v>4415</v>
      </c>
      <c r="G4250" s="54">
        <v>1.321110818E7</v>
      </c>
      <c r="H4250" s="14">
        <f t="shared" si="11"/>
        <v>2774332.718</v>
      </c>
      <c r="I4250" s="22"/>
      <c r="J4250" s="22">
        <v>198166.62</v>
      </c>
      <c r="K4250" s="15">
        <f t="shared" si="12"/>
        <v>16183607.52</v>
      </c>
      <c r="L4250" s="45"/>
      <c r="M4250" s="6"/>
    </row>
    <row r="4251" ht="15.75" customHeight="1">
      <c r="A4251" s="162">
        <v>46260.0</v>
      </c>
      <c r="B4251" s="50"/>
      <c r="C4251" s="31" t="s">
        <v>2346</v>
      </c>
      <c r="D4251" s="32" t="s">
        <v>15</v>
      </c>
      <c r="E4251" s="31" t="s">
        <v>4572</v>
      </c>
      <c r="F4251" s="107" t="s">
        <v>4415</v>
      </c>
      <c r="G4251" s="54">
        <v>2.211137342E7</v>
      </c>
      <c r="H4251" s="14">
        <f t="shared" si="11"/>
        <v>4643388.418</v>
      </c>
      <c r="I4251" s="22">
        <v>663341.2</v>
      </c>
      <c r="J4251" s="22">
        <v>331670.6</v>
      </c>
      <c r="K4251" s="15">
        <f t="shared" si="12"/>
        <v>27749773.64</v>
      </c>
      <c r="L4251" s="45"/>
      <c r="M4251" s="6"/>
    </row>
    <row r="4252" ht="15.75" customHeight="1">
      <c r="A4252" s="162">
        <v>46260.0</v>
      </c>
      <c r="B4252" s="50"/>
      <c r="C4252" s="31" t="s">
        <v>2346</v>
      </c>
      <c r="D4252" s="32" t="s">
        <v>15</v>
      </c>
      <c r="E4252" s="31" t="s">
        <v>4573</v>
      </c>
      <c r="F4252" s="107" t="s">
        <v>4415</v>
      </c>
      <c r="G4252" s="54">
        <v>1.982253318E7</v>
      </c>
      <c r="H4252" s="14">
        <f t="shared" si="11"/>
        <v>4162731.968</v>
      </c>
      <c r="I4252" s="22">
        <v>594676.0</v>
      </c>
      <c r="J4252" s="22">
        <v>297338.0</v>
      </c>
      <c r="K4252" s="15">
        <f t="shared" si="12"/>
        <v>24877279.15</v>
      </c>
      <c r="L4252" s="45"/>
      <c r="M4252" s="6"/>
    </row>
    <row r="4253" ht="15.75" customHeight="1">
      <c r="A4253" s="162">
        <v>46260.0</v>
      </c>
      <c r="B4253" s="50"/>
      <c r="C4253" s="31" t="s">
        <v>2346</v>
      </c>
      <c r="D4253" s="32" t="s">
        <v>15</v>
      </c>
      <c r="E4253" s="31" t="s">
        <v>4574</v>
      </c>
      <c r="F4253" s="107" t="s">
        <v>4415</v>
      </c>
      <c r="G4253" s="54">
        <v>1.843326515E7</v>
      </c>
      <c r="H4253" s="14">
        <f t="shared" si="11"/>
        <v>3870985.682</v>
      </c>
      <c r="I4253" s="22">
        <v>552997.95</v>
      </c>
      <c r="J4253" s="22">
        <v>276498.98</v>
      </c>
      <c r="K4253" s="15">
        <f t="shared" si="12"/>
        <v>23133747.76</v>
      </c>
      <c r="L4253" s="45"/>
      <c r="M4253" s="6"/>
    </row>
    <row r="4254" ht="15.75" customHeight="1">
      <c r="A4254" s="162">
        <v>46260.0</v>
      </c>
      <c r="B4254" s="50"/>
      <c r="C4254" s="31" t="s">
        <v>2346</v>
      </c>
      <c r="D4254" s="32" t="s">
        <v>15</v>
      </c>
      <c r="E4254" s="31" t="s">
        <v>4575</v>
      </c>
      <c r="F4254" s="107" t="s">
        <v>4415</v>
      </c>
      <c r="G4254" s="54">
        <v>4922232.18</v>
      </c>
      <c r="H4254" s="14">
        <f t="shared" si="11"/>
        <v>1033668.758</v>
      </c>
      <c r="I4254" s="22">
        <v>147666.97</v>
      </c>
      <c r="J4254" s="22">
        <v>73833.48</v>
      </c>
      <c r="K4254" s="15">
        <f t="shared" si="12"/>
        <v>6177401.388</v>
      </c>
      <c r="L4254" s="45"/>
      <c r="M4254" s="6"/>
    </row>
    <row r="4255" ht="15.75" customHeight="1">
      <c r="A4255" s="162">
        <v>46260.0</v>
      </c>
      <c r="B4255" s="50"/>
      <c r="C4255" s="31" t="s">
        <v>2346</v>
      </c>
      <c r="D4255" s="32" t="s">
        <v>15</v>
      </c>
      <c r="E4255" s="31" t="s">
        <v>4576</v>
      </c>
      <c r="F4255" s="107" t="s">
        <v>4415</v>
      </c>
      <c r="G4255" s="54">
        <v>6901222.42</v>
      </c>
      <c r="H4255" s="14">
        <f t="shared" si="11"/>
        <v>1449256.708</v>
      </c>
      <c r="I4255" s="22">
        <v>207036.67</v>
      </c>
      <c r="J4255" s="22">
        <v>103518.34</v>
      </c>
      <c r="K4255" s="15">
        <f t="shared" si="12"/>
        <v>8661034.138</v>
      </c>
      <c r="L4255" s="45"/>
      <c r="M4255" s="6"/>
    </row>
    <row r="4256" ht="15.75" customHeight="1">
      <c r="A4256" s="162">
        <v>46260.0</v>
      </c>
      <c r="B4256" s="50"/>
      <c r="C4256" s="31" t="s">
        <v>2346</v>
      </c>
      <c r="D4256" s="32" t="s">
        <v>15</v>
      </c>
      <c r="E4256" s="31" t="s">
        <v>4577</v>
      </c>
      <c r="F4256" s="107" t="s">
        <v>4415</v>
      </c>
      <c r="G4256" s="54">
        <v>5321822.52</v>
      </c>
      <c r="H4256" s="14">
        <f t="shared" si="11"/>
        <v>1117582.729</v>
      </c>
      <c r="I4256" s="22"/>
      <c r="J4256" s="22"/>
      <c r="K4256" s="15">
        <f t="shared" si="12"/>
        <v>6439405.249</v>
      </c>
      <c r="L4256" s="45"/>
      <c r="M4256" s="6"/>
    </row>
    <row r="4257" ht="15.75" customHeight="1">
      <c r="A4257" s="162">
        <v>46260.0</v>
      </c>
      <c r="B4257" s="50"/>
      <c r="C4257" s="31" t="s">
        <v>2346</v>
      </c>
      <c r="D4257" s="32" t="s">
        <v>15</v>
      </c>
      <c r="E4257" s="31" t="s">
        <v>4578</v>
      </c>
      <c r="F4257" s="107" t="s">
        <v>4415</v>
      </c>
      <c r="G4257" s="54">
        <v>1.451221182E7</v>
      </c>
      <c r="H4257" s="14">
        <f t="shared" si="11"/>
        <v>3047564.482</v>
      </c>
      <c r="I4257" s="22"/>
      <c r="J4257" s="22">
        <v>217683.18</v>
      </c>
      <c r="K4257" s="15">
        <f t="shared" si="12"/>
        <v>17777459.48</v>
      </c>
      <c r="L4257" s="45"/>
      <c r="M4257" s="6"/>
    </row>
    <row r="4258" ht="15.75" customHeight="1">
      <c r="A4258" s="162">
        <v>46260.0</v>
      </c>
      <c r="B4258" s="50"/>
      <c r="C4258" s="31" t="s">
        <v>2346</v>
      </c>
      <c r="D4258" s="32" t="s">
        <v>15</v>
      </c>
      <c r="E4258" s="31" t="s">
        <v>4579</v>
      </c>
      <c r="F4258" s="107" t="s">
        <v>4415</v>
      </c>
      <c r="G4258" s="54">
        <v>7021232.46</v>
      </c>
      <c r="H4258" s="14">
        <f t="shared" si="11"/>
        <v>1474458.817</v>
      </c>
      <c r="I4258" s="22"/>
      <c r="J4258" s="22">
        <v>105318.49</v>
      </c>
      <c r="K4258" s="15">
        <f t="shared" si="12"/>
        <v>8601009.767</v>
      </c>
      <c r="L4258" s="45"/>
      <c r="M4258" s="6"/>
    </row>
    <row r="4259" ht="15.75" customHeight="1">
      <c r="A4259" s="162">
        <v>46260.0</v>
      </c>
      <c r="B4259" s="50"/>
      <c r="C4259" s="31" t="s">
        <v>2346</v>
      </c>
      <c r="D4259" s="32" t="s">
        <v>15</v>
      </c>
      <c r="E4259" s="31" t="s">
        <v>4580</v>
      </c>
      <c r="F4259" s="107" t="s">
        <v>4415</v>
      </c>
      <c r="G4259" s="54">
        <v>6122028.42</v>
      </c>
      <c r="H4259" s="14">
        <f t="shared" si="11"/>
        <v>1285625.968</v>
      </c>
      <c r="I4259" s="22"/>
      <c r="J4259" s="22">
        <v>91830.43</v>
      </c>
      <c r="K4259" s="15">
        <f t="shared" si="12"/>
        <v>7499484.818</v>
      </c>
      <c r="L4259" s="45"/>
      <c r="M4259" s="6"/>
    </row>
    <row r="4260" ht="15.75" customHeight="1">
      <c r="A4260" s="162">
        <v>46260.0</v>
      </c>
      <c r="B4260" s="50"/>
      <c r="C4260" s="31" t="s">
        <v>2346</v>
      </c>
      <c r="D4260" s="32" t="s">
        <v>15</v>
      </c>
      <c r="E4260" s="31" t="s">
        <v>4581</v>
      </c>
      <c r="F4260" s="107" t="s">
        <v>4415</v>
      </c>
      <c r="G4260" s="54">
        <v>1.693326258E7</v>
      </c>
      <c r="H4260" s="14">
        <f t="shared" si="11"/>
        <v>3555985.142</v>
      </c>
      <c r="I4260" s="22">
        <v>507997.88</v>
      </c>
      <c r="J4260" s="22">
        <v>253998.94</v>
      </c>
      <c r="K4260" s="15">
        <f t="shared" si="12"/>
        <v>21251244.54</v>
      </c>
      <c r="L4260" s="45"/>
      <c r="M4260" s="6"/>
    </row>
    <row r="4261" ht="15.75" customHeight="1">
      <c r="A4261" s="162">
        <v>46260.0</v>
      </c>
      <c r="B4261" s="50"/>
      <c r="C4261" s="31" t="s">
        <v>2346</v>
      </c>
      <c r="D4261" s="32" t="s">
        <v>15</v>
      </c>
      <c r="E4261" s="31" t="s">
        <v>4582</v>
      </c>
      <c r="F4261" s="107" t="s">
        <v>4415</v>
      </c>
      <c r="G4261" s="54">
        <v>6111332.23</v>
      </c>
      <c r="H4261" s="14">
        <f t="shared" si="11"/>
        <v>1283379.768</v>
      </c>
      <c r="I4261" s="22">
        <v>183339.97</v>
      </c>
      <c r="J4261" s="22">
        <v>91669.98</v>
      </c>
      <c r="K4261" s="15">
        <f t="shared" si="12"/>
        <v>7669721.948</v>
      </c>
      <c r="L4261" s="45"/>
      <c r="M4261" s="6"/>
    </row>
    <row r="4262" ht="15.75" customHeight="1">
      <c r="A4262" s="162">
        <v>46260.0</v>
      </c>
      <c r="B4262" s="50"/>
      <c r="C4262" s="31" t="s">
        <v>2346</v>
      </c>
      <c r="D4262" s="32" t="s">
        <v>99</v>
      </c>
      <c r="E4262" s="32" t="s">
        <v>4583</v>
      </c>
      <c r="F4262" s="107" t="s">
        <v>4415</v>
      </c>
      <c r="G4262" s="54">
        <v>1.782233242E7</v>
      </c>
      <c r="H4262" s="14">
        <f t="shared" si="11"/>
        <v>3742689.808</v>
      </c>
      <c r="I4262" s="22"/>
      <c r="J4262" s="22">
        <v>267334.99</v>
      </c>
      <c r="K4262" s="15">
        <f t="shared" si="12"/>
        <v>21832357.22</v>
      </c>
      <c r="L4262" s="45"/>
      <c r="M4262" s="6"/>
    </row>
    <row r="4263" ht="15.75" customHeight="1">
      <c r="A4263" s="162">
        <v>46260.0</v>
      </c>
      <c r="B4263" s="50"/>
      <c r="C4263" s="31" t="s">
        <v>2346</v>
      </c>
      <c r="D4263" s="32" t="s">
        <v>99</v>
      </c>
      <c r="E4263" s="32" t="s">
        <v>4584</v>
      </c>
      <c r="F4263" s="107" t="s">
        <v>4415</v>
      </c>
      <c r="G4263" s="54">
        <v>7335233.12</v>
      </c>
      <c r="H4263" s="14">
        <f t="shared" si="11"/>
        <v>1540398.955</v>
      </c>
      <c r="I4263" s="22"/>
      <c r="J4263" s="22">
        <v>110028.5</v>
      </c>
      <c r="K4263" s="15">
        <f t="shared" si="12"/>
        <v>8985660.575</v>
      </c>
      <c r="L4263" s="45"/>
      <c r="M4263" s="6"/>
    </row>
    <row r="4264" ht="15.75" customHeight="1">
      <c r="A4264" s="162">
        <v>46260.0</v>
      </c>
      <c r="B4264" s="50"/>
      <c r="C4264" s="31" t="s">
        <v>2346</v>
      </c>
      <c r="D4264" s="32" t="s">
        <v>99</v>
      </c>
      <c r="E4264" s="32" t="s">
        <v>4585</v>
      </c>
      <c r="F4264" s="107" t="s">
        <v>4415</v>
      </c>
      <c r="G4264" s="54">
        <v>5227332.12</v>
      </c>
      <c r="H4264" s="14">
        <f t="shared" si="11"/>
        <v>1097739.745</v>
      </c>
      <c r="I4264" s="22"/>
      <c r="J4264" s="22">
        <v>78409.98</v>
      </c>
      <c r="K4264" s="15">
        <f t="shared" si="12"/>
        <v>6403481.845</v>
      </c>
      <c r="L4264" s="45"/>
      <c r="M4264" s="6"/>
    </row>
    <row r="4265" ht="15.75" customHeight="1">
      <c r="A4265" s="162">
        <v>46260.0</v>
      </c>
      <c r="B4265" s="50"/>
      <c r="C4265" s="31" t="s">
        <v>2346</v>
      </c>
      <c r="D4265" s="32" t="s">
        <v>99</v>
      </c>
      <c r="E4265" s="32" t="s">
        <v>4586</v>
      </c>
      <c r="F4265" s="107" t="s">
        <v>4415</v>
      </c>
      <c r="G4265" s="54">
        <v>1.389232624E7</v>
      </c>
      <c r="H4265" s="14">
        <f t="shared" si="11"/>
        <v>2917388.51</v>
      </c>
      <c r="I4265" s="22">
        <v>416769.79</v>
      </c>
      <c r="J4265" s="22">
        <v>208384.89</v>
      </c>
      <c r="K4265" s="15">
        <f t="shared" si="12"/>
        <v>17434869.43</v>
      </c>
      <c r="L4265" s="45"/>
      <c r="M4265" s="6"/>
    </row>
    <row r="4266" ht="15.75" customHeight="1">
      <c r="A4266" s="162">
        <v>46260.0</v>
      </c>
      <c r="B4266" s="50"/>
      <c r="C4266" s="31" t="s">
        <v>2346</v>
      </c>
      <c r="D4266" s="32" t="s">
        <v>99</v>
      </c>
      <c r="E4266" s="32" t="s">
        <v>4587</v>
      </c>
      <c r="F4266" s="107" t="s">
        <v>4415</v>
      </c>
      <c r="G4266" s="54">
        <v>8322533.71</v>
      </c>
      <c r="H4266" s="14">
        <f t="shared" si="11"/>
        <v>1747732.079</v>
      </c>
      <c r="I4266" s="22">
        <v>249676.01</v>
      </c>
      <c r="J4266" s="22">
        <v>124838.01</v>
      </c>
      <c r="K4266" s="15">
        <f t="shared" si="12"/>
        <v>10444779.81</v>
      </c>
      <c r="L4266" s="45"/>
      <c r="M4266" s="6"/>
    </row>
    <row r="4267" ht="15.75" customHeight="1">
      <c r="A4267" s="162">
        <v>46260.0</v>
      </c>
      <c r="B4267" s="50"/>
      <c r="C4267" s="31" t="s">
        <v>2346</v>
      </c>
      <c r="D4267" s="32" t="s">
        <v>99</v>
      </c>
      <c r="E4267" s="32" t="s">
        <v>4588</v>
      </c>
      <c r="F4267" s="107" t="s">
        <v>4415</v>
      </c>
      <c r="G4267" s="54">
        <v>1.219823326E7</v>
      </c>
      <c r="H4267" s="14">
        <f t="shared" si="11"/>
        <v>2561628.985</v>
      </c>
      <c r="I4267" s="22">
        <v>365947.0</v>
      </c>
      <c r="J4267" s="22">
        <v>182973.5</v>
      </c>
      <c r="K4267" s="15">
        <f t="shared" si="12"/>
        <v>15308782.74</v>
      </c>
      <c r="L4267" s="45"/>
      <c r="M4267" s="6"/>
    </row>
    <row r="4268" ht="15.75" customHeight="1">
      <c r="A4268" s="162">
        <v>46260.0</v>
      </c>
      <c r="B4268" s="50"/>
      <c r="C4268" s="31" t="s">
        <v>2346</v>
      </c>
      <c r="D4268" s="32" t="s">
        <v>99</v>
      </c>
      <c r="E4268" s="32" t="s">
        <v>4589</v>
      </c>
      <c r="F4268" s="107" t="s">
        <v>4415</v>
      </c>
      <c r="G4268" s="54">
        <v>6112533.05</v>
      </c>
      <c r="H4268" s="14">
        <f t="shared" si="11"/>
        <v>1283631.941</v>
      </c>
      <c r="I4268" s="22">
        <v>183375.99</v>
      </c>
      <c r="J4268" s="22">
        <v>91688.0</v>
      </c>
      <c r="K4268" s="15">
        <f t="shared" si="12"/>
        <v>7671228.981</v>
      </c>
      <c r="L4268" s="45"/>
      <c r="M4268" s="6"/>
    </row>
    <row r="4269" ht="15.75" customHeight="1">
      <c r="A4269" s="162">
        <v>46260.0</v>
      </c>
      <c r="B4269" s="50"/>
      <c r="C4269" s="31" t="s">
        <v>2346</v>
      </c>
      <c r="D4269" s="32" t="s">
        <v>99</v>
      </c>
      <c r="E4269" s="32" t="s">
        <v>4590</v>
      </c>
      <c r="F4269" s="107" t="s">
        <v>4415</v>
      </c>
      <c r="G4269" s="54">
        <v>8990227.42</v>
      </c>
      <c r="H4269" s="14">
        <f t="shared" si="11"/>
        <v>1887947.758</v>
      </c>
      <c r="I4269" s="22"/>
      <c r="J4269" s="22"/>
      <c r="K4269" s="15">
        <f t="shared" si="12"/>
        <v>10878175.18</v>
      </c>
      <c r="L4269" s="45"/>
      <c r="M4269" s="6"/>
    </row>
    <row r="4270" ht="15.75" customHeight="1">
      <c r="A4270" s="162">
        <v>46260.0</v>
      </c>
      <c r="B4270" s="50"/>
      <c r="C4270" s="31" t="s">
        <v>2221</v>
      </c>
      <c r="D4270" s="32" t="s">
        <v>99</v>
      </c>
      <c r="E4270" s="31" t="s">
        <v>4591</v>
      </c>
      <c r="F4270" s="107" t="s">
        <v>4415</v>
      </c>
      <c r="G4270" s="54">
        <v>1.643523922E7</v>
      </c>
      <c r="H4270" s="14">
        <f t="shared" si="11"/>
        <v>3451400.236</v>
      </c>
      <c r="I4270" s="22">
        <v>493057.18</v>
      </c>
      <c r="J4270" s="22"/>
      <c r="K4270" s="15">
        <f t="shared" si="12"/>
        <v>20379696.64</v>
      </c>
      <c r="L4270" s="45"/>
      <c r="M4270" s="6"/>
    </row>
    <row r="4271" ht="15.75" customHeight="1">
      <c r="A4271" s="162">
        <v>46260.0</v>
      </c>
      <c r="B4271" s="50"/>
      <c r="C4271" s="31" t="s">
        <v>2221</v>
      </c>
      <c r="D4271" s="32" t="s">
        <v>99</v>
      </c>
      <c r="E4271" s="31" t="s">
        <v>4592</v>
      </c>
      <c r="F4271" s="107" t="s">
        <v>4415</v>
      </c>
      <c r="G4271" s="54">
        <v>1.287920218E7</v>
      </c>
      <c r="H4271" s="14">
        <f t="shared" si="11"/>
        <v>2704632.458</v>
      </c>
      <c r="I4271" s="22">
        <v>386376.07</v>
      </c>
      <c r="J4271" s="22"/>
      <c r="K4271" s="15">
        <f t="shared" si="12"/>
        <v>15970210.71</v>
      </c>
      <c r="L4271" s="45"/>
      <c r="M4271" s="6"/>
    </row>
    <row r="4272" ht="15.75" customHeight="1">
      <c r="A4272" s="162">
        <v>46260.0</v>
      </c>
      <c r="B4272" s="50"/>
      <c r="C4272" s="31" t="s">
        <v>2221</v>
      </c>
      <c r="D4272" s="32" t="s">
        <v>99</v>
      </c>
      <c r="E4272" s="31" t="s">
        <v>4593</v>
      </c>
      <c r="F4272" s="107" t="s">
        <v>4415</v>
      </c>
      <c r="G4272" s="54">
        <v>1.032122946E7</v>
      </c>
      <c r="H4272" s="14">
        <f t="shared" si="11"/>
        <v>2167458.187</v>
      </c>
      <c r="I4272" s="22">
        <v>309636.88</v>
      </c>
      <c r="J4272" s="22"/>
      <c r="K4272" s="15">
        <f t="shared" si="12"/>
        <v>12798324.53</v>
      </c>
      <c r="L4272" s="45"/>
      <c r="M4272" s="6"/>
    </row>
    <row r="4273" ht="15.75" customHeight="1">
      <c r="A4273" s="162">
        <v>46260.0</v>
      </c>
      <c r="B4273" s="50"/>
      <c r="C4273" s="31" t="s">
        <v>2221</v>
      </c>
      <c r="D4273" s="32" t="s">
        <v>99</v>
      </c>
      <c r="E4273" s="31" t="s">
        <v>4594</v>
      </c>
      <c r="F4273" s="107" t="s">
        <v>4415</v>
      </c>
      <c r="G4273" s="54">
        <v>1.001205118E7</v>
      </c>
      <c r="H4273" s="14">
        <f t="shared" si="11"/>
        <v>2102530.748</v>
      </c>
      <c r="I4273" s="22">
        <v>300361.54</v>
      </c>
      <c r="J4273" s="22"/>
      <c r="K4273" s="15">
        <f t="shared" si="12"/>
        <v>12414943.47</v>
      </c>
      <c r="L4273" s="45"/>
      <c r="M4273" s="6"/>
    </row>
    <row r="4274" ht="15.75" customHeight="1">
      <c r="A4274" s="162">
        <v>46260.0</v>
      </c>
      <c r="B4274" s="50"/>
      <c r="C4274" s="31" t="s">
        <v>2221</v>
      </c>
      <c r="D4274" s="32" t="s">
        <v>99</v>
      </c>
      <c r="E4274" s="31" t="s">
        <v>4595</v>
      </c>
      <c r="F4274" s="107" t="s">
        <v>4415</v>
      </c>
      <c r="G4274" s="54">
        <v>1.722253629E7</v>
      </c>
      <c r="H4274" s="14">
        <f t="shared" si="11"/>
        <v>3616732.621</v>
      </c>
      <c r="I4274" s="22">
        <v>516676.09</v>
      </c>
      <c r="J4274" s="22"/>
      <c r="K4274" s="15">
        <f t="shared" si="12"/>
        <v>21355945</v>
      </c>
      <c r="L4274" s="45"/>
      <c r="M4274" s="6"/>
    </row>
    <row r="4275" ht="15.75" customHeight="1">
      <c r="A4275" s="162">
        <v>46260.0</v>
      </c>
      <c r="B4275" s="50"/>
      <c r="C4275" s="31" t="s">
        <v>2221</v>
      </c>
      <c r="D4275" s="32" t="s">
        <v>99</v>
      </c>
      <c r="E4275" s="31" t="s">
        <v>4596</v>
      </c>
      <c r="F4275" s="107" t="s">
        <v>4415</v>
      </c>
      <c r="G4275" s="54">
        <v>1.432523229E7</v>
      </c>
      <c r="H4275" s="14">
        <f t="shared" si="11"/>
        <v>3008298.781</v>
      </c>
      <c r="I4275" s="22">
        <v>429756.97</v>
      </c>
      <c r="J4275" s="22"/>
      <c r="K4275" s="15">
        <f t="shared" si="12"/>
        <v>17763288.04</v>
      </c>
      <c r="L4275" s="45"/>
      <c r="M4275" s="6"/>
    </row>
    <row r="4276" ht="15.75" customHeight="1">
      <c r="A4276" s="162">
        <v>46260.0</v>
      </c>
      <c r="B4276" s="50"/>
      <c r="C4276" s="31" t="s">
        <v>2221</v>
      </c>
      <c r="D4276" s="32" t="s">
        <v>99</v>
      </c>
      <c r="E4276" s="31" t="s">
        <v>4597</v>
      </c>
      <c r="F4276" s="107" t="s">
        <v>4415</v>
      </c>
      <c r="G4276" s="54">
        <v>1.363215805E7</v>
      </c>
      <c r="H4276" s="14">
        <f t="shared" si="11"/>
        <v>2862753.191</v>
      </c>
      <c r="I4276" s="22">
        <v>408964.74</v>
      </c>
      <c r="J4276" s="22"/>
      <c r="K4276" s="15">
        <f t="shared" si="12"/>
        <v>16903875.98</v>
      </c>
      <c r="L4276" s="45"/>
      <c r="M4276" s="6"/>
    </row>
    <row r="4277" ht="15.75" customHeight="1">
      <c r="A4277" s="162">
        <v>46260.0</v>
      </c>
      <c r="B4277" s="50"/>
      <c r="C4277" s="31" t="s">
        <v>2221</v>
      </c>
      <c r="D4277" s="32" t="s">
        <v>99</v>
      </c>
      <c r="E4277" s="31" t="s">
        <v>4598</v>
      </c>
      <c r="F4277" s="107" t="s">
        <v>4415</v>
      </c>
      <c r="G4277" s="54">
        <v>5732522.09</v>
      </c>
      <c r="H4277" s="14">
        <f t="shared" si="11"/>
        <v>1203829.639</v>
      </c>
      <c r="I4277" s="22">
        <v>171975.66</v>
      </c>
      <c r="J4277" s="22"/>
      <c r="K4277" s="15">
        <f t="shared" si="12"/>
        <v>7108327.389</v>
      </c>
      <c r="L4277" s="45"/>
      <c r="M4277" s="6"/>
    </row>
    <row r="4278" ht="15.75" customHeight="1">
      <c r="A4278" s="162">
        <v>46260.0</v>
      </c>
      <c r="B4278" s="50"/>
      <c r="C4278" s="31" t="s">
        <v>4599</v>
      </c>
      <c r="D4278" s="32" t="s">
        <v>99</v>
      </c>
      <c r="E4278" s="31" t="s">
        <v>4600</v>
      </c>
      <c r="F4278" s="107" t="s">
        <v>4415</v>
      </c>
      <c r="G4278" s="54">
        <v>3.794605828E7</v>
      </c>
      <c r="H4278" s="14">
        <f t="shared" si="11"/>
        <v>7968672.239</v>
      </c>
      <c r="I4278" s="22">
        <v>1138381.75</v>
      </c>
      <c r="J4278" s="22">
        <v>664056.02</v>
      </c>
      <c r="K4278" s="15">
        <f t="shared" si="12"/>
        <v>47717168.29</v>
      </c>
      <c r="L4278" s="61"/>
      <c r="M4278" s="62"/>
    </row>
    <row r="4279" ht="15.75" customHeight="1">
      <c r="A4279" s="162">
        <v>46260.0</v>
      </c>
      <c r="B4279" s="50"/>
      <c r="C4279" s="31" t="s">
        <v>2941</v>
      </c>
      <c r="D4279" s="32" t="s">
        <v>15</v>
      </c>
      <c r="E4279" s="31" t="s">
        <v>4601</v>
      </c>
      <c r="F4279" s="107" t="s">
        <v>4415</v>
      </c>
      <c r="G4279" s="54">
        <v>4302133.12</v>
      </c>
      <c r="H4279" s="14">
        <f t="shared" si="11"/>
        <v>903447.9552</v>
      </c>
      <c r="I4279" s="22">
        <v>129063.99</v>
      </c>
      <c r="J4279" s="22">
        <v>55927.73</v>
      </c>
      <c r="K4279" s="15">
        <f t="shared" si="12"/>
        <v>5390572.795</v>
      </c>
      <c r="L4279" s="45"/>
      <c r="M4279" s="6"/>
    </row>
    <row r="4280" ht="15.75" customHeight="1">
      <c r="A4280" s="162">
        <v>46260.0</v>
      </c>
      <c r="B4280" s="50"/>
      <c r="C4280" s="31" t="s">
        <v>2941</v>
      </c>
      <c r="D4280" s="32" t="s">
        <v>15</v>
      </c>
      <c r="E4280" s="31" t="s">
        <v>4602</v>
      </c>
      <c r="F4280" s="107" t="s">
        <v>4415</v>
      </c>
      <c r="G4280" s="54">
        <v>4023922.12</v>
      </c>
      <c r="H4280" s="14">
        <f t="shared" si="11"/>
        <v>845023.6452</v>
      </c>
      <c r="I4280" s="22">
        <v>120717.66</v>
      </c>
      <c r="J4280" s="22">
        <v>52310.99</v>
      </c>
      <c r="K4280" s="15">
        <f t="shared" si="12"/>
        <v>5041974.415</v>
      </c>
      <c r="L4280" s="45"/>
      <c r="M4280" s="6"/>
    </row>
    <row r="4281" ht="15.75" customHeight="1">
      <c r="A4281" s="162">
        <v>46260.0</v>
      </c>
      <c r="B4281" s="50"/>
      <c r="C4281" s="31" t="s">
        <v>2941</v>
      </c>
      <c r="D4281" s="32" t="s">
        <v>15</v>
      </c>
      <c r="E4281" s="31" t="s">
        <v>4603</v>
      </c>
      <c r="F4281" s="107" t="s">
        <v>4415</v>
      </c>
      <c r="G4281" s="54">
        <v>3102283.19</v>
      </c>
      <c r="H4281" s="14">
        <f t="shared" si="11"/>
        <v>651479.4699</v>
      </c>
      <c r="I4281" s="22"/>
      <c r="J4281" s="22">
        <v>40329.68</v>
      </c>
      <c r="K4281" s="15">
        <f t="shared" si="12"/>
        <v>3794092.34</v>
      </c>
      <c r="L4281" s="45"/>
      <c r="M4281" s="6"/>
    </row>
    <row r="4282" ht="15.75" customHeight="1">
      <c r="A4282" s="162">
        <v>46260.0</v>
      </c>
      <c r="B4282" s="50"/>
      <c r="C4282" s="31" t="s">
        <v>2941</v>
      </c>
      <c r="D4282" s="32" t="s">
        <v>15</v>
      </c>
      <c r="E4282" s="31" t="s">
        <v>4604</v>
      </c>
      <c r="F4282" s="107" t="s">
        <v>4415</v>
      </c>
      <c r="G4282" s="54">
        <v>1567052.16</v>
      </c>
      <c r="H4282" s="14">
        <f t="shared" si="11"/>
        <v>329080.9536</v>
      </c>
      <c r="I4282" s="22"/>
      <c r="J4282" s="22"/>
      <c r="K4282" s="15">
        <f t="shared" si="12"/>
        <v>1896133.114</v>
      </c>
      <c r="L4282" s="45"/>
      <c r="M4282" s="6"/>
    </row>
    <row r="4283" ht="15.75" customHeight="1">
      <c r="A4283" s="162">
        <v>46260.0</v>
      </c>
      <c r="B4283" s="50"/>
      <c r="C4283" s="31" t="s">
        <v>2941</v>
      </c>
      <c r="D4283" s="32" t="s">
        <v>15</v>
      </c>
      <c r="E4283" s="31" t="s">
        <v>4605</v>
      </c>
      <c r="F4283" s="107" t="s">
        <v>4415</v>
      </c>
      <c r="G4283" s="54">
        <v>1.022112209E7</v>
      </c>
      <c r="H4283" s="14">
        <f t="shared" si="11"/>
        <v>2146435.639</v>
      </c>
      <c r="I4283" s="22"/>
      <c r="J4283" s="22">
        <v>132874.59</v>
      </c>
      <c r="K4283" s="15">
        <f t="shared" si="12"/>
        <v>12500432.32</v>
      </c>
      <c r="L4283" s="45"/>
      <c r="M4283" s="6"/>
    </row>
    <row r="4284" ht="15.75" customHeight="1">
      <c r="A4284" s="162">
        <v>46260.0</v>
      </c>
      <c r="B4284" s="50"/>
      <c r="C4284" s="32" t="s">
        <v>3836</v>
      </c>
      <c r="D4284" s="32" t="s">
        <v>15</v>
      </c>
      <c r="E4284" s="32" t="s">
        <v>4606</v>
      </c>
      <c r="F4284" s="107" t="s">
        <v>4415</v>
      </c>
      <c r="G4284" s="54">
        <v>6869993.12</v>
      </c>
      <c r="H4284" s="14">
        <f t="shared" si="11"/>
        <v>1442698.555</v>
      </c>
      <c r="I4284" s="22"/>
      <c r="J4284" s="22"/>
      <c r="K4284" s="15">
        <f t="shared" si="12"/>
        <v>8312691.675</v>
      </c>
      <c r="L4284" s="45"/>
      <c r="M4284" s="6"/>
    </row>
    <row r="4285" ht="15.75" customHeight="1">
      <c r="A4285" s="162">
        <v>46262.0</v>
      </c>
      <c r="B4285" s="50"/>
      <c r="C4285" s="31" t="s">
        <v>2221</v>
      </c>
      <c r="D4285" s="32" t="s">
        <v>99</v>
      </c>
      <c r="E4285" s="31" t="s">
        <v>4607</v>
      </c>
      <c r="F4285" s="107" t="s">
        <v>4415</v>
      </c>
      <c r="G4285" s="54">
        <v>1.141236026E7</v>
      </c>
      <c r="H4285" s="14">
        <f t="shared" si="11"/>
        <v>2396595.655</v>
      </c>
      <c r="I4285" s="22">
        <v>342370.81</v>
      </c>
      <c r="J4285" s="22"/>
      <c r="K4285" s="15">
        <f t="shared" si="12"/>
        <v>14151326.72</v>
      </c>
      <c r="L4285" s="45"/>
      <c r="M4285" s="6"/>
    </row>
    <row r="4286" ht="15.75" customHeight="1">
      <c r="A4286" s="162">
        <v>46262.0</v>
      </c>
      <c r="B4286" s="50"/>
      <c r="C4286" s="31" t="s">
        <v>2221</v>
      </c>
      <c r="D4286" s="32" t="s">
        <v>99</v>
      </c>
      <c r="E4286" s="31" t="s">
        <v>4608</v>
      </c>
      <c r="F4286" s="107" t="s">
        <v>4415</v>
      </c>
      <c r="G4286" s="54">
        <v>1.100244352E7</v>
      </c>
      <c r="H4286" s="14">
        <f t="shared" si="11"/>
        <v>2310513.139</v>
      </c>
      <c r="I4286" s="22">
        <v>330073.31</v>
      </c>
      <c r="J4286" s="22"/>
      <c r="K4286" s="15">
        <f t="shared" si="12"/>
        <v>13643029.97</v>
      </c>
      <c r="L4286" s="45"/>
      <c r="M4286" s="6"/>
    </row>
    <row r="4287" ht="15.75" customHeight="1">
      <c r="A4287" s="162">
        <v>46262.0</v>
      </c>
      <c r="B4287" s="50"/>
      <c r="C4287" s="31" t="s">
        <v>2221</v>
      </c>
      <c r="D4287" s="32" t="s">
        <v>99</v>
      </c>
      <c r="E4287" s="31" t="s">
        <v>4609</v>
      </c>
      <c r="F4287" s="107" t="s">
        <v>4415</v>
      </c>
      <c r="G4287" s="54">
        <v>5221027.13</v>
      </c>
      <c r="H4287" s="14">
        <f t="shared" si="11"/>
        <v>1096415.697</v>
      </c>
      <c r="I4287" s="22">
        <v>156630.81</v>
      </c>
      <c r="J4287" s="22"/>
      <c r="K4287" s="15">
        <f t="shared" si="12"/>
        <v>6474073.637</v>
      </c>
      <c r="L4287" s="45"/>
      <c r="M4287" s="6"/>
    </row>
    <row r="4288" ht="15.75" customHeight="1">
      <c r="A4288" s="162">
        <v>46262.0</v>
      </c>
      <c r="B4288" s="50"/>
      <c r="C4288" s="31" t="s">
        <v>2221</v>
      </c>
      <c r="D4288" s="32" t="s">
        <v>99</v>
      </c>
      <c r="E4288" s="31" t="s">
        <v>4610</v>
      </c>
      <c r="F4288" s="107" t="s">
        <v>4415</v>
      </c>
      <c r="G4288" s="54">
        <v>1.622533385E7</v>
      </c>
      <c r="H4288" s="14">
        <f t="shared" si="11"/>
        <v>3407320.109</v>
      </c>
      <c r="I4288" s="22">
        <v>486760.02</v>
      </c>
      <c r="J4288" s="22"/>
      <c r="K4288" s="15">
        <f t="shared" si="12"/>
        <v>20119413.98</v>
      </c>
      <c r="L4288" s="45"/>
      <c r="M4288" s="6"/>
    </row>
    <row r="4289" ht="15.75" customHeight="1">
      <c r="A4289" s="162">
        <v>46262.0</v>
      </c>
      <c r="B4289" s="50"/>
      <c r="C4289" s="31" t="s">
        <v>2221</v>
      </c>
      <c r="D4289" s="32" t="s">
        <v>99</v>
      </c>
      <c r="E4289" s="31" t="s">
        <v>4611</v>
      </c>
      <c r="F4289" s="107" t="s">
        <v>4415</v>
      </c>
      <c r="G4289" s="54">
        <v>1.332278428E7</v>
      </c>
      <c r="H4289" s="14">
        <f t="shared" si="11"/>
        <v>2797784.699</v>
      </c>
      <c r="I4289" s="22">
        <v>399683.53</v>
      </c>
      <c r="J4289" s="22"/>
      <c r="K4289" s="15">
        <f t="shared" si="12"/>
        <v>16520252.51</v>
      </c>
      <c r="L4289" s="45"/>
      <c r="M4289" s="6"/>
    </row>
    <row r="4290" ht="15.75" customHeight="1">
      <c r="A4290" s="162">
        <v>46262.0</v>
      </c>
      <c r="B4290" s="50"/>
      <c r="C4290" s="31" t="s">
        <v>2221</v>
      </c>
      <c r="D4290" s="32" t="s">
        <v>99</v>
      </c>
      <c r="E4290" s="32" t="s">
        <v>4612</v>
      </c>
      <c r="F4290" s="107" t="s">
        <v>4415</v>
      </c>
      <c r="G4290" s="54">
        <v>8226322.11</v>
      </c>
      <c r="H4290" s="14">
        <f t="shared" si="11"/>
        <v>1727527.643</v>
      </c>
      <c r="I4290" s="22">
        <v>246789.66</v>
      </c>
      <c r="J4290" s="22"/>
      <c r="K4290" s="15">
        <f t="shared" si="12"/>
        <v>10200639.41</v>
      </c>
      <c r="L4290" s="45"/>
      <c r="M4290" s="6"/>
    </row>
    <row r="4291" ht="15.75" customHeight="1">
      <c r="A4291" s="162">
        <v>46262.0</v>
      </c>
      <c r="B4291" s="50"/>
      <c r="C4291" s="31" t="s">
        <v>2221</v>
      </c>
      <c r="D4291" s="32" t="s">
        <v>99</v>
      </c>
      <c r="E4291" s="32" t="s">
        <v>4613</v>
      </c>
      <c r="F4291" s="107" t="s">
        <v>4415</v>
      </c>
      <c r="G4291" s="54">
        <v>7391399.12</v>
      </c>
      <c r="H4291" s="14">
        <f t="shared" si="11"/>
        <v>1552193.815</v>
      </c>
      <c r="I4291" s="22">
        <v>221741.97</v>
      </c>
      <c r="J4291" s="22"/>
      <c r="K4291" s="15">
        <f t="shared" si="12"/>
        <v>9165334.905</v>
      </c>
      <c r="L4291" s="45"/>
      <c r="M4291" s="6"/>
    </row>
    <row r="4292" ht="15.75" customHeight="1">
      <c r="A4292" s="162">
        <v>46262.0</v>
      </c>
      <c r="B4292" s="50"/>
      <c r="C4292" s="31" t="s">
        <v>2221</v>
      </c>
      <c r="D4292" s="32" t="s">
        <v>99</v>
      </c>
      <c r="E4292" s="32" t="s">
        <v>4614</v>
      </c>
      <c r="F4292" s="107" t="s">
        <v>4415</v>
      </c>
      <c r="G4292" s="54">
        <v>7212522.11</v>
      </c>
      <c r="H4292" s="14">
        <f t="shared" si="11"/>
        <v>1514629.643</v>
      </c>
      <c r="I4292" s="22">
        <v>216375.66</v>
      </c>
      <c r="J4292" s="22"/>
      <c r="K4292" s="15">
        <f t="shared" si="12"/>
        <v>8943527.413</v>
      </c>
      <c r="L4292" s="45"/>
      <c r="M4292" s="6"/>
    </row>
    <row r="4293" ht="15.75" customHeight="1">
      <c r="A4293" s="162">
        <v>46262.0</v>
      </c>
      <c r="B4293" s="50"/>
      <c r="C4293" s="31" t="s">
        <v>1980</v>
      </c>
      <c r="D4293" s="32" t="s">
        <v>15</v>
      </c>
      <c r="E4293" s="31" t="s">
        <v>4615</v>
      </c>
      <c r="F4293" s="107" t="s">
        <v>4415</v>
      </c>
      <c r="G4293" s="54">
        <v>1.39502265E7</v>
      </c>
      <c r="H4293" s="14">
        <f t="shared" si="11"/>
        <v>2929547.565</v>
      </c>
      <c r="I4293" s="22">
        <v>418506.8</v>
      </c>
      <c r="J4293" s="22">
        <v>697511.33</v>
      </c>
      <c r="K4293" s="15">
        <f t="shared" si="12"/>
        <v>17995792.2</v>
      </c>
      <c r="L4293" s="45"/>
      <c r="M4293" s="6"/>
    </row>
    <row r="4294" ht="15.75" customHeight="1">
      <c r="A4294" s="162">
        <v>46262.0</v>
      </c>
      <c r="B4294" s="50"/>
      <c r="C4294" s="31" t="s">
        <v>1980</v>
      </c>
      <c r="D4294" s="32" t="s">
        <v>15</v>
      </c>
      <c r="E4294" s="31" t="s">
        <v>4616</v>
      </c>
      <c r="F4294" s="107" t="s">
        <v>4415</v>
      </c>
      <c r="G4294" s="54">
        <v>4073300.0</v>
      </c>
      <c r="H4294" s="14">
        <f t="shared" si="11"/>
        <v>855393</v>
      </c>
      <c r="I4294" s="22">
        <v>122199.0</v>
      </c>
      <c r="J4294" s="22">
        <v>203665.0</v>
      </c>
      <c r="K4294" s="15">
        <f t="shared" si="12"/>
        <v>5254557</v>
      </c>
      <c r="L4294" s="45"/>
      <c r="M4294" s="6"/>
    </row>
    <row r="4295" ht="15.75" customHeight="1">
      <c r="A4295" s="162">
        <v>46262.0</v>
      </c>
      <c r="B4295" s="50"/>
      <c r="C4295" s="31" t="s">
        <v>1980</v>
      </c>
      <c r="D4295" s="32" t="s">
        <v>15</v>
      </c>
      <c r="E4295" s="31" t="s">
        <v>4617</v>
      </c>
      <c r="F4295" s="107" t="s">
        <v>4415</v>
      </c>
      <c r="G4295" s="54">
        <v>3.58215317E7</v>
      </c>
      <c r="H4295" s="14">
        <f t="shared" si="11"/>
        <v>7522521.657</v>
      </c>
      <c r="I4295" s="22">
        <v>1074645.95</v>
      </c>
      <c r="J4295" s="22">
        <v>1791076.59</v>
      </c>
      <c r="K4295" s="15">
        <f t="shared" si="12"/>
        <v>46209775.9</v>
      </c>
      <c r="L4295" s="45"/>
      <c r="M4295" s="6"/>
    </row>
    <row r="4296" ht="15.75" customHeight="1">
      <c r="A4296" s="162">
        <v>46262.0</v>
      </c>
      <c r="B4296" s="50"/>
      <c r="C4296" s="31" t="s">
        <v>1980</v>
      </c>
      <c r="D4296" s="32" t="s">
        <v>15</v>
      </c>
      <c r="E4296" s="31" t="s">
        <v>4618</v>
      </c>
      <c r="F4296" s="107" t="s">
        <v>4415</v>
      </c>
      <c r="G4296" s="54">
        <v>3.0239455E7</v>
      </c>
      <c r="H4296" s="14">
        <f t="shared" si="11"/>
        <v>6350285.55</v>
      </c>
      <c r="I4296" s="22">
        <v>907183.65</v>
      </c>
      <c r="J4296" s="22">
        <v>1511972.75</v>
      </c>
      <c r="K4296" s="15">
        <f t="shared" si="12"/>
        <v>39008896.95</v>
      </c>
      <c r="L4296" s="45"/>
      <c r="M4296" s="6"/>
    </row>
    <row r="4297" ht="15.75" customHeight="1">
      <c r="A4297" s="162">
        <v>46263.0</v>
      </c>
      <c r="B4297" s="50"/>
      <c r="C4297" s="31" t="s">
        <v>4619</v>
      </c>
      <c r="D4297" s="32" t="s">
        <v>15</v>
      </c>
      <c r="E4297" s="32" t="s">
        <v>4620</v>
      </c>
      <c r="F4297" s="107" t="s">
        <v>4415</v>
      </c>
      <c r="G4297" s="54">
        <v>3002350.29</v>
      </c>
      <c r="H4297" s="14">
        <f t="shared" si="11"/>
        <v>630493.5609</v>
      </c>
      <c r="I4297" s="22"/>
      <c r="J4297" s="22">
        <v>33025.85</v>
      </c>
      <c r="K4297" s="15">
        <f t="shared" si="12"/>
        <v>3665869.701</v>
      </c>
      <c r="L4297" s="45"/>
      <c r="M4297" s="6"/>
    </row>
    <row r="4298" ht="15.75" customHeight="1">
      <c r="A4298" s="218">
        <v>46263.0</v>
      </c>
      <c r="B4298" s="56"/>
      <c r="C4298" s="57" t="s">
        <v>1179</v>
      </c>
      <c r="D4298" s="58" t="s">
        <v>15</v>
      </c>
      <c r="E4298" s="245" t="s">
        <v>4621</v>
      </c>
      <c r="F4298" s="120" t="s">
        <v>4415</v>
      </c>
      <c r="G4298" s="155">
        <v>2.676236029E7</v>
      </c>
      <c r="H4298" s="9">
        <f t="shared" si="11"/>
        <v>5620095.661</v>
      </c>
      <c r="I4298" s="44"/>
      <c r="J4298" s="44">
        <v>535247.21</v>
      </c>
      <c r="K4298" s="10">
        <f t="shared" si="12"/>
        <v>32917703.16</v>
      </c>
      <c r="L4298" s="61"/>
      <c r="M4298" s="62"/>
    </row>
    <row r="4299" ht="15.75" customHeight="1">
      <c r="A4299" s="218">
        <v>46263.0</v>
      </c>
      <c r="B4299" s="56"/>
      <c r="C4299" s="57" t="s">
        <v>1179</v>
      </c>
      <c r="D4299" s="58" t="s">
        <v>99</v>
      </c>
      <c r="E4299" s="245" t="s">
        <v>4622</v>
      </c>
      <c r="F4299" s="120" t="s">
        <v>4415</v>
      </c>
      <c r="G4299" s="155">
        <v>9732460.59</v>
      </c>
      <c r="H4299" s="9">
        <f t="shared" si="11"/>
        <v>2043816.724</v>
      </c>
      <c r="I4299" s="44"/>
      <c r="J4299" s="44">
        <v>194649.21</v>
      </c>
      <c r="K4299" s="10">
        <f t="shared" si="12"/>
        <v>11970926.52</v>
      </c>
      <c r="L4299" s="61"/>
      <c r="M4299" s="62"/>
    </row>
    <row r="4300" ht="15.75" customHeight="1">
      <c r="A4300" s="218">
        <v>46263.0</v>
      </c>
      <c r="B4300" s="56"/>
      <c r="C4300" s="57" t="s">
        <v>1179</v>
      </c>
      <c r="D4300" s="58" t="s">
        <v>99</v>
      </c>
      <c r="E4300" s="245" t="s">
        <v>4623</v>
      </c>
      <c r="F4300" s="120" t="s">
        <v>4415</v>
      </c>
      <c r="G4300" s="155">
        <v>1.351458041E7</v>
      </c>
      <c r="H4300" s="9">
        <f t="shared" si="11"/>
        <v>2838061.886</v>
      </c>
      <c r="I4300" s="44"/>
      <c r="J4300" s="44"/>
      <c r="K4300" s="10">
        <f t="shared" si="12"/>
        <v>16352642.3</v>
      </c>
      <c r="L4300" s="61"/>
      <c r="M4300" s="62"/>
    </row>
    <row r="4301" ht="15.75" customHeight="1">
      <c r="A4301" s="162">
        <v>46263.0</v>
      </c>
      <c r="B4301" s="50"/>
      <c r="C4301" s="31" t="s">
        <v>1980</v>
      </c>
      <c r="D4301" s="32" t="s">
        <v>15</v>
      </c>
      <c r="E4301" s="31" t="s">
        <v>4624</v>
      </c>
      <c r="F4301" s="107" t="s">
        <v>4415</v>
      </c>
      <c r="G4301" s="54">
        <v>1.982773275E7</v>
      </c>
      <c r="H4301" s="14">
        <f t="shared" si="11"/>
        <v>4163823.878</v>
      </c>
      <c r="I4301" s="22">
        <v>594831.98</v>
      </c>
      <c r="J4301" s="22">
        <v>991386.64</v>
      </c>
      <c r="K4301" s="15">
        <f t="shared" si="12"/>
        <v>25577775.25</v>
      </c>
      <c r="L4301" s="45"/>
      <c r="M4301" s="6"/>
    </row>
    <row r="4302" ht="15.75" customHeight="1">
      <c r="A4302" s="162">
        <v>46263.0</v>
      </c>
      <c r="B4302" s="50"/>
      <c r="C4302" s="31" t="s">
        <v>1980</v>
      </c>
      <c r="D4302" s="32" t="s">
        <v>15</v>
      </c>
      <c r="E4302" s="31" t="s">
        <v>4625</v>
      </c>
      <c r="F4302" s="107" t="s">
        <v>4415</v>
      </c>
      <c r="G4302" s="54">
        <v>2.35214675E7</v>
      </c>
      <c r="H4302" s="14">
        <f t="shared" si="11"/>
        <v>4939508.175</v>
      </c>
      <c r="I4302" s="22">
        <v>705644.03</v>
      </c>
      <c r="J4302" s="22">
        <v>1176073.38</v>
      </c>
      <c r="K4302" s="15">
        <f t="shared" si="12"/>
        <v>30342693.09</v>
      </c>
      <c r="L4302" s="45"/>
      <c r="M4302" s="6"/>
    </row>
    <row r="4303" ht="15.75" customHeight="1">
      <c r="A4303" s="162">
        <v>46263.0</v>
      </c>
      <c r="B4303" s="50"/>
      <c r="C4303" s="31" t="s">
        <v>1980</v>
      </c>
      <c r="D4303" s="32" t="s">
        <v>15</v>
      </c>
      <c r="E4303" s="31" t="s">
        <v>4626</v>
      </c>
      <c r="F4303" s="107" t="s">
        <v>4415</v>
      </c>
      <c r="G4303" s="54">
        <v>2.103670045E7</v>
      </c>
      <c r="H4303" s="14">
        <f t="shared" si="11"/>
        <v>4417707.095</v>
      </c>
      <c r="I4303" s="22">
        <v>631101.01</v>
      </c>
      <c r="J4303" s="22">
        <v>1051835.02</v>
      </c>
      <c r="K4303" s="15">
        <f t="shared" si="12"/>
        <v>27137343.57</v>
      </c>
      <c r="L4303" s="45"/>
      <c r="M4303" s="6"/>
    </row>
    <row r="4304" ht="15.75" customHeight="1">
      <c r="A4304" s="162">
        <v>46263.0</v>
      </c>
      <c r="B4304" s="50"/>
      <c r="C4304" s="31" t="s">
        <v>1980</v>
      </c>
      <c r="D4304" s="32" t="s">
        <v>15</v>
      </c>
      <c r="E4304" s="32" t="s">
        <v>4627</v>
      </c>
      <c r="F4304" s="107" t="s">
        <v>4415</v>
      </c>
      <c r="G4304" s="54">
        <v>1.96986125E7</v>
      </c>
      <c r="H4304" s="14">
        <f t="shared" si="11"/>
        <v>4136708.625</v>
      </c>
      <c r="I4304" s="22">
        <v>590958.38</v>
      </c>
      <c r="J4304" s="22">
        <v>984930.63</v>
      </c>
      <c r="K4304" s="15">
        <f t="shared" si="12"/>
        <v>25411210.14</v>
      </c>
      <c r="L4304" s="45"/>
      <c r="M4304" s="6"/>
    </row>
    <row r="4305" ht="15.75" customHeight="1">
      <c r="A4305" s="162">
        <v>46263.0</v>
      </c>
      <c r="B4305" s="50"/>
      <c r="C4305" s="31" t="s">
        <v>1980</v>
      </c>
      <c r="D4305" s="32" t="s">
        <v>15</v>
      </c>
      <c r="E4305" s="31" t="s">
        <v>4628</v>
      </c>
      <c r="F4305" s="107" t="s">
        <v>4415</v>
      </c>
      <c r="G4305" s="54">
        <v>2.103670045E7</v>
      </c>
      <c r="H4305" s="14">
        <f t="shared" si="11"/>
        <v>4417707.095</v>
      </c>
      <c r="I4305" s="22">
        <v>631101.01</v>
      </c>
      <c r="J4305" s="22">
        <v>1051835.02</v>
      </c>
      <c r="K4305" s="15">
        <f t="shared" si="12"/>
        <v>27137343.57</v>
      </c>
      <c r="L4305" s="45"/>
      <c r="M4305" s="6"/>
    </row>
    <row r="4306" ht="15.75" customHeight="1">
      <c r="A4306" s="162">
        <v>46263.0</v>
      </c>
      <c r="B4306" s="50"/>
      <c r="C4306" s="31" t="s">
        <v>1980</v>
      </c>
      <c r="D4306" s="32" t="s">
        <v>15</v>
      </c>
      <c r="E4306" s="32" t="s">
        <v>4629</v>
      </c>
      <c r="F4306" s="107" t="s">
        <v>4415</v>
      </c>
      <c r="G4306" s="54">
        <v>1.96986125E7</v>
      </c>
      <c r="H4306" s="14">
        <f t="shared" si="11"/>
        <v>4136708.625</v>
      </c>
      <c r="I4306" s="22">
        <v>590958.38</v>
      </c>
      <c r="J4306" s="22">
        <v>984930.63</v>
      </c>
      <c r="K4306" s="15">
        <f t="shared" si="12"/>
        <v>25411210.14</v>
      </c>
      <c r="L4306" s="45"/>
      <c r="M4306" s="6"/>
    </row>
    <row r="4307" ht="15.75" customHeight="1">
      <c r="A4307" s="162">
        <v>46263.0</v>
      </c>
      <c r="B4307" s="50"/>
      <c r="C4307" s="31" t="s">
        <v>1980</v>
      </c>
      <c r="D4307" s="32" t="s">
        <v>15</v>
      </c>
      <c r="E4307" s="32" t="s">
        <v>4630</v>
      </c>
      <c r="F4307" s="107" t="s">
        <v>4415</v>
      </c>
      <c r="G4307" s="54">
        <v>1.982773275E7</v>
      </c>
      <c r="H4307" s="14">
        <f t="shared" si="11"/>
        <v>4163823.878</v>
      </c>
      <c r="I4307" s="22">
        <v>594831.98</v>
      </c>
      <c r="J4307" s="22">
        <v>991386.64</v>
      </c>
      <c r="K4307" s="15">
        <f t="shared" si="12"/>
        <v>25577775.25</v>
      </c>
      <c r="L4307" s="45"/>
      <c r="M4307" s="6"/>
    </row>
    <row r="4308" ht="15.75" customHeight="1">
      <c r="A4308" s="162">
        <v>46263.0</v>
      </c>
      <c r="B4308" s="50"/>
      <c r="C4308" s="31" t="s">
        <v>1980</v>
      </c>
      <c r="D4308" s="32" t="s">
        <v>15</v>
      </c>
      <c r="E4308" s="32" t="s">
        <v>4631</v>
      </c>
      <c r="F4308" s="107" t="s">
        <v>4415</v>
      </c>
      <c r="G4308" s="54">
        <v>2.35160625E7</v>
      </c>
      <c r="H4308" s="14">
        <f t="shared" si="11"/>
        <v>4938373.125</v>
      </c>
      <c r="I4308" s="22">
        <v>705481.88</v>
      </c>
      <c r="J4308" s="22">
        <v>1175803.13</v>
      </c>
      <c r="K4308" s="15">
        <f t="shared" si="12"/>
        <v>30335720.64</v>
      </c>
      <c r="L4308" s="45"/>
      <c r="M4308" s="6"/>
    </row>
    <row r="4309" ht="15.75" customHeight="1">
      <c r="A4309" s="162">
        <v>46263.0</v>
      </c>
      <c r="B4309" s="50"/>
      <c r="C4309" s="31" t="s">
        <v>1980</v>
      </c>
      <c r="D4309" s="32" t="s">
        <v>15</v>
      </c>
      <c r="E4309" s="31" t="s">
        <v>4632</v>
      </c>
      <c r="F4309" s="107" t="s">
        <v>4415</v>
      </c>
      <c r="G4309" s="54">
        <v>2.3828E7</v>
      </c>
      <c r="H4309" s="14">
        <f t="shared" si="11"/>
        <v>5003880</v>
      </c>
      <c r="I4309" s="22">
        <v>714840.0</v>
      </c>
      <c r="J4309" s="22">
        <v>1191400.0</v>
      </c>
      <c r="K4309" s="15">
        <f t="shared" si="12"/>
        <v>30738120</v>
      </c>
      <c r="L4309" s="45"/>
      <c r="M4309" s="6"/>
    </row>
    <row r="4310" ht="15.75" customHeight="1">
      <c r="A4310" s="162">
        <v>46263.0</v>
      </c>
      <c r="B4310" s="50"/>
      <c r="C4310" s="31" t="s">
        <v>1980</v>
      </c>
      <c r="D4310" s="32" t="s">
        <v>15</v>
      </c>
      <c r="E4310" s="32" t="s">
        <v>4633</v>
      </c>
      <c r="F4310" s="107" t="s">
        <v>4415</v>
      </c>
      <c r="G4310" s="54">
        <v>1.77744E7</v>
      </c>
      <c r="H4310" s="14">
        <f t="shared" si="11"/>
        <v>3732624</v>
      </c>
      <c r="I4310" s="22">
        <v>533232.0</v>
      </c>
      <c r="J4310" s="22">
        <v>888720.0</v>
      </c>
      <c r="K4310" s="15">
        <f t="shared" si="12"/>
        <v>22928976</v>
      </c>
      <c r="L4310" s="45"/>
      <c r="M4310" s="6"/>
    </row>
    <row r="4311" ht="15.75" customHeight="1">
      <c r="A4311" s="162">
        <v>46263.0</v>
      </c>
      <c r="B4311" s="50"/>
      <c r="C4311" s="31" t="s">
        <v>1980</v>
      </c>
      <c r="D4311" s="32" t="s">
        <v>15</v>
      </c>
      <c r="E4311" s="32" t="s">
        <v>4634</v>
      </c>
      <c r="F4311" s="107" t="s">
        <v>4415</v>
      </c>
      <c r="G4311" s="54">
        <v>3.205272E7</v>
      </c>
      <c r="H4311" s="14">
        <f t="shared" si="11"/>
        <v>6731071.2</v>
      </c>
      <c r="I4311" s="22">
        <v>961581.6</v>
      </c>
      <c r="J4311" s="22">
        <v>1602636.0</v>
      </c>
      <c r="K4311" s="15">
        <f t="shared" si="12"/>
        <v>41348008.8</v>
      </c>
      <c r="L4311" s="45"/>
      <c r="M4311" s="6"/>
    </row>
    <row r="4312" ht="15.75" customHeight="1">
      <c r="A4312" s="162">
        <v>46263.0</v>
      </c>
      <c r="B4312" s="50"/>
      <c r="C4312" s="31" t="s">
        <v>1980</v>
      </c>
      <c r="D4312" s="32" t="s">
        <v>15</v>
      </c>
      <c r="E4312" s="32" t="s">
        <v>4635</v>
      </c>
      <c r="F4312" s="107" t="s">
        <v>4415</v>
      </c>
      <c r="G4312" s="54">
        <v>3.61445E7</v>
      </c>
      <c r="H4312" s="14">
        <f t="shared" si="11"/>
        <v>7590345</v>
      </c>
      <c r="I4312" s="22">
        <v>1084335.0</v>
      </c>
      <c r="J4312" s="22">
        <v>1807225.0</v>
      </c>
      <c r="K4312" s="15">
        <f t="shared" si="12"/>
        <v>46626405</v>
      </c>
      <c r="L4312" s="45"/>
      <c r="M4312" s="6"/>
    </row>
    <row r="4313" ht="15.75" customHeight="1">
      <c r="A4313" s="162">
        <v>46263.0</v>
      </c>
      <c r="B4313" s="50"/>
      <c r="C4313" s="31" t="s">
        <v>1980</v>
      </c>
      <c r="D4313" s="32" t="s">
        <v>15</v>
      </c>
      <c r="E4313" s="32" t="s">
        <v>4636</v>
      </c>
      <c r="F4313" s="107" t="s">
        <v>4415</v>
      </c>
      <c r="G4313" s="54">
        <v>2.87273E7</v>
      </c>
      <c r="H4313" s="14">
        <f t="shared" si="11"/>
        <v>6032733</v>
      </c>
      <c r="I4313" s="22">
        <v>861819.0</v>
      </c>
      <c r="J4313" s="22">
        <v>1436365.0</v>
      </c>
      <c r="K4313" s="15">
        <f t="shared" si="12"/>
        <v>37058217</v>
      </c>
      <c r="L4313" s="45"/>
      <c r="M4313" s="6"/>
    </row>
    <row r="4314" ht="15.75" customHeight="1">
      <c r="A4314" s="162">
        <v>46263.0</v>
      </c>
      <c r="B4314" s="50"/>
      <c r="C4314" s="31" t="s">
        <v>1980</v>
      </c>
      <c r="D4314" s="32" t="s">
        <v>15</v>
      </c>
      <c r="E4314" s="32" t="s">
        <v>4637</v>
      </c>
      <c r="F4314" s="107" t="s">
        <v>4415</v>
      </c>
      <c r="G4314" s="54">
        <v>2.6726E7</v>
      </c>
      <c r="H4314" s="14">
        <f t="shared" si="11"/>
        <v>5612460</v>
      </c>
      <c r="I4314" s="22">
        <v>801780.0</v>
      </c>
      <c r="J4314" s="22">
        <v>1336300.0</v>
      </c>
      <c r="K4314" s="15">
        <f t="shared" si="12"/>
        <v>34476540</v>
      </c>
      <c r="L4314" s="45"/>
      <c r="M4314" s="6"/>
    </row>
    <row r="4315" ht="15.75" customHeight="1">
      <c r="A4315" s="162">
        <v>46263.0</v>
      </c>
      <c r="B4315" s="50"/>
      <c r="C4315" s="31" t="s">
        <v>1980</v>
      </c>
      <c r="D4315" s="32" t="s">
        <v>15</v>
      </c>
      <c r="E4315" s="32" t="s">
        <v>4638</v>
      </c>
      <c r="F4315" s="107" t="s">
        <v>4415</v>
      </c>
      <c r="G4315" s="54">
        <v>2.103670045E7</v>
      </c>
      <c r="H4315" s="14">
        <f t="shared" si="11"/>
        <v>4417707.095</v>
      </c>
      <c r="I4315" s="22">
        <v>631101.01</v>
      </c>
      <c r="J4315" s="22">
        <v>1051835.02</v>
      </c>
      <c r="K4315" s="15">
        <f t="shared" si="12"/>
        <v>27137343.57</v>
      </c>
      <c r="L4315" s="45"/>
      <c r="M4315" s="6"/>
    </row>
    <row r="4316" ht="15.75" customHeight="1">
      <c r="A4316" s="162">
        <v>46263.0</v>
      </c>
      <c r="B4316" s="50"/>
      <c r="C4316" s="31" t="s">
        <v>1980</v>
      </c>
      <c r="D4316" s="32" t="s">
        <v>15</v>
      </c>
      <c r="E4316" s="32" t="s">
        <v>4639</v>
      </c>
      <c r="F4316" s="107" t="s">
        <v>4415</v>
      </c>
      <c r="G4316" s="54">
        <v>1.96986125E7</v>
      </c>
      <c r="H4316" s="14">
        <f t="shared" si="11"/>
        <v>4136708.625</v>
      </c>
      <c r="I4316" s="22">
        <v>590958.38</v>
      </c>
      <c r="J4316" s="22">
        <v>984930.63</v>
      </c>
      <c r="K4316" s="15">
        <f t="shared" si="12"/>
        <v>25411210.14</v>
      </c>
      <c r="L4316" s="45"/>
      <c r="M4316" s="6"/>
    </row>
    <row r="4317" ht="15.75" customHeight="1">
      <c r="A4317" s="162">
        <v>46263.0</v>
      </c>
      <c r="B4317" s="50"/>
      <c r="C4317" s="31" t="s">
        <v>1980</v>
      </c>
      <c r="D4317" s="32" t="s">
        <v>15</v>
      </c>
      <c r="E4317" s="32" t="s">
        <v>4640</v>
      </c>
      <c r="F4317" s="107" t="s">
        <v>4415</v>
      </c>
      <c r="G4317" s="54">
        <v>1.982773275E7</v>
      </c>
      <c r="H4317" s="14">
        <f t="shared" si="11"/>
        <v>4163823.878</v>
      </c>
      <c r="I4317" s="22">
        <v>594831.98</v>
      </c>
      <c r="J4317" s="22">
        <v>991386.64</v>
      </c>
      <c r="K4317" s="15">
        <f t="shared" si="12"/>
        <v>25577775.25</v>
      </c>
      <c r="L4317" s="45"/>
      <c r="M4317" s="6"/>
    </row>
    <row r="4318" ht="15.75" customHeight="1">
      <c r="A4318" s="162">
        <v>46263.0</v>
      </c>
      <c r="B4318" s="50"/>
      <c r="C4318" s="31" t="s">
        <v>1980</v>
      </c>
      <c r="D4318" s="32" t="s">
        <v>15</v>
      </c>
      <c r="E4318" s="32" t="s">
        <v>4641</v>
      </c>
      <c r="F4318" s="107" t="s">
        <v>4415</v>
      </c>
      <c r="G4318" s="54">
        <v>2.35214675E7</v>
      </c>
      <c r="H4318" s="14">
        <f t="shared" si="11"/>
        <v>4939508.175</v>
      </c>
      <c r="I4318" s="22">
        <v>705644.03</v>
      </c>
      <c r="J4318" s="22">
        <v>1176073.38</v>
      </c>
      <c r="K4318" s="15">
        <f t="shared" si="12"/>
        <v>30342693.09</v>
      </c>
      <c r="L4318" s="45"/>
      <c r="M4318" s="6"/>
    </row>
    <row r="4319" ht="15.75" customHeight="1">
      <c r="A4319" s="162">
        <v>46263.0</v>
      </c>
      <c r="B4319" s="50"/>
      <c r="C4319" s="31" t="s">
        <v>1980</v>
      </c>
      <c r="D4319" s="32" t="s">
        <v>99</v>
      </c>
      <c r="E4319" s="31" t="s">
        <v>4642</v>
      </c>
      <c r="F4319" s="107" t="s">
        <v>4415</v>
      </c>
      <c r="G4319" s="54">
        <v>1.139716125E7</v>
      </c>
      <c r="H4319" s="14">
        <f t="shared" si="11"/>
        <v>2393403.863</v>
      </c>
      <c r="I4319" s="22">
        <v>341914.84</v>
      </c>
      <c r="J4319" s="22">
        <v>569858.06</v>
      </c>
      <c r="K4319" s="15">
        <f t="shared" si="12"/>
        <v>14702338.01</v>
      </c>
      <c r="L4319" s="45"/>
      <c r="M4319" s="6"/>
    </row>
    <row r="4320" ht="15.75" customHeight="1">
      <c r="A4320" s="162">
        <v>46263.0</v>
      </c>
      <c r="B4320" s="50"/>
      <c r="C4320" s="31" t="s">
        <v>1980</v>
      </c>
      <c r="D4320" s="32" t="s">
        <v>99</v>
      </c>
      <c r="E4320" s="32" t="s">
        <v>4643</v>
      </c>
      <c r="F4320" s="107" t="s">
        <v>4415</v>
      </c>
      <c r="G4320" s="54">
        <v>1.186221225E7</v>
      </c>
      <c r="H4320" s="14">
        <f t="shared" si="11"/>
        <v>2491064.573</v>
      </c>
      <c r="I4320" s="22">
        <v>355866.37</v>
      </c>
      <c r="J4320" s="22">
        <v>593110.61</v>
      </c>
      <c r="K4320" s="15">
        <f t="shared" si="12"/>
        <v>15302253.8</v>
      </c>
      <c r="L4320" s="45"/>
      <c r="M4320" s="6"/>
    </row>
    <row r="4321" ht="15.75" customHeight="1">
      <c r="A4321" s="162">
        <v>46263.0</v>
      </c>
      <c r="B4321" s="50"/>
      <c r="C4321" s="31" t="s">
        <v>1980</v>
      </c>
      <c r="D4321" s="32" t="s">
        <v>99</v>
      </c>
      <c r="E4321" s="32" t="s">
        <v>4644</v>
      </c>
      <c r="F4321" s="107" t="s">
        <v>4415</v>
      </c>
      <c r="G4321" s="54">
        <v>1.27763917E7</v>
      </c>
      <c r="H4321" s="14">
        <f t="shared" si="11"/>
        <v>2683042.257</v>
      </c>
      <c r="I4321" s="22">
        <v>383291.75</v>
      </c>
      <c r="J4321" s="22">
        <v>638819.59</v>
      </c>
      <c r="K4321" s="15">
        <f t="shared" si="12"/>
        <v>16481545.3</v>
      </c>
      <c r="L4321" s="45"/>
      <c r="M4321" s="6"/>
    </row>
    <row r="4322" ht="15.75" customHeight="1">
      <c r="A4322" s="162">
        <v>46263.0</v>
      </c>
      <c r="B4322" s="50"/>
      <c r="C4322" s="31" t="s">
        <v>1980</v>
      </c>
      <c r="D4322" s="32" t="s">
        <v>99</v>
      </c>
      <c r="E4322" s="32" t="s">
        <v>4645</v>
      </c>
      <c r="F4322" s="107" t="s">
        <v>4415</v>
      </c>
      <c r="G4322" s="54">
        <v>1.139716125E7</v>
      </c>
      <c r="H4322" s="14">
        <f t="shared" si="11"/>
        <v>2393403.863</v>
      </c>
      <c r="I4322" s="22">
        <v>341914.84</v>
      </c>
      <c r="J4322" s="22">
        <v>569858.06</v>
      </c>
      <c r="K4322" s="15">
        <f t="shared" si="12"/>
        <v>14702338.01</v>
      </c>
      <c r="L4322" s="45"/>
      <c r="M4322" s="6"/>
    </row>
    <row r="4323" ht="15.75" customHeight="1">
      <c r="A4323" s="162">
        <v>46263.0</v>
      </c>
      <c r="B4323" s="50"/>
      <c r="C4323" s="31" t="s">
        <v>1980</v>
      </c>
      <c r="D4323" s="32" t="s">
        <v>99</v>
      </c>
      <c r="E4323" s="32" t="s">
        <v>4646</v>
      </c>
      <c r="F4323" s="107" t="s">
        <v>4415</v>
      </c>
      <c r="G4323" s="54">
        <v>1.186006933E7</v>
      </c>
      <c r="H4323" s="14">
        <f t="shared" si="11"/>
        <v>2490614.559</v>
      </c>
      <c r="I4323" s="22">
        <v>355802.08</v>
      </c>
      <c r="J4323" s="22">
        <v>593003.47</v>
      </c>
      <c r="K4323" s="15">
        <f t="shared" si="12"/>
        <v>15299489.44</v>
      </c>
      <c r="L4323" s="45"/>
      <c r="M4323" s="6"/>
    </row>
    <row r="4324" ht="15.75" customHeight="1">
      <c r="A4324" s="162">
        <v>46263.0</v>
      </c>
      <c r="B4324" s="50"/>
      <c r="C4324" s="31" t="s">
        <v>1980</v>
      </c>
      <c r="D4324" s="32" t="s">
        <v>99</v>
      </c>
      <c r="E4324" s="32" t="s">
        <v>4647</v>
      </c>
      <c r="F4324" s="107" t="s">
        <v>4415</v>
      </c>
      <c r="G4324" s="54">
        <v>1.27763917E7</v>
      </c>
      <c r="H4324" s="14">
        <f t="shared" si="11"/>
        <v>2683042.257</v>
      </c>
      <c r="I4324" s="22">
        <v>383291.75</v>
      </c>
      <c r="J4324" s="22">
        <v>638819.59</v>
      </c>
      <c r="K4324" s="15">
        <f t="shared" si="12"/>
        <v>16481545.3</v>
      </c>
      <c r="L4324" s="45"/>
      <c r="M4324" s="6"/>
    </row>
    <row r="4325" ht="15.75" customHeight="1">
      <c r="A4325" s="162">
        <v>46263.0</v>
      </c>
      <c r="B4325" s="50"/>
      <c r="C4325" s="31" t="s">
        <v>1980</v>
      </c>
      <c r="D4325" s="32" t="s">
        <v>99</v>
      </c>
      <c r="E4325" s="32" t="s">
        <v>4648</v>
      </c>
      <c r="F4325" s="107" t="s">
        <v>4415</v>
      </c>
      <c r="G4325" s="54">
        <v>1.139716125E7</v>
      </c>
      <c r="H4325" s="14">
        <f t="shared" si="11"/>
        <v>2393403.863</v>
      </c>
      <c r="I4325" s="22">
        <v>341914.84</v>
      </c>
      <c r="J4325" s="22">
        <v>569858.06</v>
      </c>
      <c r="K4325" s="15">
        <f t="shared" si="12"/>
        <v>14702338.01</v>
      </c>
      <c r="L4325" s="45"/>
      <c r="M4325" s="6"/>
    </row>
    <row r="4326" ht="15.75" customHeight="1">
      <c r="A4326" s="162">
        <v>46263.0</v>
      </c>
      <c r="B4326" s="50"/>
      <c r="C4326" s="31" t="s">
        <v>1980</v>
      </c>
      <c r="D4326" s="32" t="s">
        <v>99</v>
      </c>
      <c r="E4326" s="32" t="s">
        <v>4649</v>
      </c>
      <c r="F4326" s="107" t="s">
        <v>4415</v>
      </c>
      <c r="G4326" s="54">
        <v>1.186221225E7</v>
      </c>
      <c r="H4326" s="14">
        <f t="shared" si="11"/>
        <v>2491064.573</v>
      </c>
      <c r="I4326" s="22">
        <v>355866.37</v>
      </c>
      <c r="J4326" s="22">
        <v>593110.61</v>
      </c>
      <c r="K4326" s="15">
        <f t="shared" si="12"/>
        <v>15302253.8</v>
      </c>
      <c r="L4326" s="45"/>
      <c r="M4326" s="6"/>
    </row>
    <row r="4327" ht="15.75" customHeight="1">
      <c r="A4327" s="162">
        <v>46263.0</v>
      </c>
      <c r="B4327" s="50"/>
      <c r="C4327" s="31" t="s">
        <v>1980</v>
      </c>
      <c r="D4327" s="32" t="s">
        <v>99</v>
      </c>
      <c r="E4327" s="32" t="s">
        <v>4650</v>
      </c>
      <c r="F4327" s="107" t="s">
        <v>4415</v>
      </c>
      <c r="G4327" s="54">
        <v>1.27763917E7</v>
      </c>
      <c r="H4327" s="14">
        <f t="shared" si="11"/>
        <v>2683042.257</v>
      </c>
      <c r="I4327" s="22">
        <v>383291.75</v>
      </c>
      <c r="J4327" s="22">
        <v>638819.59</v>
      </c>
      <c r="K4327" s="15">
        <f t="shared" si="12"/>
        <v>16481545.3</v>
      </c>
      <c r="L4327" s="45"/>
      <c r="M4327" s="6"/>
    </row>
    <row r="4328" ht="15.75" customHeight="1">
      <c r="A4328" s="162">
        <v>46263.0</v>
      </c>
      <c r="B4328" s="50"/>
      <c r="C4328" s="31" t="s">
        <v>1980</v>
      </c>
      <c r="D4328" s="32" t="s">
        <v>99</v>
      </c>
      <c r="E4328" s="32" t="s">
        <v>4651</v>
      </c>
      <c r="F4328" s="107" t="s">
        <v>4415</v>
      </c>
      <c r="G4328" s="54">
        <v>1.83195E7</v>
      </c>
      <c r="H4328" s="14">
        <f t="shared" si="11"/>
        <v>3847095</v>
      </c>
      <c r="I4328" s="22">
        <v>549585.0</v>
      </c>
      <c r="J4328" s="22">
        <v>915975.0</v>
      </c>
      <c r="K4328" s="15">
        <f t="shared" si="12"/>
        <v>23632155</v>
      </c>
      <c r="L4328" s="45"/>
      <c r="M4328" s="6"/>
    </row>
    <row r="4329" ht="15.75" customHeight="1">
      <c r="A4329" s="162">
        <v>46263.0</v>
      </c>
      <c r="B4329" s="50"/>
      <c r="C4329" s="31" t="s">
        <v>1980</v>
      </c>
      <c r="D4329" s="32" t="s">
        <v>99</v>
      </c>
      <c r="E4329" s="32" t="s">
        <v>4652</v>
      </c>
      <c r="F4329" s="107" t="s">
        <v>4415</v>
      </c>
      <c r="G4329" s="54">
        <v>1.80366E7</v>
      </c>
      <c r="H4329" s="14">
        <f t="shared" si="11"/>
        <v>3787686</v>
      </c>
      <c r="I4329" s="22">
        <v>541098.0</v>
      </c>
      <c r="J4329" s="22">
        <v>901830.0</v>
      </c>
      <c r="K4329" s="15">
        <f t="shared" si="12"/>
        <v>23267214</v>
      </c>
      <c r="L4329" s="45"/>
      <c r="M4329" s="6"/>
    </row>
    <row r="4330" ht="15.75" customHeight="1">
      <c r="A4330" s="162">
        <v>46263.0</v>
      </c>
      <c r="B4330" s="50"/>
      <c r="C4330" s="31" t="s">
        <v>1980</v>
      </c>
      <c r="D4330" s="32" t="s">
        <v>99</v>
      </c>
      <c r="E4330" s="32" t="s">
        <v>4653</v>
      </c>
      <c r="F4330" s="107" t="s">
        <v>4415</v>
      </c>
      <c r="G4330" s="54">
        <v>1.873938E7</v>
      </c>
      <c r="H4330" s="14">
        <f t="shared" si="11"/>
        <v>3935269.8</v>
      </c>
      <c r="I4330" s="22">
        <v>562181.4</v>
      </c>
      <c r="J4330" s="22">
        <v>936969.0</v>
      </c>
      <c r="K4330" s="15">
        <f t="shared" si="12"/>
        <v>24173800.2</v>
      </c>
      <c r="L4330" s="45"/>
      <c r="M4330" s="6"/>
    </row>
    <row r="4331" ht="15.75" customHeight="1">
      <c r="A4331" s="162">
        <v>46263.0</v>
      </c>
      <c r="B4331" s="50"/>
      <c r="C4331" s="31" t="s">
        <v>1980</v>
      </c>
      <c r="D4331" s="32" t="s">
        <v>99</v>
      </c>
      <c r="E4331" s="32" t="s">
        <v>4654</v>
      </c>
      <c r="F4331" s="107" t="s">
        <v>4415</v>
      </c>
      <c r="G4331" s="54">
        <v>1.57272E7</v>
      </c>
      <c r="H4331" s="14">
        <f t="shared" si="11"/>
        <v>3302712</v>
      </c>
      <c r="I4331" s="22">
        <v>471816.0</v>
      </c>
      <c r="J4331" s="22">
        <v>786360.0</v>
      </c>
      <c r="K4331" s="15">
        <f t="shared" si="12"/>
        <v>20288088</v>
      </c>
      <c r="L4331" s="45"/>
      <c r="M4331" s="6"/>
    </row>
    <row r="4332" ht="15.75" customHeight="1">
      <c r="A4332" s="162">
        <v>46263.0</v>
      </c>
      <c r="B4332" s="50"/>
      <c r="C4332" s="31" t="s">
        <v>1980</v>
      </c>
      <c r="D4332" s="32" t="s">
        <v>99</v>
      </c>
      <c r="E4332" s="32" t="s">
        <v>4655</v>
      </c>
      <c r="F4332" s="107" t="s">
        <v>4415</v>
      </c>
      <c r="G4332" s="54">
        <v>1.139716125E7</v>
      </c>
      <c r="H4332" s="14">
        <f t="shared" si="11"/>
        <v>2393403.863</v>
      </c>
      <c r="I4332" s="22">
        <v>341914.84</v>
      </c>
      <c r="J4332" s="22">
        <v>569858.06</v>
      </c>
      <c r="K4332" s="15">
        <f t="shared" si="12"/>
        <v>14702338.01</v>
      </c>
      <c r="L4332" s="45"/>
      <c r="M4332" s="6"/>
    </row>
    <row r="4333" ht="15.75" customHeight="1">
      <c r="A4333" s="162">
        <v>46263.0</v>
      </c>
      <c r="B4333" s="50"/>
      <c r="C4333" s="31" t="s">
        <v>1980</v>
      </c>
      <c r="D4333" s="32" t="s">
        <v>99</v>
      </c>
      <c r="E4333" s="32" t="s">
        <v>4656</v>
      </c>
      <c r="F4333" s="107" t="s">
        <v>4415</v>
      </c>
      <c r="G4333" s="54">
        <v>1.186221225E7</v>
      </c>
      <c r="H4333" s="14">
        <f t="shared" si="11"/>
        <v>2491064.573</v>
      </c>
      <c r="I4333" s="22">
        <v>355866.37</v>
      </c>
      <c r="J4333" s="22">
        <v>593110.61</v>
      </c>
      <c r="K4333" s="15">
        <f t="shared" si="12"/>
        <v>15302253.8</v>
      </c>
      <c r="L4333" s="45"/>
      <c r="M4333" s="6"/>
    </row>
    <row r="4334" ht="15.75" customHeight="1">
      <c r="A4334" s="162">
        <v>46263.0</v>
      </c>
      <c r="B4334" s="50"/>
      <c r="C4334" s="31" t="s">
        <v>1980</v>
      </c>
      <c r="D4334" s="32" t="s">
        <v>99</v>
      </c>
      <c r="E4334" s="32" t="s">
        <v>4657</v>
      </c>
      <c r="F4334" s="107" t="s">
        <v>4415</v>
      </c>
      <c r="G4334" s="54">
        <v>1.27763917E7</v>
      </c>
      <c r="H4334" s="14">
        <f t="shared" si="11"/>
        <v>2683042.257</v>
      </c>
      <c r="I4334" s="22">
        <v>383291.75</v>
      </c>
      <c r="J4334" s="22">
        <v>638819.59</v>
      </c>
      <c r="K4334" s="15">
        <f t="shared" si="12"/>
        <v>16481545.3</v>
      </c>
      <c r="L4334" s="45"/>
      <c r="M4334" s="6"/>
    </row>
    <row r="4335" ht="15.75" customHeight="1">
      <c r="A4335" s="162">
        <v>46265.0</v>
      </c>
      <c r="B4335" s="50"/>
      <c r="C4335" s="31" t="s">
        <v>1980</v>
      </c>
      <c r="D4335" s="32" t="s">
        <v>99</v>
      </c>
      <c r="E4335" s="32" t="s">
        <v>4658</v>
      </c>
      <c r="F4335" s="107" t="s">
        <v>4415</v>
      </c>
      <c r="G4335" s="54">
        <v>-9110300.01</v>
      </c>
      <c r="H4335" s="14">
        <f t="shared" si="11"/>
        <v>-1913163.002</v>
      </c>
      <c r="I4335" s="22"/>
      <c r="J4335" s="22">
        <v>-455515.0</v>
      </c>
      <c r="K4335" s="15">
        <f t="shared" si="12"/>
        <v>-11478978.01</v>
      </c>
      <c r="L4335" s="45"/>
      <c r="M4335" s="6"/>
    </row>
    <row r="4336" ht="15.75" customHeight="1">
      <c r="A4336" s="162">
        <v>46265.0</v>
      </c>
      <c r="B4336" s="50"/>
      <c r="C4336" s="31" t="s">
        <v>1980</v>
      </c>
      <c r="D4336" s="32" t="s">
        <v>99</v>
      </c>
      <c r="E4336" s="31" t="s">
        <v>4659</v>
      </c>
      <c r="F4336" s="107" t="s">
        <v>4415</v>
      </c>
      <c r="G4336" s="54">
        <v>5498100.01</v>
      </c>
      <c r="H4336" s="14">
        <f t="shared" si="11"/>
        <v>1154601.002</v>
      </c>
      <c r="I4336" s="22"/>
      <c r="J4336" s="22">
        <v>274905.0</v>
      </c>
      <c r="K4336" s="15">
        <f t="shared" si="12"/>
        <v>6927606.012</v>
      </c>
      <c r="L4336" s="45"/>
      <c r="M4336" s="6"/>
    </row>
    <row r="4337" ht="15.75" customHeight="1">
      <c r="A4337" s="162">
        <v>46265.0</v>
      </c>
      <c r="B4337" s="50"/>
      <c r="C4337" s="31" t="s">
        <v>1980</v>
      </c>
      <c r="D4337" s="32" t="s">
        <v>99</v>
      </c>
      <c r="E4337" s="31" t="s">
        <v>4660</v>
      </c>
      <c r="F4337" s="107" t="s">
        <v>4415</v>
      </c>
      <c r="G4337" s="54">
        <v>9110300.01</v>
      </c>
      <c r="H4337" s="14">
        <f t="shared" si="11"/>
        <v>1913163.002</v>
      </c>
      <c r="I4337" s="22"/>
      <c r="J4337" s="22">
        <v>455515.0</v>
      </c>
      <c r="K4337" s="15">
        <f t="shared" si="12"/>
        <v>11478978.01</v>
      </c>
      <c r="L4337" s="45"/>
      <c r="M4337" s="6"/>
    </row>
    <row r="4338" ht="15.75" customHeight="1">
      <c r="A4338" s="162">
        <v>46265.0</v>
      </c>
      <c r="B4338" s="50"/>
      <c r="C4338" s="31" t="s">
        <v>1980</v>
      </c>
      <c r="D4338" s="32" t="s">
        <v>99</v>
      </c>
      <c r="E4338" s="32" t="s">
        <v>4661</v>
      </c>
      <c r="F4338" s="107" t="s">
        <v>4415</v>
      </c>
      <c r="G4338" s="54">
        <v>6919490.01</v>
      </c>
      <c r="H4338" s="14">
        <f t="shared" si="11"/>
        <v>1453092.902</v>
      </c>
      <c r="I4338" s="22"/>
      <c r="J4338" s="22">
        <v>345974.5</v>
      </c>
      <c r="K4338" s="15">
        <f t="shared" si="12"/>
        <v>8718557.412</v>
      </c>
      <c r="L4338" s="45"/>
      <c r="M4338" s="6"/>
    </row>
    <row r="4339" ht="15.75" customHeight="1">
      <c r="A4339" s="162">
        <v>46265.0</v>
      </c>
      <c r="B4339" s="50"/>
      <c r="C4339" s="31" t="s">
        <v>1980</v>
      </c>
      <c r="D4339" s="32" t="s">
        <v>15</v>
      </c>
      <c r="E4339" s="31" t="s">
        <v>4662</v>
      </c>
      <c r="F4339" s="107" t="s">
        <v>4415</v>
      </c>
      <c r="G4339" s="54">
        <v>8400500.01</v>
      </c>
      <c r="H4339" s="14">
        <f t="shared" si="11"/>
        <v>1764105.002</v>
      </c>
      <c r="I4339" s="22"/>
      <c r="J4339" s="22">
        <v>420025.0</v>
      </c>
      <c r="K4339" s="15">
        <f t="shared" si="12"/>
        <v>10584630.01</v>
      </c>
      <c r="L4339" s="45"/>
      <c r="M4339" s="6"/>
    </row>
    <row r="4340" ht="15.75" customHeight="1">
      <c r="A4340" s="162">
        <v>46265.0</v>
      </c>
      <c r="B4340" s="50"/>
      <c r="C4340" s="31" t="s">
        <v>1980</v>
      </c>
      <c r="D4340" s="32" t="s">
        <v>15</v>
      </c>
      <c r="E4340" s="31" t="s">
        <v>4663</v>
      </c>
      <c r="F4340" s="107" t="s">
        <v>4415</v>
      </c>
      <c r="G4340" s="54">
        <v>8279200.01</v>
      </c>
      <c r="H4340" s="14">
        <f t="shared" si="11"/>
        <v>1738632.002</v>
      </c>
      <c r="I4340" s="22"/>
      <c r="J4340" s="22">
        <v>413960.0</v>
      </c>
      <c r="K4340" s="15">
        <f t="shared" si="12"/>
        <v>10431792.01</v>
      </c>
      <c r="L4340" s="45"/>
      <c r="M4340" s="6"/>
    </row>
    <row r="4341" ht="15.75" customHeight="1">
      <c r="A4341" s="162">
        <v>46265.0</v>
      </c>
      <c r="B4341" s="50"/>
      <c r="C4341" s="31" t="s">
        <v>1980</v>
      </c>
      <c r="D4341" s="32" t="s">
        <v>15</v>
      </c>
      <c r="E4341" s="31" t="s">
        <v>4664</v>
      </c>
      <c r="F4341" s="107" t="s">
        <v>4415</v>
      </c>
      <c r="G4341" s="54">
        <v>7952920.01</v>
      </c>
      <c r="H4341" s="14">
        <f t="shared" si="11"/>
        <v>1670113.202</v>
      </c>
      <c r="I4341" s="22"/>
      <c r="J4341" s="22">
        <v>397646.0</v>
      </c>
      <c r="K4341" s="15">
        <f t="shared" si="12"/>
        <v>10020679.21</v>
      </c>
      <c r="L4341" s="45"/>
      <c r="M4341" s="6"/>
    </row>
    <row r="4342" ht="15.75" customHeight="1">
      <c r="A4342" s="162">
        <v>46265.0</v>
      </c>
      <c r="B4342" s="50"/>
      <c r="C4342" s="31" t="s">
        <v>1980</v>
      </c>
      <c r="D4342" s="32" t="s">
        <v>15</v>
      </c>
      <c r="E4342" s="32" t="s">
        <v>4665</v>
      </c>
      <c r="F4342" s="107" t="s">
        <v>4415</v>
      </c>
      <c r="G4342" s="54">
        <v>9566000.1</v>
      </c>
      <c r="H4342" s="14">
        <f t="shared" si="11"/>
        <v>2008860.021</v>
      </c>
      <c r="I4342" s="22"/>
      <c r="J4342" s="22">
        <v>478300.0</v>
      </c>
      <c r="K4342" s="15">
        <f t="shared" si="12"/>
        <v>12053160.12</v>
      </c>
      <c r="L4342" s="45"/>
      <c r="M4342" s="6"/>
    </row>
    <row r="4343" ht="15.75" customHeight="1">
      <c r="A4343" s="162">
        <v>46265.0</v>
      </c>
      <c r="B4343" s="50"/>
      <c r="C4343" s="31" t="s">
        <v>1980</v>
      </c>
      <c r="D4343" s="32" t="s">
        <v>15</v>
      </c>
      <c r="E4343" s="32" t="s">
        <v>4666</v>
      </c>
      <c r="F4343" s="107" t="s">
        <v>4415</v>
      </c>
      <c r="G4343" s="54">
        <v>7892810.01</v>
      </c>
      <c r="H4343" s="14">
        <f t="shared" si="11"/>
        <v>1657490.102</v>
      </c>
      <c r="I4343" s="22"/>
      <c r="J4343" s="22">
        <v>394640.5</v>
      </c>
      <c r="K4343" s="15">
        <f t="shared" si="12"/>
        <v>9944940.612</v>
      </c>
      <c r="L4343" s="45"/>
      <c r="M4343" s="6"/>
    </row>
    <row r="4344" ht="15.75" customHeight="1">
      <c r="A4344" s="162">
        <v>46265.0</v>
      </c>
      <c r="B4344" s="50"/>
      <c r="C4344" s="31" t="s">
        <v>1980</v>
      </c>
      <c r="D4344" s="32" t="s">
        <v>15</v>
      </c>
      <c r="E4344" s="32" t="s">
        <v>4667</v>
      </c>
      <c r="F4344" s="107" t="s">
        <v>4415</v>
      </c>
      <c r="G4344" s="54">
        <v>6911200.01</v>
      </c>
      <c r="H4344" s="14">
        <f t="shared" si="11"/>
        <v>1451352.002</v>
      </c>
      <c r="I4344" s="22"/>
      <c r="J4344" s="22">
        <v>345560.0</v>
      </c>
      <c r="K4344" s="15">
        <f t="shared" si="12"/>
        <v>8708112.012</v>
      </c>
      <c r="L4344" s="45"/>
      <c r="M4344" s="6"/>
    </row>
    <row r="4345" ht="15.75" customHeight="1">
      <c r="A4345" s="218">
        <v>46265.0</v>
      </c>
      <c r="B4345" s="56"/>
      <c r="C4345" s="57" t="s">
        <v>3873</v>
      </c>
      <c r="D4345" s="58" t="s">
        <v>15</v>
      </c>
      <c r="E4345" s="245" t="s">
        <v>4668</v>
      </c>
      <c r="F4345" s="120" t="s">
        <v>4415</v>
      </c>
      <c r="G4345" s="155">
        <v>1.925436018E7</v>
      </c>
      <c r="H4345" s="9">
        <f t="shared" si="11"/>
        <v>4043415.638</v>
      </c>
      <c r="I4345" s="44"/>
      <c r="J4345" s="44"/>
      <c r="K4345" s="10">
        <f t="shared" si="12"/>
        <v>23297775.82</v>
      </c>
      <c r="L4345" s="61"/>
      <c r="M4345" s="62"/>
    </row>
    <row r="4346" ht="15.75" customHeight="1">
      <c r="A4346" s="218">
        <v>46265.0</v>
      </c>
      <c r="B4346" s="56"/>
      <c r="C4346" s="57" t="s">
        <v>3873</v>
      </c>
      <c r="D4346" s="58" t="s">
        <v>15</v>
      </c>
      <c r="E4346" s="245" t="s">
        <v>4669</v>
      </c>
      <c r="F4346" s="120" t="s">
        <v>4415</v>
      </c>
      <c r="G4346" s="155">
        <v>9732460.12</v>
      </c>
      <c r="H4346" s="9">
        <f t="shared" si="11"/>
        <v>2043816.625</v>
      </c>
      <c r="I4346" s="44"/>
      <c r="J4346" s="44"/>
      <c r="K4346" s="10">
        <f t="shared" si="12"/>
        <v>11776276.75</v>
      </c>
      <c r="L4346" s="61"/>
      <c r="M4346" s="62"/>
    </row>
    <row r="4347" ht="15.75" customHeight="1">
      <c r="A4347" s="218">
        <v>46265.0</v>
      </c>
      <c r="B4347" s="56"/>
      <c r="C4347" s="57" t="s">
        <v>3873</v>
      </c>
      <c r="D4347" s="58" t="s">
        <v>15</v>
      </c>
      <c r="E4347" s="241" t="s">
        <v>4670</v>
      </c>
      <c r="F4347" s="120" t="s">
        <v>4415</v>
      </c>
      <c r="G4347" s="155">
        <v>9218490.41</v>
      </c>
      <c r="H4347" s="9">
        <f t="shared" si="11"/>
        <v>1935882.986</v>
      </c>
      <c r="I4347" s="44"/>
      <c r="J4347" s="44"/>
      <c r="K4347" s="10">
        <f t="shared" si="12"/>
        <v>11154373.4</v>
      </c>
      <c r="L4347" s="61"/>
      <c r="M4347" s="62"/>
    </row>
    <row r="4348" ht="15.75" customHeight="1">
      <c r="A4348" s="218">
        <v>46265.0</v>
      </c>
      <c r="B4348" s="56"/>
      <c r="C4348" s="57" t="s">
        <v>3873</v>
      </c>
      <c r="D4348" s="58" t="s">
        <v>15</v>
      </c>
      <c r="E4348" s="241" t="s">
        <v>4671</v>
      </c>
      <c r="F4348" s="120" t="s">
        <v>4415</v>
      </c>
      <c r="G4348" s="155">
        <v>9419570.12</v>
      </c>
      <c r="H4348" s="9">
        <f t="shared" si="11"/>
        <v>1978109.725</v>
      </c>
      <c r="I4348" s="44"/>
      <c r="J4348" s="44"/>
      <c r="K4348" s="10">
        <f t="shared" si="12"/>
        <v>11397679.85</v>
      </c>
      <c r="L4348" s="61"/>
      <c r="M4348" s="62"/>
    </row>
    <row r="4349" ht="15.75" customHeight="1">
      <c r="A4349" s="218">
        <v>46266.0</v>
      </c>
      <c r="B4349" s="56"/>
      <c r="C4349" s="57" t="s">
        <v>1179</v>
      </c>
      <c r="D4349" s="58" t="s">
        <v>15</v>
      </c>
      <c r="E4349" s="241" t="s">
        <v>4672</v>
      </c>
      <c r="F4349" s="120" t="s">
        <v>4415</v>
      </c>
      <c r="G4349" s="206">
        <v>2.234726026E7</v>
      </c>
      <c r="H4349" s="9">
        <f t="shared" si="11"/>
        <v>4692924.655</v>
      </c>
      <c r="I4349" s="44">
        <v>446945.21</v>
      </c>
      <c r="J4349" s="44"/>
      <c r="K4349" s="10">
        <f t="shared" si="12"/>
        <v>27487130.12</v>
      </c>
      <c r="L4349" s="61"/>
      <c r="M4349" s="62"/>
    </row>
    <row r="4350" ht="15.75" customHeight="1">
      <c r="A4350" s="162">
        <v>46266.0</v>
      </c>
      <c r="B4350" s="50"/>
      <c r="C4350" s="31" t="s">
        <v>247</v>
      </c>
      <c r="D4350" s="32" t="s">
        <v>15</v>
      </c>
      <c r="E4350" s="32" t="s">
        <v>4673</v>
      </c>
      <c r="F4350" s="107" t="s">
        <v>4415</v>
      </c>
      <c r="G4350" s="207">
        <v>1.16723573E7</v>
      </c>
      <c r="H4350" s="14">
        <f t="shared" si="11"/>
        <v>2451195.033</v>
      </c>
      <c r="I4350" s="22"/>
      <c r="J4350" s="22"/>
      <c r="K4350" s="15">
        <f t="shared" si="12"/>
        <v>14123552.33</v>
      </c>
      <c r="L4350" s="45"/>
      <c r="M4350" s="6"/>
    </row>
    <row r="4351" ht="15.75" customHeight="1">
      <c r="A4351" s="218">
        <v>46266.0</v>
      </c>
      <c r="B4351" s="56"/>
      <c r="C4351" s="57" t="s">
        <v>1179</v>
      </c>
      <c r="D4351" s="58" t="s">
        <v>15</v>
      </c>
      <c r="E4351" s="241" t="s">
        <v>4674</v>
      </c>
      <c r="F4351" s="120" t="s">
        <v>4415</v>
      </c>
      <c r="G4351" s="206">
        <v>2.068948085E7</v>
      </c>
      <c r="H4351" s="9">
        <f t="shared" si="11"/>
        <v>4344790.979</v>
      </c>
      <c r="I4351" s="44">
        <v>413789.62</v>
      </c>
      <c r="J4351" s="44"/>
      <c r="K4351" s="10">
        <f t="shared" si="12"/>
        <v>25448061.45</v>
      </c>
      <c r="L4351" s="61"/>
      <c r="M4351" s="62"/>
    </row>
    <row r="4352" ht="15.75" customHeight="1">
      <c r="A4352" s="162">
        <v>46266.0</v>
      </c>
      <c r="B4352" s="50"/>
      <c r="C4352" s="31" t="s">
        <v>247</v>
      </c>
      <c r="D4352" s="32" t="s">
        <v>15</v>
      </c>
      <c r="E4352" s="32" t="s">
        <v>4675</v>
      </c>
      <c r="F4352" s="107" t="s">
        <v>4415</v>
      </c>
      <c r="G4352" s="207">
        <v>1.33295632E7</v>
      </c>
      <c r="H4352" s="14">
        <f t="shared" si="11"/>
        <v>2799208.272</v>
      </c>
      <c r="I4352" s="22"/>
      <c r="J4352" s="22"/>
      <c r="K4352" s="15">
        <f t="shared" si="12"/>
        <v>16128771.47</v>
      </c>
      <c r="L4352" s="45"/>
      <c r="M4352" s="6"/>
    </row>
    <row r="4353" ht="15.75" customHeight="1">
      <c r="A4353" s="218">
        <v>46266.0</v>
      </c>
      <c r="B4353" s="56"/>
      <c r="C4353" s="57" t="s">
        <v>1179</v>
      </c>
      <c r="D4353" s="58" t="s">
        <v>15</v>
      </c>
      <c r="E4353" s="241" t="s">
        <v>4676</v>
      </c>
      <c r="F4353" s="120" t="s">
        <v>4415</v>
      </c>
      <c r="G4353" s="206">
        <v>1.248936192E7</v>
      </c>
      <c r="H4353" s="9">
        <f t="shared" si="11"/>
        <v>2622766.003</v>
      </c>
      <c r="I4353" s="44"/>
      <c r="J4353" s="44"/>
      <c r="K4353" s="10">
        <f t="shared" si="12"/>
        <v>15112127.92</v>
      </c>
      <c r="L4353" s="61"/>
      <c r="M4353" s="62"/>
    </row>
    <row r="4354" ht="15.75" customHeight="1">
      <c r="A4354" s="162">
        <v>46266.0</v>
      </c>
      <c r="B4354" s="50"/>
      <c r="C4354" s="31" t="s">
        <v>247</v>
      </c>
      <c r="D4354" s="32" t="s">
        <v>15</v>
      </c>
      <c r="E4354" s="32" t="s">
        <v>4677</v>
      </c>
      <c r="F4354" s="107" t="s">
        <v>4415</v>
      </c>
      <c r="G4354" s="207">
        <v>1.21226105E7</v>
      </c>
      <c r="H4354" s="14">
        <f t="shared" si="11"/>
        <v>2545748.205</v>
      </c>
      <c r="I4354" s="22"/>
      <c r="J4354" s="22"/>
      <c r="K4354" s="15">
        <f t="shared" si="12"/>
        <v>14668358.71</v>
      </c>
      <c r="L4354" s="45"/>
      <c r="M4354" s="6"/>
    </row>
    <row r="4355" ht="15.75" customHeight="1">
      <c r="A4355" s="218">
        <v>46266.0</v>
      </c>
      <c r="B4355" s="56"/>
      <c r="C4355" s="57" t="s">
        <v>1179</v>
      </c>
      <c r="D4355" s="58" t="s">
        <v>15</v>
      </c>
      <c r="E4355" s="241" t="s">
        <v>4678</v>
      </c>
      <c r="F4355" s="120" t="s">
        <v>4415</v>
      </c>
      <c r="G4355" s="206">
        <v>7367467.8</v>
      </c>
      <c r="H4355" s="9">
        <f t="shared" si="11"/>
        <v>1547168.238</v>
      </c>
      <c r="I4355" s="44"/>
      <c r="J4355" s="44"/>
      <c r="K4355" s="10">
        <f t="shared" si="12"/>
        <v>8914636.038</v>
      </c>
      <c r="L4355" s="61"/>
      <c r="M4355" s="62"/>
    </row>
    <row r="4356" ht="15.75" customHeight="1">
      <c r="A4356" s="218">
        <v>46266.0</v>
      </c>
      <c r="B4356" s="56"/>
      <c r="C4356" s="58" t="s">
        <v>247</v>
      </c>
      <c r="D4356" s="58" t="s">
        <v>15</v>
      </c>
      <c r="E4356" s="241" t="s">
        <v>4679</v>
      </c>
      <c r="F4356" s="120" t="s">
        <v>4415</v>
      </c>
      <c r="G4356" s="206">
        <v>1.287968346E7</v>
      </c>
      <c r="H4356" s="9">
        <f t="shared" si="11"/>
        <v>2704733.527</v>
      </c>
      <c r="I4356" s="44"/>
      <c r="J4356" s="44"/>
      <c r="K4356" s="10">
        <f t="shared" si="12"/>
        <v>15584416.99</v>
      </c>
      <c r="L4356" s="61"/>
      <c r="M4356" s="62"/>
    </row>
    <row r="4357" ht="15.75" customHeight="1">
      <c r="A4357" s="218">
        <v>46266.0</v>
      </c>
      <c r="B4357" s="56"/>
      <c r="C4357" s="58" t="s">
        <v>1179</v>
      </c>
      <c r="D4357" s="58" t="s">
        <v>15</v>
      </c>
      <c r="E4357" s="241" t="s">
        <v>4680</v>
      </c>
      <c r="F4357" s="120" t="s">
        <v>4415</v>
      </c>
      <c r="G4357" s="206">
        <v>8217363.0</v>
      </c>
      <c r="H4357" s="9">
        <f t="shared" si="11"/>
        <v>1725646.23</v>
      </c>
      <c r="I4357" s="44"/>
      <c r="J4357" s="44"/>
      <c r="K4357" s="10">
        <f t="shared" si="12"/>
        <v>9943009.23</v>
      </c>
      <c r="L4357" s="61"/>
      <c r="M4357" s="62"/>
    </row>
    <row r="4358" ht="15.75" customHeight="1">
      <c r="A4358" s="218">
        <v>46266.0</v>
      </c>
      <c r="B4358" s="56"/>
      <c r="C4358" s="58" t="s">
        <v>1179</v>
      </c>
      <c r="D4358" s="58" t="s">
        <v>15</v>
      </c>
      <c r="E4358" s="241" t="s">
        <v>4681</v>
      </c>
      <c r="F4358" s="120" t="s">
        <v>4415</v>
      </c>
      <c r="G4358" s="206">
        <v>7331457.0</v>
      </c>
      <c r="H4358" s="9">
        <f t="shared" si="11"/>
        <v>1539605.97</v>
      </c>
      <c r="I4358" s="44"/>
      <c r="J4358" s="44"/>
      <c r="K4358" s="10">
        <f t="shared" si="12"/>
        <v>8871062.97</v>
      </c>
      <c r="L4358" s="61"/>
      <c r="M4358" s="62"/>
    </row>
    <row r="4359" ht="15.75" customHeight="1">
      <c r="A4359" s="218">
        <v>46266.0</v>
      </c>
      <c r="B4359" s="56"/>
      <c r="C4359" s="57" t="s">
        <v>1189</v>
      </c>
      <c r="D4359" s="58" t="s">
        <v>15</v>
      </c>
      <c r="E4359" s="241" t="s">
        <v>4682</v>
      </c>
      <c r="F4359" s="120" t="s">
        <v>4415</v>
      </c>
      <c r="G4359" s="206">
        <v>5011266.2</v>
      </c>
      <c r="H4359" s="9">
        <f t="shared" si="11"/>
        <v>1052365.902</v>
      </c>
      <c r="I4359" s="44">
        <v>150337.99</v>
      </c>
      <c r="J4359" s="44"/>
      <c r="K4359" s="10">
        <f t="shared" si="12"/>
        <v>6213970.092</v>
      </c>
      <c r="L4359" s="61"/>
      <c r="M4359" s="62"/>
    </row>
    <row r="4360" ht="15.75" customHeight="1">
      <c r="A4360" s="218">
        <v>46266.0</v>
      </c>
      <c r="B4360" s="56"/>
      <c r="C4360" s="58" t="s">
        <v>1179</v>
      </c>
      <c r="D4360" s="58" t="s">
        <v>15</v>
      </c>
      <c r="E4360" s="241" t="s">
        <v>4683</v>
      </c>
      <c r="F4360" s="120" t="s">
        <v>4415</v>
      </c>
      <c r="G4360" s="206">
        <v>6871360.08</v>
      </c>
      <c r="H4360" s="9">
        <f t="shared" si="11"/>
        <v>1442985.617</v>
      </c>
      <c r="I4360" s="44">
        <v>137427.2</v>
      </c>
      <c r="J4360" s="44"/>
      <c r="K4360" s="10">
        <f t="shared" si="12"/>
        <v>8451772.897</v>
      </c>
      <c r="L4360" s="61"/>
      <c r="M4360" s="62"/>
    </row>
    <row r="4361" ht="15.75" customHeight="1">
      <c r="A4361" s="218">
        <v>46266.0</v>
      </c>
      <c r="B4361" s="56"/>
      <c r="C4361" s="58" t="s">
        <v>1179</v>
      </c>
      <c r="D4361" s="58" t="s">
        <v>15</v>
      </c>
      <c r="E4361" s="241" t="s">
        <v>4684</v>
      </c>
      <c r="F4361" s="120" t="s">
        <v>4415</v>
      </c>
      <c r="G4361" s="206">
        <v>9968570.85</v>
      </c>
      <c r="H4361" s="9">
        <f t="shared" si="11"/>
        <v>2093399.879</v>
      </c>
      <c r="I4361" s="44">
        <v>199371.42</v>
      </c>
      <c r="J4361" s="44"/>
      <c r="K4361" s="10">
        <f t="shared" si="12"/>
        <v>12261342.15</v>
      </c>
      <c r="L4361" s="61"/>
      <c r="M4361" s="62"/>
    </row>
    <row r="4362" ht="15.75" customHeight="1">
      <c r="A4362" s="162">
        <v>46266.0</v>
      </c>
      <c r="B4362" s="50"/>
      <c r="C4362" s="32" t="s">
        <v>1842</v>
      </c>
      <c r="D4362" s="32" t="s">
        <v>15</v>
      </c>
      <c r="E4362" s="31" t="s">
        <v>4685</v>
      </c>
      <c r="F4362" s="246">
        <v>46291.0</v>
      </c>
      <c r="G4362" s="54">
        <v>2.660138052E7</v>
      </c>
      <c r="H4362" s="14">
        <f t="shared" si="11"/>
        <v>5586289.909</v>
      </c>
      <c r="I4362" s="22"/>
      <c r="J4362" s="22">
        <v>186209.66</v>
      </c>
      <c r="K4362" s="15">
        <f t="shared" si="12"/>
        <v>32373880.09</v>
      </c>
      <c r="L4362" s="45"/>
      <c r="M4362" s="6"/>
    </row>
    <row r="4363" ht="15.75" customHeight="1">
      <c r="A4363" s="162">
        <v>46266.0</v>
      </c>
      <c r="B4363" s="50"/>
      <c r="C4363" s="32" t="s">
        <v>1842</v>
      </c>
      <c r="D4363" s="32" t="s">
        <v>15</v>
      </c>
      <c r="E4363" s="31" t="s">
        <v>4686</v>
      </c>
      <c r="F4363" s="246">
        <v>46291.0</v>
      </c>
      <c r="G4363" s="54">
        <v>2.693787019E7</v>
      </c>
      <c r="H4363" s="14">
        <f t="shared" si="11"/>
        <v>5656952.74</v>
      </c>
      <c r="I4363" s="22"/>
      <c r="J4363" s="22">
        <v>188565.09</v>
      </c>
      <c r="K4363" s="15">
        <f t="shared" si="12"/>
        <v>32783388.02</v>
      </c>
      <c r="L4363" s="45"/>
      <c r="M4363" s="6"/>
    </row>
    <row r="4364" ht="15.75" customHeight="1">
      <c r="A4364" s="162">
        <v>46266.0</v>
      </c>
      <c r="B4364" s="50"/>
      <c r="C4364" s="31" t="s">
        <v>171</v>
      </c>
      <c r="D4364" s="32" t="s">
        <v>15</v>
      </c>
      <c r="E4364" s="31" t="s">
        <v>4687</v>
      </c>
      <c r="F4364" s="246">
        <v>46291.0</v>
      </c>
      <c r="G4364" s="54">
        <v>1.843623311E7</v>
      </c>
      <c r="H4364" s="14">
        <f t="shared" si="11"/>
        <v>3871608.953</v>
      </c>
      <c r="I4364" s="22"/>
      <c r="J4364" s="22"/>
      <c r="K4364" s="15">
        <f t="shared" si="12"/>
        <v>22307842.06</v>
      </c>
      <c r="L4364" s="45"/>
      <c r="M4364" s="6"/>
    </row>
    <row r="4365" ht="15.75" customHeight="1">
      <c r="A4365" s="162">
        <v>46266.0</v>
      </c>
      <c r="B4365" s="50"/>
      <c r="C4365" s="31" t="s">
        <v>171</v>
      </c>
      <c r="D4365" s="32" t="s">
        <v>15</v>
      </c>
      <c r="E4365" s="31" t="s">
        <v>4688</v>
      </c>
      <c r="F4365" s="246">
        <v>46291.0</v>
      </c>
      <c r="G4365" s="54">
        <v>1.189933626E7</v>
      </c>
      <c r="H4365" s="14">
        <f t="shared" si="11"/>
        <v>2498860.615</v>
      </c>
      <c r="I4365" s="22"/>
      <c r="J4365" s="22"/>
      <c r="K4365" s="15">
        <f t="shared" si="12"/>
        <v>14398196.87</v>
      </c>
      <c r="L4365" s="45"/>
      <c r="M4365" s="6"/>
    </row>
    <row r="4366" ht="15.75" customHeight="1">
      <c r="A4366" s="247">
        <v>46266.0</v>
      </c>
      <c r="B4366" s="50"/>
      <c r="C4366" s="31" t="s">
        <v>171</v>
      </c>
      <c r="D4366" s="32" t="s">
        <v>15</v>
      </c>
      <c r="E4366" s="31" t="s">
        <v>4689</v>
      </c>
      <c r="F4366" s="246">
        <v>46291.0</v>
      </c>
      <c r="G4366" s="54">
        <v>2.147483329E7</v>
      </c>
      <c r="H4366" s="14">
        <f t="shared" si="11"/>
        <v>4509714.991</v>
      </c>
      <c r="I4366" s="22"/>
      <c r="J4366" s="22"/>
      <c r="K4366" s="15">
        <f t="shared" si="12"/>
        <v>25984548.28</v>
      </c>
      <c r="L4366" s="45"/>
      <c r="M4366" s="6"/>
    </row>
    <row r="4367" ht="15.75" customHeight="1">
      <c r="A4367" s="247">
        <v>46266.0</v>
      </c>
      <c r="B4367" s="50"/>
      <c r="C4367" s="31" t="s">
        <v>171</v>
      </c>
      <c r="D4367" s="32" t="s">
        <v>15</v>
      </c>
      <c r="E4367" s="32" t="s">
        <v>4690</v>
      </c>
      <c r="F4367" s="246">
        <v>46291.0</v>
      </c>
      <c r="G4367" s="54">
        <v>1.844523311E7</v>
      </c>
      <c r="H4367" s="14">
        <f t="shared" si="11"/>
        <v>3873498.953</v>
      </c>
      <c r="I4367" s="22"/>
      <c r="J4367" s="22"/>
      <c r="K4367" s="15">
        <f t="shared" si="12"/>
        <v>22318732.06</v>
      </c>
      <c r="L4367" s="45"/>
      <c r="M4367" s="6"/>
    </row>
    <row r="4368" ht="15.75" customHeight="1">
      <c r="A4368" s="247">
        <v>46266.0</v>
      </c>
      <c r="B4368" s="50"/>
      <c r="C4368" s="31" t="s">
        <v>171</v>
      </c>
      <c r="D4368" s="32" t="s">
        <v>15</v>
      </c>
      <c r="E4368" s="31" t="s">
        <v>4691</v>
      </c>
      <c r="F4368" s="246">
        <v>46291.0</v>
      </c>
      <c r="G4368" s="54">
        <v>1.092233913E7</v>
      </c>
      <c r="H4368" s="14">
        <f t="shared" si="11"/>
        <v>2293691.217</v>
      </c>
      <c r="I4368" s="22"/>
      <c r="J4368" s="22"/>
      <c r="K4368" s="15">
        <f t="shared" si="12"/>
        <v>13216030.35</v>
      </c>
      <c r="L4368" s="45"/>
      <c r="M4368" s="6"/>
    </row>
    <row r="4369" ht="15.75" customHeight="1">
      <c r="A4369" s="247">
        <v>46266.0</v>
      </c>
      <c r="B4369" s="50"/>
      <c r="C4369" s="31" t="s">
        <v>171</v>
      </c>
      <c r="D4369" s="32" t="s">
        <v>15</v>
      </c>
      <c r="E4369" s="32" t="s">
        <v>4692</v>
      </c>
      <c r="F4369" s="246">
        <v>46291.0</v>
      </c>
      <c r="G4369" s="54">
        <v>1.1474323E7</v>
      </c>
      <c r="H4369" s="14">
        <f t="shared" si="11"/>
        <v>2409607.83</v>
      </c>
      <c r="I4369" s="22"/>
      <c r="J4369" s="22"/>
      <c r="K4369" s="15">
        <f t="shared" si="12"/>
        <v>13883930.83</v>
      </c>
      <c r="L4369" s="45"/>
      <c r="M4369" s="6"/>
    </row>
    <row r="4370" ht="15.75" customHeight="1">
      <c r="A4370" s="247">
        <v>46267.0</v>
      </c>
      <c r="B4370" s="50"/>
      <c r="C4370" s="31" t="s">
        <v>268</v>
      </c>
      <c r="D4370" s="32" t="s">
        <v>99</v>
      </c>
      <c r="E4370" s="32" t="s">
        <v>3219</v>
      </c>
      <c r="F4370" s="107" t="s">
        <v>4415</v>
      </c>
      <c r="G4370" s="207">
        <v>2.24373355E7</v>
      </c>
      <c r="H4370" s="14">
        <f t="shared" si="11"/>
        <v>4711840.455</v>
      </c>
      <c r="I4370" s="22">
        <v>673120.07</v>
      </c>
      <c r="J4370" s="22">
        <v>448746.71</v>
      </c>
      <c r="K4370" s="15">
        <f t="shared" si="12"/>
        <v>28271042.74</v>
      </c>
      <c r="L4370" s="45"/>
      <c r="M4370" s="6"/>
    </row>
    <row r="4371" ht="15.75" customHeight="1">
      <c r="A4371" s="248">
        <v>46267.0</v>
      </c>
      <c r="B4371" s="56"/>
      <c r="C4371" s="57" t="s">
        <v>1189</v>
      </c>
      <c r="D4371" s="58" t="s">
        <v>99</v>
      </c>
      <c r="E4371" s="241" t="s">
        <v>3220</v>
      </c>
      <c r="F4371" s="120" t="s">
        <v>4415</v>
      </c>
      <c r="G4371" s="206">
        <v>1.00095701E7</v>
      </c>
      <c r="H4371" s="9">
        <f t="shared" si="11"/>
        <v>2102009.721</v>
      </c>
      <c r="I4371" s="44">
        <v>300287.1</v>
      </c>
      <c r="J4371" s="44"/>
      <c r="K4371" s="10">
        <f t="shared" si="12"/>
        <v>12411866.92</v>
      </c>
      <c r="L4371" s="61"/>
      <c r="M4371" s="62"/>
    </row>
    <row r="4372" ht="15.75" customHeight="1">
      <c r="A4372" s="247">
        <v>46267.0</v>
      </c>
      <c r="B4372" s="50"/>
      <c r="C4372" s="32" t="s">
        <v>268</v>
      </c>
      <c r="D4372" s="32" t="s">
        <v>99</v>
      </c>
      <c r="E4372" s="32" t="s">
        <v>3221</v>
      </c>
      <c r="F4372" s="107" t="s">
        <v>4415</v>
      </c>
      <c r="G4372" s="207">
        <v>4890209.4</v>
      </c>
      <c r="H4372" s="14">
        <f t="shared" si="11"/>
        <v>1026943.974</v>
      </c>
      <c r="I4372" s="22"/>
      <c r="J4372" s="22"/>
      <c r="K4372" s="15">
        <f t="shared" si="12"/>
        <v>5917153.374</v>
      </c>
      <c r="L4372" s="45"/>
      <c r="M4372" s="6"/>
    </row>
    <row r="4373" ht="15.75" customHeight="1">
      <c r="A4373" s="248">
        <v>46267.0</v>
      </c>
      <c r="B4373" s="56"/>
      <c r="C4373" s="57" t="s">
        <v>2346</v>
      </c>
      <c r="D4373" s="58" t="s">
        <v>99</v>
      </c>
      <c r="E4373" s="241" t="s">
        <v>4693</v>
      </c>
      <c r="F4373" s="120" t="s">
        <v>4415</v>
      </c>
      <c r="G4373" s="155">
        <v>1.42283325E7</v>
      </c>
      <c r="H4373" s="9">
        <f t="shared" si="11"/>
        <v>2987949.825</v>
      </c>
      <c r="I4373" s="44">
        <v>426849.98</v>
      </c>
      <c r="J4373" s="44">
        <v>170739.99</v>
      </c>
      <c r="K4373" s="10">
        <f t="shared" si="12"/>
        <v>17813872.3</v>
      </c>
      <c r="L4373" s="61"/>
      <c r="M4373" s="62"/>
    </row>
    <row r="4374" ht="15.75" customHeight="1">
      <c r="A4374" s="247">
        <v>46267.0</v>
      </c>
      <c r="B4374" s="50"/>
      <c r="C4374" s="32" t="s">
        <v>268</v>
      </c>
      <c r="D4374" s="32" t="s">
        <v>99</v>
      </c>
      <c r="E4374" s="32" t="s">
        <v>4694</v>
      </c>
      <c r="F4374" s="107" t="s">
        <v>4415</v>
      </c>
      <c r="G4374" s="207">
        <v>3812224.8</v>
      </c>
      <c r="H4374" s="14">
        <f t="shared" si="11"/>
        <v>800567.208</v>
      </c>
      <c r="I4374" s="22"/>
      <c r="J4374" s="22">
        <v>76244.5</v>
      </c>
      <c r="K4374" s="15">
        <f t="shared" si="12"/>
        <v>4689036.508</v>
      </c>
      <c r="L4374" s="45"/>
      <c r="M4374" s="6"/>
    </row>
    <row r="4375" ht="15.75" customHeight="1">
      <c r="A4375" s="247">
        <v>46267.0</v>
      </c>
      <c r="B4375" s="50"/>
      <c r="C4375" s="32" t="s">
        <v>268</v>
      </c>
      <c r="D4375" s="32" t="s">
        <v>99</v>
      </c>
      <c r="E4375" s="32" t="s">
        <v>4695</v>
      </c>
      <c r="F4375" s="107" t="s">
        <v>4415</v>
      </c>
      <c r="G4375" s="207">
        <v>5028333.15</v>
      </c>
      <c r="H4375" s="14">
        <f t="shared" si="11"/>
        <v>1055949.962</v>
      </c>
      <c r="I4375" s="22"/>
      <c r="J4375" s="22">
        <v>100566.66</v>
      </c>
      <c r="K4375" s="15">
        <f t="shared" si="12"/>
        <v>6184849.772</v>
      </c>
      <c r="L4375" s="45"/>
      <c r="M4375" s="6"/>
    </row>
    <row r="4376" ht="15.75" customHeight="1">
      <c r="A4376" s="247">
        <v>46267.0</v>
      </c>
      <c r="B4376" s="50"/>
      <c r="C4376" s="32" t="s">
        <v>268</v>
      </c>
      <c r="D4376" s="32" t="s">
        <v>99</v>
      </c>
      <c r="E4376" s="32" t="s">
        <v>4696</v>
      </c>
      <c r="F4376" s="107" t="s">
        <v>4415</v>
      </c>
      <c r="G4376" s="207">
        <v>7226463.0</v>
      </c>
      <c r="H4376" s="14">
        <f t="shared" si="11"/>
        <v>1517557.23</v>
      </c>
      <c r="I4376" s="22">
        <v>216793.89</v>
      </c>
      <c r="J4376" s="22">
        <v>144529.26</v>
      </c>
      <c r="K4376" s="15">
        <f t="shared" si="12"/>
        <v>9105343.38</v>
      </c>
      <c r="L4376" s="45"/>
      <c r="M4376" s="6"/>
    </row>
    <row r="4377" ht="15.75" customHeight="1">
      <c r="A4377" s="248">
        <v>46267.0</v>
      </c>
      <c r="B4377" s="56"/>
      <c r="C4377" s="57" t="s">
        <v>2346</v>
      </c>
      <c r="D4377" s="58" t="s">
        <v>99</v>
      </c>
      <c r="E4377" s="241" t="s">
        <v>4697</v>
      </c>
      <c r="F4377" s="120" t="s">
        <v>4415</v>
      </c>
      <c r="G4377" s="155">
        <v>8932372.08</v>
      </c>
      <c r="H4377" s="9">
        <f t="shared" si="11"/>
        <v>1875798.137</v>
      </c>
      <c r="I4377" s="44">
        <v>267971.16</v>
      </c>
      <c r="J4377" s="44">
        <v>107188.46</v>
      </c>
      <c r="K4377" s="10">
        <f t="shared" si="12"/>
        <v>11183329.84</v>
      </c>
      <c r="L4377" s="61"/>
      <c r="M4377" s="62"/>
    </row>
    <row r="4378" ht="15.75" customHeight="1">
      <c r="A4378" s="248">
        <v>46267.0</v>
      </c>
      <c r="B4378" s="56"/>
      <c r="C4378" s="57" t="s">
        <v>2346</v>
      </c>
      <c r="D4378" s="58" t="s">
        <v>99</v>
      </c>
      <c r="E4378" s="241" t="s">
        <v>4698</v>
      </c>
      <c r="F4378" s="120" t="s">
        <v>4415</v>
      </c>
      <c r="G4378" s="155">
        <v>1.236362356E7</v>
      </c>
      <c r="H4378" s="9">
        <f t="shared" si="11"/>
        <v>2596360.948</v>
      </c>
      <c r="I4378" s="44">
        <v>370908.71</v>
      </c>
      <c r="J4378" s="44">
        <v>148363.48</v>
      </c>
      <c r="K4378" s="10">
        <f t="shared" si="12"/>
        <v>15479256.7</v>
      </c>
      <c r="L4378" s="61"/>
      <c r="M4378" s="62"/>
    </row>
    <row r="4379" ht="15.75" customHeight="1">
      <c r="A4379" s="247">
        <v>46267.0</v>
      </c>
      <c r="B4379" s="50"/>
      <c r="C4379" s="31" t="s">
        <v>2221</v>
      </c>
      <c r="D4379" s="32" t="s">
        <v>15</v>
      </c>
      <c r="E4379" s="32" t="s">
        <v>4699</v>
      </c>
      <c r="F4379" s="107" t="s">
        <v>4415</v>
      </c>
      <c r="G4379" s="207">
        <v>1.038847935E7</v>
      </c>
      <c r="H4379" s="14">
        <f t="shared" si="11"/>
        <v>2181580.664</v>
      </c>
      <c r="I4379" s="22">
        <v>311654.38</v>
      </c>
      <c r="J4379" s="22"/>
      <c r="K4379" s="15">
        <f t="shared" si="12"/>
        <v>12881714.39</v>
      </c>
      <c r="L4379" s="45"/>
      <c r="M4379" s="6"/>
    </row>
    <row r="4380" ht="15.75" customHeight="1">
      <c r="A4380" s="247">
        <v>46267.0</v>
      </c>
      <c r="B4380" s="50"/>
      <c r="C4380" s="31" t="s">
        <v>2221</v>
      </c>
      <c r="D4380" s="32" t="s">
        <v>15</v>
      </c>
      <c r="E4380" s="32" t="s">
        <v>4700</v>
      </c>
      <c r="F4380" s="107" t="s">
        <v>4415</v>
      </c>
      <c r="G4380" s="207">
        <v>1.058799266E7</v>
      </c>
      <c r="H4380" s="14">
        <f t="shared" si="11"/>
        <v>2223478.459</v>
      </c>
      <c r="I4380" s="22">
        <v>317639.78</v>
      </c>
      <c r="J4380" s="22"/>
      <c r="K4380" s="15">
        <f t="shared" si="12"/>
        <v>13129110.9</v>
      </c>
      <c r="L4380" s="45"/>
      <c r="M4380" s="6"/>
    </row>
    <row r="4381" ht="15.75" customHeight="1">
      <c r="A4381" s="247">
        <v>46267.0</v>
      </c>
      <c r="B4381" s="50"/>
      <c r="C4381" s="31" t="s">
        <v>2221</v>
      </c>
      <c r="D4381" s="32" t="s">
        <v>15</v>
      </c>
      <c r="E4381" s="32" t="s">
        <v>4701</v>
      </c>
      <c r="F4381" s="107" t="s">
        <v>4415</v>
      </c>
      <c r="G4381" s="207">
        <v>1.003371169E7</v>
      </c>
      <c r="H4381" s="14">
        <f t="shared" si="11"/>
        <v>2107079.455</v>
      </c>
      <c r="I4381" s="22">
        <v>301011.35</v>
      </c>
      <c r="J4381" s="22"/>
      <c r="K4381" s="15">
        <f t="shared" si="12"/>
        <v>12441802.49</v>
      </c>
      <c r="L4381" s="45"/>
      <c r="M4381" s="6"/>
    </row>
    <row r="4382" ht="15.75" customHeight="1">
      <c r="A4382" s="247">
        <v>46267.0</v>
      </c>
      <c r="B4382" s="50"/>
      <c r="C4382" s="31" t="s">
        <v>2221</v>
      </c>
      <c r="D4382" s="32" t="s">
        <v>15</v>
      </c>
      <c r="E4382" s="32" t="s">
        <v>4702</v>
      </c>
      <c r="F4382" s="107" t="s">
        <v>4415</v>
      </c>
      <c r="G4382" s="207">
        <v>8787606.6</v>
      </c>
      <c r="H4382" s="14">
        <f t="shared" si="11"/>
        <v>1845397.386</v>
      </c>
      <c r="I4382" s="22">
        <v>263628.2</v>
      </c>
      <c r="J4382" s="22"/>
      <c r="K4382" s="15">
        <f t="shared" si="12"/>
        <v>10896632.19</v>
      </c>
      <c r="L4382" s="45"/>
      <c r="M4382" s="6"/>
    </row>
    <row r="4383" ht="15.75" customHeight="1">
      <c r="A4383" s="248">
        <v>46267.0</v>
      </c>
      <c r="B4383" s="56"/>
      <c r="C4383" s="57" t="s">
        <v>45</v>
      </c>
      <c r="D4383" s="58" t="s">
        <v>15</v>
      </c>
      <c r="E4383" s="241" t="s">
        <v>4703</v>
      </c>
      <c r="F4383" s="120" t="s">
        <v>4415</v>
      </c>
      <c r="G4383" s="206">
        <v>2407383.7</v>
      </c>
      <c r="H4383" s="9">
        <f t="shared" si="11"/>
        <v>505550.577</v>
      </c>
      <c r="I4383" s="44"/>
      <c r="J4383" s="44"/>
      <c r="K4383" s="10">
        <f t="shared" si="12"/>
        <v>2912934.277</v>
      </c>
      <c r="L4383" s="61"/>
      <c r="M4383" s="62"/>
    </row>
    <row r="4384" ht="15.75" customHeight="1">
      <c r="A4384" s="247">
        <v>46267.0</v>
      </c>
      <c r="B4384" s="50"/>
      <c r="C4384" s="31" t="s">
        <v>2346</v>
      </c>
      <c r="D4384" s="32" t="s">
        <v>15</v>
      </c>
      <c r="E4384" s="32" t="s">
        <v>4704</v>
      </c>
      <c r="F4384" s="107" t="s">
        <v>4415</v>
      </c>
      <c r="G4384" s="54">
        <v>6335430.4</v>
      </c>
      <c r="H4384" s="14">
        <f t="shared" si="11"/>
        <v>1330440.384</v>
      </c>
      <c r="I4384" s="22"/>
      <c r="J4384" s="22"/>
      <c r="K4384" s="15">
        <f t="shared" si="12"/>
        <v>7665870.784</v>
      </c>
      <c r="L4384" s="45"/>
      <c r="M4384" s="6"/>
    </row>
    <row r="4385" ht="15.75" customHeight="1">
      <c r="A4385" s="247">
        <v>46267.0</v>
      </c>
      <c r="B4385" s="50"/>
      <c r="C4385" s="31" t="s">
        <v>2346</v>
      </c>
      <c r="D4385" s="32" t="s">
        <v>15</v>
      </c>
      <c r="E4385" s="32" t="s">
        <v>4705</v>
      </c>
      <c r="F4385" s="107" t="s">
        <v>4415</v>
      </c>
      <c r="G4385" s="54">
        <v>1.334432208E7</v>
      </c>
      <c r="H4385" s="14">
        <f t="shared" si="11"/>
        <v>2802307.637</v>
      </c>
      <c r="I4385" s="22"/>
      <c r="J4385" s="22">
        <v>160131.86</v>
      </c>
      <c r="K4385" s="15">
        <f t="shared" si="12"/>
        <v>16306761.58</v>
      </c>
      <c r="L4385" s="45"/>
      <c r="M4385" s="6"/>
    </row>
    <row r="4386" ht="15.75" customHeight="1">
      <c r="A4386" s="248">
        <v>46267.0</v>
      </c>
      <c r="B4386" s="56"/>
      <c r="C4386" s="57" t="s">
        <v>2346</v>
      </c>
      <c r="D4386" s="58" t="s">
        <v>15</v>
      </c>
      <c r="E4386" s="241" t="s">
        <v>4706</v>
      </c>
      <c r="F4386" s="120" t="s">
        <v>4415</v>
      </c>
      <c r="G4386" s="155">
        <v>1.6233523E7</v>
      </c>
      <c r="H4386" s="9">
        <f t="shared" si="11"/>
        <v>3409039.83</v>
      </c>
      <c r="I4386" s="44">
        <v>194802.28</v>
      </c>
      <c r="J4386" s="44"/>
      <c r="K4386" s="10">
        <f t="shared" si="12"/>
        <v>19837365.11</v>
      </c>
      <c r="L4386" s="61"/>
      <c r="M4386" s="62"/>
    </row>
    <row r="4387" ht="15.75" customHeight="1">
      <c r="A4387" s="247">
        <v>46267.0</v>
      </c>
      <c r="B4387" s="50"/>
      <c r="C4387" s="31" t="s">
        <v>2346</v>
      </c>
      <c r="D4387" s="32" t="s">
        <v>15</v>
      </c>
      <c r="E4387" s="32" t="s">
        <v>4707</v>
      </c>
      <c r="F4387" s="107" t="s">
        <v>4415</v>
      </c>
      <c r="G4387" s="54">
        <v>2.72253352E7</v>
      </c>
      <c r="H4387" s="14">
        <f t="shared" si="11"/>
        <v>5717320.392</v>
      </c>
      <c r="I4387" s="22">
        <v>816760.06</v>
      </c>
      <c r="J4387" s="22">
        <v>326704.02</v>
      </c>
      <c r="K4387" s="15">
        <f t="shared" si="12"/>
        <v>34086119.67</v>
      </c>
      <c r="L4387" s="45"/>
      <c r="M4387" s="6"/>
    </row>
    <row r="4388" ht="15.75" customHeight="1">
      <c r="A4388" s="247">
        <v>46267.0</v>
      </c>
      <c r="B4388" s="50"/>
      <c r="C4388" s="31" t="s">
        <v>2221</v>
      </c>
      <c r="D4388" s="32" t="s">
        <v>15</v>
      </c>
      <c r="E4388" s="32" t="s">
        <v>4708</v>
      </c>
      <c r="F4388" s="107" t="s">
        <v>4415</v>
      </c>
      <c r="G4388" s="207">
        <v>1.07362719E7</v>
      </c>
      <c r="H4388" s="14">
        <f t="shared" si="11"/>
        <v>2254617.099</v>
      </c>
      <c r="I4388" s="22">
        <v>322088.16</v>
      </c>
      <c r="J4388" s="22"/>
      <c r="K4388" s="15">
        <f t="shared" si="12"/>
        <v>13312977.16</v>
      </c>
      <c r="L4388" s="45"/>
      <c r="M4388" s="6"/>
    </row>
    <row r="4389" ht="15.75" customHeight="1">
      <c r="A4389" s="247">
        <v>46267.0</v>
      </c>
      <c r="B4389" s="50"/>
      <c r="C4389" s="31" t="s">
        <v>2221</v>
      </c>
      <c r="D4389" s="32" t="s">
        <v>15</v>
      </c>
      <c r="E4389" s="32" t="s">
        <v>4709</v>
      </c>
      <c r="F4389" s="107" t="s">
        <v>4415</v>
      </c>
      <c r="G4389" s="207">
        <v>9599627.4</v>
      </c>
      <c r="H4389" s="14">
        <f t="shared" si="11"/>
        <v>2015921.754</v>
      </c>
      <c r="I4389" s="22">
        <v>287988.82</v>
      </c>
      <c r="J4389" s="22"/>
      <c r="K4389" s="15">
        <f t="shared" si="12"/>
        <v>11903537.97</v>
      </c>
      <c r="L4389" s="45"/>
      <c r="M4389" s="6"/>
    </row>
    <row r="4390" ht="15.75" customHeight="1">
      <c r="A4390" s="247">
        <v>46267.0</v>
      </c>
      <c r="B4390" s="50"/>
      <c r="C4390" s="31" t="s">
        <v>1112</v>
      </c>
      <c r="D4390" s="32" t="s">
        <v>99</v>
      </c>
      <c r="E4390" s="32" t="s">
        <v>4710</v>
      </c>
      <c r="F4390" s="246">
        <v>46291.0</v>
      </c>
      <c r="G4390" s="54">
        <v>1.512168E7</v>
      </c>
      <c r="H4390" s="14">
        <f t="shared" si="11"/>
        <v>3175552.8</v>
      </c>
      <c r="I4390" s="22"/>
      <c r="J4390" s="22">
        <v>1512.17</v>
      </c>
      <c r="K4390" s="15">
        <f t="shared" si="12"/>
        <v>18298744.97</v>
      </c>
      <c r="L4390" s="45"/>
      <c r="M4390" s="6"/>
    </row>
    <row r="4391" ht="15.75" customHeight="1">
      <c r="A4391" s="247">
        <v>46267.0</v>
      </c>
      <c r="B4391" s="50"/>
      <c r="C4391" s="31" t="s">
        <v>1112</v>
      </c>
      <c r="D4391" s="32" t="s">
        <v>99</v>
      </c>
      <c r="E4391" s="32" t="s">
        <v>4711</v>
      </c>
      <c r="F4391" s="246">
        <v>46291.0</v>
      </c>
      <c r="G4391" s="54">
        <v>1.533646E7</v>
      </c>
      <c r="H4391" s="14">
        <f t="shared" si="11"/>
        <v>3220656.6</v>
      </c>
      <c r="I4391" s="22"/>
      <c r="J4391" s="22">
        <v>1533.65</v>
      </c>
      <c r="K4391" s="15">
        <f t="shared" si="12"/>
        <v>18558650.25</v>
      </c>
      <c r="L4391" s="45"/>
      <c r="M4391" s="6"/>
    </row>
    <row r="4392" ht="15.75" customHeight="1">
      <c r="A4392" s="247">
        <v>46267.0</v>
      </c>
      <c r="B4392" s="50"/>
      <c r="C4392" s="31" t="s">
        <v>1112</v>
      </c>
      <c r="D4392" s="32" t="s">
        <v>99</v>
      </c>
      <c r="E4392" s="32" t="s">
        <v>4712</v>
      </c>
      <c r="F4392" s="246">
        <v>46291.0</v>
      </c>
      <c r="G4392" s="54">
        <v>1.493558E7</v>
      </c>
      <c r="H4392" s="14">
        <f t="shared" si="11"/>
        <v>3136471.8</v>
      </c>
      <c r="I4392" s="22"/>
      <c r="J4392" s="22">
        <v>1493.56</v>
      </c>
      <c r="K4392" s="15">
        <f t="shared" si="12"/>
        <v>18073545.36</v>
      </c>
      <c r="L4392" s="45"/>
      <c r="M4392" s="6"/>
    </row>
    <row r="4393" ht="15.75" customHeight="1">
      <c r="A4393" s="247">
        <v>46267.0</v>
      </c>
      <c r="B4393" s="50"/>
      <c r="C4393" s="31" t="s">
        <v>1112</v>
      </c>
      <c r="D4393" s="32" t="s">
        <v>99</v>
      </c>
      <c r="E4393" s="32" t="s">
        <v>4713</v>
      </c>
      <c r="F4393" s="246">
        <v>46291.0</v>
      </c>
      <c r="G4393" s="54">
        <v>1.465137E7</v>
      </c>
      <c r="H4393" s="14">
        <f t="shared" si="11"/>
        <v>3076787.7</v>
      </c>
      <c r="I4393" s="22"/>
      <c r="J4393" s="22">
        <v>1465.14</v>
      </c>
      <c r="K4393" s="15">
        <f t="shared" si="12"/>
        <v>17729622.84</v>
      </c>
      <c r="L4393" s="45"/>
      <c r="M4393" s="6"/>
    </row>
    <row r="4394" ht="15.75" customHeight="1">
      <c r="A4394" s="247">
        <v>46267.0</v>
      </c>
      <c r="B4394" s="50"/>
      <c r="C4394" s="31" t="s">
        <v>1112</v>
      </c>
      <c r="D4394" s="32" t="s">
        <v>15</v>
      </c>
      <c r="E4394" s="32" t="s">
        <v>4714</v>
      </c>
      <c r="F4394" s="246">
        <v>46291.0</v>
      </c>
      <c r="G4394" s="54">
        <v>1.534837E7</v>
      </c>
      <c r="H4394" s="14">
        <f t="shared" si="11"/>
        <v>3223157.7</v>
      </c>
      <c r="I4394" s="22"/>
      <c r="J4394" s="22">
        <v>1534.84</v>
      </c>
      <c r="K4394" s="15">
        <f t="shared" si="12"/>
        <v>18573062.54</v>
      </c>
      <c r="L4394" s="45"/>
      <c r="M4394" s="6"/>
    </row>
    <row r="4395" ht="15.75" customHeight="1">
      <c r="A4395" s="247">
        <v>46267.0</v>
      </c>
      <c r="B4395" s="50"/>
      <c r="C4395" s="31" t="s">
        <v>1112</v>
      </c>
      <c r="D4395" s="32" t="s">
        <v>15</v>
      </c>
      <c r="E4395" s="32" t="s">
        <v>4715</v>
      </c>
      <c r="F4395" s="246">
        <v>46291.0</v>
      </c>
      <c r="G4395" s="54">
        <v>1.535268E7</v>
      </c>
      <c r="H4395" s="14">
        <f t="shared" si="11"/>
        <v>3224062.8</v>
      </c>
      <c r="I4395" s="22"/>
      <c r="J4395" s="22">
        <v>1535.27</v>
      </c>
      <c r="K4395" s="15">
        <f t="shared" si="12"/>
        <v>18578278.07</v>
      </c>
      <c r="L4395" s="45"/>
      <c r="M4395" s="6"/>
    </row>
    <row r="4396" ht="15.75" customHeight="1">
      <c r="A4396" s="247">
        <v>46267.0</v>
      </c>
      <c r="B4396" s="50"/>
      <c r="C4396" s="31" t="s">
        <v>1112</v>
      </c>
      <c r="D4396" s="32" t="s">
        <v>15</v>
      </c>
      <c r="E4396" s="31" t="s">
        <v>4716</v>
      </c>
      <c r="F4396" s="246">
        <v>46291.0</v>
      </c>
      <c r="G4396" s="54">
        <v>1.464078E7</v>
      </c>
      <c r="H4396" s="14">
        <f t="shared" si="11"/>
        <v>3074563.8</v>
      </c>
      <c r="I4396" s="22"/>
      <c r="J4396" s="22">
        <v>1464.08</v>
      </c>
      <c r="K4396" s="15">
        <f t="shared" si="12"/>
        <v>17716807.88</v>
      </c>
      <c r="L4396" s="45"/>
      <c r="M4396" s="6"/>
    </row>
    <row r="4397" ht="15.75" customHeight="1">
      <c r="A4397" s="247">
        <v>46267.0</v>
      </c>
      <c r="B4397" s="50"/>
      <c r="C4397" s="31" t="s">
        <v>1112</v>
      </c>
      <c r="D4397" s="32" t="s">
        <v>15</v>
      </c>
      <c r="E4397" s="32" t="s">
        <v>4717</v>
      </c>
      <c r="F4397" s="246">
        <v>46291.0</v>
      </c>
      <c r="G4397" s="54">
        <v>1.472267E7</v>
      </c>
      <c r="H4397" s="14">
        <f t="shared" si="11"/>
        <v>3091760.7</v>
      </c>
      <c r="I4397" s="22"/>
      <c r="J4397" s="22">
        <v>1472.27</v>
      </c>
      <c r="K4397" s="15">
        <f t="shared" si="12"/>
        <v>17815902.97</v>
      </c>
      <c r="L4397" s="45"/>
      <c r="M4397" s="6"/>
    </row>
    <row r="4398" ht="15.75" customHeight="1">
      <c r="A4398" s="247">
        <v>46268.0</v>
      </c>
      <c r="B4398" s="50"/>
      <c r="C4398" s="31" t="s">
        <v>2221</v>
      </c>
      <c r="D4398" s="32" t="s">
        <v>15</v>
      </c>
      <c r="E4398" s="32" t="s">
        <v>4718</v>
      </c>
      <c r="F4398" s="107" t="s">
        <v>4415</v>
      </c>
      <c r="G4398" s="207">
        <v>7140316.06</v>
      </c>
      <c r="H4398" s="14">
        <f t="shared" si="11"/>
        <v>1499466.373</v>
      </c>
      <c r="I4398" s="22">
        <v>214209.48</v>
      </c>
      <c r="J4398" s="22"/>
      <c r="K4398" s="15">
        <f t="shared" si="12"/>
        <v>8853991.913</v>
      </c>
      <c r="L4398" s="45"/>
      <c r="M4398" s="6"/>
    </row>
    <row r="4399" ht="15.75" customHeight="1">
      <c r="A4399" s="247">
        <v>46268.0</v>
      </c>
      <c r="B4399" s="50"/>
      <c r="C4399" s="31" t="s">
        <v>4719</v>
      </c>
      <c r="D4399" s="32" t="s">
        <v>15</v>
      </c>
      <c r="E4399" s="32" t="s">
        <v>4720</v>
      </c>
      <c r="F4399" s="107" t="s">
        <v>4415</v>
      </c>
      <c r="G4399" s="207">
        <v>1.780283329E7</v>
      </c>
      <c r="H4399" s="14">
        <f t="shared" si="11"/>
        <v>3738594.991</v>
      </c>
      <c r="I4399" s="22"/>
      <c r="J4399" s="22">
        <v>8901.42</v>
      </c>
      <c r="K4399" s="15">
        <f t="shared" si="12"/>
        <v>21550329.7</v>
      </c>
      <c r="L4399" s="45"/>
      <c r="M4399" s="6"/>
    </row>
    <row r="4400" ht="15.75" customHeight="1">
      <c r="A4400" s="247">
        <v>46268.0</v>
      </c>
      <c r="B4400" s="50"/>
      <c r="C4400" s="31" t="s">
        <v>2221</v>
      </c>
      <c r="D4400" s="32" t="s">
        <v>15</v>
      </c>
      <c r="E4400" s="32" t="s">
        <v>4721</v>
      </c>
      <c r="F4400" s="107" t="s">
        <v>4415</v>
      </c>
      <c r="G4400" s="207">
        <v>6317844.68</v>
      </c>
      <c r="H4400" s="14">
        <f t="shared" si="11"/>
        <v>1326747.383</v>
      </c>
      <c r="I4400" s="22">
        <v>189535.34</v>
      </c>
      <c r="J4400" s="22"/>
      <c r="K4400" s="15">
        <f t="shared" si="12"/>
        <v>7834127.403</v>
      </c>
      <c r="L4400" s="45"/>
      <c r="M4400" s="6"/>
    </row>
    <row r="4401" ht="15.75" customHeight="1">
      <c r="A4401" s="247">
        <v>46268.0</v>
      </c>
      <c r="B4401" s="50"/>
      <c r="C4401" s="31" t="s">
        <v>4719</v>
      </c>
      <c r="D4401" s="32" t="s">
        <v>15</v>
      </c>
      <c r="E4401" s="32" t="s">
        <v>4722</v>
      </c>
      <c r="F4401" s="107" t="s">
        <v>4415</v>
      </c>
      <c r="G4401" s="207">
        <v>2.379011156E7</v>
      </c>
      <c r="H4401" s="14">
        <f t="shared" si="11"/>
        <v>4995923.428</v>
      </c>
      <c r="I4401" s="22"/>
      <c r="J4401" s="22">
        <v>11895.06</v>
      </c>
      <c r="K4401" s="15">
        <f t="shared" si="12"/>
        <v>28797930.05</v>
      </c>
      <c r="L4401" s="45"/>
      <c r="M4401" s="6"/>
    </row>
    <row r="4402" ht="15.75" customHeight="1">
      <c r="A4402" s="247">
        <v>46268.0</v>
      </c>
      <c r="B4402" s="50"/>
      <c r="C4402" s="31" t="s">
        <v>3973</v>
      </c>
      <c r="D4402" s="32" t="s">
        <v>15</v>
      </c>
      <c r="E4402" s="32" t="s">
        <v>4723</v>
      </c>
      <c r="F4402" s="107" t="s">
        <v>4415</v>
      </c>
      <c r="G4402" s="207">
        <v>6726121.56</v>
      </c>
      <c r="H4402" s="14">
        <f t="shared" si="11"/>
        <v>1412485.528</v>
      </c>
      <c r="I4402" s="22">
        <v>201783.65</v>
      </c>
      <c r="J4402" s="22"/>
      <c r="K4402" s="15">
        <f t="shared" si="12"/>
        <v>8340390.738</v>
      </c>
      <c r="L4402" s="45"/>
      <c r="M4402" s="6"/>
    </row>
    <row r="4403" ht="15.75" customHeight="1">
      <c r="A4403" s="247">
        <v>46268.0</v>
      </c>
      <c r="B4403" s="50"/>
      <c r="C4403" s="31" t="s">
        <v>4719</v>
      </c>
      <c r="D4403" s="32" t="s">
        <v>15</v>
      </c>
      <c r="E4403" s="32" t="s">
        <v>4724</v>
      </c>
      <c r="F4403" s="107" t="s">
        <v>4415</v>
      </c>
      <c r="G4403" s="207">
        <v>1.283376212E7</v>
      </c>
      <c r="H4403" s="14">
        <f t="shared" si="11"/>
        <v>2695090.045</v>
      </c>
      <c r="I4403" s="22"/>
      <c r="J4403" s="22">
        <v>6416.88</v>
      </c>
      <c r="K4403" s="15">
        <f t="shared" si="12"/>
        <v>15535269.05</v>
      </c>
      <c r="L4403" s="45"/>
      <c r="M4403" s="6"/>
    </row>
    <row r="4404" ht="15.75" customHeight="1">
      <c r="A4404" s="247">
        <v>46268.0</v>
      </c>
      <c r="B4404" s="50"/>
      <c r="C4404" s="31" t="s">
        <v>3973</v>
      </c>
      <c r="D4404" s="32" t="s">
        <v>15</v>
      </c>
      <c r="E4404" s="32" t="s">
        <v>4725</v>
      </c>
      <c r="F4404" s="107" t="s">
        <v>4415</v>
      </c>
      <c r="G4404" s="207">
        <v>6974298.71</v>
      </c>
      <c r="H4404" s="14">
        <f t="shared" si="11"/>
        <v>1464602.729</v>
      </c>
      <c r="I4404" s="22">
        <v>209228.96</v>
      </c>
      <c r="J4404" s="22"/>
      <c r="K4404" s="15">
        <f t="shared" si="12"/>
        <v>8648130.399</v>
      </c>
      <c r="L4404" s="45"/>
      <c r="M4404" s="6"/>
    </row>
    <row r="4405" ht="15.75" customHeight="1">
      <c r="A4405" s="247">
        <v>46268.0</v>
      </c>
      <c r="B4405" s="50"/>
      <c r="C4405" s="31" t="s">
        <v>4719</v>
      </c>
      <c r="D4405" s="32" t="s">
        <v>15</v>
      </c>
      <c r="E4405" s="32" t="s">
        <v>4726</v>
      </c>
      <c r="F4405" s="107" t="s">
        <v>4415</v>
      </c>
      <c r="G4405" s="207">
        <v>2.557329417E7</v>
      </c>
      <c r="H4405" s="14">
        <f t="shared" si="11"/>
        <v>5370391.776</v>
      </c>
      <c r="I4405" s="22"/>
      <c r="J4405" s="22">
        <v>12786.65</v>
      </c>
      <c r="K4405" s="15">
        <f t="shared" si="12"/>
        <v>30956472.6</v>
      </c>
      <c r="L4405" s="45"/>
      <c r="M4405" s="6"/>
    </row>
    <row r="4406" ht="15.75" customHeight="1">
      <c r="A4406" s="247">
        <v>46268.0</v>
      </c>
      <c r="B4406" s="50"/>
      <c r="C4406" s="31" t="s">
        <v>3973</v>
      </c>
      <c r="D4406" s="32" t="s">
        <v>15</v>
      </c>
      <c r="E4406" s="32" t="s">
        <v>4727</v>
      </c>
      <c r="F4406" s="107" t="s">
        <v>4415</v>
      </c>
      <c r="G4406" s="207">
        <v>6016004.41</v>
      </c>
      <c r="H4406" s="14">
        <f t="shared" si="11"/>
        <v>1263360.926</v>
      </c>
      <c r="I4406" s="22"/>
      <c r="J4406" s="22"/>
      <c r="K4406" s="15">
        <f t="shared" si="12"/>
        <v>7279365.336</v>
      </c>
      <c r="L4406" s="45"/>
      <c r="M4406" s="6"/>
    </row>
    <row r="4407" ht="15.75" customHeight="1">
      <c r="A4407" s="247">
        <v>46268.0</v>
      </c>
      <c r="B4407" s="50"/>
      <c r="C4407" s="31" t="s">
        <v>3973</v>
      </c>
      <c r="D4407" s="32" t="s">
        <v>15</v>
      </c>
      <c r="E4407" s="32" t="s">
        <v>4728</v>
      </c>
      <c r="F4407" s="107" t="s">
        <v>4415</v>
      </c>
      <c r="G4407" s="207">
        <v>7136807.74</v>
      </c>
      <c r="H4407" s="14">
        <f t="shared" si="11"/>
        <v>1498729.625</v>
      </c>
      <c r="I4407" s="22">
        <v>214104.23</v>
      </c>
      <c r="J4407" s="22"/>
      <c r="K4407" s="15">
        <f t="shared" si="12"/>
        <v>8849641.595</v>
      </c>
      <c r="L4407" s="45"/>
      <c r="M4407" s="6"/>
    </row>
    <row r="4408" ht="15.75" customHeight="1">
      <c r="A4408" s="248">
        <v>46268.0</v>
      </c>
      <c r="B4408" s="56"/>
      <c r="C4408" s="57" t="s">
        <v>4729</v>
      </c>
      <c r="D4408" s="58" t="s">
        <v>15</v>
      </c>
      <c r="E4408" s="58" t="s">
        <v>4730</v>
      </c>
      <c r="F4408" s="120" t="s">
        <v>4415</v>
      </c>
      <c r="G4408" s="206">
        <v>1211550.08</v>
      </c>
      <c r="H4408" s="9">
        <f t="shared" si="11"/>
        <v>254425.5168</v>
      </c>
      <c r="I4408" s="44"/>
      <c r="J4408" s="44"/>
      <c r="K4408" s="10">
        <f t="shared" si="12"/>
        <v>1465975.597</v>
      </c>
      <c r="L4408" s="61"/>
      <c r="M4408" s="62"/>
    </row>
    <row r="4409" ht="15.75" customHeight="1">
      <c r="A4409" s="248">
        <v>46268.0</v>
      </c>
      <c r="B4409" s="56"/>
      <c r="C4409" s="57" t="s">
        <v>4729</v>
      </c>
      <c r="D4409" s="58" t="s">
        <v>15</v>
      </c>
      <c r="E4409" s="58" t="s">
        <v>4731</v>
      </c>
      <c r="F4409" s="120" t="s">
        <v>4415</v>
      </c>
      <c r="G4409" s="206">
        <v>2123676.8</v>
      </c>
      <c r="H4409" s="9">
        <f t="shared" si="11"/>
        <v>445972.128</v>
      </c>
      <c r="I4409" s="44"/>
      <c r="J4409" s="44"/>
      <c r="K4409" s="10">
        <f t="shared" si="12"/>
        <v>2569648.928</v>
      </c>
      <c r="L4409" s="61"/>
      <c r="M4409" s="62"/>
    </row>
    <row r="4410" ht="15.75" customHeight="1">
      <c r="A4410" s="248">
        <v>46268.0</v>
      </c>
      <c r="B4410" s="56"/>
      <c r="C4410" s="57" t="s">
        <v>4729</v>
      </c>
      <c r="D4410" s="58" t="s">
        <v>15</v>
      </c>
      <c r="E4410" s="58" t="s">
        <v>4732</v>
      </c>
      <c r="F4410" s="120" t="s">
        <v>4415</v>
      </c>
      <c r="G4410" s="206">
        <v>3682460.59</v>
      </c>
      <c r="H4410" s="9">
        <f t="shared" si="11"/>
        <v>773316.7239</v>
      </c>
      <c r="I4410" s="44"/>
      <c r="J4410" s="44">
        <v>58919.37</v>
      </c>
      <c r="K4410" s="10">
        <f t="shared" si="12"/>
        <v>4514696.684</v>
      </c>
      <c r="L4410" s="61"/>
      <c r="M4410" s="62"/>
    </row>
    <row r="4411" ht="15.75" customHeight="1">
      <c r="A4411" s="247">
        <v>46268.0</v>
      </c>
      <c r="B4411" s="50"/>
      <c r="C4411" s="31" t="s">
        <v>4719</v>
      </c>
      <c r="D4411" s="32" t="s">
        <v>99</v>
      </c>
      <c r="E4411" s="32" t="s">
        <v>3291</v>
      </c>
      <c r="F4411" s="107" t="s">
        <v>4415</v>
      </c>
      <c r="G4411" s="207">
        <v>1.193322312E7</v>
      </c>
      <c r="H4411" s="14">
        <f t="shared" si="11"/>
        <v>2505976.855</v>
      </c>
      <c r="I4411" s="22">
        <v>5966.61</v>
      </c>
      <c r="J4411" s="22"/>
      <c r="K4411" s="15">
        <f t="shared" si="12"/>
        <v>14445166.59</v>
      </c>
      <c r="L4411" s="45"/>
      <c r="M4411" s="6"/>
    </row>
    <row r="4412" ht="15.75" customHeight="1">
      <c r="A4412" s="247">
        <v>46268.0</v>
      </c>
      <c r="B4412" s="50"/>
      <c r="C4412" s="31" t="s">
        <v>4719</v>
      </c>
      <c r="D4412" s="32" t="s">
        <v>99</v>
      </c>
      <c r="E4412" s="32" t="s">
        <v>4733</v>
      </c>
      <c r="F4412" s="107" t="s">
        <v>4415</v>
      </c>
      <c r="G4412" s="207">
        <v>9822093.08</v>
      </c>
      <c r="H4412" s="14">
        <f t="shared" si="11"/>
        <v>2062639.547</v>
      </c>
      <c r="I4412" s="22"/>
      <c r="J4412" s="22">
        <v>4911.05</v>
      </c>
      <c r="K4412" s="15">
        <f t="shared" si="12"/>
        <v>11889643.68</v>
      </c>
      <c r="L4412" s="45"/>
      <c r="M4412" s="6"/>
    </row>
    <row r="4413" ht="15.75" customHeight="1">
      <c r="A4413" s="247">
        <v>46268.0</v>
      </c>
      <c r="B4413" s="50"/>
      <c r="C4413" s="31" t="s">
        <v>4719</v>
      </c>
      <c r="D4413" s="32" t="s">
        <v>99</v>
      </c>
      <c r="E4413" s="32" t="s">
        <v>4734</v>
      </c>
      <c r="F4413" s="107" t="s">
        <v>4415</v>
      </c>
      <c r="G4413" s="207">
        <v>9381733.52</v>
      </c>
      <c r="H4413" s="14">
        <f t="shared" si="11"/>
        <v>1970164.039</v>
      </c>
      <c r="I4413" s="22"/>
      <c r="J4413" s="22">
        <v>4690.87</v>
      </c>
      <c r="K4413" s="15">
        <f t="shared" si="12"/>
        <v>11356588.43</v>
      </c>
      <c r="L4413" s="45"/>
      <c r="M4413" s="6"/>
    </row>
    <row r="4414" ht="15.75" customHeight="1">
      <c r="A4414" s="247">
        <v>46268.0</v>
      </c>
      <c r="B4414" s="50"/>
      <c r="C4414" s="31" t="s">
        <v>434</v>
      </c>
      <c r="D4414" s="32" t="s">
        <v>15</v>
      </c>
      <c r="E4414" s="32" t="s">
        <v>4735</v>
      </c>
      <c r="F4414" s="107" t="s">
        <v>4415</v>
      </c>
      <c r="G4414" s="207">
        <v>1.4995458E7</v>
      </c>
      <c r="H4414" s="14">
        <f t="shared" si="11"/>
        <v>3149046.18</v>
      </c>
      <c r="I4414" s="22">
        <v>449863.74</v>
      </c>
      <c r="J4414" s="22">
        <v>119963.66</v>
      </c>
      <c r="K4414" s="15">
        <f t="shared" si="12"/>
        <v>18714331.58</v>
      </c>
      <c r="L4414" s="45"/>
      <c r="M4414" s="24">
        <v>46288.0</v>
      </c>
    </row>
    <row r="4415" ht="15.75" customHeight="1">
      <c r="A4415" s="247">
        <v>46268.0</v>
      </c>
      <c r="B4415" s="50"/>
      <c r="C4415" s="31" t="s">
        <v>434</v>
      </c>
      <c r="D4415" s="32" t="s">
        <v>15</v>
      </c>
      <c r="E4415" s="32" t="s">
        <v>4736</v>
      </c>
      <c r="F4415" s="107" t="s">
        <v>4415</v>
      </c>
      <c r="G4415" s="207">
        <v>1.201136017E7</v>
      </c>
      <c r="H4415" s="14">
        <f t="shared" si="11"/>
        <v>2522385.636</v>
      </c>
      <c r="I4415" s="22"/>
      <c r="J4415" s="22">
        <v>96090.88</v>
      </c>
      <c r="K4415" s="15">
        <f t="shared" si="12"/>
        <v>14629836.69</v>
      </c>
      <c r="L4415" s="45"/>
      <c r="M4415" s="6"/>
    </row>
    <row r="4416" ht="15.75" customHeight="1">
      <c r="A4416" s="247">
        <v>46268.0</v>
      </c>
      <c r="B4416" s="50"/>
      <c r="C4416" s="31" t="s">
        <v>434</v>
      </c>
      <c r="D4416" s="32" t="s">
        <v>15</v>
      </c>
      <c r="E4416" s="32" t="s">
        <v>4737</v>
      </c>
      <c r="F4416" s="107" t="s">
        <v>4415</v>
      </c>
      <c r="G4416" s="207">
        <v>1.3012571E7</v>
      </c>
      <c r="H4416" s="14">
        <f t="shared" si="11"/>
        <v>2732639.91</v>
      </c>
      <c r="I4416" s="22">
        <v>390377.13</v>
      </c>
      <c r="J4416" s="22">
        <v>104100.57</v>
      </c>
      <c r="K4416" s="15">
        <f t="shared" si="12"/>
        <v>16239688.61</v>
      </c>
      <c r="L4416" s="45"/>
      <c r="M4416" s="6"/>
    </row>
    <row r="4417" ht="15.75" customHeight="1">
      <c r="A4417" s="248">
        <v>46268.0</v>
      </c>
      <c r="B4417" s="56"/>
      <c r="C4417" s="57" t="s">
        <v>1980</v>
      </c>
      <c r="D4417" s="58" t="s">
        <v>99</v>
      </c>
      <c r="E4417" s="58" t="s">
        <v>4738</v>
      </c>
      <c r="F4417" s="120" t="s">
        <v>4415</v>
      </c>
      <c r="G4417" s="206">
        <v>1.18202E7</v>
      </c>
      <c r="H4417" s="9">
        <f t="shared" si="11"/>
        <v>2482242</v>
      </c>
      <c r="I4417" s="44"/>
      <c r="J4417" s="44">
        <v>591010.0</v>
      </c>
      <c r="K4417" s="10">
        <f t="shared" si="12"/>
        <v>14893452</v>
      </c>
      <c r="L4417" s="61"/>
      <c r="M4417" s="62"/>
    </row>
    <row r="4418" ht="15.75" customHeight="1">
      <c r="A4418" s="247">
        <v>46268.0</v>
      </c>
      <c r="B4418" s="50"/>
      <c r="C4418" s="31" t="s">
        <v>1980</v>
      </c>
      <c r="D4418" s="32" t="s">
        <v>15</v>
      </c>
      <c r="E4418" s="32" t="s">
        <v>4739</v>
      </c>
      <c r="F4418" s="107" t="s">
        <v>4415</v>
      </c>
      <c r="G4418" s="207">
        <v>7102200.0</v>
      </c>
      <c r="H4418" s="14">
        <f t="shared" si="11"/>
        <v>1491462</v>
      </c>
      <c r="I4418" s="22"/>
      <c r="J4418" s="22">
        <v>355110.0</v>
      </c>
      <c r="K4418" s="15">
        <f t="shared" si="12"/>
        <v>8948772</v>
      </c>
      <c r="L4418" s="45"/>
      <c r="M4418" s="6"/>
    </row>
    <row r="4419" ht="15.75" customHeight="1">
      <c r="A4419" s="247">
        <v>46268.0</v>
      </c>
      <c r="B4419" s="50"/>
      <c r="C4419" s="31" t="s">
        <v>1980</v>
      </c>
      <c r="D4419" s="32" t="s">
        <v>15</v>
      </c>
      <c r="E4419" s="32" t="s">
        <v>4740</v>
      </c>
      <c r="F4419" s="107" t="s">
        <v>4415</v>
      </c>
      <c r="G4419" s="207">
        <v>1.01316E7</v>
      </c>
      <c r="H4419" s="14">
        <f t="shared" si="11"/>
        <v>2127636</v>
      </c>
      <c r="I4419" s="22"/>
      <c r="J4419" s="22">
        <v>506580.0</v>
      </c>
      <c r="K4419" s="15">
        <f t="shared" si="12"/>
        <v>12765816</v>
      </c>
      <c r="L4419" s="45"/>
      <c r="M4419" s="6"/>
    </row>
    <row r="4420" ht="15.75" customHeight="1">
      <c r="A4420" s="247">
        <v>46268.0</v>
      </c>
      <c r="B4420" s="50"/>
      <c r="C4420" s="31" t="s">
        <v>1980</v>
      </c>
      <c r="D4420" s="32" t="s">
        <v>15</v>
      </c>
      <c r="E4420" s="32" t="s">
        <v>4741</v>
      </c>
      <c r="F4420" s="107" t="s">
        <v>4415</v>
      </c>
      <c r="G4420" s="207">
        <v>9837600.0</v>
      </c>
      <c r="H4420" s="14">
        <f t="shared" si="11"/>
        <v>2065896</v>
      </c>
      <c r="I4420" s="22"/>
      <c r="J4420" s="22">
        <v>491880.0</v>
      </c>
      <c r="K4420" s="15">
        <f t="shared" si="12"/>
        <v>12395376</v>
      </c>
      <c r="L4420" s="45"/>
      <c r="M4420" s="6"/>
    </row>
    <row r="4421" ht="15.75" customHeight="1">
      <c r="A4421" s="247">
        <v>46268.0</v>
      </c>
      <c r="B4421" s="50"/>
      <c r="C4421" s="31" t="s">
        <v>64</v>
      </c>
      <c r="D4421" s="31" t="s">
        <v>1543</v>
      </c>
      <c r="E4421" s="32" t="s">
        <v>4742</v>
      </c>
      <c r="F4421" s="246">
        <v>46291.0</v>
      </c>
      <c r="G4421" s="207">
        <v>1.092136015E7</v>
      </c>
      <c r="H4421" s="14">
        <f t="shared" si="11"/>
        <v>2293485.632</v>
      </c>
      <c r="I4421" s="22"/>
      <c r="J4421" s="22"/>
      <c r="K4421" s="15">
        <f t="shared" si="12"/>
        <v>13214845.78</v>
      </c>
      <c r="L4421" s="45"/>
      <c r="M4421" s="6"/>
    </row>
    <row r="4422" ht="15.75" customHeight="1">
      <c r="A4422" s="247">
        <v>46268.0</v>
      </c>
      <c r="B4422" s="50"/>
      <c r="C4422" s="31" t="s">
        <v>397</v>
      </c>
      <c r="D4422" s="32" t="s">
        <v>15</v>
      </c>
      <c r="E4422" s="32" t="s">
        <v>4743</v>
      </c>
      <c r="F4422" s="107" t="s">
        <v>4415</v>
      </c>
      <c r="G4422" s="207">
        <v>7800264.0</v>
      </c>
      <c r="H4422" s="14">
        <f t="shared" si="11"/>
        <v>1638055.44</v>
      </c>
      <c r="I4422" s="22">
        <v>234007.92</v>
      </c>
      <c r="J4422" s="22">
        <v>39001.32</v>
      </c>
      <c r="K4422" s="15">
        <f t="shared" si="12"/>
        <v>9711328.68</v>
      </c>
      <c r="L4422" s="45"/>
      <c r="M4422" s="6"/>
    </row>
    <row r="4423" ht="15.75" customHeight="1">
      <c r="A4423" s="247">
        <v>46268.0</v>
      </c>
      <c r="B4423" s="50"/>
      <c r="C4423" s="31" t="s">
        <v>397</v>
      </c>
      <c r="D4423" s="32" t="s">
        <v>15</v>
      </c>
      <c r="E4423" s="32" t="s">
        <v>4744</v>
      </c>
      <c r="F4423" s="107" t="s">
        <v>4415</v>
      </c>
      <c r="G4423" s="207">
        <v>4500715.46</v>
      </c>
      <c r="H4423" s="14">
        <f t="shared" si="11"/>
        <v>945150.2466</v>
      </c>
      <c r="I4423" s="22"/>
      <c r="J4423" s="22">
        <v>22503.58</v>
      </c>
      <c r="K4423" s="15">
        <f t="shared" si="12"/>
        <v>5468369.287</v>
      </c>
      <c r="L4423" s="45"/>
      <c r="M4423" s="6"/>
    </row>
    <row r="4424" ht="15.75" customHeight="1">
      <c r="A4424" s="247">
        <v>46268.0</v>
      </c>
      <c r="B4424" s="50"/>
      <c r="C4424" s="31" t="s">
        <v>397</v>
      </c>
      <c r="D4424" s="32" t="s">
        <v>15</v>
      </c>
      <c r="E4424" s="32" t="s">
        <v>4745</v>
      </c>
      <c r="F4424" s="107" t="s">
        <v>4415</v>
      </c>
      <c r="G4424" s="207">
        <v>5001519.6</v>
      </c>
      <c r="H4424" s="14">
        <f t="shared" si="11"/>
        <v>1050319.116</v>
      </c>
      <c r="I4424" s="22">
        <v>150045.59</v>
      </c>
      <c r="J4424" s="22">
        <v>25007.6</v>
      </c>
      <c r="K4424" s="15">
        <f t="shared" si="12"/>
        <v>6226891.906</v>
      </c>
      <c r="L4424" s="45"/>
      <c r="M4424" s="6"/>
    </row>
    <row r="4425" ht="15.75" customHeight="1">
      <c r="A4425" s="247">
        <v>46268.0</v>
      </c>
      <c r="B4425" s="50"/>
      <c r="C4425" s="31" t="s">
        <v>64</v>
      </c>
      <c r="D4425" s="32" t="s">
        <v>15</v>
      </c>
      <c r="E4425" s="31" t="s">
        <v>4746</v>
      </c>
      <c r="F4425" s="246">
        <v>46291.0</v>
      </c>
      <c r="G4425" s="54">
        <v>3.510136056E7</v>
      </c>
      <c r="H4425" s="14">
        <f t="shared" si="11"/>
        <v>7371285.718</v>
      </c>
      <c r="I4425" s="22"/>
      <c r="J4425" s="22"/>
      <c r="K4425" s="15">
        <f t="shared" si="12"/>
        <v>42472646.28</v>
      </c>
      <c r="L4425" s="45"/>
      <c r="M4425" s="6"/>
    </row>
    <row r="4426" ht="15.75" customHeight="1">
      <c r="A4426" s="247">
        <v>46268.0</v>
      </c>
      <c r="B4426" s="50"/>
      <c r="C4426" s="31" t="s">
        <v>64</v>
      </c>
      <c r="D4426" s="32" t="s">
        <v>99</v>
      </c>
      <c r="E4426" s="31" t="s">
        <v>4747</v>
      </c>
      <c r="F4426" s="246">
        <v>46291.0</v>
      </c>
      <c r="G4426" s="54">
        <v>3.102246029E7</v>
      </c>
      <c r="H4426" s="14">
        <f t="shared" si="11"/>
        <v>6514716.661</v>
      </c>
      <c r="I4426" s="22">
        <v>930673.81</v>
      </c>
      <c r="J4426" s="22"/>
      <c r="K4426" s="15">
        <f t="shared" si="12"/>
        <v>38467850.76</v>
      </c>
      <c r="L4426" s="45"/>
      <c r="M4426" s="6"/>
    </row>
    <row r="4427" ht="15.75" customHeight="1">
      <c r="A4427" s="247">
        <v>46269.0</v>
      </c>
      <c r="B4427" s="50"/>
      <c r="C4427" s="31" t="s">
        <v>4748</v>
      </c>
      <c r="D4427" s="32" t="s">
        <v>15</v>
      </c>
      <c r="E4427" s="32" t="s">
        <v>4749</v>
      </c>
      <c r="F4427" s="107" t="s">
        <v>4415</v>
      </c>
      <c r="G4427" s="207">
        <v>2.572213034E7</v>
      </c>
      <c r="H4427" s="14">
        <f t="shared" si="11"/>
        <v>5401647.371</v>
      </c>
      <c r="I4427" s="22"/>
      <c r="J4427" s="22">
        <v>514442.61</v>
      </c>
      <c r="K4427" s="15">
        <f t="shared" si="12"/>
        <v>31638220.32</v>
      </c>
      <c r="L4427" s="45"/>
      <c r="M4427" s="6"/>
    </row>
    <row r="4428" ht="15.75" customHeight="1">
      <c r="A4428" s="247">
        <v>46269.0</v>
      </c>
      <c r="B4428" s="50"/>
      <c r="C4428" s="31" t="s">
        <v>4748</v>
      </c>
      <c r="D4428" s="32" t="s">
        <v>15</v>
      </c>
      <c r="E4428" s="32" t="s">
        <v>4750</v>
      </c>
      <c r="F4428" s="107" t="s">
        <v>4415</v>
      </c>
      <c r="G4428" s="207">
        <v>2.427786966E7</v>
      </c>
      <c r="H4428" s="14">
        <f t="shared" si="11"/>
        <v>5098352.629</v>
      </c>
      <c r="I4428" s="22"/>
      <c r="J4428" s="22">
        <v>485557.39</v>
      </c>
      <c r="K4428" s="15">
        <f t="shared" si="12"/>
        <v>29861779.68</v>
      </c>
      <c r="L4428" s="45"/>
      <c r="M4428" s="6"/>
    </row>
    <row r="4429" ht="15.75" customHeight="1">
      <c r="A4429" s="248">
        <v>46269.0</v>
      </c>
      <c r="B4429" s="56"/>
      <c r="C4429" s="57" t="s">
        <v>4751</v>
      </c>
      <c r="D4429" s="58" t="s">
        <v>15</v>
      </c>
      <c r="E4429" s="58" t="s">
        <v>4752</v>
      </c>
      <c r="F4429" s="120" t="s">
        <v>4415</v>
      </c>
      <c r="G4429" s="155">
        <v>5001230.26</v>
      </c>
      <c r="H4429" s="9">
        <f t="shared" si="11"/>
        <v>1050258.355</v>
      </c>
      <c r="I4429" s="44">
        <v>150036.91</v>
      </c>
      <c r="J4429" s="44">
        <v>35008.61</v>
      </c>
      <c r="K4429" s="10">
        <f t="shared" si="12"/>
        <v>6236534.135</v>
      </c>
      <c r="L4429" s="61"/>
      <c r="M4429" s="62"/>
    </row>
    <row r="4430" ht="15.75" customHeight="1">
      <c r="A4430" s="248">
        <v>46269.0</v>
      </c>
      <c r="B4430" s="56"/>
      <c r="C4430" s="57" t="s">
        <v>4753</v>
      </c>
      <c r="D4430" s="58" t="s">
        <v>15</v>
      </c>
      <c r="E4430" s="58" t="s">
        <v>4754</v>
      </c>
      <c r="F4430" s="120" t="s">
        <v>4415</v>
      </c>
      <c r="G4430" s="206">
        <v>6501239.13</v>
      </c>
      <c r="H4430" s="9">
        <f t="shared" si="11"/>
        <v>1365260.217</v>
      </c>
      <c r="I4430" s="44">
        <v>195037.17</v>
      </c>
      <c r="J4430" s="44">
        <v>260049.57</v>
      </c>
      <c r="K4430" s="10">
        <f t="shared" si="12"/>
        <v>8321586.087</v>
      </c>
      <c r="L4430" s="61"/>
      <c r="M4430" s="62"/>
    </row>
    <row r="4431" ht="15.75" customHeight="1">
      <c r="A4431" s="162">
        <v>46269.0</v>
      </c>
      <c r="B4431" s="50"/>
      <c r="C4431" s="31" t="s">
        <v>1842</v>
      </c>
      <c r="D4431" s="32" t="s">
        <v>99</v>
      </c>
      <c r="E4431" s="31" t="s">
        <v>4755</v>
      </c>
      <c r="F4431" s="246">
        <v>46291.0</v>
      </c>
      <c r="G4431" s="54">
        <v>3.261248E7</v>
      </c>
      <c r="H4431" s="14">
        <f t="shared" si="11"/>
        <v>6848620.8</v>
      </c>
      <c r="I4431" s="22"/>
      <c r="J4431" s="22">
        <v>228287.36</v>
      </c>
      <c r="K4431" s="15">
        <f t="shared" si="12"/>
        <v>39689388.16</v>
      </c>
      <c r="L4431" s="45"/>
      <c r="M4431" s="6"/>
    </row>
    <row r="4432" ht="15.75" customHeight="1">
      <c r="A4432" s="217">
        <v>46269.0</v>
      </c>
      <c r="B4432" s="56"/>
      <c r="C4432" s="57" t="s">
        <v>4464</v>
      </c>
      <c r="D4432" s="58" t="s">
        <v>99</v>
      </c>
      <c r="E4432" s="57" t="s">
        <v>4756</v>
      </c>
      <c r="F4432" s="212">
        <v>46291.0</v>
      </c>
      <c r="G4432" s="155">
        <v>3987423.26</v>
      </c>
      <c r="H4432" s="9">
        <f t="shared" si="11"/>
        <v>837358.8846</v>
      </c>
      <c r="I4432" s="44"/>
      <c r="J4432" s="44"/>
      <c r="K4432" s="10">
        <f t="shared" si="12"/>
        <v>4824782.145</v>
      </c>
      <c r="L4432" s="61"/>
      <c r="M4432" s="62"/>
    </row>
    <row r="4433" ht="15.75" customHeight="1">
      <c r="A4433" s="217">
        <v>46269.0</v>
      </c>
      <c r="B4433" s="56"/>
      <c r="C4433" s="57" t="s">
        <v>4464</v>
      </c>
      <c r="D4433" s="58" t="s">
        <v>99</v>
      </c>
      <c r="E4433" s="57" t="s">
        <v>4757</v>
      </c>
      <c r="F4433" s="212">
        <v>46291.0</v>
      </c>
      <c r="G4433" s="155">
        <v>4158963.08</v>
      </c>
      <c r="H4433" s="9">
        <f t="shared" si="11"/>
        <v>873382.2468</v>
      </c>
      <c r="I4433" s="44"/>
      <c r="J4433" s="44"/>
      <c r="K4433" s="10">
        <f t="shared" si="12"/>
        <v>5032345.327</v>
      </c>
      <c r="L4433" s="61"/>
      <c r="M4433" s="62"/>
    </row>
    <row r="4434" ht="15.75" customHeight="1">
      <c r="A4434" s="217">
        <v>46269.0</v>
      </c>
      <c r="B4434" s="56"/>
      <c r="C4434" s="57" t="s">
        <v>4464</v>
      </c>
      <c r="D4434" s="58" t="s">
        <v>99</v>
      </c>
      <c r="E4434" s="57" t="s">
        <v>4758</v>
      </c>
      <c r="F4434" s="212">
        <v>46291.0</v>
      </c>
      <c r="G4434" s="155">
        <v>3874130.29</v>
      </c>
      <c r="H4434" s="9">
        <f t="shared" si="11"/>
        <v>813567.3609</v>
      </c>
      <c r="I4434" s="44"/>
      <c r="J4434" s="44"/>
      <c r="K4434" s="10">
        <f t="shared" si="12"/>
        <v>4687697.651</v>
      </c>
      <c r="L4434" s="61"/>
      <c r="M4434" s="62"/>
    </row>
    <row r="4435" ht="15.75" customHeight="1">
      <c r="A4435" s="217">
        <v>46269.0</v>
      </c>
      <c r="B4435" s="56"/>
      <c r="C4435" s="57" t="s">
        <v>4464</v>
      </c>
      <c r="D4435" s="58" t="s">
        <v>99</v>
      </c>
      <c r="E4435" s="57" t="s">
        <v>4759</v>
      </c>
      <c r="F4435" s="212">
        <v>46291.0</v>
      </c>
      <c r="G4435" s="155">
        <v>3258791.29</v>
      </c>
      <c r="H4435" s="9">
        <f t="shared" si="11"/>
        <v>684346.1709</v>
      </c>
      <c r="I4435" s="44"/>
      <c r="J4435" s="44"/>
      <c r="K4435" s="10">
        <f t="shared" si="12"/>
        <v>3943137.461</v>
      </c>
      <c r="L4435" s="61"/>
      <c r="M4435" s="62"/>
    </row>
    <row r="4436" ht="15.75" customHeight="1">
      <c r="A4436" s="162">
        <v>46269.0</v>
      </c>
      <c r="B4436" s="50"/>
      <c r="C4436" s="31" t="s">
        <v>567</v>
      </c>
      <c r="D4436" s="32" t="s">
        <v>99</v>
      </c>
      <c r="E4436" s="31" t="s">
        <v>4760</v>
      </c>
      <c r="F4436" s="246">
        <v>46291.0</v>
      </c>
      <c r="G4436" s="54">
        <v>3.245011263E7</v>
      </c>
      <c r="H4436" s="14">
        <f t="shared" si="11"/>
        <v>6814523.652</v>
      </c>
      <c r="I4436" s="22"/>
      <c r="J4436" s="22"/>
      <c r="K4436" s="15">
        <f t="shared" si="12"/>
        <v>39264636.28</v>
      </c>
      <c r="L4436" s="45"/>
      <c r="M4436" s="6"/>
    </row>
    <row r="4437" ht="15.75" customHeight="1">
      <c r="A4437" s="162">
        <v>46269.0</v>
      </c>
      <c r="B4437" s="50"/>
      <c r="C4437" s="31" t="s">
        <v>567</v>
      </c>
      <c r="D4437" s="32" t="s">
        <v>99</v>
      </c>
      <c r="E4437" s="31" t="s">
        <v>4761</v>
      </c>
      <c r="F4437" s="246">
        <v>46291.0</v>
      </c>
      <c r="G4437" s="54">
        <v>1.980028032E7</v>
      </c>
      <c r="H4437" s="14">
        <f t="shared" si="11"/>
        <v>4158058.867</v>
      </c>
      <c r="I4437" s="22"/>
      <c r="J4437" s="22"/>
      <c r="K4437" s="15">
        <f t="shared" si="12"/>
        <v>23958339.19</v>
      </c>
      <c r="L4437" s="45"/>
      <c r="M4437" s="6"/>
    </row>
    <row r="4438" ht="15.75" customHeight="1">
      <c r="A4438" s="162">
        <v>46269.0</v>
      </c>
      <c r="B4438" s="50"/>
      <c r="C4438" s="31" t="s">
        <v>567</v>
      </c>
      <c r="D4438" s="32" t="s">
        <v>15</v>
      </c>
      <c r="E4438" s="31" t="s">
        <v>4762</v>
      </c>
      <c r="F4438" s="246">
        <v>46291.0</v>
      </c>
      <c r="G4438" s="54">
        <v>1.893021507E7</v>
      </c>
      <c r="H4438" s="14">
        <f t="shared" si="11"/>
        <v>3975345.165</v>
      </c>
      <c r="I4438" s="22"/>
      <c r="J4438" s="22"/>
      <c r="K4438" s="15">
        <f t="shared" si="12"/>
        <v>22905560.23</v>
      </c>
      <c r="L4438" s="45"/>
      <c r="M4438" s="6"/>
    </row>
    <row r="4439" ht="15.75" customHeight="1">
      <c r="A4439" s="162">
        <v>46269.0</v>
      </c>
      <c r="B4439" s="50"/>
      <c r="C4439" s="31" t="s">
        <v>567</v>
      </c>
      <c r="D4439" s="32" t="s">
        <v>15</v>
      </c>
      <c r="E4439" s="31" t="s">
        <v>4763</v>
      </c>
      <c r="F4439" s="246">
        <v>46291.0</v>
      </c>
      <c r="G4439" s="54">
        <v>2.576019344E7</v>
      </c>
      <c r="H4439" s="14">
        <f t="shared" si="11"/>
        <v>5409640.622</v>
      </c>
      <c r="I4439" s="22"/>
      <c r="J4439" s="22"/>
      <c r="K4439" s="15">
        <f t="shared" si="12"/>
        <v>31169834.06</v>
      </c>
      <c r="L4439" s="45"/>
      <c r="M4439" s="6"/>
    </row>
    <row r="4440" ht="15.75" customHeight="1">
      <c r="A4440" s="217">
        <v>46269.0</v>
      </c>
      <c r="B4440" s="56"/>
      <c r="C4440" s="57" t="s">
        <v>3385</v>
      </c>
      <c r="D4440" s="58" t="s">
        <v>15</v>
      </c>
      <c r="E4440" s="57" t="s">
        <v>4764</v>
      </c>
      <c r="F4440" s="212">
        <v>46291.0</v>
      </c>
      <c r="G4440" s="155">
        <v>4484560.18</v>
      </c>
      <c r="H4440" s="9">
        <f t="shared" si="11"/>
        <v>941757.6378</v>
      </c>
      <c r="I4440" s="44"/>
      <c r="J4440" s="44"/>
      <c r="K4440" s="10">
        <f t="shared" si="12"/>
        <v>5426317.818</v>
      </c>
      <c r="L4440" s="61"/>
      <c r="M4440" s="62"/>
    </row>
    <row r="4441" ht="15.75" customHeight="1">
      <c r="A4441" s="162">
        <v>46272.0</v>
      </c>
      <c r="B4441" s="50"/>
      <c r="C4441" s="32" t="s">
        <v>4765</v>
      </c>
      <c r="D4441" s="32" t="s">
        <v>99</v>
      </c>
      <c r="E4441" s="32" t="s">
        <v>4766</v>
      </c>
      <c r="F4441" s="246">
        <v>46291.0</v>
      </c>
      <c r="G4441" s="54">
        <v>6.189750211E7</v>
      </c>
      <c r="H4441" s="14">
        <f t="shared" si="11"/>
        <v>12998475.44</v>
      </c>
      <c r="I4441" s="22">
        <v>1856925.06</v>
      </c>
      <c r="J4441" s="22"/>
      <c r="K4441" s="15">
        <f t="shared" si="12"/>
        <v>76752902.61</v>
      </c>
      <c r="L4441" s="45"/>
      <c r="M4441" s="6"/>
    </row>
    <row r="4442" ht="15.75" customHeight="1">
      <c r="A4442" s="217">
        <v>46273.0</v>
      </c>
      <c r="B4442" s="56"/>
      <c r="C4442" s="57" t="s">
        <v>196</v>
      </c>
      <c r="D4442" s="58" t="s">
        <v>1543</v>
      </c>
      <c r="E4442" s="58" t="s">
        <v>4767</v>
      </c>
      <c r="F4442" s="120" t="s">
        <v>4415</v>
      </c>
      <c r="G4442" s="206">
        <v>3.800120562E7</v>
      </c>
      <c r="H4442" s="9">
        <f t="shared" si="11"/>
        <v>7980253.18</v>
      </c>
      <c r="I4442" s="44"/>
      <c r="J4442" s="44"/>
      <c r="K4442" s="10">
        <f t="shared" si="12"/>
        <v>45981458.8</v>
      </c>
      <c r="L4442" s="61"/>
      <c r="M4442" s="62"/>
    </row>
    <row r="4443" ht="15.75" customHeight="1">
      <c r="A4443" s="162">
        <v>46273.0</v>
      </c>
      <c r="B4443" s="50"/>
      <c r="C4443" s="31" t="s">
        <v>196</v>
      </c>
      <c r="D4443" s="32" t="s">
        <v>1543</v>
      </c>
      <c r="E4443" s="32" t="s">
        <v>4768</v>
      </c>
      <c r="F4443" s="107" t="s">
        <v>4415</v>
      </c>
      <c r="G4443" s="207">
        <v>1.10012058E7</v>
      </c>
      <c r="H4443" s="14">
        <f t="shared" si="11"/>
        <v>2310253.218</v>
      </c>
      <c r="I4443" s="22"/>
      <c r="J4443" s="22"/>
      <c r="K4443" s="15">
        <f t="shared" si="12"/>
        <v>13311459.02</v>
      </c>
      <c r="L4443" s="45"/>
      <c r="M4443" s="6"/>
    </row>
    <row r="4444" ht="15.75" customHeight="1">
      <c r="A4444" s="217">
        <v>46273.0</v>
      </c>
      <c r="B4444" s="56"/>
      <c r="C4444" s="57" t="s">
        <v>196</v>
      </c>
      <c r="D4444" s="58" t="s">
        <v>1543</v>
      </c>
      <c r="E4444" s="58" t="s">
        <v>4769</v>
      </c>
      <c r="F4444" s="120" t="s">
        <v>4415</v>
      </c>
      <c r="G4444" s="206">
        <v>2.85009564E7</v>
      </c>
      <c r="H4444" s="9">
        <f t="shared" si="11"/>
        <v>5985200.844</v>
      </c>
      <c r="I4444" s="44"/>
      <c r="J4444" s="44"/>
      <c r="K4444" s="10">
        <f t="shared" si="12"/>
        <v>34486157.24</v>
      </c>
      <c r="L4444" s="61"/>
      <c r="M4444" s="62"/>
    </row>
    <row r="4445" ht="15.75" customHeight="1">
      <c r="A4445" s="162">
        <v>46273.0</v>
      </c>
      <c r="B4445" s="50"/>
      <c r="C4445" s="31" t="s">
        <v>196</v>
      </c>
      <c r="D4445" s="32" t="s">
        <v>1543</v>
      </c>
      <c r="E4445" s="32" t="s">
        <v>4770</v>
      </c>
      <c r="F4445" s="107" t="s">
        <v>4415</v>
      </c>
      <c r="G4445" s="207">
        <v>9500724.16</v>
      </c>
      <c r="H4445" s="14">
        <f t="shared" si="11"/>
        <v>1995152.074</v>
      </c>
      <c r="I4445" s="22"/>
      <c r="J4445" s="22"/>
      <c r="K4445" s="15">
        <f t="shared" si="12"/>
        <v>11495876.23</v>
      </c>
      <c r="L4445" s="45"/>
      <c r="M4445" s="6"/>
    </row>
    <row r="4446" ht="15.75" customHeight="1">
      <c r="A4446" s="162">
        <v>46273.0</v>
      </c>
      <c r="B4446" s="50"/>
      <c r="C4446" s="31" t="s">
        <v>2346</v>
      </c>
      <c r="D4446" s="32" t="s">
        <v>15</v>
      </c>
      <c r="E4446" s="31" t="s">
        <v>4771</v>
      </c>
      <c r="F4446" s="246">
        <v>46291.0</v>
      </c>
      <c r="G4446" s="54">
        <v>1.6233523E7</v>
      </c>
      <c r="H4446" s="14">
        <f t="shared" si="11"/>
        <v>3409039.83</v>
      </c>
      <c r="I4446" s="22"/>
      <c r="J4446" s="22">
        <v>194802.28</v>
      </c>
      <c r="K4446" s="15">
        <f t="shared" si="12"/>
        <v>19837365.11</v>
      </c>
      <c r="L4446" s="45"/>
      <c r="M4446" s="6"/>
    </row>
    <row r="4447" ht="15.75" customHeight="1">
      <c r="A4447" s="217">
        <v>46273.0</v>
      </c>
      <c r="B4447" s="56"/>
      <c r="C4447" s="57" t="s">
        <v>1854</v>
      </c>
      <c r="D4447" s="58" t="s">
        <v>99</v>
      </c>
      <c r="E4447" s="57" t="s">
        <v>4772</v>
      </c>
      <c r="F4447" s="212">
        <v>46291.0</v>
      </c>
      <c r="G4447" s="155">
        <v>2.218809375E7</v>
      </c>
      <c r="H4447" s="9">
        <f t="shared" si="11"/>
        <v>4659499.688</v>
      </c>
      <c r="I4447" s="44">
        <v>665642.81</v>
      </c>
      <c r="J4447" s="44">
        <v>332821.41</v>
      </c>
      <c r="K4447" s="10">
        <f t="shared" si="12"/>
        <v>27846057.66</v>
      </c>
      <c r="L4447" s="61"/>
      <c r="M4447" s="62"/>
    </row>
    <row r="4448" ht="15.75" customHeight="1">
      <c r="A4448" s="217">
        <v>46273.0</v>
      </c>
      <c r="B4448" s="56"/>
      <c r="C4448" s="57" t="s">
        <v>1854</v>
      </c>
      <c r="D4448" s="58" t="s">
        <v>99</v>
      </c>
      <c r="E4448" s="57" t="s">
        <v>4773</v>
      </c>
      <c r="F4448" s="212">
        <v>46291.0</v>
      </c>
      <c r="G4448" s="155">
        <v>2.218809375E7</v>
      </c>
      <c r="H4448" s="9">
        <f t="shared" si="11"/>
        <v>4659499.688</v>
      </c>
      <c r="I4448" s="44">
        <v>665642.81</v>
      </c>
      <c r="J4448" s="44">
        <v>332821.41</v>
      </c>
      <c r="K4448" s="10">
        <f t="shared" si="12"/>
        <v>27846057.66</v>
      </c>
      <c r="L4448" s="61"/>
      <c r="M4448" s="62"/>
    </row>
    <row r="4449" ht="15.75" customHeight="1">
      <c r="A4449" s="217">
        <v>46273.0</v>
      </c>
      <c r="B4449" s="56"/>
      <c r="C4449" s="57" t="s">
        <v>1854</v>
      </c>
      <c r="D4449" s="58" t="s">
        <v>99</v>
      </c>
      <c r="E4449" s="57" t="s">
        <v>4774</v>
      </c>
      <c r="F4449" s="212">
        <v>46291.0</v>
      </c>
      <c r="G4449" s="155">
        <v>2.218809375E7</v>
      </c>
      <c r="H4449" s="9">
        <f t="shared" si="11"/>
        <v>4659499.688</v>
      </c>
      <c r="I4449" s="44">
        <v>665642.81</v>
      </c>
      <c r="J4449" s="44">
        <v>332821.41</v>
      </c>
      <c r="K4449" s="10">
        <f t="shared" si="12"/>
        <v>27846057.66</v>
      </c>
      <c r="L4449" s="61"/>
      <c r="M4449" s="62"/>
    </row>
    <row r="4450" ht="15.75" customHeight="1">
      <c r="A4450" s="217">
        <v>46273.0</v>
      </c>
      <c r="B4450" s="56"/>
      <c r="C4450" s="57" t="s">
        <v>1854</v>
      </c>
      <c r="D4450" s="58" t="s">
        <v>99</v>
      </c>
      <c r="E4450" s="57" t="s">
        <v>4775</v>
      </c>
      <c r="F4450" s="212">
        <v>46291.0</v>
      </c>
      <c r="G4450" s="155">
        <v>1.213336309E7</v>
      </c>
      <c r="H4450" s="9">
        <f t="shared" si="11"/>
        <v>2548006.249</v>
      </c>
      <c r="I4450" s="44"/>
      <c r="J4450" s="44">
        <v>182000.45</v>
      </c>
      <c r="K4450" s="10">
        <f t="shared" si="12"/>
        <v>14863369.79</v>
      </c>
      <c r="L4450" s="61"/>
      <c r="M4450" s="62"/>
    </row>
    <row r="4451" ht="15.75" customHeight="1">
      <c r="A4451" s="217">
        <v>46273.0</v>
      </c>
      <c r="B4451" s="56"/>
      <c r="C4451" s="57" t="s">
        <v>1854</v>
      </c>
      <c r="D4451" s="58" t="s">
        <v>99</v>
      </c>
      <c r="E4451" s="57" t="s">
        <v>4776</v>
      </c>
      <c r="F4451" s="212">
        <v>46291.0</v>
      </c>
      <c r="G4451" s="155">
        <v>2.218809375E7</v>
      </c>
      <c r="H4451" s="9">
        <f t="shared" si="11"/>
        <v>4659499.688</v>
      </c>
      <c r="I4451" s="44">
        <v>665642.81</v>
      </c>
      <c r="J4451" s="44">
        <v>332821.41</v>
      </c>
      <c r="K4451" s="10">
        <f t="shared" si="12"/>
        <v>27846057.66</v>
      </c>
      <c r="L4451" s="61"/>
      <c r="M4451" s="62"/>
    </row>
    <row r="4452" ht="15.75" customHeight="1">
      <c r="A4452" s="217">
        <v>46273.0</v>
      </c>
      <c r="B4452" s="56"/>
      <c r="C4452" s="57" t="s">
        <v>1854</v>
      </c>
      <c r="D4452" s="58" t="s">
        <v>99</v>
      </c>
      <c r="E4452" s="57" t="s">
        <v>4777</v>
      </c>
      <c r="F4452" s="212">
        <v>46291.0</v>
      </c>
      <c r="G4452" s="155">
        <v>2.218809375E7</v>
      </c>
      <c r="H4452" s="9">
        <f t="shared" si="11"/>
        <v>4659499.688</v>
      </c>
      <c r="I4452" s="44">
        <v>665642.81</v>
      </c>
      <c r="J4452" s="44">
        <v>332821.41</v>
      </c>
      <c r="K4452" s="10">
        <f t="shared" si="12"/>
        <v>27846057.66</v>
      </c>
      <c r="L4452" s="61"/>
      <c r="M4452" s="62"/>
    </row>
    <row r="4453" ht="15.75" customHeight="1">
      <c r="A4453" s="217">
        <v>46273.0</v>
      </c>
      <c r="B4453" s="56"/>
      <c r="C4453" s="57" t="s">
        <v>1854</v>
      </c>
      <c r="D4453" s="58" t="s">
        <v>99</v>
      </c>
      <c r="E4453" s="57" t="s">
        <v>4778</v>
      </c>
      <c r="F4453" s="212">
        <v>46291.0</v>
      </c>
      <c r="G4453" s="155">
        <v>1.522301526E7</v>
      </c>
      <c r="H4453" s="9">
        <f t="shared" si="11"/>
        <v>3196833.205</v>
      </c>
      <c r="I4453" s="44"/>
      <c r="J4453" s="44">
        <v>228345.23</v>
      </c>
      <c r="K4453" s="10">
        <f t="shared" si="12"/>
        <v>18648193.69</v>
      </c>
      <c r="L4453" s="61"/>
      <c r="M4453" s="62"/>
    </row>
    <row r="4454" ht="15.75" customHeight="1">
      <c r="A4454" s="217">
        <v>46273.0</v>
      </c>
      <c r="B4454" s="56"/>
      <c r="C4454" s="57" t="s">
        <v>1854</v>
      </c>
      <c r="D4454" s="58" t="s">
        <v>99</v>
      </c>
      <c r="E4454" s="57" t="s">
        <v>4779</v>
      </c>
      <c r="F4454" s="212">
        <v>46291.0</v>
      </c>
      <c r="G4454" s="155">
        <v>1.843002223E7</v>
      </c>
      <c r="H4454" s="9">
        <f t="shared" si="11"/>
        <v>3870304.668</v>
      </c>
      <c r="I4454" s="44"/>
      <c r="J4454" s="44">
        <v>276450.33</v>
      </c>
      <c r="K4454" s="10">
        <f t="shared" si="12"/>
        <v>22576777.23</v>
      </c>
      <c r="L4454" s="61"/>
      <c r="M4454" s="62"/>
    </row>
    <row r="4455" ht="15.75" customHeight="1">
      <c r="A4455" s="217">
        <v>46273.0</v>
      </c>
      <c r="B4455" s="56"/>
      <c r="C4455" s="57" t="s">
        <v>1854</v>
      </c>
      <c r="D4455" s="58" t="s">
        <v>15</v>
      </c>
      <c r="E4455" s="57" t="s">
        <v>4780</v>
      </c>
      <c r="F4455" s="212">
        <v>46291.0</v>
      </c>
      <c r="G4455" s="155">
        <v>1.497787012E7</v>
      </c>
      <c r="H4455" s="9">
        <f t="shared" si="11"/>
        <v>3145352.725</v>
      </c>
      <c r="I4455" s="44"/>
      <c r="J4455" s="44">
        <v>224668.05</v>
      </c>
      <c r="K4455" s="10">
        <f t="shared" si="12"/>
        <v>18347890.9</v>
      </c>
      <c r="L4455" s="61"/>
      <c r="M4455" s="62"/>
    </row>
    <row r="4456" ht="15.75" customHeight="1">
      <c r="A4456" s="217">
        <v>46273.0</v>
      </c>
      <c r="B4456" s="56"/>
      <c r="C4456" s="57" t="s">
        <v>1854</v>
      </c>
      <c r="D4456" s="58" t="s">
        <v>15</v>
      </c>
      <c r="E4456" s="57" t="s">
        <v>4781</v>
      </c>
      <c r="F4456" s="212">
        <v>46291.0</v>
      </c>
      <c r="G4456" s="155">
        <v>1.293237308E7</v>
      </c>
      <c r="H4456" s="9">
        <f t="shared" si="11"/>
        <v>2715798.347</v>
      </c>
      <c r="I4456" s="44"/>
      <c r="J4456" s="44">
        <v>193985.6</v>
      </c>
      <c r="K4456" s="10">
        <f t="shared" si="12"/>
        <v>15842157.03</v>
      </c>
      <c r="L4456" s="61"/>
      <c r="M4456" s="62"/>
    </row>
    <row r="4457" ht="15.75" customHeight="1">
      <c r="A4457" s="217">
        <v>46273.0</v>
      </c>
      <c r="B4457" s="56"/>
      <c r="C4457" s="57" t="s">
        <v>1854</v>
      </c>
      <c r="D4457" s="58" t="s">
        <v>15</v>
      </c>
      <c r="E4457" s="57" t="s">
        <v>4782</v>
      </c>
      <c r="F4457" s="212">
        <v>46291.0</v>
      </c>
      <c r="G4457" s="155">
        <v>1.472283371E7</v>
      </c>
      <c r="H4457" s="9">
        <f t="shared" si="11"/>
        <v>3091795.079</v>
      </c>
      <c r="I4457" s="44"/>
      <c r="J4457" s="44">
        <v>220842.51</v>
      </c>
      <c r="K4457" s="10">
        <f t="shared" si="12"/>
        <v>18035471.3</v>
      </c>
      <c r="L4457" s="61"/>
      <c r="M4457" s="62"/>
    </row>
    <row r="4458" ht="15.75" customHeight="1">
      <c r="A4458" s="217">
        <v>46273.0</v>
      </c>
      <c r="B4458" s="56"/>
      <c r="C4458" s="57" t="s">
        <v>1854</v>
      </c>
      <c r="D4458" s="58" t="s">
        <v>15</v>
      </c>
      <c r="E4458" s="57" t="s">
        <v>4783</v>
      </c>
      <c r="F4458" s="212">
        <v>46291.0</v>
      </c>
      <c r="G4458" s="155">
        <v>1.760448515E7</v>
      </c>
      <c r="H4458" s="9">
        <f t="shared" si="11"/>
        <v>3696941.882</v>
      </c>
      <c r="I4458" s="44"/>
      <c r="J4458" s="44">
        <v>264067.28</v>
      </c>
      <c r="K4458" s="10">
        <f t="shared" si="12"/>
        <v>21565494.31</v>
      </c>
      <c r="L4458" s="61"/>
      <c r="M4458" s="62"/>
    </row>
    <row r="4459" ht="15.75" customHeight="1">
      <c r="A4459" s="217">
        <v>46273.0</v>
      </c>
      <c r="B4459" s="56"/>
      <c r="C4459" s="57" t="s">
        <v>1854</v>
      </c>
      <c r="D4459" s="58" t="s">
        <v>15</v>
      </c>
      <c r="E4459" s="57" t="s">
        <v>4784</v>
      </c>
      <c r="F4459" s="212">
        <v>46291.0</v>
      </c>
      <c r="G4459" s="155">
        <v>1.750286512E7</v>
      </c>
      <c r="H4459" s="9">
        <f t="shared" si="11"/>
        <v>3675601.675</v>
      </c>
      <c r="I4459" s="44"/>
      <c r="J4459" s="44">
        <v>262542.98</v>
      </c>
      <c r="K4459" s="10">
        <f t="shared" si="12"/>
        <v>21441009.78</v>
      </c>
      <c r="L4459" s="61"/>
      <c r="M4459" s="62"/>
    </row>
    <row r="4460" ht="15.75" customHeight="1">
      <c r="A4460" s="217">
        <v>46273.0</v>
      </c>
      <c r="B4460" s="56"/>
      <c r="C4460" s="57" t="s">
        <v>1854</v>
      </c>
      <c r="D4460" s="58" t="s">
        <v>15</v>
      </c>
      <c r="E4460" s="57" t="s">
        <v>4785</v>
      </c>
      <c r="F4460" s="212">
        <v>46291.0</v>
      </c>
      <c r="G4460" s="155">
        <v>1.382589307E7</v>
      </c>
      <c r="H4460" s="9">
        <f t="shared" si="11"/>
        <v>2903437.545</v>
      </c>
      <c r="I4460" s="44"/>
      <c r="J4460" s="44">
        <v>207388.4</v>
      </c>
      <c r="K4460" s="10">
        <f t="shared" si="12"/>
        <v>16936719.01</v>
      </c>
      <c r="L4460" s="61"/>
      <c r="M4460" s="62"/>
    </row>
    <row r="4461" ht="15.75" customHeight="1">
      <c r="A4461" s="217">
        <v>46273.0</v>
      </c>
      <c r="B4461" s="56"/>
      <c r="C4461" s="57" t="s">
        <v>1854</v>
      </c>
      <c r="D4461" s="58" t="s">
        <v>15</v>
      </c>
      <c r="E4461" s="57" t="s">
        <v>4786</v>
      </c>
      <c r="F4461" s="212">
        <v>46291.0</v>
      </c>
      <c r="G4461" s="155">
        <v>1.900028013E7</v>
      </c>
      <c r="H4461" s="9">
        <f t="shared" si="11"/>
        <v>3990058.827</v>
      </c>
      <c r="I4461" s="44"/>
      <c r="J4461" s="44">
        <v>285004.2</v>
      </c>
      <c r="K4461" s="10">
        <f t="shared" si="12"/>
        <v>23275343.16</v>
      </c>
      <c r="L4461" s="61"/>
      <c r="M4461" s="62"/>
    </row>
    <row r="4462" ht="15.75" customHeight="1">
      <c r="A4462" s="217">
        <v>46273.0</v>
      </c>
      <c r="B4462" s="56"/>
      <c r="C4462" s="57" t="s">
        <v>1854</v>
      </c>
      <c r="D4462" s="58" t="s">
        <v>15</v>
      </c>
      <c r="E4462" s="57" t="s">
        <v>4787</v>
      </c>
      <c r="F4462" s="212">
        <v>46291.0</v>
      </c>
      <c r="G4462" s="155">
        <v>2.79777015E7</v>
      </c>
      <c r="H4462" s="9">
        <f t="shared" si="11"/>
        <v>5875317.315</v>
      </c>
      <c r="I4462" s="44">
        <v>839331.05</v>
      </c>
      <c r="J4462" s="44">
        <v>419665.52</v>
      </c>
      <c r="K4462" s="10">
        <f t="shared" si="12"/>
        <v>35112015.39</v>
      </c>
      <c r="L4462" s="61"/>
      <c r="M4462" s="62"/>
    </row>
    <row r="4463" ht="15.75" customHeight="1">
      <c r="A4463" s="217">
        <v>46273.0</v>
      </c>
      <c r="B4463" s="56"/>
      <c r="C4463" s="57" t="s">
        <v>1854</v>
      </c>
      <c r="D4463" s="58" t="s">
        <v>15</v>
      </c>
      <c r="E4463" s="57" t="s">
        <v>4788</v>
      </c>
      <c r="F4463" s="212">
        <v>46291.0</v>
      </c>
      <c r="G4463" s="155">
        <v>2.79777015E7</v>
      </c>
      <c r="H4463" s="9">
        <f t="shared" si="11"/>
        <v>5875317.315</v>
      </c>
      <c r="I4463" s="44">
        <v>839331.05</v>
      </c>
      <c r="J4463" s="44">
        <v>419665.52</v>
      </c>
      <c r="K4463" s="10">
        <f t="shared" si="12"/>
        <v>35112015.39</v>
      </c>
      <c r="L4463" s="61"/>
      <c r="M4463" s="62"/>
    </row>
    <row r="4464" ht="15.75" customHeight="1">
      <c r="A4464" s="217">
        <v>46273.0</v>
      </c>
      <c r="B4464" s="56"/>
      <c r="C4464" s="57" t="s">
        <v>1854</v>
      </c>
      <c r="D4464" s="58" t="s">
        <v>15</v>
      </c>
      <c r="E4464" s="57" t="s">
        <v>4789</v>
      </c>
      <c r="F4464" s="212">
        <v>46291.0</v>
      </c>
      <c r="G4464" s="155">
        <v>2.79777015E7</v>
      </c>
      <c r="H4464" s="9">
        <f t="shared" si="11"/>
        <v>5875317.315</v>
      </c>
      <c r="I4464" s="44">
        <v>839331.05</v>
      </c>
      <c r="J4464" s="44">
        <v>419665.52</v>
      </c>
      <c r="K4464" s="10">
        <f t="shared" si="12"/>
        <v>35112015.39</v>
      </c>
      <c r="L4464" s="61"/>
      <c r="M4464" s="62"/>
    </row>
    <row r="4465" ht="15.75" customHeight="1">
      <c r="A4465" s="217">
        <v>46273.0</v>
      </c>
      <c r="B4465" s="56"/>
      <c r="C4465" s="57" t="s">
        <v>1854</v>
      </c>
      <c r="D4465" s="58" t="s">
        <v>15</v>
      </c>
      <c r="E4465" s="57" t="s">
        <v>4790</v>
      </c>
      <c r="F4465" s="212">
        <v>46291.0</v>
      </c>
      <c r="G4465" s="155">
        <v>2.909680956E7</v>
      </c>
      <c r="H4465" s="9">
        <f t="shared" si="11"/>
        <v>6110330.008</v>
      </c>
      <c r="I4465" s="44">
        <v>872904.29</v>
      </c>
      <c r="J4465" s="44">
        <v>436452.14</v>
      </c>
      <c r="K4465" s="10">
        <f t="shared" si="12"/>
        <v>36516496</v>
      </c>
      <c r="L4465" s="61"/>
      <c r="M4465" s="62"/>
    </row>
    <row r="4466" ht="15.75" customHeight="1">
      <c r="A4466" s="217">
        <v>46273.0</v>
      </c>
      <c r="B4466" s="56"/>
      <c r="C4466" s="57" t="s">
        <v>1854</v>
      </c>
      <c r="D4466" s="58" t="s">
        <v>15</v>
      </c>
      <c r="E4466" s="57" t="s">
        <v>4791</v>
      </c>
      <c r="F4466" s="212">
        <v>46291.0</v>
      </c>
      <c r="G4466" s="155">
        <v>2.909680956E7</v>
      </c>
      <c r="H4466" s="9">
        <f t="shared" si="11"/>
        <v>6110330.008</v>
      </c>
      <c r="I4466" s="44">
        <v>872904.29</v>
      </c>
      <c r="J4466" s="44">
        <v>436452.14</v>
      </c>
      <c r="K4466" s="10">
        <f t="shared" si="12"/>
        <v>36516496</v>
      </c>
      <c r="L4466" s="61"/>
      <c r="M4466" s="62"/>
    </row>
    <row r="4467" ht="15.75" customHeight="1">
      <c r="A4467" s="217">
        <v>46273.0</v>
      </c>
      <c r="B4467" s="56"/>
      <c r="C4467" s="57" t="s">
        <v>1854</v>
      </c>
      <c r="D4467" s="58" t="s">
        <v>15</v>
      </c>
      <c r="E4467" s="57" t="s">
        <v>4792</v>
      </c>
      <c r="F4467" s="212">
        <v>46291.0</v>
      </c>
      <c r="G4467" s="155">
        <v>2.576868228E7</v>
      </c>
      <c r="H4467" s="9">
        <f t="shared" si="11"/>
        <v>5411423.279</v>
      </c>
      <c r="I4467" s="44">
        <v>773060.47</v>
      </c>
      <c r="J4467" s="44">
        <v>386530.23</v>
      </c>
      <c r="K4467" s="10">
        <f t="shared" si="12"/>
        <v>32339696.26</v>
      </c>
      <c r="L4467" s="61"/>
      <c r="M4467" s="62"/>
    </row>
    <row r="4468" ht="15.75" customHeight="1">
      <c r="A4468" s="217">
        <v>46273.0</v>
      </c>
      <c r="B4468" s="56"/>
      <c r="C4468" s="57" t="s">
        <v>1858</v>
      </c>
      <c r="D4468" s="58" t="s">
        <v>15</v>
      </c>
      <c r="E4468" s="57" t="s">
        <v>4793</v>
      </c>
      <c r="F4468" s="212">
        <v>46291.0</v>
      </c>
      <c r="G4468" s="155">
        <v>2.3488544E7</v>
      </c>
      <c r="H4468" s="9">
        <f t="shared" si="11"/>
        <v>4932594.24</v>
      </c>
      <c r="I4468" s="44">
        <v>704656.32</v>
      </c>
      <c r="J4468" s="44">
        <v>93954.18</v>
      </c>
      <c r="K4468" s="10">
        <f t="shared" si="12"/>
        <v>29219748.74</v>
      </c>
      <c r="L4468" s="61"/>
      <c r="M4468" s="62"/>
    </row>
    <row r="4469" ht="15.75" customHeight="1">
      <c r="A4469" s="217">
        <v>46273.0</v>
      </c>
      <c r="B4469" s="56"/>
      <c r="C4469" s="57" t="s">
        <v>1858</v>
      </c>
      <c r="D4469" s="58" t="s">
        <v>15</v>
      </c>
      <c r="E4469" s="57" t="s">
        <v>4794</v>
      </c>
      <c r="F4469" s="212">
        <v>46291.0</v>
      </c>
      <c r="G4469" s="155">
        <v>2.3488544E7</v>
      </c>
      <c r="H4469" s="9">
        <f t="shared" si="11"/>
        <v>4932594.24</v>
      </c>
      <c r="I4469" s="44">
        <v>704656.32</v>
      </c>
      <c r="J4469" s="44">
        <v>93954.18</v>
      </c>
      <c r="K4469" s="10">
        <f t="shared" si="12"/>
        <v>29219748.74</v>
      </c>
      <c r="L4469" s="61"/>
      <c r="M4469" s="62"/>
    </row>
    <row r="4470" ht="15.75" customHeight="1">
      <c r="A4470" s="217">
        <v>46273.0</v>
      </c>
      <c r="B4470" s="56"/>
      <c r="C4470" s="57" t="s">
        <v>1858</v>
      </c>
      <c r="D4470" s="58" t="s">
        <v>15</v>
      </c>
      <c r="E4470" s="57" t="s">
        <v>4795</v>
      </c>
      <c r="F4470" s="212">
        <v>46291.0</v>
      </c>
      <c r="G4470" s="155">
        <v>1.830577245E7</v>
      </c>
      <c r="H4470" s="9">
        <f t="shared" si="11"/>
        <v>3844212.215</v>
      </c>
      <c r="I4470" s="44">
        <v>549173.17</v>
      </c>
      <c r="J4470" s="44">
        <v>73223.09</v>
      </c>
      <c r="K4470" s="10">
        <f t="shared" si="12"/>
        <v>22772380.92</v>
      </c>
      <c r="L4470" s="61"/>
      <c r="M4470" s="62"/>
    </row>
    <row r="4471" ht="15.75" customHeight="1">
      <c r="A4471" s="217">
        <v>46273.0</v>
      </c>
      <c r="B4471" s="56"/>
      <c r="C4471" s="57" t="s">
        <v>1858</v>
      </c>
      <c r="D4471" s="58" t="s">
        <v>15</v>
      </c>
      <c r="E4471" s="57" t="s">
        <v>4796</v>
      </c>
      <c r="F4471" s="212">
        <v>46291.0</v>
      </c>
      <c r="G4471" s="155">
        <v>1.671205116E7</v>
      </c>
      <c r="H4471" s="9">
        <f t="shared" si="11"/>
        <v>3509530.744</v>
      </c>
      <c r="I4471" s="44">
        <v>501361.53</v>
      </c>
      <c r="J4471" s="44">
        <v>66848.2</v>
      </c>
      <c r="K4471" s="10">
        <f t="shared" si="12"/>
        <v>20789791.63</v>
      </c>
      <c r="L4471" s="61"/>
      <c r="M4471" s="62"/>
    </row>
    <row r="4472" ht="15.75" customHeight="1">
      <c r="A4472" s="217">
        <v>46273.0</v>
      </c>
      <c r="B4472" s="56"/>
      <c r="C4472" s="57" t="s">
        <v>1861</v>
      </c>
      <c r="D4472" s="58" t="s">
        <v>15</v>
      </c>
      <c r="E4472" s="57" t="s">
        <v>4797</v>
      </c>
      <c r="F4472" s="212">
        <v>46291.0</v>
      </c>
      <c r="G4472" s="155">
        <v>2.423320875E7</v>
      </c>
      <c r="H4472" s="9">
        <f t="shared" si="11"/>
        <v>5088973.838</v>
      </c>
      <c r="I4472" s="44">
        <v>726996.26</v>
      </c>
      <c r="J4472" s="44">
        <v>387731.34</v>
      </c>
      <c r="K4472" s="10">
        <f t="shared" si="12"/>
        <v>30436910.19</v>
      </c>
      <c r="L4472" s="61"/>
      <c r="M4472" s="62"/>
    </row>
    <row r="4473" ht="15.75" customHeight="1">
      <c r="A4473" s="217">
        <v>46273.0</v>
      </c>
      <c r="B4473" s="56"/>
      <c r="C4473" s="57" t="s">
        <v>1861</v>
      </c>
      <c r="D4473" s="58" t="s">
        <v>15</v>
      </c>
      <c r="E4473" s="57" t="s">
        <v>4798</v>
      </c>
      <c r="F4473" s="212">
        <v>46291.0</v>
      </c>
      <c r="G4473" s="155">
        <v>2.5130735E7</v>
      </c>
      <c r="H4473" s="9">
        <f t="shared" si="11"/>
        <v>5277454.35</v>
      </c>
      <c r="I4473" s="44">
        <v>753922.05</v>
      </c>
      <c r="J4473" s="44">
        <v>402091.76</v>
      </c>
      <c r="K4473" s="10">
        <f t="shared" si="12"/>
        <v>31564203.16</v>
      </c>
      <c r="L4473" s="61"/>
      <c r="M4473" s="62"/>
    </row>
    <row r="4474" ht="15.75" customHeight="1">
      <c r="A4474" s="217">
        <v>46273.0</v>
      </c>
      <c r="B4474" s="56"/>
      <c r="C4474" s="57" t="s">
        <v>1861</v>
      </c>
      <c r="D4474" s="58" t="s">
        <v>99</v>
      </c>
      <c r="E4474" s="57" t="s">
        <v>4799</v>
      </c>
      <c r="F4474" s="212">
        <v>46291.0</v>
      </c>
      <c r="G4474" s="155">
        <v>2.289073046E7</v>
      </c>
      <c r="H4474" s="9">
        <f t="shared" si="11"/>
        <v>4807053.397</v>
      </c>
      <c r="I4474" s="44">
        <v>686721.91</v>
      </c>
      <c r="J4474" s="44">
        <v>366251.69</v>
      </c>
      <c r="K4474" s="10">
        <f t="shared" si="12"/>
        <v>28750757.46</v>
      </c>
      <c r="L4474" s="61"/>
      <c r="M4474" s="62"/>
    </row>
    <row r="4475" ht="15.75" customHeight="1">
      <c r="A4475" s="217">
        <v>46273.0</v>
      </c>
      <c r="B4475" s="56"/>
      <c r="C4475" s="57" t="s">
        <v>1861</v>
      </c>
      <c r="D4475" s="58" t="s">
        <v>99</v>
      </c>
      <c r="E4475" s="57" t="s">
        <v>4800</v>
      </c>
      <c r="F4475" s="212">
        <v>46291.0</v>
      </c>
      <c r="G4475" s="155">
        <v>3.12437226E7</v>
      </c>
      <c r="H4475" s="9">
        <f t="shared" si="11"/>
        <v>6561181.746</v>
      </c>
      <c r="I4475" s="44">
        <v>937311.68</v>
      </c>
      <c r="J4475" s="44">
        <v>499899.56</v>
      </c>
      <c r="K4475" s="10">
        <f t="shared" si="12"/>
        <v>39242115.59</v>
      </c>
      <c r="L4475" s="61"/>
      <c r="M4475" s="62"/>
    </row>
    <row r="4476" ht="15.75" customHeight="1">
      <c r="A4476" s="217">
        <v>46273.0</v>
      </c>
      <c r="B4476" s="56"/>
      <c r="C4476" s="57" t="s">
        <v>1861</v>
      </c>
      <c r="D4476" s="249" t="s">
        <v>99</v>
      </c>
      <c r="E4476" s="57" t="s">
        <v>4801</v>
      </c>
      <c r="F4476" s="212">
        <v>46291.0</v>
      </c>
      <c r="G4476" s="155">
        <v>2.201031775E7</v>
      </c>
      <c r="H4476" s="9">
        <f t="shared" si="11"/>
        <v>4622166.728</v>
      </c>
      <c r="I4476" s="44">
        <v>660309.53</v>
      </c>
      <c r="J4476" s="44">
        <v>352165.08</v>
      </c>
      <c r="K4476" s="10">
        <f t="shared" si="12"/>
        <v>27644959.09</v>
      </c>
      <c r="L4476" s="61"/>
      <c r="M4476" s="62"/>
    </row>
    <row r="4477" ht="15.75" customHeight="1">
      <c r="A4477" s="162">
        <v>46273.0</v>
      </c>
      <c r="B4477" s="50"/>
      <c r="C4477" s="32" t="s">
        <v>53</v>
      </c>
      <c r="D4477" s="32" t="s">
        <v>15</v>
      </c>
      <c r="E4477" s="31" t="s">
        <v>4802</v>
      </c>
      <c r="F4477" s="246">
        <v>46291.0</v>
      </c>
      <c r="G4477" s="54">
        <v>4182917.36</v>
      </c>
      <c r="H4477" s="14">
        <f t="shared" si="11"/>
        <v>878412.6456</v>
      </c>
      <c r="I4477" s="22"/>
      <c r="J4477" s="22"/>
      <c r="K4477" s="15">
        <f t="shared" si="12"/>
        <v>5061330.006</v>
      </c>
      <c r="L4477" s="45"/>
      <c r="M4477" s="6"/>
    </row>
    <row r="4478" ht="15.75" customHeight="1">
      <c r="A4478" s="162">
        <v>46273.0</v>
      </c>
      <c r="B4478" s="50"/>
      <c r="C4478" s="32" t="s">
        <v>53</v>
      </c>
      <c r="D4478" s="32" t="s">
        <v>15</v>
      </c>
      <c r="E4478" s="31" t="s">
        <v>4803</v>
      </c>
      <c r="F4478" s="246">
        <v>46291.0</v>
      </c>
      <c r="G4478" s="54">
        <v>1.243757025E7</v>
      </c>
      <c r="H4478" s="14">
        <f t="shared" si="11"/>
        <v>2611889.753</v>
      </c>
      <c r="I4478" s="22"/>
      <c r="J4478" s="22"/>
      <c r="K4478" s="15">
        <f t="shared" si="12"/>
        <v>15049460</v>
      </c>
      <c r="L4478" s="45"/>
      <c r="M4478" s="6"/>
    </row>
    <row r="4479" ht="15.75" customHeight="1">
      <c r="A4479" s="162">
        <v>46274.0</v>
      </c>
      <c r="B4479" s="50"/>
      <c r="C4479" s="31" t="s">
        <v>4804</v>
      </c>
      <c r="D4479" s="31" t="s">
        <v>77</v>
      </c>
      <c r="E4479" s="32" t="s">
        <v>4805</v>
      </c>
      <c r="F4479" s="246">
        <v>46291.0</v>
      </c>
      <c r="G4479" s="54">
        <v>2.082644639E7</v>
      </c>
      <c r="H4479" s="14">
        <f t="shared" si="11"/>
        <v>4373553.742</v>
      </c>
      <c r="I4479" s="22"/>
      <c r="J4479" s="22"/>
      <c r="K4479" s="15">
        <f t="shared" si="12"/>
        <v>25200000.13</v>
      </c>
      <c r="L4479" s="45"/>
      <c r="M4479" s="6"/>
    </row>
    <row r="4480" ht="15.75" customHeight="1">
      <c r="A4480" s="162">
        <v>46274.0</v>
      </c>
      <c r="B4480" s="50"/>
      <c r="C4480" s="31" t="s">
        <v>4804</v>
      </c>
      <c r="D4480" s="31" t="s">
        <v>77</v>
      </c>
      <c r="E4480" s="32" t="s">
        <v>4806</v>
      </c>
      <c r="F4480" s="246">
        <v>46291.0</v>
      </c>
      <c r="G4480" s="54">
        <v>2.181818294E7</v>
      </c>
      <c r="H4480" s="14">
        <f t="shared" si="11"/>
        <v>4581818.417</v>
      </c>
      <c r="I4480" s="22"/>
      <c r="J4480" s="22"/>
      <c r="K4480" s="15">
        <f t="shared" si="12"/>
        <v>26400001.36</v>
      </c>
      <c r="L4480" s="45"/>
      <c r="M4480" s="6"/>
    </row>
    <row r="4481" ht="15.75" customHeight="1">
      <c r="A4481" s="208">
        <v>46274.0</v>
      </c>
      <c r="B4481" s="158"/>
      <c r="C4481" s="147" t="s">
        <v>4804</v>
      </c>
      <c r="D4481" s="147" t="s">
        <v>77</v>
      </c>
      <c r="E4481" s="147" t="s">
        <v>4807</v>
      </c>
      <c r="F4481" s="250">
        <v>46291.0</v>
      </c>
      <c r="G4481" s="209">
        <v>2.173572932E7</v>
      </c>
      <c r="H4481" s="150">
        <f t="shared" si="11"/>
        <v>4564503.157</v>
      </c>
      <c r="I4481" s="151"/>
      <c r="J4481" s="151"/>
      <c r="K4481" s="152">
        <f t="shared" si="12"/>
        <v>26300232.48</v>
      </c>
      <c r="L4481" s="153"/>
      <c r="M4481" s="154"/>
    </row>
    <row r="4482" ht="15.75" customHeight="1">
      <c r="A4482" s="208">
        <v>46274.0</v>
      </c>
      <c r="B4482" s="158"/>
      <c r="C4482" s="147" t="s">
        <v>4804</v>
      </c>
      <c r="D4482" s="147" t="s">
        <v>77</v>
      </c>
      <c r="E4482" s="147" t="s">
        <v>4808</v>
      </c>
      <c r="F4482" s="250">
        <v>46291.0</v>
      </c>
      <c r="G4482" s="209">
        <v>2.199229319E7</v>
      </c>
      <c r="H4482" s="150">
        <f t="shared" si="11"/>
        <v>4618381.57</v>
      </c>
      <c r="I4482" s="151"/>
      <c r="J4482" s="151"/>
      <c r="K4482" s="152">
        <f t="shared" si="12"/>
        <v>26610674.76</v>
      </c>
      <c r="L4482" s="153"/>
      <c r="M4482" s="154"/>
    </row>
    <row r="4483" ht="15.75" customHeight="1">
      <c r="A4483" s="219">
        <v>46274.0</v>
      </c>
      <c r="B4483" s="220"/>
      <c r="C4483" s="221" t="s">
        <v>4804</v>
      </c>
      <c r="D4483" s="221" t="s">
        <v>77</v>
      </c>
      <c r="E4483" s="221" t="s">
        <v>4809</v>
      </c>
      <c r="F4483" s="251">
        <v>46291.0</v>
      </c>
      <c r="G4483" s="223">
        <v>1.280090188E7</v>
      </c>
      <c r="H4483" s="224">
        <f t="shared" si="11"/>
        <v>2688189.395</v>
      </c>
      <c r="I4483" s="225"/>
      <c r="J4483" s="225"/>
      <c r="K4483" s="226">
        <f t="shared" si="12"/>
        <v>15489091.27</v>
      </c>
      <c r="L4483" s="227"/>
      <c r="M4483" s="228"/>
    </row>
    <row r="4484" ht="15.75" customHeight="1">
      <c r="A4484" s="162">
        <v>46274.0</v>
      </c>
      <c r="B4484" s="50"/>
      <c r="C4484" s="31" t="s">
        <v>4810</v>
      </c>
      <c r="D4484" s="31" t="s">
        <v>77</v>
      </c>
      <c r="E4484" s="31" t="s">
        <v>4811</v>
      </c>
      <c r="F4484" s="107" t="s">
        <v>4415</v>
      </c>
      <c r="G4484" s="54">
        <v>1.987236E7</v>
      </c>
      <c r="H4484" s="14">
        <f t="shared" si="11"/>
        <v>4173195.6</v>
      </c>
      <c r="I4484" s="22"/>
      <c r="J4484" s="22"/>
      <c r="K4484" s="15">
        <f t="shared" si="12"/>
        <v>24045555.6</v>
      </c>
      <c r="L4484" s="45"/>
      <c r="M4484" s="6"/>
    </row>
    <row r="4485" ht="15.75" customHeight="1">
      <c r="A4485" s="162">
        <v>46274.0</v>
      </c>
      <c r="B4485" s="50"/>
      <c r="C4485" s="31" t="s">
        <v>4810</v>
      </c>
      <c r="D4485" s="31" t="s">
        <v>77</v>
      </c>
      <c r="E4485" s="31" t="s">
        <v>4812</v>
      </c>
      <c r="F4485" s="107" t="s">
        <v>4415</v>
      </c>
      <c r="G4485" s="54">
        <v>2.111648E7</v>
      </c>
      <c r="H4485" s="14">
        <f t="shared" si="11"/>
        <v>4434460.8</v>
      </c>
      <c r="I4485" s="22"/>
      <c r="J4485" s="22"/>
      <c r="K4485" s="15">
        <f t="shared" si="12"/>
        <v>25550940.8</v>
      </c>
      <c r="L4485" s="45"/>
      <c r="M4485" s="6"/>
    </row>
    <row r="4486" ht="15.75" customHeight="1">
      <c r="A4486" s="162">
        <v>46274.0</v>
      </c>
      <c r="B4486" s="50"/>
      <c r="C4486" s="31" t="s">
        <v>4810</v>
      </c>
      <c r="D4486" s="31" t="s">
        <v>2714</v>
      </c>
      <c r="E4486" s="31" t="s">
        <v>4813</v>
      </c>
      <c r="F4486" s="107" t="s">
        <v>4415</v>
      </c>
      <c r="G4486" s="54">
        <v>2.027636E7</v>
      </c>
      <c r="H4486" s="14">
        <f t="shared" si="11"/>
        <v>4258035.6</v>
      </c>
      <c r="I4486" s="22"/>
      <c r="J4486" s="22"/>
      <c r="K4486" s="15">
        <f t="shared" si="12"/>
        <v>24534395.6</v>
      </c>
      <c r="L4486" s="45"/>
      <c r="M4486" s="6"/>
    </row>
    <row r="4487" ht="15.75" customHeight="1">
      <c r="A4487" s="162">
        <v>46274.0</v>
      </c>
      <c r="B4487" s="50"/>
      <c r="C4487" s="31" t="s">
        <v>4810</v>
      </c>
      <c r="D4487" s="31" t="s">
        <v>2714</v>
      </c>
      <c r="E4487" s="31" t="s">
        <v>4814</v>
      </c>
      <c r="F4487" s="107" t="s">
        <v>4415</v>
      </c>
      <c r="G4487" s="54">
        <v>2.111358E7</v>
      </c>
      <c r="H4487" s="14">
        <f t="shared" si="11"/>
        <v>4433851.8</v>
      </c>
      <c r="I4487" s="22"/>
      <c r="J4487" s="22"/>
      <c r="K4487" s="15">
        <f t="shared" si="12"/>
        <v>25547431.8</v>
      </c>
      <c r="L4487" s="45"/>
      <c r="M4487" s="6"/>
    </row>
    <row r="4488" ht="15.75" customHeight="1">
      <c r="A4488" s="162">
        <v>46274.0</v>
      </c>
      <c r="B4488" s="50"/>
      <c r="C4488" s="31" t="s">
        <v>4810</v>
      </c>
      <c r="D4488" s="31" t="s">
        <v>2714</v>
      </c>
      <c r="E4488" s="31" t="s">
        <v>4815</v>
      </c>
      <c r="F4488" s="107" t="s">
        <v>4415</v>
      </c>
      <c r="G4488" s="54">
        <v>2.115448E7</v>
      </c>
      <c r="H4488" s="14">
        <f t="shared" si="11"/>
        <v>4442440.8</v>
      </c>
      <c r="I4488" s="22"/>
      <c r="J4488" s="22"/>
      <c r="K4488" s="15">
        <f t="shared" si="12"/>
        <v>25596920.8</v>
      </c>
      <c r="L4488" s="45"/>
      <c r="M4488" s="6"/>
    </row>
    <row r="4489" ht="15.75" customHeight="1">
      <c r="A4489" s="162">
        <v>46274.0</v>
      </c>
      <c r="B4489" s="50"/>
      <c r="C4489" s="31" t="s">
        <v>4810</v>
      </c>
      <c r="D4489" s="31" t="s">
        <v>2714</v>
      </c>
      <c r="E4489" s="31" t="s">
        <v>4816</v>
      </c>
      <c r="F4489" s="107" t="s">
        <v>4415</v>
      </c>
      <c r="G4489" s="54">
        <v>2.048658E7</v>
      </c>
      <c r="H4489" s="14">
        <f t="shared" si="11"/>
        <v>4302181.8</v>
      </c>
      <c r="I4489" s="22"/>
      <c r="J4489" s="22"/>
      <c r="K4489" s="15">
        <f t="shared" si="12"/>
        <v>24788761.8</v>
      </c>
      <c r="L4489" s="45"/>
      <c r="M4489" s="6"/>
    </row>
    <row r="4490" ht="15.75" customHeight="1">
      <c r="A4490" s="162">
        <v>46274.0</v>
      </c>
      <c r="B4490" s="50"/>
      <c r="C4490" s="31" t="s">
        <v>4804</v>
      </c>
      <c r="D4490" s="32" t="s">
        <v>4817</v>
      </c>
      <c r="E4490" s="31" t="s">
        <v>4818</v>
      </c>
      <c r="F4490" s="107" t="s">
        <v>4415</v>
      </c>
      <c r="G4490" s="54">
        <v>1.692233143E7</v>
      </c>
      <c r="H4490" s="14">
        <f t="shared" si="11"/>
        <v>3553689.6</v>
      </c>
      <c r="I4490" s="22"/>
      <c r="J4490" s="22"/>
      <c r="K4490" s="15">
        <f t="shared" si="12"/>
        <v>20476021.03</v>
      </c>
      <c r="L4490" s="45"/>
      <c r="M4490" s="6"/>
    </row>
    <row r="4491" ht="15.75" customHeight="1">
      <c r="A4491" s="162">
        <v>46274.0</v>
      </c>
      <c r="B4491" s="50"/>
      <c r="C4491" s="31" t="s">
        <v>4804</v>
      </c>
      <c r="D4491" s="32" t="s">
        <v>4817</v>
      </c>
      <c r="E4491" s="31" t="s">
        <v>4819</v>
      </c>
      <c r="F4491" s="107" t="s">
        <v>4415</v>
      </c>
      <c r="G4491" s="54">
        <v>1.613551981E7</v>
      </c>
      <c r="H4491" s="14">
        <f t="shared" si="11"/>
        <v>3388459.16</v>
      </c>
      <c r="I4491" s="22"/>
      <c r="J4491" s="22"/>
      <c r="K4491" s="15">
        <f t="shared" si="12"/>
        <v>19523978.97</v>
      </c>
      <c r="L4491" s="45"/>
      <c r="M4491" s="6"/>
    </row>
    <row r="4492" ht="15.75" customHeight="1">
      <c r="A4492" s="162">
        <v>46274.0</v>
      </c>
      <c r="B4492" s="50"/>
      <c r="C4492" s="31" t="s">
        <v>4804</v>
      </c>
      <c r="D4492" s="32" t="s">
        <v>4817</v>
      </c>
      <c r="E4492" s="31" t="s">
        <v>4820</v>
      </c>
      <c r="F4492" s="107" t="s">
        <v>4415</v>
      </c>
      <c r="G4492" s="54">
        <v>1.652892562E7</v>
      </c>
      <c r="H4492" s="14">
        <f t="shared" si="11"/>
        <v>3471074.38</v>
      </c>
      <c r="I4492" s="22"/>
      <c r="J4492" s="22"/>
      <c r="K4492" s="15">
        <f t="shared" si="12"/>
        <v>20000000</v>
      </c>
      <c r="L4492" s="45"/>
      <c r="M4492" s="6"/>
    </row>
    <row r="4493" ht="15.75" customHeight="1">
      <c r="A4493" s="162">
        <v>46274.0</v>
      </c>
      <c r="B4493" s="50"/>
      <c r="C4493" s="31" t="s">
        <v>171</v>
      </c>
      <c r="D4493" s="32" t="s">
        <v>99</v>
      </c>
      <c r="E4493" s="31" t="s">
        <v>4821</v>
      </c>
      <c r="F4493" s="246">
        <v>46291.0</v>
      </c>
      <c r="G4493" s="54">
        <v>8474165.0</v>
      </c>
      <c r="H4493" s="14">
        <f t="shared" si="11"/>
        <v>1779574.65</v>
      </c>
      <c r="I4493" s="22"/>
      <c r="J4493" s="22"/>
      <c r="K4493" s="15">
        <f t="shared" si="12"/>
        <v>10253739.65</v>
      </c>
      <c r="L4493" s="45"/>
      <c r="M4493" s="6"/>
    </row>
    <row r="4494" ht="15.75" customHeight="1">
      <c r="A4494" s="162">
        <v>46274.0</v>
      </c>
      <c r="B4494" s="50"/>
      <c r="C4494" s="31" t="s">
        <v>171</v>
      </c>
      <c r="D4494" s="32" t="s">
        <v>99</v>
      </c>
      <c r="E4494" s="31" t="s">
        <v>4822</v>
      </c>
      <c r="F4494" s="246">
        <v>46291.0</v>
      </c>
      <c r="G4494" s="54">
        <v>1.689287323E7</v>
      </c>
      <c r="H4494" s="14">
        <f t="shared" si="11"/>
        <v>3547503.378</v>
      </c>
      <c r="I4494" s="22"/>
      <c r="J4494" s="22"/>
      <c r="K4494" s="15">
        <f t="shared" si="12"/>
        <v>20440376.61</v>
      </c>
      <c r="L4494" s="45"/>
      <c r="M4494" s="6"/>
    </row>
    <row r="4495" ht="15.75" customHeight="1">
      <c r="A4495" s="162">
        <v>46274.0</v>
      </c>
      <c r="B4495" s="50"/>
      <c r="C4495" s="31" t="s">
        <v>171</v>
      </c>
      <c r="D4495" s="32" t="s">
        <v>99</v>
      </c>
      <c r="E4495" s="31" t="s">
        <v>4823</v>
      </c>
      <c r="F4495" s="246">
        <v>46291.0</v>
      </c>
      <c r="G4495" s="54">
        <v>1.723577495E7</v>
      </c>
      <c r="H4495" s="14">
        <f t="shared" si="11"/>
        <v>3619512.74</v>
      </c>
      <c r="I4495" s="22"/>
      <c r="J4495" s="22"/>
      <c r="K4495" s="15">
        <f t="shared" si="12"/>
        <v>20855287.69</v>
      </c>
      <c r="L4495" s="45"/>
      <c r="M4495" s="6"/>
    </row>
    <row r="4496" ht="15.75" customHeight="1">
      <c r="A4496" s="162">
        <v>46274.0</v>
      </c>
      <c r="B4496" s="50"/>
      <c r="C4496" s="31" t="s">
        <v>171</v>
      </c>
      <c r="D4496" s="32" t="s">
        <v>99</v>
      </c>
      <c r="E4496" s="32" t="s">
        <v>4824</v>
      </c>
      <c r="F4496" s="246">
        <v>46291.0</v>
      </c>
      <c r="G4496" s="54">
        <v>1.957961492E7</v>
      </c>
      <c r="H4496" s="14">
        <f t="shared" si="11"/>
        <v>4111719.133</v>
      </c>
      <c r="I4496" s="22"/>
      <c r="J4496" s="22"/>
      <c r="K4496" s="15">
        <f t="shared" si="12"/>
        <v>23691334.05</v>
      </c>
      <c r="L4496" s="45"/>
      <c r="M4496" s="6"/>
    </row>
    <row r="4497" ht="15.75" customHeight="1">
      <c r="A4497" s="162">
        <v>46274.0</v>
      </c>
      <c r="B4497" s="50"/>
      <c r="C4497" s="31" t="s">
        <v>4825</v>
      </c>
      <c r="D4497" s="32" t="s">
        <v>15</v>
      </c>
      <c r="E4497" s="31" t="s">
        <v>4826</v>
      </c>
      <c r="F4497" s="246">
        <v>46291.0</v>
      </c>
      <c r="G4497" s="54">
        <v>283000.0</v>
      </c>
      <c r="H4497" s="14">
        <f t="shared" si="11"/>
        <v>59430</v>
      </c>
      <c r="I4497" s="22"/>
      <c r="J4497" s="22">
        <v>1981.0</v>
      </c>
      <c r="K4497" s="15">
        <f t="shared" si="12"/>
        <v>344411</v>
      </c>
      <c r="L4497" s="61"/>
      <c r="M4497" s="62"/>
    </row>
    <row r="4498" ht="15.75" customHeight="1">
      <c r="A4498" s="162">
        <v>46275.0</v>
      </c>
      <c r="B4498" s="50"/>
      <c r="C4498" s="31" t="s">
        <v>410</v>
      </c>
      <c r="D4498" s="32" t="s">
        <v>99</v>
      </c>
      <c r="E4498" s="31" t="s">
        <v>4827</v>
      </c>
      <c r="F4498" s="246">
        <v>46291.0</v>
      </c>
      <c r="G4498" s="54">
        <v>3997570.0</v>
      </c>
      <c r="H4498" s="14">
        <f t="shared" si="11"/>
        <v>839489.7</v>
      </c>
      <c r="I4498" s="22"/>
      <c r="J4498" s="22">
        <v>31980.56</v>
      </c>
      <c r="K4498" s="15">
        <f t="shared" si="12"/>
        <v>4869040.26</v>
      </c>
      <c r="L4498" s="45"/>
      <c r="M4498" s="6"/>
    </row>
    <row r="4499" ht="15.75" customHeight="1">
      <c r="A4499" s="162">
        <v>46275.0</v>
      </c>
      <c r="B4499" s="50"/>
      <c r="C4499" s="31" t="s">
        <v>216</v>
      </c>
      <c r="D4499" s="32" t="s">
        <v>15</v>
      </c>
      <c r="E4499" s="31" t="s">
        <v>4828</v>
      </c>
      <c r="F4499" s="246">
        <v>46291.0</v>
      </c>
      <c r="G4499" s="54">
        <v>5733740.0</v>
      </c>
      <c r="H4499" s="14">
        <f t="shared" si="11"/>
        <v>1204085.4</v>
      </c>
      <c r="I4499" s="22">
        <v>172012.2</v>
      </c>
      <c r="J4499" s="22">
        <v>286687.0</v>
      </c>
      <c r="K4499" s="15">
        <f t="shared" si="12"/>
        <v>7396524.6</v>
      </c>
      <c r="L4499" s="45"/>
      <c r="M4499" s="6"/>
    </row>
    <row r="4500" ht="15.75" customHeight="1">
      <c r="A4500" s="162">
        <v>46275.0</v>
      </c>
      <c r="B4500" s="50"/>
      <c r="C4500" s="31" t="s">
        <v>216</v>
      </c>
      <c r="D4500" s="32" t="s">
        <v>15</v>
      </c>
      <c r="E4500" s="31" t="s">
        <v>4829</v>
      </c>
      <c r="F4500" s="246">
        <v>46291.0</v>
      </c>
      <c r="G4500" s="54">
        <v>6332532.0</v>
      </c>
      <c r="H4500" s="14">
        <f t="shared" si="11"/>
        <v>1329831.72</v>
      </c>
      <c r="I4500" s="22">
        <v>189975.96</v>
      </c>
      <c r="J4500" s="22">
        <v>316626.6</v>
      </c>
      <c r="K4500" s="15">
        <f t="shared" si="12"/>
        <v>8168966.28</v>
      </c>
      <c r="L4500" s="45"/>
      <c r="M4500" s="6"/>
    </row>
    <row r="4501" ht="15.75" customHeight="1">
      <c r="A4501" s="162">
        <v>46275.0</v>
      </c>
      <c r="B4501" s="50"/>
      <c r="C4501" s="31" t="s">
        <v>216</v>
      </c>
      <c r="D4501" s="32" t="s">
        <v>15</v>
      </c>
      <c r="E4501" s="31" t="s">
        <v>4830</v>
      </c>
      <c r="F4501" s="246">
        <v>46291.0</v>
      </c>
      <c r="G4501" s="54">
        <v>3452682.0</v>
      </c>
      <c r="H4501" s="14">
        <f t="shared" si="11"/>
        <v>725063.22</v>
      </c>
      <c r="I4501" s="22">
        <v>103580.46</v>
      </c>
      <c r="J4501" s="22">
        <v>172634.1</v>
      </c>
      <c r="K4501" s="15">
        <f t="shared" si="12"/>
        <v>4453959.78</v>
      </c>
      <c r="L4501" s="45"/>
      <c r="M4501" s="6"/>
    </row>
    <row r="4502" ht="15.75" customHeight="1">
      <c r="A4502" s="162">
        <v>46275.0</v>
      </c>
      <c r="B4502" s="50"/>
      <c r="C4502" s="31" t="s">
        <v>22</v>
      </c>
      <c r="D4502" s="32" t="s">
        <v>15</v>
      </c>
      <c r="E4502" s="31" t="s">
        <v>4831</v>
      </c>
      <c r="F4502" s="246">
        <v>46291.0</v>
      </c>
      <c r="G4502" s="54">
        <v>1.634837408E7</v>
      </c>
      <c r="H4502" s="14">
        <f t="shared" si="11"/>
        <v>3433158.557</v>
      </c>
      <c r="I4502" s="22">
        <v>490451.22</v>
      </c>
      <c r="J4502" s="22">
        <v>817418.7</v>
      </c>
      <c r="K4502" s="15">
        <f t="shared" si="12"/>
        <v>21089402.56</v>
      </c>
      <c r="L4502" s="45"/>
      <c r="M4502" s="6"/>
    </row>
    <row r="4503" ht="15.75" customHeight="1">
      <c r="A4503" s="162">
        <v>46275.0</v>
      </c>
      <c r="B4503" s="50"/>
      <c r="C4503" s="31" t="s">
        <v>22</v>
      </c>
      <c r="D4503" s="32" t="s">
        <v>15</v>
      </c>
      <c r="E4503" s="31" t="s">
        <v>4832</v>
      </c>
      <c r="F4503" s="246">
        <v>46291.0</v>
      </c>
      <c r="G4503" s="54">
        <v>1.8332333E7</v>
      </c>
      <c r="H4503" s="14">
        <f t="shared" si="11"/>
        <v>3849789.93</v>
      </c>
      <c r="I4503" s="22">
        <v>549969.99</v>
      </c>
      <c r="J4503" s="22">
        <v>916616.65</v>
      </c>
      <c r="K4503" s="15">
        <f t="shared" si="12"/>
        <v>23648709.57</v>
      </c>
      <c r="L4503" s="45"/>
      <c r="M4503" s="6"/>
    </row>
    <row r="4504" ht="15.75" customHeight="1">
      <c r="A4504" s="162">
        <v>46275.0</v>
      </c>
      <c r="B4504" s="50"/>
      <c r="C4504" s="31" t="s">
        <v>22</v>
      </c>
      <c r="D4504" s="32" t="s">
        <v>15</v>
      </c>
      <c r="E4504" s="31" t="s">
        <v>4833</v>
      </c>
      <c r="F4504" s="246">
        <v>46291.0</v>
      </c>
      <c r="G4504" s="54">
        <v>1.5265387E7</v>
      </c>
      <c r="H4504" s="14">
        <f t="shared" si="11"/>
        <v>3205731.27</v>
      </c>
      <c r="I4504" s="22">
        <v>457961.61</v>
      </c>
      <c r="J4504" s="22">
        <v>763269.35</v>
      </c>
      <c r="K4504" s="15">
        <f t="shared" si="12"/>
        <v>19692349.23</v>
      </c>
      <c r="L4504" s="45"/>
      <c r="M4504" s="6"/>
    </row>
    <row r="4505" ht="15.75" customHeight="1">
      <c r="A4505" s="162">
        <v>46275.0</v>
      </c>
      <c r="B4505" s="50"/>
      <c r="C4505" s="31" t="s">
        <v>4719</v>
      </c>
      <c r="D4505" s="32" t="s">
        <v>15</v>
      </c>
      <c r="E4505" s="31" t="s">
        <v>4834</v>
      </c>
      <c r="F4505" s="246">
        <v>46291.0</v>
      </c>
      <c r="G4505" s="54">
        <v>8701212.0</v>
      </c>
      <c r="H4505" s="14">
        <f t="shared" si="11"/>
        <v>1827254.52</v>
      </c>
      <c r="I4505" s="22"/>
      <c r="J4505" s="22">
        <v>4350.61</v>
      </c>
      <c r="K4505" s="15">
        <f t="shared" si="12"/>
        <v>10532817.13</v>
      </c>
      <c r="L4505" s="45"/>
      <c r="M4505" s="6"/>
    </row>
    <row r="4506" ht="15.75" customHeight="1">
      <c r="A4506" s="162">
        <v>46275.0</v>
      </c>
      <c r="B4506" s="50"/>
      <c r="C4506" s="31" t="s">
        <v>4719</v>
      </c>
      <c r="D4506" s="32" t="s">
        <v>15</v>
      </c>
      <c r="E4506" s="31" t="s">
        <v>4835</v>
      </c>
      <c r="F4506" s="246">
        <v>46291.0</v>
      </c>
      <c r="G4506" s="54">
        <v>5332823.0</v>
      </c>
      <c r="H4506" s="14">
        <f t="shared" si="11"/>
        <v>1119892.83</v>
      </c>
      <c r="I4506" s="22"/>
      <c r="J4506" s="22">
        <v>2666.41</v>
      </c>
      <c r="K4506" s="15">
        <f t="shared" si="12"/>
        <v>6455382.24</v>
      </c>
      <c r="L4506" s="45"/>
      <c r="M4506" s="6"/>
    </row>
    <row r="4507" ht="15.75" customHeight="1">
      <c r="A4507" s="162">
        <v>46275.0</v>
      </c>
      <c r="B4507" s="50"/>
      <c r="C4507" s="31" t="s">
        <v>4719</v>
      </c>
      <c r="D4507" s="32" t="s">
        <v>15</v>
      </c>
      <c r="E4507" s="31" t="s">
        <v>4836</v>
      </c>
      <c r="F4507" s="246">
        <v>46291.0</v>
      </c>
      <c r="G4507" s="54">
        <v>1.6233833E7</v>
      </c>
      <c r="H4507" s="14">
        <f t="shared" si="11"/>
        <v>3409104.93</v>
      </c>
      <c r="I4507" s="22"/>
      <c r="J4507" s="22">
        <v>8116.92</v>
      </c>
      <c r="K4507" s="15">
        <f t="shared" si="12"/>
        <v>19651054.85</v>
      </c>
      <c r="L4507" s="45"/>
      <c r="M4507" s="6"/>
    </row>
    <row r="4508" ht="15.75" customHeight="1">
      <c r="A4508" s="162">
        <v>46275.0</v>
      </c>
      <c r="B4508" s="50"/>
      <c r="C4508" s="31" t="s">
        <v>4719</v>
      </c>
      <c r="D4508" s="32" t="s">
        <v>15</v>
      </c>
      <c r="E4508" s="31" t="s">
        <v>4837</v>
      </c>
      <c r="F4508" s="246">
        <v>46291.0</v>
      </c>
      <c r="G4508" s="54">
        <v>1.1823223E7</v>
      </c>
      <c r="H4508" s="14">
        <f t="shared" si="11"/>
        <v>2482876.83</v>
      </c>
      <c r="I4508" s="22"/>
      <c r="J4508" s="22">
        <v>5911.61</v>
      </c>
      <c r="K4508" s="15">
        <f t="shared" si="12"/>
        <v>14312011.44</v>
      </c>
      <c r="L4508" s="45"/>
      <c r="M4508" s="6"/>
    </row>
    <row r="4509" ht="15.75" customHeight="1">
      <c r="A4509" s="217">
        <v>46275.0</v>
      </c>
      <c r="B4509" s="56"/>
      <c r="C4509" s="57" t="s">
        <v>4464</v>
      </c>
      <c r="D4509" s="58" t="s">
        <v>99</v>
      </c>
      <c r="E4509" s="57" t="s">
        <v>4838</v>
      </c>
      <c r="F4509" s="212">
        <v>46291.0</v>
      </c>
      <c r="G4509" s="155">
        <v>3952871.0</v>
      </c>
      <c r="H4509" s="9">
        <f t="shared" si="11"/>
        <v>830102.91</v>
      </c>
      <c r="I4509" s="44"/>
      <c r="J4509" s="44"/>
      <c r="K4509" s="10">
        <f t="shared" si="12"/>
        <v>4782973.91</v>
      </c>
      <c r="L4509" s="61"/>
      <c r="M4509" s="62"/>
    </row>
    <row r="4510" ht="15.75" customHeight="1">
      <c r="A4510" s="217">
        <v>46275.0</v>
      </c>
      <c r="B4510" s="56"/>
      <c r="C4510" s="57" t="s">
        <v>4719</v>
      </c>
      <c r="D4510" s="58" t="s">
        <v>99</v>
      </c>
      <c r="E4510" s="57" t="s">
        <v>4839</v>
      </c>
      <c r="F4510" s="212">
        <v>46291.0</v>
      </c>
      <c r="G4510" s="155">
        <v>1.6192733E7</v>
      </c>
      <c r="H4510" s="9">
        <f t="shared" si="11"/>
        <v>3400473.93</v>
      </c>
      <c r="I4510" s="44"/>
      <c r="J4510" s="44">
        <v>8096.37</v>
      </c>
      <c r="K4510" s="10">
        <f t="shared" si="12"/>
        <v>19601303.3</v>
      </c>
      <c r="L4510" s="61"/>
      <c r="M4510" s="62"/>
    </row>
    <row r="4511" ht="15.75" customHeight="1">
      <c r="A4511" s="217">
        <v>46275.0</v>
      </c>
      <c r="B4511" s="56"/>
      <c r="C4511" s="57" t="s">
        <v>4464</v>
      </c>
      <c r="D4511" s="58" t="s">
        <v>99</v>
      </c>
      <c r="E4511" s="57" t="s">
        <v>4840</v>
      </c>
      <c r="F4511" s="212">
        <v>46291.0</v>
      </c>
      <c r="G4511" s="155">
        <v>3265894.0</v>
      </c>
      <c r="H4511" s="9">
        <f t="shared" si="11"/>
        <v>685837.74</v>
      </c>
      <c r="I4511" s="44"/>
      <c r="J4511" s="44"/>
      <c r="K4511" s="10">
        <f t="shared" si="12"/>
        <v>3951731.74</v>
      </c>
      <c r="L4511" s="61"/>
      <c r="M4511" s="62"/>
    </row>
    <row r="4512" ht="15.75" customHeight="1">
      <c r="A4512" s="217">
        <v>46275.0</v>
      </c>
      <c r="B4512" s="56"/>
      <c r="C4512" s="57" t="s">
        <v>4719</v>
      </c>
      <c r="D4512" s="58" t="s">
        <v>99</v>
      </c>
      <c r="E4512" s="57" t="s">
        <v>4841</v>
      </c>
      <c r="F4512" s="212">
        <v>46291.0</v>
      </c>
      <c r="G4512" s="155">
        <v>8111633.0</v>
      </c>
      <c r="H4512" s="9">
        <f t="shared" si="11"/>
        <v>1703442.93</v>
      </c>
      <c r="I4512" s="44"/>
      <c r="J4512" s="44">
        <v>4055.82</v>
      </c>
      <c r="K4512" s="10">
        <f t="shared" si="12"/>
        <v>9819131.75</v>
      </c>
      <c r="L4512" s="61"/>
      <c r="M4512" s="62"/>
    </row>
    <row r="4513" ht="15.75" customHeight="1">
      <c r="A4513" s="217">
        <v>46275.0</v>
      </c>
      <c r="B4513" s="56"/>
      <c r="C4513" s="57" t="s">
        <v>4719</v>
      </c>
      <c r="D4513" s="58" t="s">
        <v>99</v>
      </c>
      <c r="E4513" s="57" t="s">
        <v>4842</v>
      </c>
      <c r="F4513" s="212">
        <v>46291.0</v>
      </c>
      <c r="G4513" s="155">
        <v>1.7232393E7</v>
      </c>
      <c r="H4513" s="9">
        <f t="shared" si="11"/>
        <v>3618802.53</v>
      </c>
      <c r="I4513" s="44"/>
      <c r="J4513" s="44">
        <v>8616.2</v>
      </c>
      <c r="K4513" s="10">
        <f t="shared" si="12"/>
        <v>20859811.73</v>
      </c>
      <c r="L4513" s="61"/>
      <c r="M4513" s="62"/>
    </row>
    <row r="4514" ht="15.75" customHeight="1">
      <c r="A4514" s="217">
        <v>46275.0</v>
      </c>
      <c r="B4514" s="56"/>
      <c r="C4514" s="57" t="s">
        <v>4464</v>
      </c>
      <c r="D4514" s="58" t="s">
        <v>99</v>
      </c>
      <c r="E4514" s="57" t="s">
        <v>4843</v>
      </c>
      <c r="F4514" s="212">
        <v>46291.0</v>
      </c>
      <c r="G4514" s="155">
        <v>4111222.0</v>
      </c>
      <c r="H4514" s="9">
        <f t="shared" si="11"/>
        <v>863356.62</v>
      </c>
      <c r="I4514" s="44"/>
      <c r="J4514" s="44"/>
      <c r="K4514" s="10">
        <f t="shared" si="12"/>
        <v>4974578.62</v>
      </c>
      <c r="L4514" s="61"/>
      <c r="M4514" s="62"/>
    </row>
    <row r="4515" ht="15.75" customHeight="1">
      <c r="A4515" s="217">
        <v>46275.0</v>
      </c>
      <c r="B4515" s="56"/>
      <c r="C4515" s="57" t="s">
        <v>4719</v>
      </c>
      <c r="D4515" s="58" t="s">
        <v>99</v>
      </c>
      <c r="E4515" s="57" t="s">
        <v>4844</v>
      </c>
      <c r="F4515" s="212">
        <v>46291.0</v>
      </c>
      <c r="G4515" s="155">
        <v>4211220.0</v>
      </c>
      <c r="H4515" s="9">
        <f t="shared" si="11"/>
        <v>884356.2</v>
      </c>
      <c r="I4515" s="44"/>
      <c r="J4515" s="44">
        <v>2105.61</v>
      </c>
      <c r="K4515" s="10">
        <f t="shared" si="12"/>
        <v>5097681.81</v>
      </c>
      <c r="L4515" s="61"/>
      <c r="M4515" s="62"/>
    </row>
    <row r="4516" ht="15.75" customHeight="1">
      <c r="A4516" s="217">
        <v>46275.0</v>
      </c>
      <c r="B4516" s="56"/>
      <c r="C4516" s="57" t="s">
        <v>4464</v>
      </c>
      <c r="D4516" s="58" t="s">
        <v>99</v>
      </c>
      <c r="E4516" s="57" t="s">
        <v>4845</v>
      </c>
      <c r="F4516" s="212">
        <v>46291.0</v>
      </c>
      <c r="G4516" s="155">
        <v>3981597.0</v>
      </c>
      <c r="H4516" s="9">
        <f t="shared" si="11"/>
        <v>836135.37</v>
      </c>
      <c r="I4516" s="44"/>
      <c r="J4516" s="44"/>
      <c r="K4516" s="10">
        <f t="shared" si="12"/>
        <v>4817732.37</v>
      </c>
      <c r="L4516" s="61"/>
      <c r="M4516" s="62"/>
    </row>
    <row r="4517" ht="15.75" customHeight="1">
      <c r="A4517" s="162">
        <v>46279.0</v>
      </c>
      <c r="B4517" s="50"/>
      <c r="C4517" s="31" t="s">
        <v>1796</v>
      </c>
      <c r="D4517" s="32" t="s">
        <v>99</v>
      </c>
      <c r="E4517" s="31" t="s">
        <v>4846</v>
      </c>
      <c r="F4517" s="246">
        <v>46291.0</v>
      </c>
      <c r="G4517" s="54">
        <v>4707880.0</v>
      </c>
      <c r="H4517" s="14">
        <f t="shared" si="11"/>
        <v>988654.8</v>
      </c>
      <c r="I4517" s="22">
        <v>141236.4</v>
      </c>
      <c r="J4517" s="22">
        <v>23539.4</v>
      </c>
      <c r="K4517" s="15">
        <f t="shared" si="12"/>
        <v>5861310.6</v>
      </c>
      <c r="L4517" s="45"/>
      <c r="M4517" s="6"/>
    </row>
    <row r="4518" ht="15.75" customHeight="1">
      <c r="A4518" s="162">
        <v>46279.0</v>
      </c>
      <c r="B4518" s="50"/>
      <c r="C4518" s="31" t="s">
        <v>491</v>
      </c>
      <c r="D4518" s="32" t="s">
        <v>99</v>
      </c>
      <c r="E4518" s="31" t="s">
        <v>4847</v>
      </c>
      <c r="F4518" s="246">
        <v>46291.0</v>
      </c>
      <c r="G4518" s="54">
        <v>1.4400223E7</v>
      </c>
      <c r="H4518" s="14">
        <f t="shared" si="11"/>
        <v>3024046.83</v>
      </c>
      <c r="I4518" s="22">
        <v>432006.69</v>
      </c>
      <c r="J4518" s="22">
        <v>115201.78</v>
      </c>
      <c r="K4518" s="15">
        <f t="shared" si="12"/>
        <v>17971478.3</v>
      </c>
      <c r="L4518" s="45"/>
      <c r="M4518" s="6"/>
    </row>
    <row r="4519" ht="15.75" customHeight="1">
      <c r="A4519" s="162">
        <v>46279.0</v>
      </c>
      <c r="B4519" s="50"/>
      <c r="C4519" s="31" t="s">
        <v>491</v>
      </c>
      <c r="D4519" s="32" t="s">
        <v>99</v>
      </c>
      <c r="E4519" s="31" t="s">
        <v>4848</v>
      </c>
      <c r="F4519" s="246">
        <v>46291.0</v>
      </c>
      <c r="G4519" s="54">
        <v>1.882633E7</v>
      </c>
      <c r="H4519" s="14">
        <f t="shared" si="11"/>
        <v>3953529.3</v>
      </c>
      <c r="I4519" s="22">
        <v>564789.9</v>
      </c>
      <c r="J4519" s="22">
        <v>150610.64</v>
      </c>
      <c r="K4519" s="15">
        <f t="shared" si="12"/>
        <v>23495259.84</v>
      </c>
      <c r="L4519" s="45"/>
      <c r="M4519" s="6"/>
    </row>
    <row r="4520" ht="15.75" customHeight="1">
      <c r="A4520" s="162">
        <v>46279.0</v>
      </c>
      <c r="B4520" s="50"/>
      <c r="C4520" s="31" t="s">
        <v>491</v>
      </c>
      <c r="D4520" s="32" t="s">
        <v>99</v>
      </c>
      <c r="E4520" s="31" t="s">
        <v>4849</v>
      </c>
      <c r="F4520" s="246">
        <v>46291.0</v>
      </c>
      <c r="G4520" s="54">
        <v>2.2091287E7</v>
      </c>
      <c r="H4520" s="14">
        <f t="shared" si="11"/>
        <v>4639170.27</v>
      </c>
      <c r="I4520" s="22">
        <v>662738.61</v>
      </c>
      <c r="J4520" s="22">
        <v>176730.3</v>
      </c>
      <c r="K4520" s="15">
        <f t="shared" si="12"/>
        <v>27569926.18</v>
      </c>
      <c r="L4520" s="45"/>
      <c r="M4520" s="6"/>
    </row>
    <row r="4521" ht="15.75" customHeight="1">
      <c r="A4521" s="162">
        <v>46279.0</v>
      </c>
      <c r="B4521" s="50"/>
      <c r="C4521" s="31" t="s">
        <v>491</v>
      </c>
      <c r="D4521" s="32" t="s">
        <v>99</v>
      </c>
      <c r="E4521" s="31" t="s">
        <v>4850</v>
      </c>
      <c r="F4521" s="246">
        <v>46291.0</v>
      </c>
      <c r="G4521" s="54">
        <v>1.1991122E7</v>
      </c>
      <c r="H4521" s="14">
        <f t="shared" si="11"/>
        <v>2518135.62</v>
      </c>
      <c r="I4521" s="22">
        <v>359733.66</v>
      </c>
      <c r="J4521" s="22">
        <v>95928.98</v>
      </c>
      <c r="K4521" s="15">
        <f t="shared" si="12"/>
        <v>14964920.26</v>
      </c>
      <c r="L4521" s="45"/>
      <c r="M4521" s="6"/>
    </row>
    <row r="4522" ht="15.75" customHeight="1">
      <c r="A4522" s="162">
        <v>46279.0</v>
      </c>
      <c r="B4522" s="50"/>
      <c r="C4522" s="31" t="s">
        <v>491</v>
      </c>
      <c r="D4522" s="32" t="s">
        <v>99</v>
      </c>
      <c r="E4522" s="31" t="s">
        <v>4851</v>
      </c>
      <c r="F4522" s="246">
        <v>46291.0</v>
      </c>
      <c r="G4522" s="54">
        <v>8700172.0</v>
      </c>
      <c r="H4522" s="14">
        <f t="shared" si="11"/>
        <v>1827036.12</v>
      </c>
      <c r="I4522" s="22">
        <v>261005.16</v>
      </c>
      <c r="J4522" s="22">
        <v>69601.38</v>
      </c>
      <c r="K4522" s="15">
        <f t="shared" si="12"/>
        <v>10857814.66</v>
      </c>
      <c r="L4522" s="45"/>
      <c r="M4522" s="6"/>
    </row>
    <row r="4523" ht="15.75" customHeight="1">
      <c r="A4523" s="162">
        <v>46279.0</v>
      </c>
      <c r="B4523" s="50"/>
      <c r="C4523" s="31" t="s">
        <v>1796</v>
      </c>
      <c r="D4523" s="32" t="s">
        <v>15</v>
      </c>
      <c r="E4523" s="31" t="s">
        <v>4852</v>
      </c>
      <c r="F4523" s="246">
        <v>46291.0</v>
      </c>
      <c r="G4523" s="54">
        <v>5304470.0</v>
      </c>
      <c r="H4523" s="14">
        <f t="shared" si="11"/>
        <v>1113938.7</v>
      </c>
      <c r="I4523" s="22">
        <v>159134.1</v>
      </c>
      <c r="J4523" s="22">
        <v>26522.35</v>
      </c>
      <c r="K4523" s="15">
        <f t="shared" si="12"/>
        <v>6604065.15</v>
      </c>
      <c r="L4523" s="45"/>
      <c r="M4523" s="6"/>
    </row>
    <row r="4524" ht="15.75" customHeight="1">
      <c r="A4524" s="162">
        <v>46279.0</v>
      </c>
      <c r="B4524" s="50"/>
      <c r="C4524" s="31" t="s">
        <v>491</v>
      </c>
      <c r="D4524" s="32" t="s">
        <v>15</v>
      </c>
      <c r="E4524" s="31" t="s">
        <v>4853</v>
      </c>
      <c r="F4524" s="246">
        <v>46291.0</v>
      </c>
      <c r="G4524" s="54">
        <v>1.5337233E7</v>
      </c>
      <c r="H4524" s="14">
        <f t="shared" si="11"/>
        <v>3220818.93</v>
      </c>
      <c r="I4524" s="22">
        <v>460116.99</v>
      </c>
      <c r="J4524" s="22">
        <v>122697.86</v>
      </c>
      <c r="K4524" s="15">
        <f t="shared" si="12"/>
        <v>19140866.78</v>
      </c>
      <c r="L4524" s="45"/>
      <c r="M4524" s="6"/>
    </row>
    <row r="4525" ht="15.75" customHeight="1">
      <c r="A4525" s="162">
        <v>46279.0</v>
      </c>
      <c r="B4525" s="50"/>
      <c r="C4525" s="31" t="s">
        <v>491</v>
      </c>
      <c r="D4525" s="32" t="s">
        <v>15</v>
      </c>
      <c r="E4525" s="31" t="s">
        <v>4854</v>
      </c>
      <c r="F4525" s="246">
        <v>46291.0</v>
      </c>
      <c r="G4525" s="54">
        <v>1.1833722E7</v>
      </c>
      <c r="H4525" s="14">
        <f t="shared" si="11"/>
        <v>2485081.62</v>
      </c>
      <c r="I4525" s="22">
        <v>355011.66</v>
      </c>
      <c r="J4525" s="22">
        <v>94669.78</v>
      </c>
      <c r="K4525" s="15">
        <f t="shared" si="12"/>
        <v>14768485.06</v>
      </c>
      <c r="L4525" s="45"/>
      <c r="M4525" s="6"/>
    </row>
    <row r="4526" ht="15.75" customHeight="1">
      <c r="A4526" s="217">
        <v>46279.0</v>
      </c>
      <c r="B4526" s="56"/>
      <c r="C4526" s="57" t="s">
        <v>1189</v>
      </c>
      <c r="D4526" s="58" t="s">
        <v>15</v>
      </c>
      <c r="E4526" s="57" t="s">
        <v>4855</v>
      </c>
      <c r="F4526" s="212">
        <v>46291.0</v>
      </c>
      <c r="G4526" s="155">
        <v>1.501148E7</v>
      </c>
      <c r="H4526" s="9">
        <f t="shared" si="11"/>
        <v>3152410.8</v>
      </c>
      <c r="I4526" s="44">
        <v>450344.4</v>
      </c>
      <c r="J4526" s="44"/>
      <c r="K4526" s="10">
        <f t="shared" si="12"/>
        <v>18614235.2</v>
      </c>
      <c r="L4526" s="61"/>
      <c r="M4526" s="62"/>
    </row>
    <row r="4527" ht="15.75" customHeight="1">
      <c r="A4527" s="162">
        <v>46279.0</v>
      </c>
      <c r="B4527" s="50"/>
      <c r="C4527" s="31" t="s">
        <v>491</v>
      </c>
      <c r="D4527" s="32" t="s">
        <v>15</v>
      </c>
      <c r="E4527" s="31" t="s">
        <v>4856</v>
      </c>
      <c r="F4527" s="246">
        <v>46291.0</v>
      </c>
      <c r="G4527" s="54">
        <v>2.2302833E7</v>
      </c>
      <c r="H4527" s="14">
        <f t="shared" si="11"/>
        <v>4683594.93</v>
      </c>
      <c r="I4527" s="22">
        <v>669084.99</v>
      </c>
      <c r="J4527" s="22">
        <v>178422.66</v>
      </c>
      <c r="K4527" s="15">
        <f t="shared" si="12"/>
        <v>27833935.58</v>
      </c>
      <c r="L4527" s="45"/>
      <c r="M4527" s="6"/>
    </row>
    <row r="4528" ht="15.75" customHeight="1">
      <c r="A4528" s="162">
        <v>46279.0</v>
      </c>
      <c r="B4528" s="50"/>
      <c r="C4528" s="31" t="s">
        <v>491</v>
      </c>
      <c r="D4528" s="32" t="s">
        <v>15</v>
      </c>
      <c r="E4528" s="31" t="s">
        <v>4857</v>
      </c>
      <c r="F4528" s="246">
        <v>46291.0</v>
      </c>
      <c r="G4528" s="54">
        <v>8123382.0</v>
      </c>
      <c r="H4528" s="14">
        <f t="shared" si="11"/>
        <v>1705910.22</v>
      </c>
      <c r="I4528" s="22">
        <v>243701.46</v>
      </c>
      <c r="J4528" s="22">
        <v>64987.06</v>
      </c>
      <c r="K4528" s="15">
        <f t="shared" si="12"/>
        <v>10137980.74</v>
      </c>
      <c r="L4528" s="45"/>
      <c r="M4528" s="6"/>
    </row>
    <row r="4529" ht="15.75" customHeight="1">
      <c r="A4529" s="162">
        <v>46279.0</v>
      </c>
      <c r="B4529" s="50"/>
      <c r="C4529" s="31" t="s">
        <v>491</v>
      </c>
      <c r="D4529" s="32" t="s">
        <v>15</v>
      </c>
      <c r="E4529" s="31" t="s">
        <v>4858</v>
      </c>
      <c r="F4529" s="246">
        <v>46291.0</v>
      </c>
      <c r="G4529" s="54">
        <v>1.192024E7</v>
      </c>
      <c r="H4529" s="14">
        <f t="shared" si="11"/>
        <v>2503250.4</v>
      </c>
      <c r="I4529" s="22">
        <v>357607.2</v>
      </c>
      <c r="J4529" s="22">
        <v>95361.92</v>
      </c>
      <c r="K4529" s="15">
        <f t="shared" si="12"/>
        <v>14876459.52</v>
      </c>
      <c r="L4529" s="45"/>
      <c r="M4529" s="6"/>
    </row>
    <row r="4530" ht="15.75" customHeight="1">
      <c r="A4530" s="162">
        <v>46279.0</v>
      </c>
      <c r="B4530" s="50"/>
      <c r="C4530" s="31" t="s">
        <v>491</v>
      </c>
      <c r="D4530" s="32" t="s">
        <v>15</v>
      </c>
      <c r="E4530" s="31" t="s">
        <v>4859</v>
      </c>
      <c r="F4530" s="246">
        <v>46291.0</v>
      </c>
      <c r="G4530" s="54">
        <v>1.2098787E7</v>
      </c>
      <c r="H4530" s="14">
        <f t="shared" si="11"/>
        <v>2540745.27</v>
      </c>
      <c r="I4530" s="22">
        <v>362963.61</v>
      </c>
      <c r="J4530" s="22">
        <v>96790.3</v>
      </c>
      <c r="K4530" s="15">
        <f t="shared" si="12"/>
        <v>15099286.18</v>
      </c>
      <c r="L4530" s="45"/>
      <c r="M4530" s="6"/>
    </row>
    <row r="4531" ht="15.75" customHeight="1">
      <c r="A4531" s="162">
        <v>46279.0</v>
      </c>
      <c r="B4531" s="50"/>
      <c r="C4531" s="31" t="s">
        <v>2842</v>
      </c>
      <c r="D4531" s="32" t="s">
        <v>15</v>
      </c>
      <c r="E4531" s="31" t="s">
        <v>4860</v>
      </c>
      <c r="F4531" s="246">
        <v>46291.0</v>
      </c>
      <c r="G4531" s="54">
        <v>9227633.5</v>
      </c>
      <c r="H4531" s="14">
        <f t="shared" si="11"/>
        <v>1937803.035</v>
      </c>
      <c r="I4531" s="22">
        <v>276829.01</v>
      </c>
      <c r="J4531" s="22">
        <v>461381.68</v>
      </c>
      <c r="K4531" s="15">
        <f t="shared" si="12"/>
        <v>11903647.23</v>
      </c>
      <c r="L4531" s="45"/>
      <c r="M4531" s="6"/>
    </row>
    <row r="4532" ht="15.75" customHeight="1">
      <c r="A4532" s="162">
        <v>46279.0</v>
      </c>
      <c r="B4532" s="50"/>
      <c r="C4532" s="31" t="s">
        <v>2842</v>
      </c>
      <c r="D4532" s="32" t="s">
        <v>15</v>
      </c>
      <c r="E4532" s="31" t="s">
        <v>4861</v>
      </c>
      <c r="F4532" s="246">
        <v>46291.0</v>
      </c>
      <c r="G4532" s="54">
        <v>8714457.0</v>
      </c>
      <c r="H4532" s="14">
        <f t="shared" si="11"/>
        <v>1830035.97</v>
      </c>
      <c r="I4532" s="22">
        <v>261433.71</v>
      </c>
      <c r="J4532" s="22">
        <v>435722.85</v>
      </c>
      <c r="K4532" s="15">
        <f t="shared" si="12"/>
        <v>11241649.53</v>
      </c>
      <c r="L4532" s="45"/>
      <c r="M4532" s="6"/>
    </row>
    <row r="4533" ht="15.75" customHeight="1">
      <c r="A4533" s="162">
        <v>46279.0</v>
      </c>
      <c r="B4533" s="50"/>
      <c r="C4533" s="31" t="s">
        <v>2842</v>
      </c>
      <c r="D4533" s="32" t="s">
        <v>15</v>
      </c>
      <c r="E4533" s="31" t="s">
        <v>4862</v>
      </c>
      <c r="F4533" s="246">
        <v>46291.0</v>
      </c>
      <c r="G4533" s="54">
        <v>7922833.0</v>
      </c>
      <c r="H4533" s="14">
        <f t="shared" si="11"/>
        <v>1663794.93</v>
      </c>
      <c r="I4533" s="22">
        <v>237684.99</v>
      </c>
      <c r="J4533" s="22">
        <v>396141.65</v>
      </c>
      <c r="K4533" s="15">
        <f t="shared" si="12"/>
        <v>10220454.57</v>
      </c>
      <c r="L4533" s="45"/>
      <c r="M4533" s="6"/>
    </row>
    <row r="4534" ht="15.75" customHeight="1">
      <c r="A4534" s="162">
        <v>46279.0</v>
      </c>
      <c r="B4534" s="50"/>
      <c r="C4534" s="31" t="s">
        <v>1183</v>
      </c>
      <c r="D4534" s="32" t="s">
        <v>15</v>
      </c>
      <c r="E4534" s="31" t="s">
        <v>4863</v>
      </c>
      <c r="F4534" s="246">
        <v>46291.0</v>
      </c>
      <c r="G4534" s="54">
        <v>8336223.0</v>
      </c>
      <c r="H4534" s="14">
        <f t="shared" si="11"/>
        <v>1750606.83</v>
      </c>
      <c r="I4534" s="22">
        <v>250086.69</v>
      </c>
      <c r="J4534" s="22"/>
      <c r="K4534" s="15">
        <f t="shared" si="12"/>
        <v>10336916.52</v>
      </c>
      <c r="L4534" s="45"/>
      <c r="M4534" s="6"/>
    </row>
    <row r="4535" ht="15.75" customHeight="1">
      <c r="A4535" s="162">
        <v>46279.0</v>
      </c>
      <c r="B4535" s="50"/>
      <c r="C4535" s="31" t="s">
        <v>1183</v>
      </c>
      <c r="D4535" s="32" t="s">
        <v>15</v>
      </c>
      <c r="E4535" s="31" t="s">
        <v>4864</v>
      </c>
      <c r="F4535" s="246">
        <v>46291.0</v>
      </c>
      <c r="G4535" s="54">
        <v>6325433.0</v>
      </c>
      <c r="H4535" s="14">
        <f t="shared" si="11"/>
        <v>1328340.93</v>
      </c>
      <c r="I4535" s="22">
        <v>189762.99</v>
      </c>
      <c r="J4535" s="22"/>
      <c r="K4535" s="15">
        <f t="shared" si="12"/>
        <v>7843536.92</v>
      </c>
      <c r="L4535" s="45"/>
      <c r="M4535" s="6"/>
    </row>
    <row r="4536" ht="15.75" customHeight="1">
      <c r="A4536" s="162">
        <v>46279.0</v>
      </c>
      <c r="B4536" s="50"/>
      <c r="C4536" s="31" t="s">
        <v>1183</v>
      </c>
      <c r="D4536" s="32" t="s">
        <v>15</v>
      </c>
      <c r="E4536" s="31" t="s">
        <v>4865</v>
      </c>
      <c r="F4536" s="246">
        <v>46291.0</v>
      </c>
      <c r="G4536" s="54">
        <v>9132222.0</v>
      </c>
      <c r="H4536" s="14">
        <f t="shared" si="11"/>
        <v>1917766.62</v>
      </c>
      <c r="I4536" s="22">
        <v>273966.66</v>
      </c>
      <c r="J4536" s="22"/>
      <c r="K4536" s="15">
        <f t="shared" si="12"/>
        <v>11323955.28</v>
      </c>
      <c r="L4536" s="45"/>
      <c r="M4536" s="6"/>
    </row>
    <row r="4537" ht="15.75" customHeight="1">
      <c r="A4537" s="162">
        <v>46279.0</v>
      </c>
      <c r="B4537" s="50"/>
      <c r="C4537" s="31" t="s">
        <v>1183</v>
      </c>
      <c r="D4537" s="32" t="s">
        <v>15</v>
      </c>
      <c r="E4537" s="31" t="s">
        <v>4866</v>
      </c>
      <c r="F4537" s="246">
        <v>46291.0</v>
      </c>
      <c r="G4537" s="54">
        <v>8246248.0</v>
      </c>
      <c r="H4537" s="14">
        <f t="shared" si="11"/>
        <v>1731712.08</v>
      </c>
      <c r="I4537" s="22">
        <v>247387.44</v>
      </c>
      <c r="J4537" s="22"/>
      <c r="K4537" s="15">
        <f t="shared" si="12"/>
        <v>10225347.52</v>
      </c>
      <c r="L4537" s="45"/>
      <c r="M4537" s="6"/>
    </row>
    <row r="4538" ht="15.75" customHeight="1">
      <c r="A4538" s="162">
        <v>46279.0</v>
      </c>
      <c r="B4538" s="50"/>
      <c r="C4538" s="31" t="s">
        <v>1183</v>
      </c>
      <c r="D4538" s="32" t="s">
        <v>15</v>
      </c>
      <c r="E4538" s="31" t="s">
        <v>4867</v>
      </c>
      <c r="F4538" s="246">
        <v>46291.0</v>
      </c>
      <c r="G4538" s="54">
        <v>5221922.0</v>
      </c>
      <c r="H4538" s="14">
        <f t="shared" si="11"/>
        <v>1096603.62</v>
      </c>
      <c r="I4538" s="22">
        <v>156657.66</v>
      </c>
      <c r="J4538" s="22"/>
      <c r="K4538" s="15">
        <f t="shared" si="12"/>
        <v>6475183.28</v>
      </c>
      <c r="L4538" s="45"/>
      <c r="M4538" s="6"/>
    </row>
    <row r="4539" ht="15.75" customHeight="1">
      <c r="A4539" s="162">
        <v>46279.0</v>
      </c>
      <c r="B4539" s="50"/>
      <c r="C4539" s="31" t="s">
        <v>1183</v>
      </c>
      <c r="D4539" s="32" t="s">
        <v>15</v>
      </c>
      <c r="E4539" s="31" t="s">
        <v>4868</v>
      </c>
      <c r="F4539" s="246">
        <v>46291.0</v>
      </c>
      <c r="G4539" s="54">
        <v>6183673.0</v>
      </c>
      <c r="H4539" s="14">
        <f t="shared" si="11"/>
        <v>1298571.33</v>
      </c>
      <c r="I4539" s="22">
        <v>185510.19</v>
      </c>
      <c r="J4539" s="22"/>
      <c r="K4539" s="15">
        <f t="shared" si="12"/>
        <v>7667754.52</v>
      </c>
      <c r="L4539" s="45"/>
      <c r="M4539" s="6"/>
    </row>
    <row r="4540" ht="15.75" customHeight="1">
      <c r="A4540" s="162">
        <v>46279.0</v>
      </c>
      <c r="B4540" s="50"/>
      <c r="C4540" s="31" t="s">
        <v>1183</v>
      </c>
      <c r="D4540" s="32" t="s">
        <v>15</v>
      </c>
      <c r="E4540" s="31" t="s">
        <v>4869</v>
      </c>
      <c r="F4540" s="246">
        <v>46291.0</v>
      </c>
      <c r="G4540" s="54">
        <v>1.1353322E7</v>
      </c>
      <c r="H4540" s="14">
        <f t="shared" si="11"/>
        <v>2384197.62</v>
      </c>
      <c r="I4540" s="22">
        <v>340599.66</v>
      </c>
      <c r="J4540" s="22"/>
      <c r="K4540" s="15">
        <f t="shared" si="12"/>
        <v>14078119.28</v>
      </c>
      <c r="L4540" s="45"/>
      <c r="M4540" s="6"/>
    </row>
    <row r="4541" ht="15.75" customHeight="1">
      <c r="A4541" s="162">
        <v>46279.0</v>
      </c>
      <c r="B4541" s="50"/>
      <c r="C4541" s="31" t="s">
        <v>1183</v>
      </c>
      <c r="D4541" s="32" t="s">
        <v>15</v>
      </c>
      <c r="E4541" s="31" t="s">
        <v>4870</v>
      </c>
      <c r="F4541" s="246">
        <v>46291.0</v>
      </c>
      <c r="G4541" s="54">
        <v>3759592.0</v>
      </c>
      <c r="H4541" s="14">
        <f t="shared" si="11"/>
        <v>789514.32</v>
      </c>
      <c r="I4541" s="22">
        <v>112787.76</v>
      </c>
      <c r="J4541" s="22"/>
      <c r="K4541" s="15">
        <f t="shared" si="12"/>
        <v>4661894.08</v>
      </c>
      <c r="L4541" s="45"/>
      <c r="M4541" s="6"/>
    </row>
    <row r="4542" ht="15.75" customHeight="1">
      <c r="A4542" s="162">
        <v>46279.0</v>
      </c>
      <c r="B4542" s="50"/>
      <c r="C4542" s="31" t="s">
        <v>1183</v>
      </c>
      <c r="D4542" s="32" t="s">
        <v>15</v>
      </c>
      <c r="E4542" s="31" t="s">
        <v>4871</v>
      </c>
      <c r="F4542" s="246">
        <v>46291.0</v>
      </c>
      <c r="G4542" s="54">
        <v>4392223.0</v>
      </c>
      <c r="H4542" s="14">
        <f t="shared" si="11"/>
        <v>922366.83</v>
      </c>
      <c r="I4542" s="22">
        <v>131766.69</v>
      </c>
      <c r="J4542" s="22"/>
      <c r="K4542" s="15">
        <f t="shared" si="12"/>
        <v>5446356.52</v>
      </c>
      <c r="L4542" s="45"/>
      <c r="M4542" s="6"/>
    </row>
    <row r="4543" ht="15.75" customHeight="1">
      <c r="A4543" s="162">
        <v>46279.0</v>
      </c>
      <c r="B4543" s="50"/>
      <c r="C4543" s="31" t="s">
        <v>1283</v>
      </c>
      <c r="D4543" s="32" t="s">
        <v>15</v>
      </c>
      <c r="E4543" s="31" t="s">
        <v>4872</v>
      </c>
      <c r="F4543" s="246">
        <v>46291.0</v>
      </c>
      <c r="G4543" s="54">
        <v>3678700.0</v>
      </c>
      <c r="H4543" s="14">
        <f t="shared" si="11"/>
        <v>772527</v>
      </c>
      <c r="I4543" s="22">
        <v>110361.0</v>
      </c>
      <c r="J4543" s="22"/>
      <c r="K4543" s="15">
        <f t="shared" si="12"/>
        <v>4561588</v>
      </c>
      <c r="L4543" s="45"/>
      <c r="M4543" s="6"/>
    </row>
    <row r="4544" ht="15.75" customHeight="1">
      <c r="A4544" s="162">
        <v>46279.0</v>
      </c>
      <c r="B4544" s="50"/>
      <c r="C4544" s="31" t="s">
        <v>1283</v>
      </c>
      <c r="D4544" s="32" t="s">
        <v>15</v>
      </c>
      <c r="E4544" s="32" t="s">
        <v>4873</v>
      </c>
      <c r="F4544" s="246">
        <v>46291.0</v>
      </c>
      <c r="G4544" s="54">
        <v>3678690.0</v>
      </c>
      <c r="H4544" s="14">
        <f t="shared" si="11"/>
        <v>772524.9</v>
      </c>
      <c r="I4544" s="22">
        <v>110360.7</v>
      </c>
      <c r="J4544" s="22"/>
      <c r="K4544" s="15">
        <f t="shared" si="12"/>
        <v>4561575.6</v>
      </c>
      <c r="L4544" s="45"/>
      <c r="M4544" s="6"/>
    </row>
    <row r="4545" ht="15.75" customHeight="1">
      <c r="A4545" s="162">
        <v>46279.0</v>
      </c>
      <c r="B4545" s="50"/>
      <c r="C4545" s="31" t="s">
        <v>1277</v>
      </c>
      <c r="D4545" s="32" t="s">
        <v>15</v>
      </c>
      <c r="E4545" s="31" t="s">
        <v>4874</v>
      </c>
      <c r="F4545" s="246">
        <v>46291.0</v>
      </c>
      <c r="G4545" s="54">
        <v>1488650.0</v>
      </c>
      <c r="H4545" s="14">
        <f t="shared" si="11"/>
        <v>312616.5</v>
      </c>
      <c r="I4545" s="22">
        <v>44659.5</v>
      </c>
      <c r="J4545" s="22"/>
      <c r="K4545" s="15">
        <f t="shared" si="12"/>
        <v>1845926</v>
      </c>
      <c r="L4545" s="45"/>
      <c r="M4545" s="6"/>
    </row>
    <row r="4546" ht="15.75" customHeight="1">
      <c r="A4546" s="162">
        <v>46279.0</v>
      </c>
      <c r="B4546" s="50"/>
      <c r="C4546" s="31" t="s">
        <v>1277</v>
      </c>
      <c r="D4546" s="32" t="s">
        <v>15</v>
      </c>
      <c r="E4546" s="31" t="s">
        <v>4875</v>
      </c>
      <c r="F4546" s="246">
        <v>46291.0</v>
      </c>
      <c r="G4546" s="54">
        <v>1489630.0</v>
      </c>
      <c r="H4546" s="14">
        <f t="shared" si="11"/>
        <v>312822.3</v>
      </c>
      <c r="I4546" s="22">
        <v>44688.9</v>
      </c>
      <c r="J4546" s="22"/>
      <c r="K4546" s="15">
        <f t="shared" si="12"/>
        <v>1847141.2</v>
      </c>
      <c r="L4546" s="45"/>
      <c r="M4546" s="6"/>
    </row>
    <row r="4547" ht="15.75" customHeight="1">
      <c r="A4547" s="162">
        <v>46279.0</v>
      </c>
      <c r="B4547" s="50"/>
      <c r="C4547" s="31" t="s">
        <v>1279</v>
      </c>
      <c r="D4547" s="32" t="s">
        <v>15</v>
      </c>
      <c r="E4547" s="31" t="s">
        <v>4876</v>
      </c>
      <c r="F4547" s="246">
        <v>46291.0</v>
      </c>
      <c r="G4547" s="54">
        <v>4546480.0</v>
      </c>
      <c r="H4547" s="14">
        <f t="shared" si="11"/>
        <v>954760.8</v>
      </c>
      <c r="I4547" s="22">
        <v>136394.4</v>
      </c>
      <c r="J4547" s="22"/>
      <c r="K4547" s="15">
        <f t="shared" si="12"/>
        <v>5637635.2</v>
      </c>
      <c r="L4547" s="45"/>
      <c r="M4547" s="6"/>
    </row>
    <row r="4548" ht="15.75" customHeight="1">
      <c r="A4548" s="162">
        <v>46279.0</v>
      </c>
      <c r="B4548" s="50"/>
      <c r="C4548" s="31" t="s">
        <v>1279</v>
      </c>
      <c r="D4548" s="32" t="s">
        <v>15</v>
      </c>
      <c r="E4548" s="31" t="s">
        <v>4877</v>
      </c>
      <c r="F4548" s="246">
        <v>46291.0</v>
      </c>
      <c r="G4548" s="54">
        <v>3310790.0</v>
      </c>
      <c r="H4548" s="14">
        <f t="shared" si="11"/>
        <v>695265.9</v>
      </c>
      <c r="I4548" s="22">
        <v>99323.7</v>
      </c>
      <c r="J4548" s="22"/>
      <c r="K4548" s="15">
        <f t="shared" si="12"/>
        <v>4105379.6</v>
      </c>
      <c r="L4548" s="45"/>
      <c r="M4548" s="6"/>
    </row>
    <row r="4549" ht="15.75" customHeight="1">
      <c r="A4549" s="162">
        <v>46279.0</v>
      </c>
      <c r="B4549" s="50"/>
      <c r="C4549" s="31" t="s">
        <v>1183</v>
      </c>
      <c r="D4549" s="32" t="s">
        <v>15</v>
      </c>
      <c r="E4549" s="31" t="s">
        <v>4878</v>
      </c>
      <c r="F4549" s="246">
        <v>46291.0</v>
      </c>
      <c r="G4549" s="54">
        <v>7922833.0</v>
      </c>
      <c r="H4549" s="14">
        <f t="shared" si="11"/>
        <v>1663794.93</v>
      </c>
      <c r="I4549" s="22">
        <v>237684.99</v>
      </c>
      <c r="J4549" s="22"/>
      <c r="K4549" s="15">
        <f t="shared" si="12"/>
        <v>9824312.92</v>
      </c>
      <c r="L4549" s="45"/>
      <c r="M4549" s="6"/>
    </row>
    <row r="4550" ht="15.75" customHeight="1">
      <c r="A4550" s="162">
        <v>46279.0</v>
      </c>
      <c r="B4550" s="50"/>
      <c r="C4550" s="31" t="s">
        <v>1183</v>
      </c>
      <c r="D4550" s="32" t="s">
        <v>99</v>
      </c>
      <c r="E4550" s="31" t="s">
        <v>4879</v>
      </c>
      <c r="F4550" s="246">
        <v>46291.0</v>
      </c>
      <c r="G4550" s="54">
        <v>1.510236E7</v>
      </c>
      <c r="H4550" s="14">
        <f t="shared" si="11"/>
        <v>3171495.6</v>
      </c>
      <c r="I4550" s="22">
        <v>453070.8</v>
      </c>
      <c r="J4550" s="22"/>
      <c r="K4550" s="15">
        <f t="shared" si="12"/>
        <v>18726926.4</v>
      </c>
      <c r="L4550" s="45"/>
      <c r="M4550" s="6"/>
    </row>
    <row r="4551" ht="15.75" customHeight="1">
      <c r="A4551" s="162">
        <v>46279.0</v>
      </c>
      <c r="B4551" s="50"/>
      <c r="C4551" s="31" t="s">
        <v>4880</v>
      </c>
      <c r="D4551" s="32" t="s">
        <v>3296</v>
      </c>
      <c r="E4551" s="31" t="s">
        <v>4881</v>
      </c>
      <c r="F4551" s="246">
        <v>46291.0</v>
      </c>
      <c r="G4551" s="54">
        <v>1.722145E7</v>
      </c>
      <c r="H4551" s="14">
        <f t="shared" si="11"/>
        <v>3616504.5</v>
      </c>
      <c r="I4551" s="22"/>
      <c r="J4551" s="22">
        <f>258321.75+275543.2</f>
        <v>533864.95</v>
      </c>
      <c r="K4551" s="15">
        <f t="shared" si="12"/>
        <v>21371819.45</v>
      </c>
      <c r="L4551" s="45"/>
      <c r="M4551" s="6"/>
    </row>
    <row r="4552" ht="15.75" customHeight="1">
      <c r="A4552" s="162">
        <v>46279.0</v>
      </c>
      <c r="B4552" s="50"/>
      <c r="C4552" s="31" t="s">
        <v>4880</v>
      </c>
      <c r="D4552" s="32" t="s">
        <v>3296</v>
      </c>
      <c r="E4552" s="31" t="s">
        <v>4882</v>
      </c>
      <c r="F4552" s="246">
        <v>46291.0</v>
      </c>
      <c r="G4552" s="54">
        <v>1.635389E7</v>
      </c>
      <c r="H4552" s="14">
        <f t="shared" si="11"/>
        <v>3434316.9</v>
      </c>
      <c r="I4552" s="22"/>
      <c r="J4552" s="22">
        <f>245308.35+261662.24</f>
        <v>506970.59</v>
      </c>
      <c r="K4552" s="15">
        <f t="shared" si="12"/>
        <v>20295177.49</v>
      </c>
      <c r="L4552" s="45"/>
      <c r="M4552" s="6"/>
    </row>
    <row r="4553" ht="15.75" customHeight="1">
      <c r="A4553" s="162">
        <v>46279.0</v>
      </c>
      <c r="B4553" s="50"/>
      <c r="C4553" s="31" t="s">
        <v>4880</v>
      </c>
      <c r="D4553" s="32" t="s">
        <v>3296</v>
      </c>
      <c r="E4553" s="32" t="s">
        <v>4883</v>
      </c>
      <c r="F4553" s="246">
        <v>46291.0</v>
      </c>
      <c r="G4553" s="54">
        <v>1.643268E7</v>
      </c>
      <c r="H4553" s="14">
        <f t="shared" si="11"/>
        <v>3450862.8</v>
      </c>
      <c r="I4553" s="22"/>
      <c r="J4553" s="22">
        <f>246490.2+262922.88</f>
        <v>509413.08</v>
      </c>
      <c r="K4553" s="15">
        <f t="shared" si="12"/>
        <v>20392955.88</v>
      </c>
      <c r="L4553" s="45"/>
      <c r="M4553" s="6"/>
    </row>
    <row r="4554" ht="15.75" customHeight="1">
      <c r="A4554" s="217">
        <v>46280.0</v>
      </c>
      <c r="B4554" s="56"/>
      <c r="C4554" s="57" t="s">
        <v>3303</v>
      </c>
      <c r="D4554" s="57" t="s">
        <v>1414</v>
      </c>
      <c r="E4554" s="58" t="s">
        <v>4884</v>
      </c>
      <c r="F4554" s="212">
        <v>46291.0</v>
      </c>
      <c r="G4554" s="206">
        <f>90104714.88/1.21</f>
        <v>74466706.51</v>
      </c>
      <c r="H4554" s="9">
        <f t="shared" si="11"/>
        <v>15638008.37</v>
      </c>
      <c r="I4554" s="44">
        <v>1209225.12</v>
      </c>
      <c r="J4554" s="44"/>
      <c r="K4554" s="10">
        <f t="shared" si="12"/>
        <v>91313940</v>
      </c>
      <c r="L4554" s="61"/>
      <c r="M4554" s="62"/>
    </row>
    <row r="4555" ht="15.75" customHeight="1">
      <c r="A4555" s="162">
        <v>46281.0</v>
      </c>
      <c r="B4555" s="50"/>
      <c r="C4555" s="31" t="s">
        <v>4885</v>
      </c>
      <c r="D4555" s="32" t="s">
        <v>99</v>
      </c>
      <c r="E4555" s="31" t="s">
        <v>4886</v>
      </c>
      <c r="F4555" s="246">
        <v>46291.0</v>
      </c>
      <c r="G4555" s="54">
        <v>1.041261277E7</v>
      </c>
      <c r="H4555" s="14">
        <f t="shared" si="11"/>
        <v>2186648.682</v>
      </c>
      <c r="I4555" s="22"/>
      <c r="J4555" s="22">
        <v>24037.38</v>
      </c>
      <c r="K4555" s="15">
        <f t="shared" si="12"/>
        <v>12623298.83</v>
      </c>
      <c r="L4555" s="45"/>
      <c r="M4555" s="6"/>
    </row>
    <row r="4556" ht="15.75" customHeight="1">
      <c r="A4556" s="162">
        <v>46281.0</v>
      </c>
      <c r="B4556" s="50"/>
      <c r="C4556" s="31" t="s">
        <v>1277</v>
      </c>
      <c r="D4556" s="32" t="s">
        <v>15</v>
      </c>
      <c r="E4556" s="31" t="s">
        <v>4887</v>
      </c>
      <c r="F4556" s="246">
        <v>46291.0</v>
      </c>
      <c r="G4556" s="54">
        <v>1658905.23</v>
      </c>
      <c r="H4556" s="14">
        <f t="shared" si="11"/>
        <v>348370.0983</v>
      </c>
      <c r="I4556" s="22">
        <v>49767.16</v>
      </c>
      <c r="J4556" s="22"/>
      <c r="K4556" s="15">
        <f t="shared" si="12"/>
        <v>2057042.488</v>
      </c>
      <c r="L4556" s="45"/>
      <c r="M4556" s="6"/>
    </row>
    <row r="4557" ht="15.75" customHeight="1">
      <c r="A4557" s="162">
        <v>46281.0</v>
      </c>
      <c r="B4557" s="50"/>
      <c r="C4557" s="31" t="s">
        <v>1279</v>
      </c>
      <c r="D4557" s="32" t="s">
        <v>15</v>
      </c>
      <c r="E4557" s="31" t="s">
        <v>4888</v>
      </c>
      <c r="F4557" s="246">
        <v>46291.0</v>
      </c>
      <c r="G4557" s="54">
        <v>5790150.42</v>
      </c>
      <c r="H4557" s="14">
        <f t="shared" si="11"/>
        <v>1215931.588</v>
      </c>
      <c r="I4557" s="22">
        <v>173704.51</v>
      </c>
      <c r="J4557" s="22"/>
      <c r="K4557" s="15">
        <f t="shared" si="12"/>
        <v>7179786.518</v>
      </c>
      <c r="L4557" s="45"/>
      <c r="M4557" s="6"/>
    </row>
    <row r="4558" ht="15.75" customHeight="1">
      <c r="A4558" s="162">
        <v>46281.0</v>
      </c>
      <c r="B4558" s="50"/>
      <c r="C4558" s="31" t="s">
        <v>1283</v>
      </c>
      <c r="D4558" s="32" t="s">
        <v>15</v>
      </c>
      <c r="E4558" s="31" t="s">
        <v>4889</v>
      </c>
      <c r="F4558" s="246">
        <v>46291.0</v>
      </c>
      <c r="G4558" s="54">
        <v>4135250.15</v>
      </c>
      <c r="H4558" s="14">
        <f t="shared" si="11"/>
        <v>868402.5315</v>
      </c>
      <c r="I4558" s="22">
        <v>124057.5</v>
      </c>
      <c r="J4558" s="22"/>
      <c r="K4558" s="15">
        <f t="shared" si="12"/>
        <v>5127710.182</v>
      </c>
      <c r="L4558" s="45"/>
      <c r="M4558" s="6"/>
    </row>
    <row r="4559" ht="15.75" customHeight="1">
      <c r="A4559" s="162">
        <v>46282.0</v>
      </c>
      <c r="B4559" s="50"/>
      <c r="C4559" s="31" t="s">
        <v>1283</v>
      </c>
      <c r="D4559" s="32" t="s">
        <v>15</v>
      </c>
      <c r="E4559" s="31" t="s">
        <v>4890</v>
      </c>
      <c r="F4559" s="246">
        <v>46291.0</v>
      </c>
      <c r="G4559" s="54">
        <v>7357390.0</v>
      </c>
      <c r="H4559" s="14">
        <f t="shared" si="11"/>
        <v>1545051.9</v>
      </c>
      <c r="I4559" s="22">
        <v>220721.7</v>
      </c>
      <c r="J4559" s="22"/>
      <c r="K4559" s="15">
        <f t="shared" si="12"/>
        <v>9123163.6</v>
      </c>
      <c r="L4559" s="45"/>
      <c r="M4559" s="6"/>
    </row>
    <row r="4560" ht="15.75" customHeight="1">
      <c r="A4560" s="162">
        <v>46282.0</v>
      </c>
      <c r="B4560" s="50"/>
      <c r="C4560" s="31" t="s">
        <v>1277</v>
      </c>
      <c r="D4560" s="32" t="s">
        <v>15</v>
      </c>
      <c r="E4560" s="31" t="s">
        <v>4891</v>
      </c>
      <c r="F4560" s="246">
        <v>46291.0</v>
      </c>
      <c r="G4560" s="54">
        <v>2978280.0</v>
      </c>
      <c r="H4560" s="14">
        <f t="shared" si="11"/>
        <v>625438.8</v>
      </c>
      <c r="I4560" s="22">
        <v>89348.4</v>
      </c>
      <c r="J4560" s="22"/>
      <c r="K4560" s="15">
        <f t="shared" si="12"/>
        <v>3693067.2</v>
      </c>
      <c r="L4560" s="45"/>
      <c r="M4560" s="6"/>
    </row>
    <row r="4561" ht="15.75" customHeight="1">
      <c r="A4561" s="162">
        <v>46282.0</v>
      </c>
      <c r="B4561" s="50"/>
      <c r="C4561" s="31" t="s">
        <v>1279</v>
      </c>
      <c r="D4561" s="32" t="s">
        <v>15</v>
      </c>
      <c r="E4561" s="31" t="s">
        <v>4892</v>
      </c>
      <c r="F4561" s="246">
        <v>46291.0</v>
      </c>
      <c r="G4561" s="54">
        <v>1.339747E7</v>
      </c>
      <c r="H4561" s="14">
        <f t="shared" si="11"/>
        <v>2813468.7</v>
      </c>
      <c r="I4561" s="22">
        <v>401924.1</v>
      </c>
      <c r="J4561" s="22"/>
      <c r="K4561" s="15">
        <f t="shared" si="12"/>
        <v>16612862.8</v>
      </c>
      <c r="L4561" s="45"/>
      <c r="M4561" s="6"/>
    </row>
    <row r="4562" ht="15.75" customHeight="1">
      <c r="A4562" s="162">
        <v>46283.0</v>
      </c>
      <c r="B4562" s="50"/>
      <c r="C4562" s="31" t="s">
        <v>1277</v>
      </c>
      <c r="D4562" s="32" t="s">
        <v>99</v>
      </c>
      <c r="E4562" s="31" t="s">
        <v>4893</v>
      </c>
      <c r="F4562" s="246">
        <v>46291.0</v>
      </c>
      <c r="G4562" s="54">
        <v>2653690.76</v>
      </c>
      <c r="H4562" s="14">
        <f t="shared" si="11"/>
        <v>557275.0596</v>
      </c>
      <c r="I4562" s="22">
        <v>79610.72</v>
      </c>
      <c r="J4562" s="22"/>
      <c r="K4562" s="15">
        <f t="shared" si="12"/>
        <v>3290576.54</v>
      </c>
      <c r="L4562" s="45"/>
      <c r="M4562" s="6"/>
    </row>
    <row r="4563" ht="15.75" customHeight="1">
      <c r="A4563" s="162">
        <v>46283.0</v>
      </c>
      <c r="B4563" s="50"/>
      <c r="C4563" s="31" t="s">
        <v>1279</v>
      </c>
      <c r="D4563" s="32" t="s">
        <v>99</v>
      </c>
      <c r="E4563" s="31" t="s">
        <v>4894</v>
      </c>
      <c r="F4563" s="246">
        <v>46291.0</v>
      </c>
      <c r="G4563" s="54">
        <v>1.397700173E7</v>
      </c>
      <c r="H4563" s="14">
        <f t="shared" si="11"/>
        <v>2935170.363</v>
      </c>
      <c r="I4563" s="22">
        <v>419310.05</v>
      </c>
      <c r="J4563" s="22"/>
      <c r="K4563" s="15">
        <f t="shared" si="12"/>
        <v>17331482.14</v>
      </c>
      <c r="L4563" s="45"/>
      <c r="M4563" s="6"/>
    </row>
    <row r="4564" ht="15.75" customHeight="1">
      <c r="A4564" s="162">
        <v>46283.0</v>
      </c>
      <c r="B4564" s="50"/>
      <c r="C4564" s="31" t="s">
        <v>1283</v>
      </c>
      <c r="D4564" s="32" t="s">
        <v>99</v>
      </c>
      <c r="E4564" s="31" t="s">
        <v>4895</v>
      </c>
      <c r="F4564" s="246">
        <v>46291.0</v>
      </c>
      <c r="G4564" s="54">
        <v>6620650.77</v>
      </c>
      <c r="H4564" s="14">
        <f t="shared" si="11"/>
        <v>1390336.662</v>
      </c>
      <c r="I4564" s="22">
        <v>198619.52</v>
      </c>
      <c r="J4564" s="22"/>
      <c r="K4564" s="15">
        <f t="shared" si="12"/>
        <v>8209606.952</v>
      </c>
      <c r="L4564" s="45"/>
      <c r="M4564" s="6"/>
    </row>
    <row r="4565" ht="15.75" customHeight="1">
      <c r="A4565" s="162">
        <v>46283.0</v>
      </c>
      <c r="B4565" s="50"/>
      <c r="C4565" s="31" t="s">
        <v>3866</v>
      </c>
      <c r="D4565" s="32" t="s">
        <v>99</v>
      </c>
      <c r="E4565" s="31" t="s">
        <v>4896</v>
      </c>
      <c r="F4565" s="246">
        <v>46291.0</v>
      </c>
      <c r="G4565" s="54">
        <v>9162370.11</v>
      </c>
      <c r="H4565" s="14">
        <f t="shared" si="11"/>
        <v>1924097.723</v>
      </c>
      <c r="I4565" s="22">
        <v>274871.1</v>
      </c>
      <c r="J4565" s="22">
        <v>366494.8</v>
      </c>
      <c r="K4565" s="15">
        <f t="shared" si="12"/>
        <v>11727833.73</v>
      </c>
      <c r="L4565" s="45"/>
      <c r="M4565" s="6"/>
    </row>
    <row r="4566" ht="15.75" customHeight="1">
      <c r="A4566" s="162">
        <v>46283.0</v>
      </c>
      <c r="B4566" s="50"/>
      <c r="C4566" s="31" t="s">
        <v>3866</v>
      </c>
      <c r="D4566" s="32" t="s">
        <v>99</v>
      </c>
      <c r="E4566" s="31" t="s">
        <v>4897</v>
      </c>
      <c r="F4566" s="246">
        <v>46291.0</v>
      </c>
      <c r="G4566" s="54">
        <v>9021640.15</v>
      </c>
      <c r="H4566" s="14">
        <f t="shared" si="11"/>
        <v>1894544.432</v>
      </c>
      <c r="I4566" s="22">
        <v>270649.2</v>
      </c>
      <c r="J4566" s="22">
        <v>360865.61</v>
      </c>
      <c r="K4566" s="15">
        <f t="shared" si="12"/>
        <v>11547699.39</v>
      </c>
      <c r="L4566" s="45"/>
      <c r="M4566" s="6"/>
    </row>
    <row r="4567" ht="15.75" customHeight="1">
      <c r="A4567" s="217">
        <v>46283.0</v>
      </c>
      <c r="B4567" s="56"/>
      <c r="C4567" s="57" t="s">
        <v>4464</v>
      </c>
      <c r="D4567" s="58" t="s">
        <v>99</v>
      </c>
      <c r="E4567" s="57" t="s">
        <v>4898</v>
      </c>
      <c r="F4567" s="212">
        <v>46291.0</v>
      </c>
      <c r="G4567" s="155">
        <v>4585214.15</v>
      </c>
      <c r="H4567" s="9">
        <f t="shared" si="11"/>
        <v>962894.9715</v>
      </c>
      <c r="I4567" s="44"/>
      <c r="J4567" s="44"/>
      <c r="K4567" s="10">
        <f t="shared" si="12"/>
        <v>5548109.122</v>
      </c>
      <c r="L4567" s="61"/>
      <c r="M4567" s="62"/>
    </row>
    <row r="4568" ht="15.75" customHeight="1">
      <c r="A4568" s="217">
        <v>46283.0</v>
      </c>
      <c r="B4568" s="56"/>
      <c r="C4568" s="57" t="s">
        <v>4464</v>
      </c>
      <c r="D4568" s="58" t="s">
        <v>99</v>
      </c>
      <c r="E4568" s="57" t="s">
        <v>4899</v>
      </c>
      <c r="F4568" s="212">
        <v>46291.0</v>
      </c>
      <c r="G4568" s="155">
        <v>3258945.42</v>
      </c>
      <c r="H4568" s="9">
        <f t="shared" si="11"/>
        <v>684378.5382</v>
      </c>
      <c r="I4568" s="44"/>
      <c r="J4568" s="44"/>
      <c r="K4568" s="10">
        <f t="shared" si="12"/>
        <v>3943323.958</v>
      </c>
      <c r="L4568" s="61"/>
      <c r="M4568" s="62"/>
    </row>
    <row r="4569" ht="15.75" customHeight="1">
      <c r="A4569" s="217">
        <v>46283.0</v>
      </c>
      <c r="B4569" s="56"/>
      <c r="C4569" s="57" t="s">
        <v>4464</v>
      </c>
      <c r="D4569" s="58" t="s">
        <v>99</v>
      </c>
      <c r="E4569" s="57" t="s">
        <v>4900</v>
      </c>
      <c r="F4569" s="212">
        <v>46291.0</v>
      </c>
      <c r="G4569" s="155">
        <v>3198521.71</v>
      </c>
      <c r="H4569" s="9">
        <f t="shared" si="11"/>
        <v>671689.5591</v>
      </c>
      <c r="I4569" s="44"/>
      <c r="J4569" s="44"/>
      <c r="K4569" s="10">
        <f t="shared" si="12"/>
        <v>3870211.269</v>
      </c>
      <c r="L4569" s="61"/>
      <c r="M4569" s="62"/>
    </row>
    <row r="4570" ht="15.75" customHeight="1">
      <c r="A4570" s="217">
        <v>46283.0</v>
      </c>
      <c r="B4570" s="56"/>
      <c r="C4570" s="57" t="s">
        <v>4464</v>
      </c>
      <c r="D4570" s="58" t="s">
        <v>99</v>
      </c>
      <c r="E4570" s="57" t="s">
        <v>4901</v>
      </c>
      <c r="F4570" s="212">
        <v>46291.0</v>
      </c>
      <c r="G4570" s="155">
        <v>4247895.42</v>
      </c>
      <c r="H4570" s="9">
        <f t="shared" si="11"/>
        <v>892058.0382</v>
      </c>
      <c r="I4570" s="44"/>
      <c r="J4570" s="44"/>
      <c r="K4570" s="10">
        <f t="shared" si="12"/>
        <v>5139953.458</v>
      </c>
      <c r="L4570" s="61"/>
      <c r="M4570" s="62"/>
    </row>
    <row r="4571" ht="15.75" customHeight="1">
      <c r="A4571" s="162">
        <v>46283.0</v>
      </c>
      <c r="B4571" s="50"/>
      <c r="C4571" s="31" t="s">
        <v>3877</v>
      </c>
      <c r="D4571" s="32" t="s">
        <v>99</v>
      </c>
      <c r="E4571" s="31" t="s">
        <v>4902</v>
      </c>
      <c r="F4571" s="246">
        <v>46291.0</v>
      </c>
      <c r="G4571" s="54">
        <v>1.322958022E7</v>
      </c>
      <c r="H4571" s="14">
        <f t="shared" si="11"/>
        <v>2778211.846</v>
      </c>
      <c r="I4571" s="22">
        <v>396887.41</v>
      </c>
      <c r="J4571" s="22">
        <v>661479.01</v>
      </c>
      <c r="K4571" s="15">
        <f t="shared" si="12"/>
        <v>17066158.49</v>
      </c>
      <c r="L4571" s="45"/>
      <c r="M4571" s="6"/>
    </row>
    <row r="4572" ht="15.75" customHeight="1">
      <c r="A4572" s="162">
        <v>46283.0</v>
      </c>
      <c r="B4572" s="50"/>
      <c r="C4572" s="31" t="s">
        <v>3877</v>
      </c>
      <c r="D4572" s="32" t="s">
        <v>99</v>
      </c>
      <c r="E4572" s="31" t="s">
        <v>4903</v>
      </c>
      <c r="F4572" s="246">
        <v>46291.0</v>
      </c>
      <c r="G4572" s="54">
        <v>1.23324706E7</v>
      </c>
      <c r="H4572" s="14">
        <f t="shared" si="11"/>
        <v>2589818.826</v>
      </c>
      <c r="I4572" s="22">
        <v>369974.12</v>
      </c>
      <c r="J4572" s="22">
        <v>616623.53</v>
      </c>
      <c r="K4572" s="15">
        <f t="shared" si="12"/>
        <v>15908887.08</v>
      </c>
      <c r="L4572" s="45"/>
      <c r="M4572" s="6"/>
    </row>
    <row r="4573" ht="15.75" customHeight="1">
      <c r="A4573" s="162">
        <v>46283.0</v>
      </c>
      <c r="B4573" s="50"/>
      <c r="C4573" s="31" t="s">
        <v>4429</v>
      </c>
      <c r="D4573" s="32" t="s">
        <v>99</v>
      </c>
      <c r="E4573" s="31" t="s">
        <v>4904</v>
      </c>
      <c r="F4573" s="246">
        <v>46291.0</v>
      </c>
      <c r="G4573" s="54">
        <v>1.818344026E7</v>
      </c>
      <c r="H4573" s="14">
        <f t="shared" si="11"/>
        <v>3818522.455</v>
      </c>
      <c r="I4573" s="22">
        <v>545503.21</v>
      </c>
      <c r="J4573" s="22">
        <v>909172.01</v>
      </c>
      <c r="K4573" s="15">
        <f t="shared" si="12"/>
        <v>23456637.93</v>
      </c>
      <c r="L4573" s="45"/>
      <c r="M4573" s="6"/>
    </row>
    <row r="4574" ht="15.75" customHeight="1">
      <c r="A4574" s="162">
        <v>46283.0</v>
      </c>
      <c r="B4574" s="50"/>
      <c r="C4574" s="32" t="s">
        <v>4905</v>
      </c>
      <c r="D4574" s="32" t="s">
        <v>15</v>
      </c>
      <c r="E4574" s="31" t="s">
        <v>4906</v>
      </c>
      <c r="F4574" s="246">
        <v>46291.0</v>
      </c>
      <c r="G4574" s="54">
        <v>2.001122085E7</v>
      </c>
      <c r="H4574" s="14">
        <f t="shared" si="11"/>
        <v>4202356.379</v>
      </c>
      <c r="I4574" s="22">
        <v>600336.63</v>
      </c>
      <c r="J4574" s="22">
        <v>1200673.25</v>
      </c>
      <c r="K4574" s="15">
        <f t="shared" si="12"/>
        <v>26014587.11</v>
      </c>
      <c r="L4574" s="45"/>
      <c r="M4574" s="6"/>
    </row>
    <row r="4575" ht="15.75" customHeight="1">
      <c r="A4575" s="162">
        <v>46283.0</v>
      </c>
      <c r="B4575" s="50"/>
      <c r="C4575" s="31" t="s">
        <v>4905</v>
      </c>
      <c r="D4575" s="32" t="s">
        <v>99</v>
      </c>
      <c r="E4575" s="31" t="s">
        <v>4907</v>
      </c>
      <c r="F4575" s="246">
        <v>46291.0</v>
      </c>
      <c r="G4575" s="54">
        <v>1.500988026E7</v>
      </c>
      <c r="H4575" s="14">
        <f t="shared" si="11"/>
        <v>3152074.855</v>
      </c>
      <c r="I4575" s="22">
        <v>450296.41</v>
      </c>
      <c r="J4575" s="22">
        <v>900592.82</v>
      </c>
      <c r="K4575" s="15">
        <f t="shared" si="12"/>
        <v>19512844.34</v>
      </c>
      <c r="L4575" s="45"/>
      <c r="M4575" s="6"/>
    </row>
    <row r="4576" ht="15.75" customHeight="1">
      <c r="A4576" s="162">
        <v>46283.0</v>
      </c>
      <c r="B4576" s="50"/>
      <c r="C4576" s="31" t="s">
        <v>4908</v>
      </c>
      <c r="D4576" s="32" t="s">
        <v>99</v>
      </c>
      <c r="E4576" s="31" t="s">
        <v>4909</v>
      </c>
      <c r="F4576" s="246">
        <v>46291.0</v>
      </c>
      <c r="G4576" s="54">
        <v>2933533.15</v>
      </c>
      <c r="H4576" s="14">
        <f t="shared" si="11"/>
        <v>616041.9615</v>
      </c>
      <c r="I4576" s="22"/>
      <c r="J4576" s="22">
        <v>38135.93</v>
      </c>
      <c r="K4576" s="15">
        <f t="shared" si="12"/>
        <v>3587711.042</v>
      </c>
      <c r="L4576" s="45"/>
      <c r="M4576" s="6"/>
    </row>
    <row r="4577" ht="15.75" customHeight="1">
      <c r="A4577" s="162">
        <v>46283.0</v>
      </c>
      <c r="B4577" s="50"/>
      <c r="C4577" s="31" t="s">
        <v>4908</v>
      </c>
      <c r="D4577" s="32" t="s">
        <v>99</v>
      </c>
      <c r="E4577" s="31" t="s">
        <v>4910</v>
      </c>
      <c r="F4577" s="246">
        <v>46291.0</v>
      </c>
      <c r="G4577" s="54">
        <v>4922327.15</v>
      </c>
      <c r="H4577" s="14">
        <f t="shared" si="11"/>
        <v>1033688.702</v>
      </c>
      <c r="I4577" s="22">
        <v>147669.81</v>
      </c>
      <c r="J4577" s="22">
        <v>63990.25</v>
      </c>
      <c r="K4577" s="15">
        <f t="shared" si="12"/>
        <v>6167675.912</v>
      </c>
      <c r="L4577" s="45"/>
      <c r="M4577" s="6"/>
    </row>
    <row r="4578" ht="15.75" customHeight="1">
      <c r="A4578" s="162">
        <v>46283.0</v>
      </c>
      <c r="B4578" s="50"/>
      <c r="C4578" s="31" t="s">
        <v>4908</v>
      </c>
      <c r="D4578" s="32" t="s">
        <v>99</v>
      </c>
      <c r="E4578" s="31" t="s">
        <v>4911</v>
      </c>
      <c r="F4578" s="246">
        <v>46291.0</v>
      </c>
      <c r="G4578" s="54">
        <v>1.049323709E7</v>
      </c>
      <c r="H4578" s="14">
        <f t="shared" si="11"/>
        <v>2203579.789</v>
      </c>
      <c r="I4578" s="22"/>
      <c r="J4578" s="22">
        <v>136412.08</v>
      </c>
      <c r="K4578" s="15">
        <f t="shared" si="12"/>
        <v>12833228.96</v>
      </c>
      <c r="L4578" s="45"/>
      <c r="M4578" s="6"/>
    </row>
    <row r="4579" ht="15.75" customHeight="1">
      <c r="A4579" s="162">
        <v>46283.0</v>
      </c>
      <c r="B4579" s="50"/>
      <c r="C4579" s="31" t="s">
        <v>4908</v>
      </c>
      <c r="D4579" s="32" t="s">
        <v>99</v>
      </c>
      <c r="E4579" s="31" t="s">
        <v>4912</v>
      </c>
      <c r="F4579" s="246">
        <v>46291.0</v>
      </c>
      <c r="G4579" s="54">
        <v>4822633.71</v>
      </c>
      <c r="H4579" s="14">
        <f t="shared" si="11"/>
        <v>1012753.079</v>
      </c>
      <c r="I4579" s="22">
        <v>144679.01</v>
      </c>
      <c r="J4579" s="22">
        <v>62694.24</v>
      </c>
      <c r="K4579" s="15">
        <f t="shared" si="12"/>
        <v>6042760.039</v>
      </c>
      <c r="L4579" s="45"/>
      <c r="M4579" s="6"/>
    </row>
    <row r="4580" ht="15.75" customHeight="1">
      <c r="A4580" s="162">
        <v>46283.0</v>
      </c>
      <c r="B4580" s="50"/>
      <c r="C4580" s="31" t="s">
        <v>4908</v>
      </c>
      <c r="D4580" s="32" t="s">
        <v>99</v>
      </c>
      <c r="E4580" s="31" t="s">
        <v>4913</v>
      </c>
      <c r="F4580" s="246">
        <v>46291.0</v>
      </c>
      <c r="G4580" s="54">
        <v>1633422.08</v>
      </c>
      <c r="H4580" s="14">
        <f t="shared" si="11"/>
        <v>343018.6368</v>
      </c>
      <c r="I4580" s="22"/>
      <c r="J4580" s="22"/>
      <c r="K4580" s="15">
        <f t="shared" si="12"/>
        <v>1976440.717</v>
      </c>
      <c r="L4580" s="45"/>
      <c r="M4580" s="6"/>
    </row>
    <row r="4581" ht="15.75" customHeight="1">
      <c r="A4581" s="162">
        <v>46286.0</v>
      </c>
      <c r="B4581" s="50"/>
      <c r="C4581" s="31" t="s">
        <v>4914</v>
      </c>
      <c r="D4581" s="32" t="s">
        <v>99</v>
      </c>
      <c r="E4581" s="31" t="s">
        <v>4915</v>
      </c>
      <c r="F4581" s="246">
        <v>46291.0</v>
      </c>
      <c r="G4581" s="54">
        <v>3.5822179E7</v>
      </c>
      <c r="H4581" s="14">
        <f t="shared" si="11"/>
        <v>7522657.59</v>
      </c>
      <c r="I4581" s="22"/>
      <c r="J4581" s="22">
        <v>250755.0</v>
      </c>
      <c r="K4581" s="15">
        <f t="shared" si="12"/>
        <v>43595591.59</v>
      </c>
      <c r="L4581" s="45"/>
      <c r="M4581" s="6"/>
    </row>
    <row r="4582" ht="15.75" customHeight="1">
      <c r="A4582" s="231">
        <v>46286.0</v>
      </c>
      <c r="B4582" s="232"/>
      <c r="C4582" s="233" t="s">
        <v>2346</v>
      </c>
      <c r="D4582" s="234" t="s">
        <v>15</v>
      </c>
      <c r="E4582" s="233" t="s">
        <v>4916</v>
      </c>
      <c r="F4582" s="252">
        <v>46291.0</v>
      </c>
      <c r="G4582" s="236">
        <v>1.412922807E7</v>
      </c>
      <c r="H4582" s="237">
        <f t="shared" si="11"/>
        <v>2967137.895</v>
      </c>
      <c r="I4582" s="238">
        <v>423876.84</v>
      </c>
      <c r="J4582" s="238">
        <v>169550.74</v>
      </c>
      <c r="K4582" s="239">
        <f t="shared" si="12"/>
        <v>17689793.54</v>
      </c>
      <c r="L4582" s="253"/>
      <c r="M4582" s="254"/>
    </row>
    <row r="4583" ht="15.75" customHeight="1">
      <c r="A4583" s="231">
        <v>46286.0</v>
      </c>
      <c r="B4583" s="232"/>
      <c r="C4583" s="233" t="s">
        <v>2346</v>
      </c>
      <c r="D4583" s="234" t="s">
        <v>15</v>
      </c>
      <c r="E4583" s="233" t="s">
        <v>4917</v>
      </c>
      <c r="F4583" s="252">
        <v>46291.0</v>
      </c>
      <c r="G4583" s="236">
        <v>1.900172342E7</v>
      </c>
      <c r="H4583" s="237">
        <f t="shared" si="11"/>
        <v>3990361.918</v>
      </c>
      <c r="I4583" s="238">
        <v>570051.7</v>
      </c>
      <c r="J4583" s="238">
        <v>228020.68</v>
      </c>
      <c r="K4583" s="239">
        <f t="shared" si="12"/>
        <v>23790157.72</v>
      </c>
      <c r="L4583" s="253"/>
      <c r="M4583" s="254"/>
    </row>
    <row r="4584" ht="15.75" customHeight="1">
      <c r="A4584" s="231">
        <v>46286.0</v>
      </c>
      <c r="B4584" s="232"/>
      <c r="C4584" s="233" t="s">
        <v>2346</v>
      </c>
      <c r="D4584" s="234" t="s">
        <v>15</v>
      </c>
      <c r="E4584" s="233" t="s">
        <v>4918</v>
      </c>
      <c r="F4584" s="252">
        <v>46291.0</v>
      </c>
      <c r="G4584" s="236">
        <v>1.822233208E7</v>
      </c>
      <c r="H4584" s="237">
        <f t="shared" si="11"/>
        <v>3826689.737</v>
      </c>
      <c r="I4584" s="238">
        <v>546669.96</v>
      </c>
      <c r="J4584" s="238">
        <v>218667.98</v>
      </c>
      <c r="K4584" s="239">
        <f t="shared" si="12"/>
        <v>22814359.76</v>
      </c>
      <c r="L4584" s="253"/>
      <c r="M4584" s="254"/>
    </row>
    <row r="4585" ht="15.75" customHeight="1">
      <c r="A4585" s="231">
        <v>46286.0</v>
      </c>
      <c r="B4585" s="232"/>
      <c r="C4585" s="233" t="s">
        <v>2346</v>
      </c>
      <c r="D4585" s="234" t="s">
        <v>15</v>
      </c>
      <c r="E4585" s="233" t="s">
        <v>4919</v>
      </c>
      <c r="F4585" s="252">
        <v>46291.0</v>
      </c>
      <c r="G4585" s="236">
        <v>1.372253242E7</v>
      </c>
      <c r="H4585" s="237">
        <f t="shared" si="11"/>
        <v>2881731.808</v>
      </c>
      <c r="I4585" s="238">
        <v>411675.97</v>
      </c>
      <c r="J4585" s="238">
        <v>164670.39</v>
      </c>
      <c r="K4585" s="239">
        <f t="shared" si="12"/>
        <v>17180610.59</v>
      </c>
      <c r="L4585" s="253"/>
      <c r="M4585" s="254"/>
    </row>
    <row r="4586" ht="15.75" customHeight="1">
      <c r="A4586" s="208">
        <v>46286.0</v>
      </c>
      <c r="B4586" s="158"/>
      <c r="C4586" s="147" t="s">
        <v>2346</v>
      </c>
      <c r="D4586" s="148" t="s">
        <v>15</v>
      </c>
      <c r="E4586" s="147" t="s">
        <v>4920</v>
      </c>
      <c r="F4586" s="250">
        <v>46291.0</v>
      </c>
      <c r="G4586" s="209">
        <v>1.321121218E7</v>
      </c>
      <c r="H4586" s="150">
        <f t="shared" si="11"/>
        <v>2774354.558</v>
      </c>
      <c r="I4586" s="151"/>
      <c r="J4586" s="151">
        <v>158534.55</v>
      </c>
      <c r="K4586" s="152">
        <f t="shared" si="12"/>
        <v>16144101.29</v>
      </c>
      <c r="L4586" s="61"/>
      <c r="M4586" s="62"/>
    </row>
    <row r="4587" ht="15.75" customHeight="1">
      <c r="A4587" s="231">
        <v>46286.0</v>
      </c>
      <c r="B4587" s="232"/>
      <c r="C4587" s="233" t="s">
        <v>2346</v>
      </c>
      <c r="D4587" s="234" t="s">
        <v>15</v>
      </c>
      <c r="E4587" s="233" t="s">
        <v>4921</v>
      </c>
      <c r="F4587" s="252">
        <v>46291.0</v>
      </c>
      <c r="G4587" s="236">
        <v>2.200118218E7</v>
      </c>
      <c r="H4587" s="237">
        <f t="shared" si="11"/>
        <v>4620248.258</v>
      </c>
      <c r="I4587" s="238">
        <v>660035.47</v>
      </c>
      <c r="J4587" s="238">
        <v>264014.19</v>
      </c>
      <c r="K4587" s="239">
        <f t="shared" si="12"/>
        <v>27545480.1</v>
      </c>
      <c r="L4587" s="253"/>
      <c r="M4587" s="254"/>
    </row>
    <row r="4588" ht="15.75" customHeight="1">
      <c r="A4588" s="231">
        <v>46286.0</v>
      </c>
      <c r="B4588" s="232"/>
      <c r="C4588" s="233" t="s">
        <v>2346</v>
      </c>
      <c r="D4588" s="234" t="s">
        <v>15</v>
      </c>
      <c r="E4588" s="233" t="s">
        <v>4922</v>
      </c>
      <c r="F4588" s="252">
        <v>46291.0</v>
      </c>
      <c r="G4588" s="236">
        <v>1.437223312E7</v>
      </c>
      <c r="H4588" s="237">
        <f t="shared" si="11"/>
        <v>3018168.955</v>
      </c>
      <c r="I4588" s="238">
        <v>431166.99</v>
      </c>
      <c r="J4588" s="238">
        <v>172466.8</v>
      </c>
      <c r="K4588" s="239">
        <f t="shared" si="12"/>
        <v>17994035.87</v>
      </c>
      <c r="L4588" s="253"/>
      <c r="M4588" s="254"/>
    </row>
    <row r="4589" ht="15.75" customHeight="1">
      <c r="A4589" s="231">
        <v>46286.0</v>
      </c>
      <c r="B4589" s="232"/>
      <c r="C4589" s="233" t="s">
        <v>2346</v>
      </c>
      <c r="D4589" s="234" t="s">
        <v>15</v>
      </c>
      <c r="E4589" s="233" t="s">
        <v>4923</v>
      </c>
      <c r="F4589" s="252">
        <v>46291.0</v>
      </c>
      <c r="G4589" s="236">
        <v>1.690122242E7</v>
      </c>
      <c r="H4589" s="237">
        <f t="shared" si="11"/>
        <v>3549256.708</v>
      </c>
      <c r="I4589" s="238">
        <v>507036.67</v>
      </c>
      <c r="J4589" s="238">
        <v>202814.67</v>
      </c>
      <c r="K4589" s="239">
        <f t="shared" si="12"/>
        <v>21160330.47</v>
      </c>
      <c r="L4589" s="253"/>
      <c r="M4589" s="254"/>
    </row>
    <row r="4590" ht="15.75" customHeight="1">
      <c r="A4590" s="162">
        <v>46286.0</v>
      </c>
      <c r="B4590" s="50"/>
      <c r="C4590" s="31" t="s">
        <v>2346</v>
      </c>
      <c r="D4590" s="32" t="s">
        <v>15</v>
      </c>
      <c r="E4590" s="31" t="s">
        <v>4924</v>
      </c>
      <c r="F4590" s="246">
        <v>46291.0</v>
      </c>
      <c r="G4590" s="54">
        <v>5991173.96</v>
      </c>
      <c r="H4590" s="14">
        <f t="shared" si="11"/>
        <v>1258146.532</v>
      </c>
      <c r="I4590" s="22"/>
      <c r="J4590" s="22"/>
      <c r="K4590" s="15">
        <f t="shared" si="12"/>
        <v>7249320.492</v>
      </c>
      <c r="L4590" s="61"/>
      <c r="M4590" s="62"/>
    </row>
    <row r="4591" ht="15.75" customHeight="1">
      <c r="A4591" s="162">
        <v>46286.0</v>
      </c>
      <c r="B4591" s="50"/>
      <c r="C4591" s="31" t="s">
        <v>2346</v>
      </c>
      <c r="D4591" s="32" t="s">
        <v>15</v>
      </c>
      <c r="E4591" s="31" t="s">
        <v>4925</v>
      </c>
      <c r="F4591" s="246">
        <v>46291.0</v>
      </c>
      <c r="G4591" s="54">
        <v>1.451221178E7</v>
      </c>
      <c r="H4591" s="14">
        <f t="shared" si="11"/>
        <v>3047564.474</v>
      </c>
      <c r="I4591" s="22"/>
      <c r="J4591" s="22">
        <v>174146.54</v>
      </c>
      <c r="K4591" s="15">
        <f t="shared" si="12"/>
        <v>17733922.79</v>
      </c>
      <c r="L4591" s="61"/>
      <c r="M4591" s="62"/>
    </row>
    <row r="4592" ht="15.75" customHeight="1">
      <c r="A4592" s="208">
        <v>46286.0</v>
      </c>
      <c r="B4592" s="158"/>
      <c r="C4592" s="147" t="s">
        <v>2346</v>
      </c>
      <c r="D4592" s="148" t="s">
        <v>15</v>
      </c>
      <c r="E4592" s="147" t="s">
        <v>4926</v>
      </c>
      <c r="F4592" s="250">
        <v>46291.0</v>
      </c>
      <c r="G4592" s="209">
        <v>7021232.23</v>
      </c>
      <c r="H4592" s="150">
        <f t="shared" si="11"/>
        <v>1474458.768</v>
      </c>
      <c r="I4592" s="151"/>
      <c r="J4592" s="151">
        <v>84254.79</v>
      </c>
      <c r="K4592" s="152">
        <f t="shared" si="12"/>
        <v>8579945.788</v>
      </c>
      <c r="L4592" s="61"/>
      <c r="M4592" s="62"/>
    </row>
    <row r="4593" ht="15.75" customHeight="1">
      <c r="A4593" s="208">
        <v>46286.0</v>
      </c>
      <c r="B4593" s="158"/>
      <c r="C4593" s="147" t="s">
        <v>2346</v>
      </c>
      <c r="D4593" s="148" t="s">
        <v>15</v>
      </c>
      <c r="E4593" s="148" t="s">
        <v>4927</v>
      </c>
      <c r="F4593" s="250">
        <v>46291.0</v>
      </c>
      <c r="G4593" s="209">
        <v>6122028.18</v>
      </c>
      <c r="H4593" s="150">
        <f t="shared" si="11"/>
        <v>1285625.918</v>
      </c>
      <c r="I4593" s="151"/>
      <c r="J4593" s="151">
        <v>73464.34</v>
      </c>
      <c r="K4593" s="152">
        <f t="shared" si="12"/>
        <v>7481118.438</v>
      </c>
      <c r="L4593" s="61"/>
      <c r="M4593" s="62"/>
    </row>
    <row r="4594" ht="15.75" customHeight="1">
      <c r="A4594" s="231">
        <v>46286.0</v>
      </c>
      <c r="B4594" s="232"/>
      <c r="C4594" s="233" t="s">
        <v>2346</v>
      </c>
      <c r="D4594" s="234" t="s">
        <v>15</v>
      </c>
      <c r="E4594" s="234" t="s">
        <v>4928</v>
      </c>
      <c r="F4594" s="252">
        <v>46291.0</v>
      </c>
      <c r="G4594" s="236">
        <v>1.582263318E7</v>
      </c>
      <c r="H4594" s="237">
        <f t="shared" si="11"/>
        <v>3322752.968</v>
      </c>
      <c r="I4594" s="238">
        <v>474679.0</v>
      </c>
      <c r="J4594" s="238">
        <v>189871.6</v>
      </c>
      <c r="K4594" s="239">
        <f t="shared" si="12"/>
        <v>19809936.75</v>
      </c>
      <c r="L4594" s="253"/>
      <c r="M4594" s="254"/>
    </row>
    <row r="4595" ht="15.75" customHeight="1">
      <c r="A4595" s="231">
        <v>46286.0</v>
      </c>
      <c r="B4595" s="232"/>
      <c r="C4595" s="233" t="s">
        <v>2346</v>
      </c>
      <c r="D4595" s="234" t="s">
        <v>15</v>
      </c>
      <c r="E4595" s="234" t="s">
        <v>4929</v>
      </c>
      <c r="F4595" s="252">
        <v>46291.0</v>
      </c>
      <c r="G4595" s="236">
        <v>6992633.42</v>
      </c>
      <c r="H4595" s="237">
        <f t="shared" si="11"/>
        <v>1468453.018</v>
      </c>
      <c r="I4595" s="238">
        <v>209779.0</v>
      </c>
      <c r="J4595" s="238">
        <v>83911.6</v>
      </c>
      <c r="K4595" s="239">
        <f t="shared" si="12"/>
        <v>8754777.038</v>
      </c>
      <c r="L4595" s="253"/>
      <c r="M4595" s="254"/>
    </row>
    <row r="4596" ht="15.75" customHeight="1">
      <c r="A4596" s="208">
        <v>46286.0</v>
      </c>
      <c r="B4596" s="158"/>
      <c r="C4596" s="147" t="s">
        <v>2346</v>
      </c>
      <c r="D4596" s="148" t="s">
        <v>15</v>
      </c>
      <c r="E4596" s="147" t="s">
        <v>4930</v>
      </c>
      <c r="F4596" s="250">
        <v>46291.0</v>
      </c>
      <c r="G4596" s="209">
        <v>1.292273342E7</v>
      </c>
      <c r="H4596" s="150">
        <f t="shared" si="11"/>
        <v>2713774.018</v>
      </c>
      <c r="I4596" s="151"/>
      <c r="J4596" s="151">
        <v>155072.8</v>
      </c>
      <c r="K4596" s="152">
        <f t="shared" si="12"/>
        <v>15791580.24</v>
      </c>
      <c r="L4596" s="61"/>
      <c r="M4596" s="62"/>
    </row>
    <row r="4597" ht="15.75" customHeight="1">
      <c r="A4597" s="162">
        <v>46286.0</v>
      </c>
      <c r="B4597" s="50"/>
      <c r="C4597" s="31" t="s">
        <v>4880</v>
      </c>
      <c r="D4597" s="32" t="s">
        <v>15</v>
      </c>
      <c r="E4597" s="32" t="s">
        <v>4931</v>
      </c>
      <c r="F4597" s="246">
        <v>46291.0</v>
      </c>
      <c r="G4597" s="54">
        <v>1.622533317E7</v>
      </c>
      <c r="H4597" s="14">
        <f t="shared" si="11"/>
        <v>3407319.966</v>
      </c>
      <c r="I4597" s="22"/>
      <c r="J4597" s="22">
        <v>259605.33</v>
      </c>
      <c r="K4597" s="15">
        <f t="shared" si="12"/>
        <v>19892258.47</v>
      </c>
      <c r="L4597" s="45"/>
      <c r="M4597" s="6"/>
    </row>
    <row r="4598" ht="15.75" customHeight="1">
      <c r="A4598" s="162">
        <v>46286.0</v>
      </c>
      <c r="B4598" s="50"/>
      <c r="C4598" s="31" t="s">
        <v>4880</v>
      </c>
      <c r="D4598" s="32" t="s">
        <v>15</v>
      </c>
      <c r="E4598" s="31" t="s">
        <v>4932</v>
      </c>
      <c r="F4598" s="246">
        <v>46291.0</v>
      </c>
      <c r="G4598" s="54">
        <v>1.822933718E7</v>
      </c>
      <c r="H4598" s="14">
        <f t="shared" si="11"/>
        <v>3828160.808</v>
      </c>
      <c r="I4598" s="22"/>
      <c r="J4598" s="22">
        <v>291669.39</v>
      </c>
      <c r="K4598" s="15">
        <f t="shared" si="12"/>
        <v>22349167.38</v>
      </c>
      <c r="L4598" s="45"/>
      <c r="M4598" s="6"/>
    </row>
    <row r="4599" ht="15.75" customHeight="1">
      <c r="A4599" s="162">
        <v>46286.0</v>
      </c>
      <c r="B4599" s="50"/>
      <c r="C4599" s="31" t="s">
        <v>4880</v>
      </c>
      <c r="D4599" s="32" t="s">
        <v>15</v>
      </c>
      <c r="E4599" s="31" t="s">
        <v>4933</v>
      </c>
      <c r="F4599" s="246">
        <v>46291.0</v>
      </c>
      <c r="G4599" s="54">
        <v>2.272263315E7</v>
      </c>
      <c r="H4599" s="14">
        <f t="shared" si="11"/>
        <v>4771752.962</v>
      </c>
      <c r="I4599" s="22"/>
      <c r="J4599" s="22">
        <v>363562.13</v>
      </c>
      <c r="K4599" s="15">
        <f t="shared" si="12"/>
        <v>27857948.24</v>
      </c>
      <c r="L4599" s="45"/>
      <c r="M4599" s="6"/>
    </row>
    <row r="4600" ht="15.75" customHeight="1">
      <c r="A4600" s="162">
        <v>46286.0</v>
      </c>
      <c r="B4600" s="50"/>
      <c r="C4600" s="31" t="s">
        <v>4880</v>
      </c>
      <c r="D4600" s="32" t="s">
        <v>15</v>
      </c>
      <c r="E4600" s="31" t="s">
        <v>4934</v>
      </c>
      <c r="F4600" s="246">
        <v>46291.0</v>
      </c>
      <c r="G4600" s="54">
        <v>1.833623318E7</v>
      </c>
      <c r="H4600" s="14">
        <f t="shared" si="11"/>
        <v>3850608.968</v>
      </c>
      <c r="I4600" s="22"/>
      <c r="J4600" s="22">
        <v>293379.73</v>
      </c>
      <c r="K4600" s="15">
        <f t="shared" si="12"/>
        <v>22480221.88</v>
      </c>
      <c r="L4600" s="45"/>
      <c r="M4600" s="6"/>
    </row>
    <row r="4601" ht="15.75" customHeight="1">
      <c r="A4601" s="162">
        <v>46286.0</v>
      </c>
      <c r="B4601" s="50"/>
      <c r="C4601" s="31" t="s">
        <v>4880</v>
      </c>
      <c r="D4601" s="32" t="s">
        <v>15</v>
      </c>
      <c r="E4601" s="32" t="s">
        <v>4935</v>
      </c>
      <c r="F4601" s="246">
        <v>46291.0</v>
      </c>
      <c r="G4601" s="54">
        <v>2.542243908E7</v>
      </c>
      <c r="H4601" s="14">
        <f t="shared" si="11"/>
        <v>5338712.207</v>
      </c>
      <c r="I4601" s="22"/>
      <c r="J4601" s="22">
        <v>406759.03</v>
      </c>
      <c r="K4601" s="15">
        <f t="shared" si="12"/>
        <v>31167910.32</v>
      </c>
      <c r="L4601" s="45"/>
      <c r="M4601" s="6"/>
    </row>
    <row r="4602" ht="15.75" customHeight="1">
      <c r="A4602" s="208">
        <v>46286.0</v>
      </c>
      <c r="B4602" s="158"/>
      <c r="C4602" s="147" t="s">
        <v>4936</v>
      </c>
      <c r="D4602" s="148" t="s">
        <v>99</v>
      </c>
      <c r="E4602" s="147" t="s">
        <v>4937</v>
      </c>
      <c r="F4602" s="250">
        <v>46291.0</v>
      </c>
      <c r="G4602" s="209">
        <v>2.482221225E7</v>
      </c>
      <c r="H4602" s="150">
        <f t="shared" si="11"/>
        <v>5212664.573</v>
      </c>
      <c r="I4602" s="151">
        <v>744666.37</v>
      </c>
      <c r="J4602" s="151">
        <v>397155.4</v>
      </c>
      <c r="K4602" s="152">
        <f t="shared" si="12"/>
        <v>31176698.59</v>
      </c>
      <c r="L4602" s="153"/>
      <c r="M4602" s="154"/>
    </row>
    <row r="4603" ht="15.75" customHeight="1">
      <c r="A4603" s="162">
        <v>46287.0</v>
      </c>
      <c r="B4603" s="50"/>
      <c r="C4603" s="31" t="s">
        <v>4448</v>
      </c>
      <c r="D4603" s="32" t="s">
        <v>1543</v>
      </c>
      <c r="E4603" s="32" t="s">
        <v>4938</v>
      </c>
      <c r="F4603" s="246">
        <v>46291.0</v>
      </c>
      <c r="G4603" s="207">
        <v>1.121505926E7</v>
      </c>
      <c r="H4603" s="14">
        <f t="shared" si="11"/>
        <v>2355162.445</v>
      </c>
      <c r="I4603" s="22"/>
      <c r="J4603" s="22"/>
      <c r="K4603" s="15">
        <f t="shared" si="12"/>
        <v>13570221.7</v>
      </c>
      <c r="L4603" s="45"/>
      <c r="M4603" s="6"/>
    </row>
    <row r="4604" ht="15.75" customHeight="1">
      <c r="A4604" s="162">
        <v>46287.0</v>
      </c>
      <c r="B4604" s="50"/>
      <c r="C4604" s="31" t="s">
        <v>1279</v>
      </c>
      <c r="D4604" s="32" t="s">
        <v>99</v>
      </c>
      <c r="E4604" s="31" t="s">
        <v>4939</v>
      </c>
      <c r="F4604" s="246">
        <v>46291.0</v>
      </c>
      <c r="G4604" s="54">
        <v>7195150.15</v>
      </c>
      <c r="H4604" s="14">
        <f t="shared" si="11"/>
        <v>1510981.532</v>
      </c>
      <c r="I4604" s="22">
        <v>215854.5</v>
      </c>
      <c r="J4604" s="22"/>
      <c r="K4604" s="15">
        <f t="shared" si="12"/>
        <v>8921986.182</v>
      </c>
      <c r="L4604" s="45"/>
      <c r="M4604" s="6"/>
    </row>
    <row r="4605" ht="15.75" customHeight="1">
      <c r="A4605" s="162">
        <v>46287.0</v>
      </c>
      <c r="B4605" s="50"/>
      <c r="C4605" s="31" t="s">
        <v>1283</v>
      </c>
      <c r="D4605" s="32" t="s">
        <v>99</v>
      </c>
      <c r="E4605" s="31" t="s">
        <v>4940</v>
      </c>
      <c r="F4605" s="246">
        <v>46291.0</v>
      </c>
      <c r="G4605" s="54">
        <v>3720105.16</v>
      </c>
      <c r="H4605" s="14">
        <f t="shared" si="11"/>
        <v>781222.0836</v>
      </c>
      <c r="I4605" s="22">
        <v>111603.15</v>
      </c>
      <c r="J4605" s="22"/>
      <c r="K4605" s="15">
        <f t="shared" si="12"/>
        <v>4612930.394</v>
      </c>
      <c r="L4605" s="45"/>
      <c r="M4605" s="6"/>
    </row>
    <row r="4606" ht="15.75" customHeight="1">
      <c r="A4606" s="162">
        <v>46287.0</v>
      </c>
      <c r="B4606" s="50"/>
      <c r="C4606" s="31" t="s">
        <v>1277</v>
      </c>
      <c r="D4606" s="32" t="s">
        <v>99</v>
      </c>
      <c r="E4606" s="31" t="s">
        <v>4941</v>
      </c>
      <c r="F4606" s="246">
        <v>46291.0</v>
      </c>
      <c r="G4606" s="54">
        <v>1325350.21</v>
      </c>
      <c r="H4606" s="14">
        <f t="shared" si="11"/>
        <v>278323.5441</v>
      </c>
      <c r="I4606" s="22">
        <v>39760.51</v>
      </c>
      <c r="J4606" s="22"/>
      <c r="K4606" s="15">
        <f t="shared" si="12"/>
        <v>1643434.264</v>
      </c>
      <c r="L4606" s="45"/>
      <c r="M4606" s="6"/>
    </row>
    <row r="4607" ht="15.75" customHeight="1">
      <c r="A4607" s="162">
        <v>46288.0</v>
      </c>
      <c r="B4607" s="50"/>
      <c r="C4607" s="31" t="s">
        <v>4448</v>
      </c>
      <c r="D4607" s="32" t="s">
        <v>2714</v>
      </c>
      <c r="E4607" s="32" t="s">
        <v>4942</v>
      </c>
      <c r="F4607" s="246">
        <v>46291.0</v>
      </c>
      <c r="G4607" s="54">
        <v>1.4985E7</v>
      </c>
      <c r="H4607" s="14">
        <f t="shared" si="11"/>
        <v>3146850</v>
      </c>
      <c r="I4607" s="22"/>
      <c r="J4607" s="22"/>
      <c r="K4607" s="15">
        <f t="shared" si="12"/>
        <v>18131850</v>
      </c>
      <c r="L4607" s="45"/>
      <c r="M4607" s="6"/>
    </row>
    <row r="4608" ht="15.75" customHeight="1">
      <c r="A4608" s="217">
        <v>46288.0</v>
      </c>
      <c r="B4608" s="56"/>
      <c r="C4608" s="57" t="s">
        <v>196</v>
      </c>
      <c r="D4608" s="58" t="s">
        <v>15</v>
      </c>
      <c r="E4608" s="57" t="s">
        <v>4943</v>
      </c>
      <c r="F4608" s="212">
        <v>46291.0</v>
      </c>
      <c r="G4608" s="155">
        <v>2314385.26</v>
      </c>
      <c r="H4608" s="9">
        <f t="shared" si="11"/>
        <v>486020.9046</v>
      </c>
      <c r="I4608" s="44"/>
      <c r="J4608" s="44"/>
      <c r="K4608" s="10">
        <f t="shared" si="12"/>
        <v>2800406.165</v>
      </c>
      <c r="L4608" s="61"/>
      <c r="M4608" s="62"/>
    </row>
    <row r="4609" ht="15.75" customHeight="1">
      <c r="A4609" s="162">
        <v>46288.0</v>
      </c>
      <c r="B4609" s="50"/>
      <c r="C4609" s="31" t="s">
        <v>1796</v>
      </c>
      <c r="D4609" s="32" t="s">
        <v>15</v>
      </c>
      <c r="E4609" s="31" t="s">
        <v>4944</v>
      </c>
      <c r="F4609" s="246">
        <v>46291.0</v>
      </c>
      <c r="G4609" s="54">
        <v>7705660.16</v>
      </c>
      <c r="H4609" s="14">
        <f t="shared" si="11"/>
        <v>1618188.634</v>
      </c>
      <c r="I4609" s="22">
        <v>231169.8</v>
      </c>
      <c r="J4609" s="22">
        <v>38528.3</v>
      </c>
      <c r="K4609" s="15">
        <f t="shared" si="12"/>
        <v>9593546.894</v>
      </c>
      <c r="L4609" s="45"/>
      <c r="M4609" s="6"/>
    </row>
    <row r="4610" ht="15.75" customHeight="1">
      <c r="A4610" s="162">
        <v>46288.0</v>
      </c>
      <c r="B4610" s="50"/>
      <c r="C4610" s="32" t="s">
        <v>3836</v>
      </c>
      <c r="D4610" s="32" t="s">
        <v>15</v>
      </c>
      <c r="E4610" s="31" t="s">
        <v>4945</v>
      </c>
      <c r="F4610" s="246">
        <v>46291.0</v>
      </c>
      <c r="G4610" s="54">
        <v>3.325158678E7</v>
      </c>
      <c r="H4610" s="14">
        <f t="shared" si="11"/>
        <v>6982833.224</v>
      </c>
      <c r="I4610" s="22"/>
      <c r="J4610" s="22"/>
      <c r="K4610" s="15">
        <f t="shared" si="12"/>
        <v>40234420</v>
      </c>
      <c r="L4610" s="45"/>
      <c r="M4610" s="6"/>
    </row>
    <row r="4611" ht="15.75" customHeight="1">
      <c r="A4611" s="162">
        <v>46288.0</v>
      </c>
      <c r="B4611" s="50"/>
      <c r="C4611" s="32" t="s">
        <v>3836</v>
      </c>
      <c r="D4611" s="32" t="s">
        <v>15</v>
      </c>
      <c r="E4611" s="31" t="s">
        <v>4946</v>
      </c>
      <c r="F4611" s="246">
        <v>46291.0</v>
      </c>
      <c r="G4611" s="54">
        <v>7832545.6</v>
      </c>
      <c r="H4611" s="14">
        <f t="shared" si="11"/>
        <v>1644834.576</v>
      </c>
      <c r="I4611" s="22"/>
      <c r="J4611" s="22"/>
      <c r="K4611" s="15">
        <f t="shared" si="12"/>
        <v>9477380.176</v>
      </c>
      <c r="L4611" s="45"/>
      <c r="M4611" s="6"/>
    </row>
    <row r="4612" ht="15.75" customHeight="1">
      <c r="A4612" s="217">
        <v>46288.0</v>
      </c>
      <c r="B4612" s="56"/>
      <c r="C4612" s="57" t="s">
        <v>196</v>
      </c>
      <c r="D4612" s="58" t="s">
        <v>99</v>
      </c>
      <c r="E4612" s="57" t="s">
        <v>4947</v>
      </c>
      <c r="F4612" s="212">
        <v>46291.0</v>
      </c>
      <c r="G4612" s="155">
        <v>5785120.23</v>
      </c>
      <c r="H4612" s="9">
        <f t="shared" si="11"/>
        <v>1214875.248</v>
      </c>
      <c r="I4612" s="44"/>
      <c r="J4612" s="44">
        <v>46280.96</v>
      </c>
      <c r="K4612" s="10">
        <f t="shared" si="12"/>
        <v>7046276.438</v>
      </c>
      <c r="L4612" s="61"/>
      <c r="M4612" s="62"/>
    </row>
    <row r="4613" ht="15.75" customHeight="1">
      <c r="A4613" s="162">
        <v>46288.0</v>
      </c>
      <c r="B4613" s="50"/>
      <c r="C4613" s="31" t="s">
        <v>1796</v>
      </c>
      <c r="D4613" s="32" t="s">
        <v>99</v>
      </c>
      <c r="E4613" s="31" t="s">
        <v>4948</v>
      </c>
      <c r="F4613" s="246">
        <v>46291.0</v>
      </c>
      <c r="G4613" s="54">
        <v>7714580.42</v>
      </c>
      <c r="H4613" s="14">
        <f t="shared" si="11"/>
        <v>1620061.888</v>
      </c>
      <c r="I4613" s="22">
        <v>231437.41</v>
      </c>
      <c r="J4613" s="22">
        <v>38572.9</v>
      </c>
      <c r="K4613" s="15">
        <f t="shared" si="12"/>
        <v>9604652.618</v>
      </c>
      <c r="L4613" s="45"/>
      <c r="M4613" s="6"/>
    </row>
    <row r="4614" ht="15.75" customHeight="1">
      <c r="A4614" s="217">
        <v>46288.0</v>
      </c>
      <c r="B4614" s="56"/>
      <c r="C4614" s="57" t="s">
        <v>4464</v>
      </c>
      <c r="D4614" s="58" t="s">
        <v>99</v>
      </c>
      <c r="E4614" s="57" t="s">
        <v>4949</v>
      </c>
      <c r="F4614" s="212">
        <v>46291.0</v>
      </c>
      <c r="G4614" s="155">
        <v>2589634.18</v>
      </c>
      <c r="H4614" s="9">
        <f t="shared" si="11"/>
        <v>543823.1778</v>
      </c>
      <c r="I4614" s="44"/>
      <c r="J4614" s="44"/>
      <c r="K4614" s="10">
        <f t="shared" si="12"/>
        <v>3133457.358</v>
      </c>
      <c r="L4614" s="61"/>
      <c r="M4614" s="62"/>
    </row>
    <row r="4615" ht="15.75" customHeight="1">
      <c r="A4615" s="217">
        <v>46288.0</v>
      </c>
      <c r="B4615" s="56"/>
      <c r="C4615" s="57" t="s">
        <v>4464</v>
      </c>
      <c r="D4615" s="58" t="s">
        <v>99</v>
      </c>
      <c r="E4615" s="57" t="s">
        <v>4950</v>
      </c>
      <c r="F4615" s="212">
        <v>46291.0</v>
      </c>
      <c r="G4615" s="155">
        <v>3951743.23</v>
      </c>
      <c r="H4615" s="9">
        <f t="shared" si="11"/>
        <v>829866.0783</v>
      </c>
      <c r="I4615" s="44"/>
      <c r="J4615" s="44"/>
      <c r="K4615" s="10">
        <f t="shared" si="12"/>
        <v>4781609.308</v>
      </c>
      <c r="L4615" s="61"/>
      <c r="M4615" s="62"/>
    </row>
    <row r="4616" ht="15.75" customHeight="1">
      <c r="A4616" s="217">
        <v>46288.0</v>
      </c>
      <c r="B4616" s="56"/>
      <c r="C4616" s="57" t="s">
        <v>4464</v>
      </c>
      <c r="D4616" s="58" t="s">
        <v>99</v>
      </c>
      <c r="E4616" s="57" t="s">
        <v>4951</v>
      </c>
      <c r="F4616" s="212">
        <v>46291.0</v>
      </c>
      <c r="G4616" s="155">
        <v>4123951.08</v>
      </c>
      <c r="H4616" s="9">
        <f t="shared" si="11"/>
        <v>866029.7268</v>
      </c>
      <c r="I4616" s="44"/>
      <c r="J4616" s="44"/>
      <c r="K4616" s="10">
        <f t="shared" si="12"/>
        <v>4989980.807</v>
      </c>
      <c r="L4616" s="61"/>
      <c r="M4616" s="62"/>
    </row>
    <row r="4617" ht="15.75" customHeight="1">
      <c r="A4617" s="217">
        <v>46288.0</v>
      </c>
      <c r="B4617" s="56"/>
      <c r="C4617" s="57" t="s">
        <v>4464</v>
      </c>
      <c r="D4617" s="58" t="s">
        <v>99</v>
      </c>
      <c r="E4617" s="57" t="s">
        <v>4952</v>
      </c>
      <c r="F4617" s="212">
        <v>46291.0</v>
      </c>
      <c r="G4617" s="155">
        <v>4999887.08</v>
      </c>
      <c r="H4617" s="9">
        <f t="shared" si="11"/>
        <v>1049976.287</v>
      </c>
      <c r="I4617" s="44"/>
      <c r="J4617" s="44"/>
      <c r="K4617" s="10">
        <f t="shared" si="12"/>
        <v>6049863.367</v>
      </c>
      <c r="L4617" s="61"/>
      <c r="M4617" s="62"/>
    </row>
    <row r="4618" ht="15.75" customHeight="1">
      <c r="A4618" s="162">
        <v>46289.0</v>
      </c>
      <c r="B4618" s="50"/>
      <c r="C4618" s="31" t="s">
        <v>1285</v>
      </c>
      <c r="D4618" s="32" t="s">
        <v>15</v>
      </c>
      <c r="E4618" s="31" t="s">
        <v>4953</v>
      </c>
      <c r="F4618" s="246">
        <v>46291.0</v>
      </c>
      <c r="G4618" s="54">
        <v>5015780.26</v>
      </c>
      <c r="H4618" s="14">
        <f t="shared" si="11"/>
        <v>1053313.855</v>
      </c>
      <c r="I4618" s="22"/>
      <c r="J4618" s="22"/>
      <c r="K4618" s="15">
        <f t="shared" si="12"/>
        <v>6069094.115</v>
      </c>
      <c r="L4618" s="45"/>
      <c r="M4618" s="6"/>
    </row>
    <row r="4619" ht="15.75" customHeight="1">
      <c r="A4619" s="162">
        <v>46289.0</v>
      </c>
      <c r="B4619" s="50"/>
      <c r="C4619" s="31" t="s">
        <v>247</v>
      </c>
      <c r="D4619" s="32" t="s">
        <v>15</v>
      </c>
      <c r="E4619" s="31" t="s">
        <v>4954</v>
      </c>
      <c r="F4619" s="246">
        <v>46291.0</v>
      </c>
      <c r="G4619" s="54">
        <v>9775360.26</v>
      </c>
      <c r="H4619" s="14">
        <f t="shared" si="11"/>
        <v>2052825.655</v>
      </c>
      <c r="I4619" s="22"/>
      <c r="J4619" s="22"/>
      <c r="K4619" s="15">
        <f t="shared" si="12"/>
        <v>11828185.91</v>
      </c>
      <c r="L4619" s="45"/>
      <c r="M4619" s="6"/>
    </row>
    <row r="4620" ht="15.75" customHeight="1">
      <c r="A4620" s="217">
        <v>46289.0</v>
      </c>
      <c r="B4620" s="56"/>
      <c r="C4620" s="57" t="s">
        <v>247</v>
      </c>
      <c r="D4620" s="58" t="s">
        <v>15</v>
      </c>
      <c r="E4620" s="57" t="s">
        <v>4955</v>
      </c>
      <c r="F4620" s="212">
        <v>46291.0</v>
      </c>
      <c r="G4620" s="155">
        <v>8979770.23</v>
      </c>
      <c r="H4620" s="9">
        <f t="shared" si="11"/>
        <v>1885751.748</v>
      </c>
      <c r="I4620" s="44"/>
      <c r="J4620" s="44"/>
      <c r="K4620" s="10">
        <f t="shared" si="12"/>
        <v>10865521.98</v>
      </c>
      <c r="L4620" s="61"/>
      <c r="M4620" s="62"/>
    </row>
    <row r="4621" ht="15.75" customHeight="1">
      <c r="A4621" s="217">
        <v>46289.0</v>
      </c>
      <c r="B4621" s="56"/>
      <c r="C4621" s="57" t="s">
        <v>247</v>
      </c>
      <c r="D4621" s="58" t="s">
        <v>15</v>
      </c>
      <c r="E4621" s="57" t="s">
        <v>4956</v>
      </c>
      <c r="F4621" s="212">
        <v>46291.0</v>
      </c>
      <c r="G4621" s="155">
        <v>9887250.75</v>
      </c>
      <c r="H4621" s="9">
        <f t="shared" si="11"/>
        <v>2076322.658</v>
      </c>
      <c r="I4621" s="44"/>
      <c r="J4621" s="44"/>
      <c r="K4621" s="10">
        <f t="shared" si="12"/>
        <v>11963573.41</v>
      </c>
      <c r="L4621" s="61"/>
      <c r="M4621" s="62"/>
    </row>
    <row r="4622" ht="15.75" customHeight="1">
      <c r="A4622" s="217">
        <v>46289.0</v>
      </c>
      <c r="B4622" s="56"/>
      <c r="C4622" s="57" t="s">
        <v>247</v>
      </c>
      <c r="D4622" s="58" t="s">
        <v>15</v>
      </c>
      <c r="E4622" s="57" t="s">
        <v>4957</v>
      </c>
      <c r="F4622" s="212">
        <v>46291.0</v>
      </c>
      <c r="G4622" s="155">
        <v>9859560.12</v>
      </c>
      <c r="H4622" s="9">
        <f t="shared" si="11"/>
        <v>2070507.625</v>
      </c>
      <c r="I4622" s="44"/>
      <c r="J4622" s="44"/>
      <c r="K4622" s="10">
        <f t="shared" si="12"/>
        <v>11930067.75</v>
      </c>
      <c r="L4622" s="61"/>
      <c r="M4622" s="62"/>
    </row>
    <row r="4623" ht="15.75" customHeight="1">
      <c r="A4623" s="162">
        <v>46289.0</v>
      </c>
      <c r="B4623" s="50"/>
      <c r="C4623" s="31" t="s">
        <v>3877</v>
      </c>
      <c r="D4623" s="32" t="s">
        <v>15</v>
      </c>
      <c r="E4623" s="31" t="s">
        <v>4958</v>
      </c>
      <c r="F4623" s="246">
        <v>46291.0</v>
      </c>
      <c r="G4623" s="54">
        <v>1.465688042E7</v>
      </c>
      <c r="H4623" s="14">
        <f t="shared" si="11"/>
        <v>3077944.888</v>
      </c>
      <c r="I4623" s="22">
        <v>439706.41</v>
      </c>
      <c r="J4623" s="22">
        <v>732844.02</v>
      </c>
      <c r="K4623" s="15">
        <f t="shared" si="12"/>
        <v>18907375.74</v>
      </c>
      <c r="L4623" s="45"/>
      <c r="M4623" s="6"/>
    </row>
    <row r="4624" ht="15.75" customHeight="1">
      <c r="A4624" s="162">
        <v>46289.0</v>
      </c>
      <c r="B4624" s="50"/>
      <c r="C4624" s="31" t="s">
        <v>4429</v>
      </c>
      <c r="D4624" s="32" t="s">
        <v>15</v>
      </c>
      <c r="E4624" s="31" t="s">
        <v>4959</v>
      </c>
      <c r="F4624" s="246">
        <v>46291.0</v>
      </c>
      <c r="G4624" s="54">
        <v>8040520.12</v>
      </c>
      <c r="H4624" s="14">
        <f t="shared" si="11"/>
        <v>1688509.225</v>
      </c>
      <c r="I4624" s="22">
        <v>241215.6</v>
      </c>
      <c r="J4624" s="22">
        <v>402026.01</v>
      </c>
      <c r="K4624" s="15">
        <f t="shared" si="12"/>
        <v>10372270.96</v>
      </c>
      <c r="L4624" s="45"/>
      <c r="M4624" s="6"/>
    </row>
    <row r="4625" ht="15.75" customHeight="1">
      <c r="A4625" s="162">
        <v>46289.0</v>
      </c>
      <c r="B4625" s="50"/>
      <c r="C4625" s="31" t="s">
        <v>3866</v>
      </c>
      <c r="D4625" s="32" t="s">
        <v>15</v>
      </c>
      <c r="E4625" s="31" t="s">
        <v>4960</v>
      </c>
      <c r="F4625" s="246">
        <v>46291.0</v>
      </c>
      <c r="G4625" s="54">
        <v>8041040.25</v>
      </c>
      <c r="H4625" s="14">
        <f t="shared" si="11"/>
        <v>1688618.453</v>
      </c>
      <c r="I4625" s="22">
        <v>241231.21</v>
      </c>
      <c r="J4625" s="22">
        <v>321641.61</v>
      </c>
      <c r="K4625" s="15">
        <f t="shared" si="12"/>
        <v>10292531.52</v>
      </c>
      <c r="L4625" s="45"/>
      <c r="M4625" s="6"/>
    </row>
    <row r="4626" ht="15.75" customHeight="1">
      <c r="A4626" s="162">
        <v>46290.0</v>
      </c>
      <c r="B4626" s="50"/>
      <c r="C4626" s="31" t="s">
        <v>1183</v>
      </c>
      <c r="D4626" s="32" t="s">
        <v>15</v>
      </c>
      <c r="E4626" s="31" t="s">
        <v>4961</v>
      </c>
      <c r="F4626" s="246">
        <v>46291.0</v>
      </c>
      <c r="G4626" s="54">
        <v>8607321.25</v>
      </c>
      <c r="H4626" s="14">
        <f t="shared" si="11"/>
        <v>1807537.463</v>
      </c>
      <c r="I4626" s="22">
        <v>258219.64</v>
      </c>
      <c r="J4626" s="22"/>
      <c r="K4626" s="15">
        <f t="shared" si="12"/>
        <v>10673078.35</v>
      </c>
      <c r="L4626" s="45"/>
      <c r="M4626" s="6"/>
    </row>
    <row r="4627" ht="15.75" customHeight="1">
      <c r="A4627" s="162">
        <v>46290.0</v>
      </c>
      <c r="B4627" s="50"/>
      <c r="C4627" s="31" t="s">
        <v>1183</v>
      </c>
      <c r="D4627" s="32" t="s">
        <v>15</v>
      </c>
      <c r="E4627" s="31" t="s">
        <v>4962</v>
      </c>
      <c r="F4627" s="246">
        <v>46291.0</v>
      </c>
      <c r="G4627" s="54">
        <v>5412620.59</v>
      </c>
      <c r="H4627" s="14">
        <f t="shared" si="11"/>
        <v>1136650.324</v>
      </c>
      <c r="I4627" s="22">
        <v>162378.62</v>
      </c>
      <c r="J4627" s="22"/>
      <c r="K4627" s="15">
        <f t="shared" si="12"/>
        <v>6711649.534</v>
      </c>
      <c r="L4627" s="45"/>
      <c r="M4627" s="6"/>
    </row>
    <row r="4628" ht="15.75" customHeight="1">
      <c r="A4628" s="162">
        <v>46290.0</v>
      </c>
      <c r="B4628" s="50"/>
      <c r="C4628" s="31" t="s">
        <v>3357</v>
      </c>
      <c r="D4628" s="32" t="s">
        <v>15</v>
      </c>
      <c r="E4628" s="31" t="s">
        <v>4963</v>
      </c>
      <c r="F4628" s="246">
        <v>46291.0</v>
      </c>
      <c r="G4628" s="54">
        <v>1.067135025E7</v>
      </c>
      <c r="H4628" s="14">
        <f t="shared" si="11"/>
        <v>2240983.553</v>
      </c>
      <c r="I4628" s="22">
        <v>320140.51</v>
      </c>
      <c r="J4628" s="22">
        <v>74699.45</v>
      </c>
      <c r="K4628" s="15">
        <f t="shared" si="12"/>
        <v>13307173.76</v>
      </c>
      <c r="L4628" s="45"/>
      <c r="M4628" s="6"/>
    </row>
    <row r="4629" ht="15.75" customHeight="1">
      <c r="A4629" s="162">
        <v>46290.0</v>
      </c>
      <c r="B4629" s="50"/>
      <c r="C4629" s="31" t="s">
        <v>3357</v>
      </c>
      <c r="D4629" s="32" t="s">
        <v>15</v>
      </c>
      <c r="E4629" s="31" t="s">
        <v>4964</v>
      </c>
      <c r="F4629" s="246">
        <v>46291.0</v>
      </c>
      <c r="G4629" s="54">
        <v>8423870.26</v>
      </c>
      <c r="H4629" s="14">
        <f t="shared" si="11"/>
        <v>1769012.755</v>
      </c>
      <c r="I4629" s="22">
        <v>252716.11</v>
      </c>
      <c r="J4629" s="22">
        <v>58967.09</v>
      </c>
      <c r="K4629" s="15">
        <f t="shared" si="12"/>
        <v>10504566.21</v>
      </c>
      <c r="L4629" s="45"/>
      <c r="M4629" s="6"/>
    </row>
    <row r="4630" ht="15.75" customHeight="1">
      <c r="A4630" s="162">
        <v>46291.0</v>
      </c>
      <c r="B4630" s="50"/>
      <c r="C4630" s="31" t="s">
        <v>3580</v>
      </c>
      <c r="D4630" s="32" t="s">
        <v>15</v>
      </c>
      <c r="E4630" s="31" t="s">
        <v>4965</v>
      </c>
      <c r="F4630" s="246">
        <v>46291.0</v>
      </c>
      <c r="G4630" s="54">
        <v>6855059.63</v>
      </c>
      <c r="H4630" s="14">
        <f t="shared" si="11"/>
        <v>1439562.522</v>
      </c>
      <c r="I4630" s="22">
        <v>205651.79</v>
      </c>
      <c r="J4630" s="22"/>
      <c r="K4630" s="15">
        <f t="shared" si="12"/>
        <v>8500273.942</v>
      </c>
      <c r="L4630" s="45"/>
      <c r="M4630" s="6"/>
    </row>
    <row r="4631" ht="15.75" customHeight="1">
      <c r="A4631" s="162">
        <v>46291.0</v>
      </c>
      <c r="B4631" s="50"/>
      <c r="C4631" s="31" t="s">
        <v>3580</v>
      </c>
      <c r="D4631" s="32" t="s">
        <v>15</v>
      </c>
      <c r="E4631" s="31" t="s">
        <v>4966</v>
      </c>
      <c r="F4631" s="246">
        <v>46291.0</v>
      </c>
      <c r="G4631" s="54">
        <v>1.233363308E7</v>
      </c>
      <c r="H4631" s="14">
        <f t="shared" si="11"/>
        <v>2590062.947</v>
      </c>
      <c r="I4631" s="22">
        <v>370008.99</v>
      </c>
      <c r="J4631" s="22"/>
      <c r="K4631" s="15">
        <f t="shared" si="12"/>
        <v>15293705.02</v>
      </c>
      <c r="L4631" s="45"/>
      <c r="M4631" s="6"/>
    </row>
    <row r="4632" ht="15.75" customHeight="1">
      <c r="A4632" s="162">
        <v>46291.0</v>
      </c>
      <c r="B4632" s="50"/>
      <c r="C4632" s="31" t="s">
        <v>3919</v>
      </c>
      <c r="D4632" s="32" t="s">
        <v>15</v>
      </c>
      <c r="E4632" s="31" t="s">
        <v>4967</v>
      </c>
      <c r="F4632" s="246">
        <v>46291.0</v>
      </c>
      <c r="G4632" s="54">
        <v>1.712457042E7</v>
      </c>
      <c r="H4632" s="14">
        <f t="shared" si="11"/>
        <v>3596159.788</v>
      </c>
      <c r="I4632" s="22"/>
      <c r="J4632" s="22">
        <v>85622.85</v>
      </c>
      <c r="K4632" s="15">
        <f t="shared" si="12"/>
        <v>20806353.06</v>
      </c>
      <c r="L4632" s="45"/>
      <c r="M4632" s="6"/>
    </row>
    <row r="4633" ht="15.75" customHeight="1">
      <c r="A4633" s="162">
        <v>46291.0</v>
      </c>
      <c r="B4633" s="50"/>
      <c r="C4633" s="31" t="s">
        <v>3919</v>
      </c>
      <c r="D4633" s="32" t="s">
        <v>15</v>
      </c>
      <c r="E4633" s="31" t="s">
        <v>4968</v>
      </c>
      <c r="F4633" s="246">
        <v>46291.0</v>
      </c>
      <c r="G4633" s="54">
        <v>1.599649059E7</v>
      </c>
      <c r="H4633" s="14">
        <f t="shared" si="11"/>
        <v>3359263.024</v>
      </c>
      <c r="I4633" s="22"/>
      <c r="J4633" s="22">
        <v>79982.45</v>
      </c>
      <c r="K4633" s="15">
        <f t="shared" si="12"/>
        <v>19435736.06</v>
      </c>
      <c r="L4633" s="45"/>
      <c r="M4633" s="6"/>
    </row>
    <row r="4634" ht="15.75" customHeight="1">
      <c r="A4634" s="162">
        <v>46291.0</v>
      </c>
      <c r="B4634" s="50"/>
      <c r="C4634" s="31" t="s">
        <v>3919</v>
      </c>
      <c r="D4634" s="32" t="s">
        <v>15</v>
      </c>
      <c r="E4634" s="31" t="s">
        <v>4969</v>
      </c>
      <c r="F4634" s="246">
        <v>46291.0</v>
      </c>
      <c r="G4634" s="54">
        <v>1.688568029E7</v>
      </c>
      <c r="H4634" s="14">
        <f t="shared" si="11"/>
        <v>3545992.861</v>
      </c>
      <c r="I4634" s="22"/>
      <c r="J4634" s="22">
        <v>84428.4</v>
      </c>
      <c r="K4634" s="15">
        <f t="shared" si="12"/>
        <v>20516101.55</v>
      </c>
      <c r="L4634" s="45"/>
      <c r="M4634" s="6"/>
    </row>
    <row r="4635" ht="15.75" customHeight="1">
      <c r="A4635" s="162">
        <v>46291.0</v>
      </c>
      <c r="B4635" s="50"/>
      <c r="C4635" s="31" t="s">
        <v>4970</v>
      </c>
      <c r="D4635" s="32" t="s">
        <v>15</v>
      </c>
      <c r="E4635" s="31" t="s">
        <v>4971</v>
      </c>
      <c r="F4635" s="246">
        <v>46291.0</v>
      </c>
      <c r="G4635" s="54">
        <v>1.087646026E7</v>
      </c>
      <c r="H4635" s="14">
        <f t="shared" si="11"/>
        <v>2284056.655</v>
      </c>
      <c r="I4635" s="22">
        <v>326293.81</v>
      </c>
      <c r="J4635" s="22"/>
      <c r="K4635" s="15">
        <f t="shared" si="12"/>
        <v>13486810.72</v>
      </c>
      <c r="L4635" s="45"/>
      <c r="M4635" s="6"/>
    </row>
    <row r="4636" ht="15.75" customHeight="1">
      <c r="A4636" s="162">
        <v>46291.0</v>
      </c>
      <c r="B4636" s="50"/>
      <c r="C4636" s="31" t="s">
        <v>4970</v>
      </c>
      <c r="D4636" s="32" t="s">
        <v>15</v>
      </c>
      <c r="E4636" s="31" t="s">
        <v>4972</v>
      </c>
      <c r="F4636" s="246">
        <v>46291.0</v>
      </c>
      <c r="G4636" s="54">
        <v>8129571.46</v>
      </c>
      <c r="H4636" s="14">
        <f t="shared" si="11"/>
        <v>1707210.007</v>
      </c>
      <c r="I4636" s="22">
        <v>243887.14</v>
      </c>
      <c r="J4636" s="22"/>
      <c r="K4636" s="15">
        <f t="shared" si="12"/>
        <v>10080668.61</v>
      </c>
      <c r="L4636" s="45"/>
      <c r="M4636" s="6"/>
    </row>
    <row r="4637" ht="15.75" customHeight="1">
      <c r="A4637" s="162">
        <v>46291.0</v>
      </c>
      <c r="B4637" s="50"/>
      <c r="C4637" s="31" t="s">
        <v>4973</v>
      </c>
      <c r="D4637" s="32" t="s">
        <v>15</v>
      </c>
      <c r="E4637" s="31" t="s">
        <v>4974</v>
      </c>
      <c r="F4637" s="246">
        <v>46291.0</v>
      </c>
      <c r="G4637" s="54">
        <v>2.001136026E7</v>
      </c>
      <c r="H4637" s="14">
        <f t="shared" si="11"/>
        <v>4202385.655</v>
      </c>
      <c r="I4637" s="22">
        <v>600340.81</v>
      </c>
      <c r="J4637" s="22">
        <v>500284.01</v>
      </c>
      <c r="K4637" s="15">
        <f t="shared" si="12"/>
        <v>25314370.73</v>
      </c>
      <c r="L4637" s="45"/>
      <c r="M4637" s="6"/>
    </row>
    <row r="4638" ht="15.75" customHeight="1">
      <c r="A4638" s="217">
        <v>46294.0</v>
      </c>
      <c r="B4638" s="56"/>
      <c r="C4638" s="57" t="s">
        <v>239</v>
      </c>
      <c r="D4638" s="58" t="s">
        <v>1543</v>
      </c>
      <c r="E4638" s="58" t="s">
        <v>4975</v>
      </c>
      <c r="F4638" s="212">
        <v>46291.0</v>
      </c>
      <c r="G4638" s="206">
        <v>6723263.08</v>
      </c>
      <c r="H4638" s="9">
        <f t="shared" si="11"/>
        <v>1411885.247</v>
      </c>
      <c r="I4638" s="44"/>
      <c r="J4638" s="44"/>
      <c r="K4638" s="10">
        <f t="shared" si="12"/>
        <v>8135148.327</v>
      </c>
      <c r="L4638" s="61"/>
      <c r="M4638" s="62"/>
    </row>
    <row r="4639" ht="15.75" customHeight="1">
      <c r="A4639" s="217">
        <v>46294.0</v>
      </c>
      <c r="B4639" s="56"/>
      <c r="C4639" s="57" t="s">
        <v>239</v>
      </c>
      <c r="D4639" s="58" t="s">
        <v>99</v>
      </c>
      <c r="E4639" s="57" t="s">
        <v>4976</v>
      </c>
      <c r="F4639" s="212">
        <v>46291.0</v>
      </c>
      <c r="G4639" s="155">
        <v>3889228.07</v>
      </c>
      <c r="H4639" s="9">
        <f t="shared" si="11"/>
        <v>816737.8947</v>
      </c>
      <c r="I4639" s="44">
        <v>116676.84</v>
      </c>
      <c r="J4639" s="44"/>
      <c r="K4639" s="10">
        <f t="shared" si="12"/>
        <v>4822642.805</v>
      </c>
      <c r="L4639" s="61"/>
      <c r="M4639" s="62"/>
    </row>
    <row r="4640" ht="15.75" customHeight="1">
      <c r="A4640" s="217">
        <v>46294.0</v>
      </c>
      <c r="B4640" s="56"/>
      <c r="C4640" s="57" t="s">
        <v>239</v>
      </c>
      <c r="D4640" s="58" t="s">
        <v>15</v>
      </c>
      <c r="E4640" s="57" t="s">
        <v>4977</v>
      </c>
      <c r="F4640" s="212">
        <v>46291.0</v>
      </c>
      <c r="G4640" s="155">
        <v>4729233.09</v>
      </c>
      <c r="H4640" s="9">
        <f t="shared" si="11"/>
        <v>993138.9489</v>
      </c>
      <c r="I4640" s="44">
        <v>141876.99</v>
      </c>
      <c r="J4640" s="44"/>
      <c r="K4640" s="10">
        <f t="shared" si="12"/>
        <v>5864249.029</v>
      </c>
      <c r="L4640" s="61"/>
      <c r="M4640" s="62"/>
    </row>
    <row r="4641" ht="15.75" customHeight="1">
      <c r="A4641" s="162">
        <v>46294.0</v>
      </c>
      <c r="B4641" s="50"/>
      <c r="C4641" s="31" t="s">
        <v>1796</v>
      </c>
      <c r="D4641" s="32" t="s">
        <v>99</v>
      </c>
      <c r="E4641" s="31" t="s">
        <v>4978</v>
      </c>
      <c r="F4641" s="246">
        <v>46291.0</v>
      </c>
      <c r="G4641" s="54">
        <v>6709990.48</v>
      </c>
      <c r="H4641" s="14">
        <f t="shared" si="11"/>
        <v>1409098.001</v>
      </c>
      <c r="I4641" s="22">
        <v>201299.71</v>
      </c>
      <c r="J4641" s="22">
        <v>33549.95</v>
      </c>
      <c r="K4641" s="15">
        <f t="shared" si="12"/>
        <v>8353938.141</v>
      </c>
      <c r="L4641" s="45"/>
      <c r="M4641" s="6"/>
    </row>
    <row r="4642" ht="15.75" customHeight="1">
      <c r="A4642" s="162">
        <v>46294.0</v>
      </c>
      <c r="B4642" s="50"/>
      <c r="C4642" s="31" t="s">
        <v>1796</v>
      </c>
      <c r="D4642" s="32" t="s">
        <v>15</v>
      </c>
      <c r="E4642" s="31" t="s">
        <v>4979</v>
      </c>
      <c r="F4642" s="246">
        <v>46291.0</v>
      </c>
      <c r="G4642" s="54">
        <v>8112570.59</v>
      </c>
      <c r="H4642" s="14">
        <f t="shared" si="11"/>
        <v>1703639.824</v>
      </c>
      <c r="I4642" s="22">
        <v>243377.12</v>
      </c>
      <c r="J4642" s="22">
        <v>40562.85</v>
      </c>
      <c r="K4642" s="15">
        <f t="shared" si="12"/>
        <v>10100150.38</v>
      </c>
      <c r="L4642" s="45"/>
      <c r="M4642" s="6"/>
    </row>
    <row r="4643" ht="15.75" customHeight="1">
      <c r="A4643" s="217">
        <v>46294.0</v>
      </c>
      <c r="B4643" s="56"/>
      <c r="C4643" s="57" t="s">
        <v>1980</v>
      </c>
      <c r="D4643" s="58" t="s">
        <v>99</v>
      </c>
      <c r="E4643" s="57" t="s">
        <v>4980</v>
      </c>
      <c r="F4643" s="212">
        <v>46291.0</v>
      </c>
      <c r="G4643" s="155">
        <v>1.4464E7</v>
      </c>
      <c r="H4643" s="9">
        <f t="shared" si="11"/>
        <v>3037440</v>
      </c>
      <c r="I4643" s="44">
        <v>433920.0</v>
      </c>
      <c r="J4643" s="44">
        <v>723200.0</v>
      </c>
      <c r="K4643" s="10">
        <f t="shared" si="12"/>
        <v>18658560</v>
      </c>
      <c r="L4643" s="61"/>
      <c r="M4643" s="62"/>
    </row>
    <row r="4644" ht="15.75" customHeight="1">
      <c r="A4644" s="217">
        <v>46294.0</v>
      </c>
      <c r="B4644" s="56"/>
      <c r="C4644" s="57" t="s">
        <v>1980</v>
      </c>
      <c r="D4644" s="58" t="s">
        <v>99</v>
      </c>
      <c r="E4644" s="57" t="s">
        <v>4981</v>
      </c>
      <c r="F4644" s="212">
        <v>46291.0</v>
      </c>
      <c r="G4644" s="155">
        <v>8.4554568E7</v>
      </c>
      <c r="H4644" s="9">
        <f t="shared" si="11"/>
        <v>17756459.28</v>
      </c>
      <c r="I4644" s="44">
        <v>2536637.04</v>
      </c>
      <c r="J4644" s="44">
        <v>4227728.4</v>
      </c>
      <c r="K4644" s="10">
        <f t="shared" si="12"/>
        <v>109075392.7</v>
      </c>
      <c r="L4644" s="61"/>
      <c r="M4644" s="62"/>
    </row>
    <row r="4645" ht="15.75" customHeight="1">
      <c r="A4645" s="217">
        <v>46294.0</v>
      </c>
      <c r="B4645" s="56"/>
      <c r="C4645" s="57" t="s">
        <v>1980</v>
      </c>
      <c r="D4645" s="58" t="s">
        <v>99</v>
      </c>
      <c r="E4645" s="57" t="s">
        <v>4982</v>
      </c>
      <c r="F4645" s="212">
        <v>46291.0</v>
      </c>
      <c r="G4645" s="155">
        <v>2.4694188E7</v>
      </c>
      <c r="H4645" s="9">
        <f t="shared" si="11"/>
        <v>5185779.48</v>
      </c>
      <c r="I4645" s="44">
        <v>740825.64</v>
      </c>
      <c r="J4645" s="44">
        <v>1234709.4</v>
      </c>
      <c r="K4645" s="10">
        <f t="shared" si="12"/>
        <v>31855502.52</v>
      </c>
      <c r="L4645" s="61"/>
      <c r="M4645" s="62"/>
    </row>
    <row r="4646" ht="15.75" customHeight="1">
      <c r="A4646" s="217">
        <v>46294.0</v>
      </c>
      <c r="B4646" s="56"/>
      <c r="C4646" s="57" t="s">
        <v>1980</v>
      </c>
      <c r="D4646" s="58" t="s">
        <v>99</v>
      </c>
      <c r="E4646" s="57" t="s">
        <v>4983</v>
      </c>
      <c r="F4646" s="212">
        <v>46291.0</v>
      </c>
      <c r="G4646" s="155">
        <v>1.352754E7</v>
      </c>
      <c r="H4646" s="9">
        <f t="shared" si="11"/>
        <v>2840783.4</v>
      </c>
      <c r="I4646" s="44">
        <v>405826.2</v>
      </c>
      <c r="J4646" s="44">
        <v>676377.0</v>
      </c>
      <c r="K4646" s="10">
        <f t="shared" si="12"/>
        <v>17450526.6</v>
      </c>
      <c r="L4646" s="61"/>
      <c r="M4646" s="62"/>
    </row>
    <row r="4647" ht="15.75" customHeight="1">
      <c r="A4647" s="217">
        <v>46294.0</v>
      </c>
      <c r="B4647" s="56"/>
      <c r="C4647" s="57" t="s">
        <v>1980</v>
      </c>
      <c r="D4647" s="58" t="s">
        <v>15</v>
      </c>
      <c r="E4647" s="57" t="s">
        <v>4984</v>
      </c>
      <c r="F4647" s="212">
        <v>46291.0</v>
      </c>
      <c r="G4647" s="155">
        <v>1.824336E7</v>
      </c>
      <c r="H4647" s="9">
        <f t="shared" si="11"/>
        <v>3831105.6</v>
      </c>
      <c r="I4647" s="44">
        <v>547300.8</v>
      </c>
      <c r="J4647" s="44">
        <v>912168.0</v>
      </c>
      <c r="K4647" s="10">
        <f t="shared" si="12"/>
        <v>23533934.4</v>
      </c>
      <c r="L4647" s="61"/>
      <c r="M4647" s="62"/>
    </row>
    <row r="4648" ht="15.75" customHeight="1">
      <c r="A4648" s="217">
        <v>46294.0</v>
      </c>
      <c r="B4648" s="56"/>
      <c r="C4648" s="57" t="s">
        <v>1980</v>
      </c>
      <c r="D4648" s="58" t="s">
        <v>15</v>
      </c>
      <c r="E4648" s="57" t="s">
        <v>4985</v>
      </c>
      <c r="F4648" s="212">
        <v>46291.0</v>
      </c>
      <c r="G4648" s="155">
        <v>6.444E7</v>
      </c>
      <c r="H4648" s="9">
        <f t="shared" si="11"/>
        <v>13532400</v>
      </c>
      <c r="I4648" s="44">
        <v>1933200.0</v>
      </c>
      <c r="J4648" s="44">
        <v>3222000.0</v>
      </c>
      <c r="K4648" s="10">
        <f t="shared" si="12"/>
        <v>83127600</v>
      </c>
      <c r="L4648" s="61"/>
      <c r="M4648" s="62"/>
    </row>
    <row r="4649" ht="15.75" customHeight="1">
      <c r="A4649" s="217">
        <v>46294.0</v>
      </c>
      <c r="B4649" s="56"/>
      <c r="C4649" s="57" t="s">
        <v>1980</v>
      </c>
      <c r="D4649" s="58" t="s">
        <v>15</v>
      </c>
      <c r="E4649" s="57" t="s">
        <v>4986</v>
      </c>
      <c r="F4649" s="212">
        <v>46291.0</v>
      </c>
      <c r="G4649" s="155">
        <v>1.245306E7</v>
      </c>
      <c r="H4649" s="9">
        <f t="shared" si="11"/>
        <v>2615142.6</v>
      </c>
      <c r="I4649" s="44">
        <v>373591.8</v>
      </c>
      <c r="J4649" s="44">
        <v>622653.0</v>
      </c>
      <c r="K4649" s="10">
        <f t="shared" si="12"/>
        <v>16064447.4</v>
      </c>
      <c r="L4649" s="61"/>
      <c r="M4649" s="62"/>
    </row>
    <row r="4650" ht="15.75" customHeight="1">
      <c r="A4650" s="217">
        <v>46294.0</v>
      </c>
      <c r="B4650" s="56"/>
      <c r="C4650" s="57" t="s">
        <v>1980</v>
      </c>
      <c r="D4650" s="58" t="s">
        <v>15</v>
      </c>
      <c r="E4650" s="58" t="s">
        <v>4987</v>
      </c>
      <c r="F4650" s="212">
        <v>46291.0</v>
      </c>
      <c r="G4650" s="155">
        <v>2.805284E7</v>
      </c>
      <c r="H4650" s="9">
        <f t="shared" si="11"/>
        <v>5891096.4</v>
      </c>
      <c r="I4650" s="44">
        <v>841585.2</v>
      </c>
      <c r="J4650" s="44">
        <v>1402642.0</v>
      </c>
      <c r="K4650" s="10">
        <f t="shared" si="12"/>
        <v>36188163.6</v>
      </c>
      <c r="L4650" s="61"/>
      <c r="M4650" s="62"/>
    </row>
    <row r="4651" ht="15.75" customHeight="1">
      <c r="A4651" s="217">
        <v>46294.0</v>
      </c>
      <c r="B4651" s="56"/>
      <c r="C4651" s="57" t="s">
        <v>4988</v>
      </c>
      <c r="D4651" s="58" t="s">
        <v>4989</v>
      </c>
      <c r="E4651" s="57" t="s">
        <v>4990</v>
      </c>
      <c r="F4651" s="212">
        <v>46291.0</v>
      </c>
      <c r="G4651" s="206">
        <v>2950412.6</v>
      </c>
      <c r="H4651" s="9">
        <f t="shared" si="11"/>
        <v>619586.646</v>
      </c>
      <c r="I4651" s="44"/>
      <c r="J4651" s="44"/>
      <c r="K4651" s="10">
        <f t="shared" si="12"/>
        <v>3569999.246</v>
      </c>
      <c r="L4651" s="61"/>
      <c r="M4651" s="62"/>
    </row>
    <row r="4652" ht="15.75" customHeight="1">
      <c r="A4652" s="217">
        <v>46294.0</v>
      </c>
      <c r="B4652" s="56"/>
      <c r="C4652" s="57" t="s">
        <v>4988</v>
      </c>
      <c r="D4652" s="58" t="s">
        <v>4989</v>
      </c>
      <c r="E4652" s="58" t="s">
        <v>4991</v>
      </c>
      <c r="F4652" s="212">
        <v>46291.0</v>
      </c>
      <c r="G4652" s="206">
        <v>3610555.87</v>
      </c>
      <c r="H4652" s="9">
        <f t="shared" si="11"/>
        <v>758216.7327</v>
      </c>
      <c r="I4652" s="44"/>
      <c r="J4652" s="44"/>
      <c r="K4652" s="10">
        <f t="shared" si="12"/>
        <v>4368772.603</v>
      </c>
      <c r="L4652" s="61"/>
      <c r="M4652" s="62"/>
    </row>
    <row r="4653" ht="15.75" customHeight="1">
      <c r="A4653" s="217">
        <v>46294.0</v>
      </c>
      <c r="B4653" s="56"/>
      <c r="C4653" s="57" t="s">
        <v>4988</v>
      </c>
      <c r="D4653" s="58" t="s">
        <v>4989</v>
      </c>
      <c r="E4653" s="58" t="s">
        <v>4992</v>
      </c>
      <c r="F4653" s="212">
        <v>46291.0</v>
      </c>
      <c r="G4653" s="206">
        <v>4102216.36</v>
      </c>
      <c r="H4653" s="9">
        <f t="shared" si="11"/>
        <v>861465.4356</v>
      </c>
      <c r="I4653" s="44"/>
      <c r="J4653" s="44"/>
      <c r="K4653" s="10">
        <f t="shared" si="12"/>
        <v>4963681.796</v>
      </c>
      <c r="L4653" s="61"/>
      <c r="M4653" s="62"/>
    </row>
    <row r="4654" ht="15.75" customHeight="1">
      <c r="A4654" s="217">
        <v>46294.0</v>
      </c>
      <c r="B4654" s="56"/>
      <c r="C4654" s="57" t="s">
        <v>4988</v>
      </c>
      <c r="D4654" s="58" t="s">
        <v>4989</v>
      </c>
      <c r="E4654" s="58" t="s">
        <v>4993</v>
      </c>
      <c r="F4654" s="212">
        <v>46291.0</v>
      </c>
      <c r="G4654" s="206">
        <v>4115732.73</v>
      </c>
      <c r="H4654" s="9">
        <f t="shared" si="11"/>
        <v>864303.8733</v>
      </c>
      <c r="I4654" s="44"/>
      <c r="J4654" s="44"/>
      <c r="K4654" s="10">
        <f t="shared" si="12"/>
        <v>4980036.603</v>
      </c>
      <c r="L4654" s="61"/>
      <c r="M4654" s="62"/>
    </row>
    <row r="4655" ht="15.75" customHeight="1">
      <c r="A4655" s="217">
        <v>46294.0</v>
      </c>
      <c r="B4655" s="56"/>
      <c r="C4655" s="57" t="s">
        <v>4988</v>
      </c>
      <c r="D4655" s="58" t="s">
        <v>4989</v>
      </c>
      <c r="E4655" s="58" t="s">
        <v>4994</v>
      </c>
      <c r="F4655" s="212">
        <v>46291.0</v>
      </c>
      <c r="G4655" s="206">
        <v>4112836.36</v>
      </c>
      <c r="H4655" s="9">
        <f t="shared" si="11"/>
        <v>863695.6356</v>
      </c>
      <c r="I4655" s="44"/>
      <c r="J4655" s="44"/>
      <c r="K4655" s="10">
        <f t="shared" si="12"/>
        <v>4976531.996</v>
      </c>
      <c r="L4655" s="61"/>
      <c r="M4655" s="62"/>
    </row>
    <row r="4656" ht="15.75" customHeight="1">
      <c r="A4656" s="217">
        <v>46294.0</v>
      </c>
      <c r="B4656" s="56"/>
      <c r="C4656" s="57" t="s">
        <v>4988</v>
      </c>
      <c r="D4656" s="58" t="s">
        <v>4989</v>
      </c>
      <c r="E4656" s="58" t="s">
        <v>4995</v>
      </c>
      <c r="F4656" s="212">
        <v>46291.0</v>
      </c>
      <c r="G4656" s="206">
        <v>6108249.75</v>
      </c>
      <c r="H4656" s="9">
        <f t="shared" si="11"/>
        <v>1282732.448</v>
      </c>
      <c r="I4656" s="44"/>
      <c r="J4656" s="44"/>
      <c r="K4656" s="10">
        <f t="shared" si="12"/>
        <v>7390982.198</v>
      </c>
      <c r="L4656" s="61"/>
      <c r="M4656" s="62"/>
    </row>
    <row r="4657" ht="15.75" customHeight="1">
      <c r="A4657" s="217">
        <v>46294.0</v>
      </c>
      <c r="B4657" s="56"/>
      <c r="C4657" s="58" t="s">
        <v>2126</v>
      </c>
      <c r="D4657" s="58" t="s">
        <v>2148</v>
      </c>
      <c r="E4657" s="58" t="s">
        <v>1718</v>
      </c>
      <c r="F4657" s="212">
        <v>46291.0</v>
      </c>
      <c r="G4657" s="155">
        <v>2.500016E7</v>
      </c>
      <c r="H4657" s="9">
        <f t="shared" si="11"/>
        <v>5250033.6</v>
      </c>
      <c r="I4657" s="44"/>
      <c r="J4657" s="44"/>
      <c r="K4657" s="10">
        <f t="shared" si="12"/>
        <v>30250193.6</v>
      </c>
      <c r="L4657" s="61"/>
      <c r="M4657" s="62"/>
    </row>
    <row r="4658" ht="15.75" customHeight="1">
      <c r="A4658" s="217">
        <v>46295.0</v>
      </c>
      <c r="B4658" s="56"/>
      <c r="C4658" s="57" t="s">
        <v>973</v>
      </c>
      <c r="D4658" s="58" t="s">
        <v>15</v>
      </c>
      <c r="E4658" s="57" t="s">
        <v>4996</v>
      </c>
      <c r="F4658" s="212">
        <v>46291.0</v>
      </c>
      <c r="G4658" s="155">
        <v>1.228333329E7</v>
      </c>
      <c r="H4658" s="9">
        <f t="shared" si="11"/>
        <v>2579499.991</v>
      </c>
      <c r="I4658" s="44">
        <v>368500.0</v>
      </c>
      <c r="J4658" s="44">
        <v>110550.0</v>
      </c>
      <c r="K4658" s="10">
        <f t="shared" si="12"/>
        <v>15341883.28</v>
      </c>
      <c r="L4658" s="61"/>
      <c r="M4658" s="62"/>
    </row>
    <row r="4659" ht="15.75" customHeight="1">
      <c r="A4659" s="217">
        <v>46295.0</v>
      </c>
      <c r="B4659" s="56"/>
      <c r="C4659" s="57" t="s">
        <v>973</v>
      </c>
      <c r="D4659" s="58" t="s">
        <v>15</v>
      </c>
      <c r="E4659" s="57" t="s">
        <v>4997</v>
      </c>
      <c r="F4659" s="212">
        <v>46291.0</v>
      </c>
      <c r="G4659" s="155">
        <v>8125333.92</v>
      </c>
      <c r="H4659" s="9">
        <f t="shared" si="11"/>
        <v>1706320.123</v>
      </c>
      <c r="I4659" s="44">
        <v>243760.02</v>
      </c>
      <c r="J4659" s="44">
        <v>73128.01</v>
      </c>
      <c r="K4659" s="10">
        <f t="shared" si="12"/>
        <v>10148542.07</v>
      </c>
      <c r="L4659" s="61"/>
      <c r="M4659" s="62"/>
    </row>
    <row r="4660" ht="15.75" customHeight="1">
      <c r="A4660" s="208">
        <v>46295.0</v>
      </c>
      <c r="B4660" s="158"/>
      <c r="C4660" s="147" t="s">
        <v>3117</v>
      </c>
      <c r="D4660" s="148" t="s">
        <v>99</v>
      </c>
      <c r="E4660" s="147" t="s">
        <v>4998</v>
      </c>
      <c r="F4660" s="250">
        <v>46291.0</v>
      </c>
      <c r="G4660" s="209">
        <v>1.440482546E7</v>
      </c>
      <c r="H4660" s="150">
        <f t="shared" si="11"/>
        <v>3025013.347</v>
      </c>
      <c r="I4660" s="151">
        <v>432144.76</v>
      </c>
      <c r="J4660" s="151">
        <v>216072.38</v>
      </c>
      <c r="K4660" s="152">
        <f t="shared" si="12"/>
        <v>18078055.95</v>
      </c>
      <c r="L4660" s="153"/>
      <c r="M4660" s="154"/>
    </row>
    <row r="4661" ht="15.75" customHeight="1">
      <c r="A4661" s="162">
        <v>46295.0</v>
      </c>
      <c r="B4661" s="50"/>
      <c r="C4661" s="31" t="s">
        <v>3117</v>
      </c>
      <c r="D4661" s="32" t="s">
        <v>99</v>
      </c>
      <c r="E4661" s="31" t="s">
        <v>4999</v>
      </c>
      <c r="F4661" s="246">
        <v>46291.0</v>
      </c>
      <c r="G4661" s="54">
        <v>1.582462632E7</v>
      </c>
      <c r="H4661" s="14">
        <f t="shared" si="11"/>
        <v>3323171.527</v>
      </c>
      <c r="I4661" s="22">
        <v>474738.79</v>
      </c>
      <c r="J4661" s="22">
        <v>237369.39</v>
      </c>
      <c r="K4661" s="15">
        <f t="shared" si="12"/>
        <v>19859906.03</v>
      </c>
      <c r="L4661" s="45"/>
      <c r="M4661" s="6"/>
    </row>
    <row r="4662" ht="15.75" customHeight="1">
      <c r="A4662" s="162">
        <v>46295.0</v>
      </c>
      <c r="B4662" s="50"/>
      <c r="C4662" s="31" t="s">
        <v>1719</v>
      </c>
      <c r="D4662" s="32" t="s">
        <v>99</v>
      </c>
      <c r="E4662" s="31" t="s">
        <v>5000</v>
      </c>
      <c r="F4662" s="246">
        <v>46291.0</v>
      </c>
      <c r="G4662" s="54">
        <v>2.085918246E7</v>
      </c>
      <c r="H4662" s="14">
        <f t="shared" si="11"/>
        <v>4380428.317</v>
      </c>
      <c r="I4662" s="22">
        <v>625775.47</v>
      </c>
      <c r="J4662" s="22">
        <v>312887.74</v>
      </c>
      <c r="K4662" s="15">
        <f t="shared" si="12"/>
        <v>26178273.99</v>
      </c>
      <c r="L4662" s="45"/>
      <c r="M4662" s="6"/>
    </row>
    <row r="4663" ht="15.75" customHeight="1">
      <c r="A4663" s="162">
        <v>46295.0</v>
      </c>
      <c r="B4663" s="50"/>
      <c r="C4663" s="31" t="s">
        <v>1719</v>
      </c>
      <c r="D4663" s="32" t="s">
        <v>99</v>
      </c>
      <c r="E4663" s="31" t="s">
        <v>5001</v>
      </c>
      <c r="F4663" s="246">
        <v>46291.0</v>
      </c>
      <c r="G4663" s="54">
        <v>1.926450562E7</v>
      </c>
      <c r="H4663" s="14">
        <f t="shared" si="11"/>
        <v>4045546.18</v>
      </c>
      <c r="I4663" s="22">
        <v>577935.17</v>
      </c>
      <c r="J4663" s="22">
        <v>288967.58</v>
      </c>
      <c r="K4663" s="15">
        <f t="shared" si="12"/>
        <v>24176954.55</v>
      </c>
      <c r="L4663" s="45"/>
      <c r="M4663" s="6"/>
    </row>
    <row r="4664" ht="15.75" customHeight="1">
      <c r="A4664" s="208">
        <v>46295.0</v>
      </c>
      <c r="B4664" s="158"/>
      <c r="C4664" s="147" t="s">
        <v>3859</v>
      </c>
      <c r="D4664" s="148" t="s">
        <v>99</v>
      </c>
      <c r="E4664" s="147" t="s">
        <v>5002</v>
      </c>
      <c r="F4664" s="250">
        <v>46291.0</v>
      </c>
      <c r="G4664" s="209">
        <v>1.682546022E7</v>
      </c>
      <c r="H4664" s="150">
        <f t="shared" si="11"/>
        <v>3533346.646</v>
      </c>
      <c r="I4664" s="151">
        <v>504763.81</v>
      </c>
      <c r="J4664" s="151">
        <v>252381.9</v>
      </c>
      <c r="K4664" s="152">
        <f t="shared" si="12"/>
        <v>21115952.58</v>
      </c>
      <c r="L4664" s="153"/>
      <c r="M4664" s="154"/>
    </row>
    <row r="4665" ht="15.75" customHeight="1">
      <c r="A4665" s="208">
        <v>46295.0</v>
      </c>
      <c r="B4665" s="158"/>
      <c r="C4665" s="147" t="s">
        <v>3859</v>
      </c>
      <c r="D4665" s="148" t="s">
        <v>99</v>
      </c>
      <c r="E4665" s="147" t="s">
        <v>5003</v>
      </c>
      <c r="F4665" s="250">
        <v>46291.0</v>
      </c>
      <c r="G4665" s="209">
        <v>1.328670278E7</v>
      </c>
      <c r="H4665" s="150">
        <f t="shared" si="11"/>
        <v>2790207.584</v>
      </c>
      <c r="I4665" s="151">
        <v>398601.08</v>
      </c>
      <c r="J4665" s="151">
        <v>199300.54</v>
      </c>
      <c r="K4665" s="152">
        <f t="shared" si="12"/>
        <v>16674811.98</v>
      </c>
      <c r="L4665" s="153"/>
      <c r="M4665" s="154"/>
    </row>
    <row r="4666" ht="15.75" customHeight="1">
      <c r="A4666" s="217">
        <v>46295.0</v>
      </c>
      <c r="B4666" s="56"/>
      <c r="C4666" s="57" t="s">
        <v>4351</v>
      </c>
      <c r="D4666" s="58" t="s">
        <v>99</v>
      </c>
      <c r="E4666" s="57" t="s">
        <v>5004</v>
      </c>
      <c r="F4666" s="212">
        <v>46291.0</v>
      </c>
      <c r="G4666" s="155">
        <v>1.132304365E7</v>
      </c>
      <c r="H4666" s="9">
        <f t="shared" si="11"/>
        <v>2377839.167</v>
      </c>
      <c r="I4666" s="44">
        <v>339691.31</v>
      </c>
      <c r="J4666" s="44"/>
      <c r="K4666" s="10">
        <f t="shared" si="12"/>
        <v>14040574.13</v>
      </c>
      <c r="L4666" s="61"/>
      <c r="M4666" s="62"/>
    </row>
    <row r="4667" ht="15.75" customHeight="1">
      <c r="A4667" s="217">
        <v>46295.0</v>
      </c>
      <c r="B4667" s="56"/>
      <c r="C4667" s="57" t="s">
        <v>4351</v>
      </c>
      <c r="D4667" s="58" t="s">
        <v>99</v>
      </c>
      <c r="E4667" s="57" t="s">
        <v>5005</v>
      </c>
      <c r="F4667" s="212">
        <v>46291.0</v>
      </c>
      <c r="G4667" s="155">
        <v>8163410.15</v>
      </c>
      <c r="H4667" s="9">
        <f t="shared" si="11"/>
        <v>1714316.132</v>
      </c>
      <c r="I4667" s="44">
        <v>244902.3</v>
      </c>
      <c r="J4667" s="44"/>
      <c r="K4667" s="10">
        <f t="shared" si="12"/>
        <v>10122628.58</v>
      </c>
      <c r="L4667" s="61"/>
      <c r="M4667" s="62"/>
    </row>
    <row r="4668" ht="15.75" customHeight="1">
      <c r="A4668" s="217">
        <v>46295.0</v>
      </c>
      <c r="B4668" s="56"/>
      <c r="C4668" s="57" t="s">
        <v>4351</v>
      </c>
      <c r="D4668" s="58" t="s">
        <v>99</v>
      </c>
      <c r="E4668" s="57" t="s">
        <v>5006</v>
      </c>
      <c r="F4668" s="212">
        <v>46291.0</v>
      </c>
      <c r="G4668" s="155">
        <v>1.209611152E7</v>
      </c>
      <c r="H4668" s="9">
        <f t="shared" si="11"/>
        <v>2540183.419</v>
      </c>
      <c r="I4668" s="44">
        <v>362883.35</v>
      </c>
      <c r="J4668" s="44"/>
      <c r="K4668" s="10">
        <f t="shared" si="12"/>
        <v>14999178.29</v>
      </c>
      <c r="L4668" s="61"/>
      <c r="M4668" s="62"/>
    </row>
    <row r="4669" ht="15.75" customHeight="1">
      <c r="A4669" s="217">
        <v>46295.0</v>
      </c>
      <c r="B4669" s="56"/>
      <c r="C4669" s="57" t="s">
        <v>4351</v>
      </c>
      <c r="D4669" s="58" t="s">
        <v>99</v>
      </c>
      <c r="E4669" s="57" t="s">
        <v>5007</v>
      </c>
      <c r="F4669" s="212">
        <v>46291.0</v>
      </c>
      <c r="G4669" s="155">
        <v>1.132304352E7</v>
      </c>
      <c r="H4669" s="9">
        <f t="shared" si="11"/>
        <v>2377839.139</v>
      </c>
      <c r="I4669" s="44">
        <v>339691.31</v>
      </c>
      <c r="J4669" s="44"/>
      <c r="K4669" s="10">
        <f t="shared" si="12"/>
        <v>14040573.97</v>
      </c>
      <c r="L4669" s="61"/>
      <c r="M4669" s="62"/>
    </row>
    <row r="4670" ht="15.75" customHeight="1">
      <c r="A4670" s="217">
        <v>46295.0</v>
      </c>
      <c r="B4670" s="56"/>
      <c r="C4670" s="57" t="s">
        <v>4351</v>
      </c>
      <c r="D4670" s="58" t="s">
        <v>99</v>
      </c>
      <c r="E4670" s="57" t="s">
        <v>5008</v>
      </c>
      <c r="F4670" s="212">
        <v>46291.0</v>
      </c>
      <c r="G4670" s="155">
        <v>7444900.23</v>
      </c>
      <c r="H4670" s="9">
        <f t="shared" si="11"/>
        <v>1563429.048</v>
      </c>
      <c r="I4670" s="44">
        <v>223347.01</v>
      </c>
      <c r="J4670" s="44"/>
      <c r="K4670" s="10">
        <f t="shared" si="12"/>
        <v>9231676.288</v>
      </c>
      <c r="L4670" s="61"/>
      <c r="M4670" s="62"/>
    </row>
    <row r="4671" ht="15.75" customHeight="1">
      <c r="A4671" s="162">
        <v>46295.0</v>
      </c>
      <c r="B4671" s="50"/>
      <c r="C4671" s="31" t="s">
        <v>4351</v>
      </c>
      <c r="D4671" s="32" t="s">
        <v>15</v>
      </c>
      <c r="E4671" s="31" t="s">
        <v>5009</v>
      </c>
      <c r="F4671" s="246">
        <v>46291.0</v>
      </c>
      <c r="G4671" s="54">
        <v>1.143804111E7</v>
      </c>
      <c r="H4671" s="14">
        <f t="shared" si="11"/>
        <v>2401988.633</v>
      </c>
      <c r="I4671" s="22">
        <v>343141.23</v>
      </c>
      <c r="J4671" s="22"/>
      <c r="K4671" s="15">
        <f t="shared" si="12"/>
        <v>14183170.97</v>
      </c>
      <c r="L4671" s="45"/>
      <c r="M4671" s="6"/>
    </row>
    <row r="4672" ht="15.75" customHeight="1">
      <c r="A4672" s="162">
        <v>46295.0</v>
      </c>
      <c r="B4672" s="50"/>
      <c r="C4672" s="31" t="s">
        <v>4351</v>
      </c>
      <c r="D4672" s="32" t="s">
        <v>15</v>
      </c>
      <c r="E4672" s="31" t="s">
        <v>5010</v>
      </c>
      <c r="F4672" s="246">
        <v>46291.0</v>
      </c>
      <c r="G4672" s="54">
        <v>1.031877312E7</v>
      </c>
      <c r="H4672" s="14">
        <f t="shared" si="11"/>
        <v>2166942.355</v>
      </c>
      <c r="I4672" s="22">
        <v>309563.19</v>
      </c>
      <c r="J4672" s="22"/>
      <c r="K4672" s="15">
        <f t="shared" si="12"/>
        <v>12795278.67</v>
      </c>
      <c r="L4672" s="45"/>
      <c r="M4672" s="6"/>
    </row>
    <row r="4673" ht="15.75" customHeight="1">
      <c r="A4673" s="162">
        <v>46295.0</v>
      </c>
      <c r="B4673" s="50"/>
      <c r="C4673" s="31" t="s">
        <v>4351</v>
      </c>
      <c r="D4673" s="32" t="s">
        <v>15</v>
      </c>
      <c r="E4673" s="31" t="s">
        <v>5011</v>
      </c>
      <c r="F4673" s="246">
        <v>46291.0</v>
      </c>
      <c r="G4673" s="54">
        <v>9794366.15</v>
      </c>
      <c r="H4673" s="14">
        <f t="shared" si="11"/>
        <v>2056816.892</v>
      </c>
      <c r="I4673" s="22">
        <v>293830.98</v>
      </c>
      <c r="J4673" s="22"/>
      <c r="K4673" s="15">
        <f t="shared" si="12"/>
        <v>12145014.02</v>
      </c>
      <c r="L4673" s="45"/>
      <c r="M4673" s="6"/>
    </row>
    <row r="4674" ht="15.75" customHeight="1">
      <c r="A4674" s="162">
        <v>46295.0</v>
      </c>
      <c r="B4674" s="50"/>
      <c r="C4674" s="31" t="s">
        <v>4351</v>
      </c>
      <c r="D4674" s="32" t="s">
        <v>15</v>
      </c>
      <c r="E4674" s="31" t="s">
        <v>5012</v>
      </c>
      <c r="F4674" s="246">
        <v>46291.0</v>
      </c>
      <c r="G4674" s="54">
        <v>7816997.56</v>
      </c>
      <c r="H4674" s="14">
        <f t="shared" si="11"/>
        <v>1641569.488</v>
      </c>
      <c r="I4674" s="22">
        <v>234509.93</v>
      </c>
      <c r="J4674" s="22"/>
      <c r="K4674" s="15">
        <f t="shared" si="12"/>
        <v>9693076.978</v>
      </c>
      <c r="L4674" s="45"/>
      <c r="M4674" s="6"/>
    </row>
    <row r="4675" ht="15.75" customHeight="1">
      <c r="A4675" s="162">
        <v>46295.0</v>
      </c>
      <c r="B4675" s="50"/>
      <c r="C4675" s="31" t="s">
        <v>4351</v>
      </c>
      <c r="D4675" s="32" t="s">
        <v>15</v>
      </c>
      <c r="E4675" s="31" t="s">
        <v>5013</v>
      </c>
      <c r="F4675" s="246">
        <v>46291.0</v>
      </c>
      <c r="G4675" s="54">
        <v>1.310873622E7</v>
      </c>
      <c r="H4675" s="14">
        <f t="shared" si="11"/>
        <v>2752834.606</v>
      </c>
      <c r="I4675" s="22">
        <v>393262.09</v>
      </c>
      <c r="J4675" s="22"/>
      <c r="K4675" s="15">
        <f t="shared" si="12"/>
        <v>16254832.92</v>
      </c>
      <c r="L4675" s="45"/>
      <c r="M4675" s="6"/>
    </row>
    <row r="4676" ht="15.75" customHeight="1">
      <c r="A4676" s="162">
        <v>46295.0</v>
      </c>
      <c r="B4676" s="50"/>
      <c r="C4676" s="31" t="s">
        <v>4351</v>
      </c>
      <c r="D4676" s="32" t="s">
        <v>15</v>
      </c>
      <c r="E4676" s="31" t="s">
        <v>5014</v>
      </c>
      <c r="F4676" s="246">
        <v>46291.0</v>
      </c>
      <c r="G4676" s="54">
        <v>1.191307413E7</v>
      </c>
      <c r="H4676" s="14">
        <f t="shared" si="11"/>
        <v>2501745.567</v>
      </c>
      <c r="I4676" s="22">
        <v>357392.22</v>
      </c>
      <c r="J4676" s="22"/>
      <c r="K4676" s="15">
        <f t="shared" si="12"/>
        <v>14772211.92</v>
      </c>
      <c r="L4676" s="45"/>
      <c r="M4676" s="6"/>
    </row>
    <row r="4677" ht="15.75" customHeight="1">
      <c r="A4677" s="162">
        <v>46295.0</v>
      </c>
      <c r="B4677" s="50"/>
      <c r="C4677" s="31" t="s">
        <v>4351</v>
      </c>
      <c r="D4677" s="32" t="s">
        <v>15</v>
      </c>
      <c r="E4677" s="32" t="s">
        <v>5015</v>
      </c>
      <c r="F4677" s="246">
        <v>46291.0</v>
      </c>
      <c r="G4677" s="54">
        <v>1.143804196E7</v>
      </c>
      <c r="H4677" s="14">
        <f t="shared" si="11"/>
        <v>2401988.812</v>
      </c>
      <c r="I4677" s="22">
        <v>343141.26</v>
      </c>
      <c r="J4677" s="22"/>
      <c r="K4677" s="15">
        <f t="shared" si="12"/>
        <v>14183172.03</v>
      </c>
      <c r="L4677" s="45"/>
      <c r="M4677" s="6"/>
    </row>
    <row r="4678" ht="15.75" customHeight="1">
      <c r="A4678" s="217">
        <v>46295.0</v>
      </c>
      <c r="B4678" s="56"/>
      <c r="C4678" s="57" t="s">
        <v>4464</v>
      </c>
      <c r="D4678" s="58" t="s">
        <v>99</v>
      </c>
      <c r="E4678" s="57" t="s">
        <v>5016</v>
      </c>
      <c r="F4678" s="212">
        <v>46291.0</v>
      </c>
      <c r="G4678" s="155">
        <v>5478914.08</v>
      </c>
      <c r="H4678" s="9">
        <f t="shared" si="11"/>
        <v>1150571.957</v>
      </c>
      <c r="I4678" s="44"/>
      <c r="J4678" s="44"/>
      <c r="K4678" s="10">
        <f t="shared" si="12"/>
        <v>6629486.037</v>
      </c>
      <c r="L4678" s="61"/>
      <c r="M4678" s="62"/>
    </row>
    <row r="4679" ht="15.75" customHeight="1">
      <c r="A4679" s="217">
        <v>46295.0</v>
      </c>
      <c r="B4679" s="56"/>
      <c r="C4679" s="57" t="s">
        <v>4464</v>
      </c>
      <c r="D4679" s="58" t="s">
        <v>99</v>
      </c>
      <c r="E4679" s="57" t="s">
        <v>5017</v>
      </c>
      <c r="F4679" s="212">
        <v>46291.0</v>
      </c>
      <c r="G4679" s="155">
        <v>1258945.08</v>
      </c>
      <c r="H4679" s="9">
        <f t="shared" si="11"/>
        <v>264378.4668</v>
      </c>
      <c r="I4679" s="44"/>
      <c r="J4679" s="44"/>
      <c r="K4679" s="10">
        <f t="shared" si="12"/>
        <v>1523323.547</v>
      </c>
      <c r="L4679" s="61"/>
      <c r="M4679" s="62"/>
    </row>
    <row r="4680" ht="15.75" customHeight="1">
      <c r="A4680" s="217">
        <v>46295.0</v>
      </c>
      <c r="B4680" s="56"/>
      <c r="C4680" s="57" t="s">
        <v>4464</v>
      </c>
      <c r="D4680" s="58" t="s">
        <v>99</v>
      </c>
      <c r="E4680" s="57" t="s">
        <v>5018</v>
      </c>
      <c r="F4680" s="212">
        <v>46291.0</v>
      </c>
      <c r="G4680" s="155">
        <v>2598414.08</v>
      </c>
      <c r="H4680" s="9">
        <f t="shared" si="11"/>
        <v>545666.9568</v>
      </c>
      <c r="I4680" s="44"/>
      <c r="J4680" s="44"/>
      <c r="K4680" s="10">
        <f t="shared" si="12"/>
        <v>3144081.037</v>
      </c>
      <c r="L4680" s="61"/>
      <c r="M4680" s="62"/>
    </row>
    <row r="4681" ht="15.75" customHeight="1">
      <c r="A4681" s="217">
        <v>46295.0</v>
      </c>
      <c r="B4681" s="56"/>
      <c r="C4681" s="57" t="s">
        <v>4464</v>
      </c>
      <c r="D4681" s="58" t="s">
        <v>99</v>
      </c>
      <c r="E4681" s="57" t="s">
        <v>5019</v>
      </c>
      <c r="F4681" s="212">
        <v>46291.0</v>
      </c>
      <c r="G4681" s="155">
        <v>5894135.16</v>
      </c>
      <c r="H4681" s="9">
        <f t="shared" si="11"/>
        <v>1237768.384</v>
      </c>
      <c r="I4681" s="44"/>
      <c r="J4681" s="44"/>
      <c r="K4681" s="10">
        <f t="shared" si="12"/>
        <v>7131903.544</v>
      </c>
      <c r="L4681" s="61"/>
      <c r="M4681" s="62"/>
    </row>
    <row r="4682" ht="15.75" customHeight="1">
      <c r="A4682" s="217">
        <v>46296.0</v>
      </c>
      <c r="B4682" s="56"/>
      <c r="C4682" s="58" t="s">
        <v>5020</v>
      </c>
      <c r="D4682" s="58" t="s">
        <v>3815</v>
      </c>
      <c r="E4682" s="58" t="s">
        <v>5021</v>
      </c>
      <c r="F4682" s="212">
        <v>46291.0</v>
      </c>
      <c r="G4682" s="155">
        <v>2.0553719E7</v>
      </c>
      <c r="H4682" s="9">
        <f t="shared" si="11"/>
        <v>4316280.99</v>
      </c>
      <c r="I4682" s="44"/>
      <c r="J4682" s="44"/>
      <c r="K4682" s="10">
        <f t="shared" si="12"/>
        <v>24869999.99</v>
      </c>
      <c r="L4682" s="61"/>
      <c r="M4682" s="62"/>
    </row>
    <row r="4683" ht="15.75" customHeight="1">
      <c r="A4683" s="217">
        <v>46296.0</v>
      </c>
      <c r="B4683" s="56"/>
      <c r="C4683" s="58" t="s">
        <v>5020</v>
      </c>
      <c r="D4683" s="58" t="s">
        <v>3815</v>
      </c>
      <c r="E4683" s="58" t="s">
        <v>5022</v>
      </c>
      <c r="F4683" s="212">
        <v>46291.0</v>
      </c>
      <c r="G4683" s="155">
        <v>3388429.55</v>
      </c>
      <c r="H4683" s="9">
        <f t="shared" si="11"/>
        <v>711570.2055</v>
      </c>
      <c r="I4683" s="44"/>
      <c r="J4683" s="44"/>
      <c r="K4683" s="10">
        <f t="shared" si="12"/>
        <v>4099999.756</v>
      </c>
      <c r="L4683" s="61"/>
      <c r="M4683" s="62"/>
    </row>
    <row r="4684" ht="15.75" customHeight="1">
      <c r="A4684" s="217">
        <v>46296.0</v>
      </c>
      <c r="B4684" s="56"/>
      <c r="C4684" s="58" t="s">
        <v>5020</v>
      </c>
      <c r="D4684" s="58" t="s">
        <v>3815</v>
      </c>
      <c r="E4684" s="58" t="s">
        <v>5023</v>
      </c>
      <c r="F4684" s="212">
        <v>46291.0</v>
      </c>
      <c r="G4684" s="155">
        <v>3315702.48</v>
      </c>
      <c r="H4684" s="9">
        <f t="shared" si="11"/>
        <v>696297.5208</v>
      </c>
      <c r="I4684" s="44"/>
      <c r="J4684" s="44"/>
      <c r="K4684" s="10">
        <f t="shared" si="12"/>
        <v>4012000.001</v>
      </c>
      <c r="L4684" s="61"/>
      <c r="M4684" s="62"/>
    </row>
    <row r="4685" ht="15.75" customHeight="1">
      <c r="A4685" s="217">
        <v>46296.0</v>
      </c>
      <c r="B4685" s="56"/>
      <c r="C4685" s="58" t="s">
        <v>5020</v>
      </c>
      <c r="D4685" s="58" t="s">
        <v>3815</v>
      </c>
      <c r="E4685" s="58" t="s">
        <v>5024</v>
      </c>
      <c r="F4685" s="212">
        <v>46291.0</v>
      </c>
      <c r="G4685" s="155">
        <v>3363636.24</v>
      </c>
      <c r="H4685" s="9">
        <f t="shared" si="11"/>
        <v>706363.6104</v>
      </c>
      <c r="I4685" s="44"/>
      <c r="J4685" s="44"/>
      <c r="K4685" s="10">
        <f t="shared" si="12"/>
        <v>4069999.85</v>
      </c>
      <c r="L4685" s="61"/>
      <c r="M4685" s="62"/>
    </row>
    <row r="4686" ht="15.75" customHeight="1">
      <c r="A4686" s="217">
        <v>46296.0</v>
      </c>
      <c r="B4686" s="56"/>
      <c r="C4686" s="58" t="s">
        <v>5025</v>
      </c>
      <c r="D4686" s="58" t="s">
        <v>5026</v>
      </c>
      <c r="E4686" s="58" t="s">
        <v>5027</v>
      </c>
      <c r="F4686" s="212">
        <v>46291.0</v>
      </c>
      <c r="G4686" s="155">
        <v>1.239710225E7</v>
      </c>
      <c r="H4686" s="9">
        <f t="shared" si="11"/>
        <v>2603391.473</v>
      </c>
      <c r="I4686" s="44"/>
      <c r="J4686" s="44"/>
      <c r="K4686" s="10">
        <f t="shared" si="12"/>
        <v>15000493.72</v>
      </c>
      <c r="L4686" s="61"/>
      <c r="M4686" s="62"/>
    </row>
    <row r="4687" ht="15.75" customHeight="1">
      <c r="A4687" s="217">
        <v>46296.0</v>
      </c>
      <c r="B4687" s="56"/>
      <c r="C4687" s="58" t="s">
        <v>5028</v>
      </c>
      <c r="D4687" s="58" t="s">
        <v>5029</v>
      </c>
      <c r="E4687" s="58" t="s">
        <v>5030</v>
      </c>
      <c r="F4687" s="212">
        <v>46291.0</v>
      </c>
      <c r="G4687" s="155">
        <v>8555392.8</v>
      </c>
      <c r="H4687" s="9">
        <f t="shared" si="11"/>
        <v>1796632.488</v>
      </c>
      <c r="I4687" s="44"/>
      <c r="J4687" s="44"/>
      <c r="K4687" s="10">
        <f t="shared" si="12"/>
        <v>10352025.29</v>
      </c>
      <c r="L4687" s="61"/>
      <c r="M4687" s="62"/>
    </row>
    <row r="4688" ht="15.75" customHeight="1">
      <c r="A4688" s="217">
        <v>46296.0</v>
      </c>
      <c r="B4688" s="56"/>
      <c r="C4688" s="58" t="s">
        <v>5028</v>
      </c>
      <c r="D4688" s="58" t="s">
        <v>5029</v>
      </c>
      <c r="E4688" s="58" t="s">
        <v>5031</v>
      </c>
      <c r="F4688" s="212">
        <v>46291.0</v>
      </c>
      <c r="G4688" s="155">
        <v>1.340983383E7</v>
      </c>
      <c r="H4688" s="9">
        <f t="shared" si="11"/>
        <v>2816065.104</v>
      </c>
      <c r="I4688" s="44"/>
      <c r="J4688" s="44"/>
      <c r="K4688" s="10">
        <f t="shared" si="12"/>
        <v>16225898.93</v>
      </c>
      <c r="L4688" s="61"/>
      <c r="M4688" s="62"/>
    </row>
    <row r="4689" ht="15.75" customHeight="1">
      <c r="A4689" s="217">
        <v>46296.0</v>
      </c>
      <c r="B4689" s="56"/>
      <c r="C4689" s="58" t="s">
        <v>5028</v>
      </c>
      <c r="D4689" s="58" t="s">
        <v>5029</v>
      </c>
      <c r="E4689" s="58" t="s">
        <v>5032</v>
      </c>
      <c r="F4689" s="212">
        <v>46291.0</v>
      </c>
      <c r="G4689" s="155">
        <v>1.313758116E7</v>
      </c>
      <c r="H4689" s="9">
        <f t="shared" si="11"/>
        <v>2758892.044</v>
      </c>
      <c r="I4689" s="44"/>
      <c r="J4689" s="44"/>
      <c r="K4689" s="10">
        <f t="shared" si="12"/>
        <v>15896473.2</v>
      </c>
      <c r="L4689" s="61"/>
      <c r="M4689" s="62"/>
    </row>
    <row r="4690" ht="15.75" customHeight="1">
      <c r="A4690" s="217">
        <v>46296.0</v>
      </c>
      <c r="B4690" s="56"/>
      <c r="C4690" s="58" t="s">
        <v>5028</v>
      </c>
      <c r="D4690" s="58" t="s">
        <v>5029</v>
      </c>
      <c r="E4690" s="58" t="s">
        <v>5033</v>
      </c>
      <c r="F4690" s="212">
        <v>46291.0</v>
      </c>
      <c r="G4690" s="155">
        <v>1.489722422E7</v>
      </c>
      <c r="H4690" s="9">
        <f t="shared" si="11"/>
        <v>3128417.086</v>
      </c>
      <c r="I4690" s="44"/>
      <c r="J4690" s="44"/>
      <c r="K4690" s="10">
        <f t="shared" si="12"/>
        <v>18025641.31</v>
      </c>
      <c r="L4690" s="61"/>
      <c r="M4690" s="62"/>
    </row>
    <row r="4691" ht="15.75" customHeight="1">
      <c r="A4691" s="162">
        <v>46296.0</v>
      </c>
      <c r="B4691" s="50"/>
      <c r="C4691" s="32" t="s">
        <v>4351</v>
      </c>
      <c r="D4691" s="32" t="s">
        <v>15</v>
      </c>
      <c r="E4691" s="32" t="s">
        <v>4707</v>
      </c>
      <c r="F4691" s="246">
        <v>46291.0</v>
      </c>
      <c r="G4691" s="54">
        <v>-1.14380426E7</v>
      </c>
      <c r="H4691" s="14">
        <f t="shared" si="11"/>
        <v>-2401988.946</v>
      </c>
      <c r="I4691" s="22">
        <v>-343141.26</v>
      </c>
      <c r="J4691" s="22"/>
      <c r="K4691" s="15">
        <f t="shared" si="12"/>
        <v>-14183172.81</v>
      </c>
      <c r="L4691" s="45"/>
      <c r="M4691" s="6"/>
    </row>
    <row r="4692" ht="15.75" customHeight="1">
      <c r="A4692" s="217">
        <v>46296.0</v>
      </c>
      <c r="B4692" s="56"/>
      <c r="C4692" s="58" t="s">
        <v>4351</v>
      </c>
      <c r="D4692" s="58" t="s">
        <v>99</v>
      </c>
      <c r="E4692" s="58" t="s">
        <v>5034</v>
      </c>
      <c r="F4692" s="212">
        <v>46291.0</v>
      </c>
      <c r="G4692" s="155">
        <v>-1.132304385E7</v>
      </c>
      <c r="H4692" s="9">
        <f t="shared" si="11"/>
        <v>-2377839.209</v>
      </c>
      <c r="I4692" s="44">
        <v>-339691.31</v>
      </c>
      <c r="J4692" s="44"/>
      <c r="K4692" s="10">
        <f t="shared" si="12"/>
        <v>-14040574.37</v>
      </c>
      <c r="L4692" s="61"/>
      <c r="M4692" s="62"/>
    </row>
    <row r="4693" ht="15.75" customHeight="1">
      <c r="A4693" s="162">
        <v>46296.0</v>
      </c>
      <c r="B4693" s="50"/>
      <c r="C4693" s="32" t="s">
        <v>4351</v>
      </c>
      <c r="D4693" s="32" t="s">
        <v>15</v>
      </c>
      <c r="E4693" s="32" t="s">
        <v>5035</v>
      </c>
      <c r="F4693" s="246">
        <v>46291.0</v>
      </c>
      <c r="G4693" s="54">
        <v>8438518.47</v>
      </c>
      <c r="H4693" s="14">
        <f t="shared" si="11"/>
        <v>1772088.879</v>
      </c>
      <c r="I4693" s="22">
        <v>253155.55</v>
      </c>
      <c r="J4693" s="22"/>
      <c r="K4693" s="15">
        <f t="shared" si="12"/>
        <v>10463762.9</v>
      </c>
      <c r="L4693" s="45"/>
      <c r="M4693" s="6"/>
    </row>
    <row r="4694" ht="15.75" customHeight="1">
      <c r="A4694" s="217">
        <v>46296.0</v>
      </c>
      <c r="B4694" s="56"/>
      <c r="C4694" s="58" t="s">
        <v>4351</v>
      </c>
      <c r="D4694" s="58" t="s">
        <v>99</v>
      </c>
      <c r="E4694" s="58" t="s">
        <v>5036</v>
      </c>
      <c r="F4694" s="212">
        <v>46291.0</v>
      </c>
      <c r="G4694" s="155">
        <v>9184178.05</v>
      </c>
      <c r="H4694" s="9">
        <f t="shared" si="11"/>
        <v>1928677.391</v>
      </c>
      <c r="I4694" s="44">
        <v>275525.34</v>
      </c>
      <c r="J4694" s="44"/>
      <c r="K4694" s="10">
        <f t="shared" si="12"/>
        <v>11388380.78</v>
      </c>
      <c r="L4694" s="61"/>
      <c r="M4694" s="62"/>
    </row>
    <row r="4695" ht="15.75" customHeight="1">
      <c r="A4695" s="217">
        <v>46296.0</v>
      </c>
      <c r="B4695" s="56"/>
      <c r="C4695" s="57" t="s">
        <v>124</v>
      </c>
      <c r="D4695" s="58" t="s">
        <v>15</v>
      </c>
      <c r="E4695" s="58" t="s">
        <v>5037</v>
      </c>
      <c r="F4695" s="212">
        <v>46291.0</v>
      </c>
      <c r="G4695" s="206">
        <v>3867576.9</v>
      </c>
      <c r="H4695" s="9">
        <f t="shared" si="11"/>
        <v>812191.149</v>
      </c>
      <c r="I4695" s="44"/>
      <c r="J4695" s="44"/>
      <c r="K4695" s="10">
        <f t="shared" si="12"/>
        <v>4679768.049</v>
      </c>
      <c r="L4695" s="61"/>
      <c r="M4695" s="62"/>
    </row>
    <row r="4696" ht="15.75" customHeight="1">
      <c r="A4696" s="217">
        <v>46296.0</v>
      </c>
      <c r="B4696" s="56"/>
      <c r="C4696" s="57" t="s">
        <v>635</v>
      </c>
      <c r="D4696" s="58" t="s">
        <v>15</v>
      </c>
      <c r="E4696" s="58" t="s">
        <v>5038</v>
      </c>
      <c r="F4696" s="212">
        <v>46291.0</v>
      </c>
      <c r="G4696" s="206">
        <v>1.922424166E7</v>
      </c>
      <c r="H4696" s="9">
        <f t="shared" si="11"/>
        <v>4037090.749</v>
      </c>
      <c r="I4696" s="44">
        <v>576727.25</v>
      </c>
      <c r="J4696" s="44"/>
      <c r="K4696" s="10">
        <f t="shared" si="12"/>
        <v>23838059.66</v>
      </c>
      <c r="L4696" s="61"/>
      <c r="M4696" s="62"/>
    </row>
    <row r="4697" ht="15.75" customHeight="1">
      <c r="A4697" s="217">
        <v>46296.0</v>
      </c>
      <c r="B4697" s="56"/>
      <c r="C4697" s="57" t="s">
        <v>635</v>
      </c>
      <c r="D4697" s="58" t="s">
        <v>15</v>
      </c>
      <c r="E4697" s="58" t="s">
        <v>5039</v>
      </c>
      <c r="F4697" s="212">
        <v>46291.0</v>
      </c>
      <c r="G4697" s="206">
        <v>1.294471936E7</v>
      </c>
      <c r="H4697" s="9">
        <f t="shared" si="11"/>
        <v>2718391.066</v>
      </c>
      <c r="I4697" s="44">
        <v>388341.58</v>
      </c>
      <c r="J4697" s="44"/>
      <c r="K4697" s="10">
        <f t="shared" si="12"/>
        <v>16051452.01</v>
      </c>
      <c r="L4697" s="61"/>
      <c r="M4697" s="62"/>
    </row>
    <row r="4698" ht="15.75" customHeight="1">
      <c r="A4698" s="217">
        <v>46296.0</v>
      </c>
      <c r="B4698" s="56"/>
      <c r="C4698" s="57" t="s">
        <v>635</v>
      </c>
      <c r="D4698" s="58" t="s">
        <v>15</v>
      </c>
      <c r="E4698" s="58" t="s">
        <v>5040</v>
      </c>
      <c r="F4698" s="212">
        <v>46291.0</v>
      </c>
      <c r="G4698" s="206">
        <v>2.210996982E7</v>
      </c>
      <c r="H4698" s="9">
        <f t="shared" si="11"/>
        <v>4643093.662</v>
      </c>
      <c r="I4698" s="44">
        <v>663299.09</v>
      </c>
      <c r="J4698" s="44"/>
      <c r="K4698" s="10">
        <f t="shared" si="12"/>
        <v>27416362.57</v>
      </c>
      <c r="L4698" s="61"/>
      <c r="M4698" s="62"/>
    </row>
    <row r="4699" ht="15.75" customHeight="1">
      <c r="A4699" s="217">
        <v>46296.0</v>
      </c>
      <c r="B4699" s="56"/>
      <c r="C4699" s="57" t="s">
        <v>635</v>
      </c>
      <c r="D4699" s="58" t="s">
        <v>15</v>
      </c>
      <c r="E4699" s="58" t="s">
        <v>5041</v>
      </c>
      <c r="F4699" s="212">
        <v>46291.0</v>
      </c>
      <c r="G4699" s="206">
        <v>1.72827912E7</v>
      </c>
      <c r="H4699" s="9">
        <f t="shared" si="11"/>
        <v>3629386.152</v>
      </c>
      <c r="I4699" s="44">
        <v>518483.74</v>
      </c>
      <c r="J4699" s="44"/>
      <c r="K4699" s="10">
        <f t="shared" si="12"/>
        <v>21430661.09</v>
      </c>
      <c r="L4699" s="61"/>
      <c r="M4699" s="62"/>
    </row>
    <row r="4700" ht="15.75" customHeight="1">
      <c r="A4700" s="217">
        <v>46296.0</v>
      </c>
      <c r="B4700" s="56"/>
      <c r="C4700" s="57" t="s">
        <v>635</v>
      </c>
      <c r="D4700" s="58" t="s">
        <v>15</v>
      </c>
      <c r="E4700" s="58" t="s">
        <v>5042</v>
      </c>
      <c r="F4700" s="212">
        <v>46291.0</v>
      </c>
      <c r="G4700" s="206">
        <v>1.822743735E7</v>
      </c>
      <c r="H4700" s="9">
        <f t="shared" si="11"/>
        <v>3827761.844</v>
      </c>
      <c r="I4700" s="44">
        <v>546823.12</v>
      </c>
      <c r="J4700" s="44"/>
      <c r="K4700" s="10">
        <f t="shared" si="12"/>
        <v>22602022.31</v>
      </c>
      <c r="L4700" s="61"/>
      <c r="M4700" s="62"/>
    </row>
    <row r="4701" ht="15.75" customHeight="1">
      <c r="A4701" s="217">
        <v>46296.0</v>
      </c>
      <c r="B4701" s="56"/>
      <c r="C4701" s="57" t="s">
        <v>635</v>
      </c>
      <c r="D4701" s="58" t="s">
        <v>15</v>
      </c>
      <c r="E4701" s="58" t="s">
        <v>5043</v>
      </c>
      <c r="F4701" s="212">
        <v>46291.0</v>
      </c>
      <c r="G4701" s="206">
        <v>2.72253504E7</v>
      </c>
      <c r="H4701" s="9">
        <f t="shared" si="11"/>
        <v>5717323.584</v>
      </c>
      <c r="I4701" s="44">
        <v>816760.51</v>
      </c>
      <c r="J4701" s="44"/>
      <c r="K4701" s="10">
        <f t="shared" si="12"/>
        <v>33759434.49</v>
      </c>
      <c r="L4701" s="61"/>
      <c r="M4701" s="62"/>
    </row>
    <row r="4702" ht="15.75" customHeight="1">
      <c r="A4702" s="217">
        <v>46296.0</v>
      </c>
      <c r="B4702" s="56"/>
      <c r="C4702" s="57" t="s">
        <v>635</v>
      </c>
      <c r="D4702" s="58" t="s">
        <v>15</v>
      </c>
      <c r="E4702" s="58" t="s">
        <v>5044</v>
      </c>
      <c r="F4702" s="212">
        <v>46291.0</v>
      </c>
      <c r="G4702" s="206">
        <v>1.922736768E7</v>
      </c>
      <c r="H4702" s="9">
        <f t="shared" si="11"/>
        <v>4037747.213</v>
      </c>
      <c r="I4702" s="44">
        <v>576821.03</v>
      </c>
      <c r="J4702" s="44"/>
      <c r="K4702" s="10">
        <f t="shared" si="12"/>
        <v>23841935.92</v>
      </c>
      <c r="L4702" s="61"/>
      <c r="M4702" s="62"/>
    </row>
    <row r="4703" ht="15.75" customHeight="1">
      <c r="A4703" s="217">
        <v>46296.0</v>
      </c>
      <c r="B4703" s="56"/>
      <c r="C4703" s="57" t="s">
        <v>635</v>
      </c>
      <c r="D4703" s="58" t="s">
        <v>15</v>
      </c>
      <c r="E4703" s="58" t="s">
        <v>5045</v>
      </c>
      <c r="F4703" s="212">
        <v>46291.0</v>
      </c>
      <c r="G4703" s="206">
        <v>1.382355712E7</v>
      </c>
      <c r="H4703" s="9">
        <f t="shared" si="11"/>
        <v>2902946.995</v>
      </c>
      <c r="I4703" s="44">
        <v>414706.71</v>
      </c>
      <c r="J4703" s="44"/>
      <c r="K4703" s="10">
        <f t="shared" si="12"/>
        <v>17141210.83</v>
      </c>
      <c r="L4703" s="61"/>
      <c r="M4703" s="62"/>
    </row>
    <row r="4704" ht="15.75" customHeight="1">
      <c r="A4704" s="162">
        <v>46296.0</v>
      </c>
      <c r="B4704" s="50"/>
      <c r="C4704" s="31" t="s">
        <v>1685</v>
      </c>
      <c r="D4704" s="32" t="s">
        <v>1543</v>
      </c>
      <c r="E4704" s="32" t="s">
        <v>5046</v>
      </c>
      <c r="F4704" s="246">
        <v>46291.0</v>
      </c>
      <c r="G4704" s="207">
        <v>1.501135056E7</v>
      </c>
      <c r="H4704" s="14">
        <f t="shared" si="11"/>
        <v>3152383.618</v>
      </c>
      <c r="I4704" s="22"/>
      <c r="J4704" s="22"/>
      <c r="K4704" s="15">
        <f t="shared" si="12"/>
        <v>18163734.18</v>
      </c>
      <c r="L4704" s="45"/>
      <c r="M4704" s="6"/>
    </row>
    <row r="4705" ht="15.75" customHeight="1">
      <c r="A4705" s="162">
        <v>46296.0</v>
      </c>
      <c r="B4705" s="50"/>
      <c r="C4705" s="31" t="s">
        <v>1136</v>
      </c>
      <c r="D4705" s="32" t="s">
        <v>15</v>
      </c>
      <c r="E4705" s="32" t="s">
        <v>5047</v>
      </c>
      <c r="F4705" s="246">
        <v>46291.0</v>
      </c>
      <c r="G4705" s="207">
        <v>5.833394527E7</v>
      </c>
      <c r="H4705" s="14">
        <f t="shared" si="11"/>
        <v>12250128.51</v>
      </c>
      <c r="I4705" s="22">
        <v>1750018.36</v>
      </c>
      <c r="J4705" s="22">
        <v>2916697.26</v>
      </c>
      <c r="K4705" s="15">
        <f t="shared" si="12"/>
        <v>75250789.4</v>
      </c>
      <c r="L4705" s="45"/>
      <c r="M4705" s="6"/>
    </row>
    <row r="4706" ht="15.75" customHeight="1">
      <c r="A4706" s="162">
        <v>46296.0</v>
      </c>
      <c r="B4706" s="50"/>
      <c r="C4706" s="31" t="s">
        <v>1136</v>
      </c>
      <c r="D4706" s="32" t="s">
        <v>15</v>
      </c>
      <c r="E4706" s="32" t="s">
        <v>5048</v>
      </c>
      <c r="F4706" s="246">
        <v>46291.0</v>
      </c>
      <c r="G4706" s="207">
        <v>5.833394527E7</v>
      </c>
      <c r="H4706" s="14">
        <f t="shared" si="11"/>
        <v>12250128.51</v>
      </c>
      <c r="I4706" s="22">
        <v>1750018.36</v>
      </c>
      <c r="J4706" s="22">
        <v>2916697.26</v>
      </c>
      <c r="K4706" s="15">
        <f t="shared" si="12"/>
        <v>75250789.4</v>
      </c>
      <c r="L4706" s="45"/>
      <c r="M4706" s="6"/>
    </row>
    <row r="4707" ht="15.75" customHeight="1">
      <c r="A4707" s="162">
        <v>46296.0</v>
      </c>
      <c r="B4707" s="50"/>
      <c r="C4707" s="31" t="s">
        <v>1136</v>
      </c>
      <c r="D4707" s="32" t="s">
        <v>15</v>
      </c>
      <c r="E4707" s="32" t="s">
        <v>5049</v>
      </c>
      <c r="F4707" s="246">
        <v>46291.0</v>
      </c>
      <c r="G4707" s="207">
        <v>5.833394527E7</v>
      </c>
      <c r="H4707" s="14">
        <f t="shared" si="11"/>
        <v>12250128.51</v>
      </c>
      <c r="I4707" s="22">
        <v>1750018.36</v>
      </c>
      <c r="J4707" s="22">
        <v>2916697.26</v>
      </c>
      <c r="K4707" s="15">
        <f t="shared" si="12"/>
        <v>75250789.4</v>
      </c>
      <c r="L4707" s="45"/>
      <c r="M4707" s="6"/>
    </row>
    <row r="4708" ht="15.75" customHeight="1">
      <c r="A4708" s="162">
        <v>46296.0</v>
      </c>
      <c r="B4708" s="50"/>
      <c r="C4708" s="31" t="s">
        <v>1136</v>
      </c>
      <c r="D4708" s="32" t="s">
        <v>15</v>
      </c>
      <c r="E4708" s="32" t="s">
        <v>5050</v>
      </c>
      <c r="F4708" s="246">
        <v>46291.0</v>
      </c>
      <c r="G4708" s="207">
        <v>5.833394527E7</v>
      </c>
      <c r="H4708" s="14">
        <f t="shared" si="11"/>
        <v>12250128.51</v>
      </c>
      <c r="I4708" s="22">
        <v>1750018.36</v>
      </c>
      <c r="J4708" s="22">
        <v>2916697.26</v>
      </c>
      <c r="K4708" s="15">
        <f t="shared" si="12"/>
        <v>75250789.4</v>
      </c>
      <c r="L4708" s="45"/>
      <c r="M4708" s="6"/>
    </row>
    <row r="4709" ht="15.75" customHeight="1">
      <c r="A4709" s="162">
        <v>46296.0</v>
      </c>
      <c r="B4709" s="50"/>
      <c r="C4709" s="31" t="s">
        <v>1136</v>
      </c>
      <c r="D4709" s="32" t="s">
        <v>15</v>
      </c>
      <c r="E4709" s="32" t="s">
        <v>5051</v>
      </c>
      <c r="F4709" s="246">
        <v>46291.0</v>
      </c>
      <c r="G4709" s="207">
        <v>5.833394527E7</v>
      </c>
      <c r="H4709" s="14">
        <f t="shared" si="11"/>
        <v>12250128.51</v>
      </c>
      <c r="I4709" s="22">
        <v>1750018.36</v>
      </c>
      <c r="J4709" s="22">
        <v>2916697.26</v>
      </c>
      <c r="K4709" s="15">
        <f t="shared" si="12"/>
        <v>75250789.4</v>
      </c>
      <c r="L4709" s="45"/>
      <c r="M4709" s="6"/>
    </row>
    <row r="4710" ht="15.75" customHeight="1">
      <c r="A4710" s="162">
        <v>46296.0</v>
      </c>
      <c r="B4710" s="50"/>
      <c r="C4710" s="31" t="s">
        <v>1136</v>
      </c>
      <c r="D4710" s="32" t="s">
        <v>15</v>
      </c>
      <c r="E4710" s="32" t="s">
        <v>5052</v>
      </c>
      <c r="F4710" s="246">
        <v>46291.0</v>
      </c>
      <c r="G4710" s="207">
        <v>5.833784538E7</v>
      </c>
      <c r="H4710" s="14">
        <f t="shared" si="11"/>
        <v>12250947.53</v>
      </c>
      <c r="I4710" s="22">
        <v>1750135.36</v>
      </c>
      <c r="J4710" s="22">
        <v>2916892.27</v>
      </c>
      <c r="K4710" s="15">
        <f t="shared" si="12"/>
        <v>75255820.54</v>
      </c>
      <c r="L4710" s="45"/>
      <c r="M4710" s="6"/>
    </row>
    <row r="4711" ht="15.75" customHeight="1">
      <c r="A4711" s="162">
        <v>46296.0</v>
      </c>
      <c r="B4711" s="50"/>
      <c r="C4711" s="31" t="s">
        <v>1136</v>
      </c>
      <c r="D4711" s="32" t="s">
        <v>99</v>
      </c>
      <c r="E4711" s="32" t="s">
        <v>5053</v>
      </c>
      <c r="F4711" s="246">
        <v>46291.0</v>
      </c>
      <c r="G4711" s="207">
        <v>2.50006666E7</v>
      </c>
      <c r="H4711" s="14">
        <f t="shared" si="11"/>
        <v>5250139.986</v>
      </c>
      <c r="I4711" s="22">
        <v>750020.0</v>
      </c>
      <c r="J4711" s="22">
        <v>1250033.33</v>
      </c>
      <c r="K4711" s="15">
        <f t="shared" si="12"/>
        <v>32250859.92</v>
      </c>
      <c r="L4711" s="45"/>
      <c r="M4711" s="6"/>
    </row>
    <row r="4712" ht="15.75" customHeight="1">
      <c r="A4712" s="162">
        <v>46296.0</v>
      </c>
      <c r="B4712" s="50"/>
      <c r="C4712" s="31" t="s">
        <v>1136</v>
      </c>
      <c r="D4712" s="32" t="s">
        <v>99</v>
      </c>
      <c r="E4712" s="32" t="s">
        <v>5054</v>
      </c>
      <c r="F4712" s="246">
        <v>46291.0</v>
      </c>
      <c r="G4712" s="207">
        <v>2.50006666E7</v>
      </c>
      <c r="H4712" s="14">
        <f t="shared" si="11"/>
        <v>5250139.986</v>
      </c>
      <c r="I4712" s="22">
        <v>750020.0</v>
      </c>
      <c r="J4712" s="22">
        <v>1250033.33</v>
      </c>
      <c r="K4712" s="15">
        <f t="shared" si="12"/>
        <v>32250859.92</v>
      </c>
      <c r="L4712" s="45"/>
      <c r="M4712" s="6"/>
    </row>
    <row r="4713" ht="15.75" customHeight="1">
      <c r="A4713" s="162">
        <v>46296.0</v>
      </c>
      <c r="B4713" s="50"/>
      <c r="C4713" s="31" t="s">
        <v>1136</v>
      </c>
      <c r="D4713" s="32" t="s">
        <v>99</v>
      </c>
      <c r="E4713" s="32" t="s">
        <v>5055</v>
      </c>
      <c r="F4713" s="246">
        <v>46291.0</v>
      </c>
      <c r="G4713" s="207">
        <v>2.50006666E7</v>
      </c>
      <c r="H4713" s="14">
        <f t="shared" si="11"/>
        <v>5250139.986</v>
      </c>
      <c r="I4713" s="22">
        <v>750020.0</v>
      </c>
      <c r="J4713" s="22">
        <v>1250033.33</v>
      </c>
      <c r="K4713" s="15">
        <f t="shared" si="12"/>
        <v>32250859.92</v>
      </c>
      <c r="L4713" s="45"/>
      <c r="M4713" s="6"/>
    </row>
    <row r="4714" ht="15.75" customHeight="1">
      <c r="A4714" s="162">
        <v>46296.0</v>
      </c>
      <c r="B4714" s="50"/>
      <c r="C4714" s="31" t="s">
        <v>1136</v>
      </c>
      <c r="D4714" s="32" t="s">
        <v>99</v>
      </c>
      <c r="E4714" s="32" t="s">
        <v>5056</v>
      </c>
      <c r="F4714" s="246">
        <v>46291.0</v>
      </c>
      <c r="G4714" s="207">
        <v>2.500456686E7</v>
      </c>
      <c r="H4714" s="14">
        <f t="shared" si="11"/>
        <v>5250959.041</v>
      </c>
      <c r="I4714" s="22">
        <v>750137.01</v>
      </c>
      <c r="J4714" s="22">
        <v>1250228.34</v>
      </c>
      <c r="K4714" s="15">
        <f t="shared" si="12"/>
        <v>32255891.25</v>
      </c>
      <c r="L4714" s="45"/>
      <c r="M4714" s="6"/>
    </row>
    <row r="4715" ht="15.75" customHeight="1">
      <c r="A4715" s="162">
        <v>46296.0</v>
      </c>
      <c r="B4715" s="50"/>
      <c r="C4715" s="31" t="s">
        <v>171</v>
      </c>
      <c r="D4715" s="32" t="s">
        <v>99</v>
      </c>
      <c r="E4715" s="31" t="s">
        <v>5057</v>
      </c>
      <c r="F4715" s="161">
        <v>46321.0</v>
      </c>
      <c r="G4715" s="54">
        <v>1.844523369E7</v>
      </c>
      <c r="H4715" s="14">
        <f t="shared" si="11"/>
        <v>3873499.075</v>
      </c>
      <c r="I4715" s="22"/>
      <c r="J4715" s="22"/>
      <c r="K4715" s="15">
        <f t="shared" si="12"/>
        <v>22318732.76</v>
      </c>
      <c r="L4715" s="45"/>
      <c r="M4715" s="6"/>
    </row>
    <row r="4716" ht="15.75" customHeight="1">
      <c r="A4716" s="162">
        <v>46296.0</v>
      </c>
      <c r="B4716" s="50"/>
      <c r="C4716" s="31" t="s">
        <v>171</v>
      </c>
      <c r="D4716" s="32" t="s">
        <v>15</v>
      </c>
      <c r="E4716" s="31" t="s">
        <v>5058</v>
      </c>
      <c r="F4716" s="161">
        <v>46321.0</v>
      </c>
      <c r="G4716" s="54">
        <v>1.928376307E7</v>
      </c>
      <c r="H4716" s="14">
        <f t="shared" si="11"/>
        <v>4049590.245</v>
      </c>
      <c r="I4716" s="22"/>
      <c r="J4716" s="22"/>
      <c r="K4716" s="15">
        <f t="shared" si="12"/>
        <v>23333353.31</v>
      </c>
      <c r="L4716" s="45"/>
      <c r="M4716" s="6"/>
    </row>
    <row r="4717" ht="15.75" customHeight="1">
      <c r="A4717" s="162">
        <v>46296.0</v>
      </c>
      <c r="B4717" s="50"/>
      <c r="C4717" s="31" t="s">
        <v>171</v>
      </c>
      <c r="D4717" s="32" t="s">
        <v>15</v>
      </c>
      <c r="E4717" s="32" t="s">
        <v>5059</v>
      </c>
      <c r="F4717" s="161">
        <v>46321.0</v>
      </c>
      <c r="G4717" s="54">
        <v>1.839283328E7</v>
      </c>
      <c r="H4717" s="14">
        <f t="shared" si="11"/>
        <v>3862494.989</v>
      </c>
      <c r="I4717" s="22"/>
      <c r="J4717" s="22"/>
      <c r="K4717" s="15">
        <f t="shared" si="12"/>
        <v>22255328.27</v>
      </c>
      <c r="L4717" s="45"/>
      <c r="M4717" s="6"/>
    </row>
    <row r="4718" ht="15.75" customHeight="1">
      <c r="A4718" s="162">
        <v>46296.0</v>
      </c>
      <c r="B4718" s="50"/>
      <c r="C4718" s="31" t="s">
        <v>171</v>
      </c>
      <c r="D4718" s="32" t="s">
        <v>15</v>
      </c>
      <c r="E4718" s="31" t="s">
        <v>5060</v>
      </c>
      <c r="F4718" s="161">
        <v>46321.0</v>
      </c>
      <c r="G4718" s="54">
        <v>2.392273385E7</v>
      </c>
      <c r="H4718" s="14">
        <f t="shared" si="11"/>
        <v>5023774.109</v>
      </c>
      <c r="I4718" s="22"/>
      <c r="J4718" s="22"/>
      <c r="K4718" s="15">
        <f t="shared" si="12"/>
        <v>28946507.96</v>
      </c>
      <c r="L4718" s="45"/>
      <c r="M4718" s="6"/>
    </row>
    <row r="4719" ht="15.75" customHeight="1">
      <c r="A4719" s="162">
        <v>46296.0</v>
      </c>
      <c r="B4719" s="50"/>
      <c r="C4719" s="31" t="s">
        <v>171</v>
      </c>
      <c r="D4719" s="32" t="s">
        <v>15</v>
      </c>
      <c r="E4719" s="31" t="s">
        <v>5061</v>
      </c>
      <c r="F4719" s="161">
        <v>46321.0</v>
      </c>
      <c r="G4719" s="54">
        <v>9833763.11</v>
      </c>
      <c r="H4719" s="14">
        <f t="shared" si="11"/>
        <v>2065090.253</v>
      </c>
      <c r="I4719" s="22"/>
      <c r="J4719" s="22"/>
      <c r="K4719" s="15">
        <f t="shared" si="12"/>
        <v>11898853.36</v>
      </c>
      <c r="L4719" s="45"/>
      <c r="M4719" s="6"/>
    </row>
    <row r="4720" ht="15.75" customHeight="1">
      <c r="A4720" s="162">
        <v>46296.0</v>
      </c>
      <c r="B4720" s="50"/>
      <c r="C4720" s="31" t="s">
        <v>171</v>
      </c>
      <c r="D4720" s="32" t="s">
        <v>15</v>
      </c>
      <c r="E4720" s="31" t="s">
        <v>5062</v>
      </c>
      <c r="F4720" s="161">
        <v>46321.0</v>
      </c>
      <c r="G4720" s="54">
        <v>1.193932317E7</v>
      </c>
      <c r="H4720" s="14">
        <f t="shared" si="11"/>
        <v>2507257.866</v>
      </c>
      <c r="I4720" s="22"/>
      <c r="J4720" s="22"/>
      <c r="K4720" s="15">
        <f t="shared" si="12"/>
        <v>14446581.04</v>
      </c>
      <c r="L4720" s="45"/>
      <c r="M4720" s="6"/>
    </row>
    <row r="4721" ht="15.75" customHeight="1">
      <c r="A4721" s="162">
        <v>46296.0</v>
      </c>
      <c r="B4721" s="50"/>
      <c r="C4721" s="31" t="s">
        <v>171</v>
      </c>
      <c r="D4721" s="32" t="s">
        <v>15</v>
      </c>
      <c r="E4721" s="31" t="s">
        <v>5063</v>
      </c>
      <c r="F4721" s="161">
        <v>46321.0</v>
      </c>
      <c r="G4721" s="54">
        <v>7890992.32</v>
      </c>
      <c r="H4721" s="14">
        <f t="shared" si="11"/>
        <v>1657108.387</v>
      </c>
      <c r="I4721" s="22"/>
      <c r="J4721" s="22"/>
      <c r="K4721" s="15">
        <f t="shared" si="12"/>
        <v>9548100.707</v>
      </c>
      <c r="L4721" s="45"/>
      <c r="M4721" s="6"/>
    </row>
    <row r="4722" ht="15.75" customHeight="1">
      <c r="A4722" s="217">
        <v>46297.0</v>
      </c>
      <c r="B4722" s="56"/>
      <c r="C4722" s="57" t="s">
        <v>4180</v>
      </c>
      <c r="D4722" s="120" t="s">
        <v>1543</v>
      </c>
      <c r="E4722" s="58" t="s">
        <v>5064</v>
      </c>
      <c r="F4722" s="212">
        <v>46291.0</v>
      </c>
      <c r="G4722" s="206">
        <v>7858898.26</v>
      </c>
      <c r="H4722" s="9">
        <f t="shared" si="11"/>
        <v>1650368.635</v>
      </c>
      <c r="I4722" s="44"/>
      <c r="J4722" s="44"/>
      <c r="K4722" s="10">
        <f t="shared" si="12"/>
        <v>9509266.895</v>
      </c>
      <c r="L4722" s="61"/>
      <c r="M4722" s="62"/>
    </row>
    <row r="4723" ht="15.75" customHeight="1">
      <c r="A4723" s="162">
        <v>46297.0</v>
      </c>
      <c r="B4723" s="50"/>
      <c r="C4723" s="32" t="s">
        <v>1842</v>
      </c>
      <c r="D4723" s="32" t="s">
        <v>99</v>
      </c>
      <c r="E4723" s="31" t="s">
        <v>5065</v>
      </c>
      <c r="F4723" s="161">
        <v>46321.0</v>
      </c>
      <c r="G4723" s="54">
        <v>3.286779063E7</v>
      </c>
      <c r="H4723" s="14">
        <f t="shared" si="11"/>
        <v>6902236.032</v>
      </c>
      <c r="I4723" s="22"/>
      <c r="J4723" s="22"/>
      <c r="K4723" s="15">
        <f t="shared" si="12"/>
        <v>39770026.66</v>
      </c>
      <c r="L4723" s="45"/>
      <c r="M4723" s="6"/>
    </row>
    <row r="4724" ht="15.75" customHeight="1">
      <c r="A4724" s="162">
        <v>46299.0</v>
      </c>
      <c r="B4724" s="50"/>
      <c r="C4724" s="32" t="s">
        <v>4804</v>
      </c>
      <c r="D4724" s="32" t="s">
        <v>2714</v>
      </c>
      <c r="E4724" s="32" t="s">
        <v>5066</v>
      </c>
      <c r="F4724" s="246">
        <v>46291.0</v>
      </c>
      <c r="G4724" s="54">
        <v>1.649868E7</v>
      </c>
      <c r="H4724" s="14">
        <f t="shared" si="11"/>
        <v>3464722.8</v>
      </c>
      <c r="I4724" s="22"/>
      <c r="J4724" s="22"/>
      <c r="K4724" s="15">
        <f t="shared" si="12"/>
        <v>19963402.8</v>
      </c>
      <c r="L4724" s="45"/>
      <c r="M4724" s="6"/>
    </row>
    <row r="4725" ht="15.75" customHeight="1">
      <c r="A4725" s="162">
        <v>46299.0</v>
      </c>
      <c r="B4725" s="50"/>
      <c r="C4725" s="32" t="s">
        <v>4804</v>
      </c>
      <c r="D4725" s="32" t="s">
        <v>2714</v>
      </c>
      <c r="E4725" s="32" t="s">
        <v>5067</v>
      </c>
      <c r="F4725" s="246">
        <v>46291.0</v>
      </c>
      <c r="G4725" s="54">
        <v>1.651242E7</v>
      </c>
      <c r="H4725" s="14">
        <f t="shared" si="11"/>
        <v>3467608.2</v>
      </c>
      <c r="I4725" s="22"/>
      <c r="J4725" s="22"/>
      <c r="K4725" s="15">
        <f t="shared" si="12"/>
        <v>19980028.2</v>
      </c>
      <c r="L4725" s="45"/>
      <c r="M4725" s="6"/>
    </row>
    <row r="4726" ht="15.75" customHeight="1">
      <c r="A4726" s="162">
        <v>46299.0</v>
      </c>
      <c r="B4726" s="50"/>
      <c r="C4726" s="32" t="s">
        <v>4804</v>
      </c>
      <c r="D4726" s="32" t="s">
        <v>2714</v>
      </c>
      <c r="E4726" s="32" t="s">
        <v>5068</v>
      </c>
      <c r="F4726" s="246">
        <v>46291.0</v>
      </c>
      <c r="G4726" s="54">
        <v>1.650836E7</v>
      </c>
      <c r="H4726" s="14">
        <f t="shared" si="11"/>
        <v>3466755.6</v>
      </c>
      <c r="I4726" s="22"/>
      <c r="J4726" s="22"/>
      <c r="K4726" s="15">
        <f t="shared" si="12"/>
        <v>19975115.6</v>
      </c>
      <c r="L4726" s="45"/>
      <c r="M4726" s="6"/>
    </row>
    <row r="4727" ht="15.75" customHeight="1">
      <c r="A4727" s="162">
        <v>46299.0</v>
      </c>
      <c r="B4727" s="50"/>
      <c r="C4727" s="32" t="s">
        <v>4804</v>
      </c>
      <c r="D4727" s="32" t="s">
        <v>2714</v>
      </c>
      <c r="E4727" s="32" t="s">
        <v>5069</v>
      </c>
      <c r="F4727" s="246">
        <v>46291.0</v>
      </c>
      <c r="G4727" s="54">
        <v>1.650997E7</v>
      </c>
      <c r="H4727" s="14">
        <f t="shared" si="11"/>
        <v>3467093.7</v>
      </c>
      <c r="I4727" s="22"/>
      <c r="J4727" s="22"/>
      <c r="K4727" s="15">
        <f t="shared" si="12"/>
        <v>19977063.7</v>
      </c>
      <c r="L4727" s="45"/>
      <c r="M4727" s="6"/>
    </row>
    <row r="4728" ht="15.75" customHeight="1">
      <c r="A4728" s="217">
        <v>46300.0</v>
      </c>
      <c r="B4728" s="56"/>
      <c r="C4728" s="57" t="s">
        <v>538</v>
      </c>
      <c r="D4728" s="120" t="s">
        <v>1543</v>
      </c>
      <c r="E4728" s="58" t="s">
        <v>5070</v>
      </c>
      <c r="F4728" s="212">
        <v>46291.0</v>
      </c>
      <c r="G4728" s="206">
        <v>6500823.13</v>
      </c>
      <c r="H4728" s="9">
        <f t="shared" si="11"/>
        <v>1365172.857</v>
      </c>
      <c r="I4728" s="44"/>
      <c r="J4728" s="44"/>
      <c r="K4728" s="10">
        <f t="shared" si="12"/>
        <v>7865995.987</v>
      </c>
      <c r="L4728" s="61"/>
      <c r="M4728" s="62"/>
    </row>
    <row r="4729" ht="15.75" customHeight="1">
      <c r="A4729" s="217">
        <v>46300.0</v>
      </c>
      <c r="B4729" s="56"/>
      <c r="C4729" s="57" t="s">
        <v>538</v>
      </c>
      <c r="D4729" s="120" t="s">
        <v>1543</v>
      </c>
      <c r="E4729" s="58" t="s">
        <v>5071</v>
      </c>
      <c r="F4729" s="212">
        <v>46291.0</v>
      </c>
      <c r="G4729" s="206">
        <v>7000645.23</v>
      </c>
      <c r="H4729" s="9">
        <f t="shared" si="11"/>
        <v>1470135.498</v>
      </c>
      <c r="I4729" s="44"/>
      <c r="J4729" s="44"/>
      <c r="K4729" s="10">
        <f t="shared" si="12"/>
        <v>8470780.728</v>
      </c>
      <c r="L4729" s="61"/>
      <c r="M4729" s="62"/>
    </row>
    <row r="4730" ht="15.75" customHeight="1">
      <c r="A4730" s="162">
        <v>46300.0</v>
      </c>
      <c r="B4730" s="50"/>
      <c r="C4730" s="31" t="s">
        <v>1564</v>
      </c>
      <c r="D4730" s="32" t="s">
        <v>15</v>
      </c>
      <c r="E4730" s="31" t="s">
        <v>5072</v>
      </c>
      <c r="F4730" s="161">
        <v>46321.0</v>
      </c>
      <c r="G4730" s="54">
        <v>1.159169408E7</v>
      </c>
      <c r="H4730" s="14">
        <f t="shared" si="11"/>
        <v>2434255.757</v>
      </c>
      <c r="I4730" s="22">
        <v>347750.82</v>
      </c>
      <c r="J4730" s="22"/>
      <c r="K4730" s="15">
        <f t="shared" si="12"/>
        <v>14373700.66</v>
      </c>
      <c r="L4730" s="45"/>
      <c r="M4730" s="6"/>
    </row>
    <row r="4731" ht="15.75" customHeight="1">
      <c r="A4731" s="162">
        <v>46300.0</v>
      </c>
      <c r="B4731" s="50"/>
      <c r="C4731" s="31" t="s">
        <v>1564</v>
      </c>
      <c r="D4731" s="32" t="s">
        <v>15</v>
      </c>
      <c r="E4731" s="31" t="s">
        <v>5073</v>
      </c>
      <c r="F4731" s="161">
        <v>46321.0</v>
      </c>
      <c r="G4731" s="54">
        <v>6891733.08</v>
      </c>
      <c r="H4731" s="14">
        <f t="shared" si="11"/>
        <v>1447263.947</v>
      </c>
      <c r="I4731" s="22">
        <v>206751.99</v>
      </c>
      <c r="J4731" s="22"/>
      <c r="K4731" s="15">
        <f t="shared" si="12"/>
        <v>8545749.017</v>
      </c>
      <c r="L4731" s="45"/>
      <c r="M4731" s="6"/>
    </row>
    <row r="4732" ht="15.75" customHeight="1">
      <c r="A4732" s="162">
        <v>46300.0</v>
      </c>
      <c r="B4732" s="50"/>
      <c r="C4732" s="31" t="s">
        <v>1564</v>
      </c>
      <c r="D4732" s="32" t="s">
        <v>15</v>
      </c>
      <c r="E4732" s="31" t="s">
        <v>5074</v>
      </c>
      <c r="F4732" s="161">
        <v>46321.0</v>
      </c>
      <c r="G4732" s="54">
        <v>1.399283336E7</v>
      </c>
      <c r="H4732" s="14">
        <f t="shared" si="11"/>
        <v>2938495.006</v>
      </c>
      <c r="I4732" s="22">
        <v>419785.0</v>
      </c>
      <c r="J4732" s="22"/>
      <c r="K4732" s="15">
        <f t="shared" si="12"/>
        <v>17351113.37</v>
      </c>
      <c r="L4732" s="45"/>
      <c r="M4732" s="6"/>
    </row>
    <row r="4733" ht="15.75" customHeight="1">
      <c r="A4733" s="162">
        <v>46300.0</v>
      </c>
      <c r="B4733" s="50"/>
      <c r="C4733" s="31" t="s">
        <v>1564</v>
      </c>
      <c r="D4733" s="32" t="s">
        <v>15</v>
      </c>
      <c r="E4733" s="31" t="s">
        <v>5075</v>
      </c>
      <c r="F4733" s="161">
        <v>46321.0</v>
      </c>
      <c r="G4733" s="54">
        <v>1.733892216E7</v>
      </c>
      <c r="H4733" s="14">
        <f t="shared" si="11"/>
        <v>3641173.654</v>
      </c>
      <c r="I4733" s="22">
        <v>520167.66</v>
      </c>
      <c r="J4733" s="22"/>
      <c r="K4733" s="15">
        <f t="shared" si="12"/>
        <v>21500263.47</v>
      </c>
      <c r="L4733" s="45"/>
      <c r="M4733" s="6"/>
    </row>
    <row r="4734" ht="15.75" customHeight="1">
      <c r="A4734" s="162">
        <v>46300.0</v>
      </c>
      <c r="B4734" s="50"/>
      <c r="C4734" s="31" t="s">
        <v>1564</v>
      </c>
      <c r="D4734" s="32" t="s">
        <v>15</v>
      </c>
      <c r="E4734" s="31" t="s">
        <v>5076</v>
      </c>
      <c r="F4734" s="161">
        <v>46321.0</v>
      </c>
      <c r="G4734" s="54">
        <v>1.381210382E7</v>
      </c>
      <c r="H4734" s="14">
        <f t="shared" si="11"/>
        <v>2900541.802</v>
      </c>
      <c r="I4734" s="22">
        <v>414363.11</v>
      </c>
      <c r="J4734" s="22"/>
      <c r="K4734" s="15">
        <f t="shared" si="12"/>
        <v>17127008.73</v>
      </c>
      <c r="L4734" s="45"/>
      <c r="M4734" s="6"/>
    </row>
    <row r="4735" ht="15.75" customHeight="1">
      <c r="A4735" s="162">
        <v>46300.0</v>
      </c>
      <c r="B4735" s="50"/>
      <c r="C4735" s="31" t="s">
        <v>1564</v>
      </c>
      <c r="D4735" s="32" t="s">
        <v>15</v>
      </c>
      <c r="E4735" s="31" t="s">
        <v>5077</v>
      </c>
      <c r="F4735" s="161">
        <v>46321.0</v>
      </c>
      <c r="G4735" s="54">
        <v>1.249000564E7</v>
      </c>
      <c r="H4735" s="14">
        <f t="shared" si="11"/>
        <v>2622901.184</v>
      </c>
      <c r="I4735" s="22">
        <v>374700.17</v>
      </c>
      <c r="J4735" s="22"/>
      <c r="K4735" s="15">
        <f t="shared" si="12"/>
        <v>15487606.99</v>
      </c>
      <c r="L4735" s="45"/>
      <c r="M4735" s="6"/>
    </row>
    <row r="4736" ht="15.75" customHeight="1">
      <c r="A4736" s="162">
        <v>46300.0</v>
      </c>
      <c r="B4736" s="50"/>
      <c r="C4736" s="31" t="s">
        <v>1564</v>
      </c>
      <c r="D4736" s="32" t="s">
        <v>15</v>
      </c>
      <c r="E4736" s="31" t="s">
        <v>5078</v>
      </c>
      <c r="F4736" s="161">
        <v>46321.0</v>
      </c>
      <c r="G4736" s="54">
        <v>9012222.86</v>
      </c>
      <c r="H4736" s="14">
        <f t="shared" si="11"/>
        <v>1892566.801</v>
      </c>
      <c r="I4736" s="22">
        <v>270366.69</v>
      </c>
      <c r="J4736" s="22"/>
      <c r="K4736" s="15">
        <f t="shared" si="12"/>
        <v>11175156.35</v>
      </c>
      <c r="L4736" s="45"/>
      <c r="M4736" s="6"/>
    </row>
    <row r="4737" ht="15.75" customHeight="1">
      <c r="A4737" s="162">
        <v>46300.0</v>
      </c>
      <c r="B4737" s="50"/>
      <c r="C4737" s="31" t="s">
        <v>1564</v>
      </c>
      <c r="D4737" s="32" t="s">
        <v>15</v>
      </c>
      <c r="E4737" s="32" t="s">
        <v>5079</v>
      </c>
      <c r="F4737" s="161">
        <v>46321.0</v>
      </c>
      <c r="G4737" s="54">
        <v>7019223.64</v>
      </c>
      <c r="H4737" s="14">
        <f t="shared" si="11"/>
        <v>1474036.964</v>
      </c>
      <c r="I4737" s="22">
        <v>210576.71</v>
      </c>
      <c r="J4737" s="22"/>
      <c r="K4737" s="15">
        <f t="shared" si="12"/>
        <v>8703837.314</v>
      </c>
      <c r="L4737" s="45"/>
      <c r="M4737" s="6"/>
    </row>
    <row r="4738" ht="15.75" customHeight="1">
      <c r="A4738" s="162">
        <v>46300.0</v>
      </c>
      <c r="B4738" s="50"/>
      <c r="C4738" s="31" t="s">
        <v>1564</v>
      </c>
      <c r="D4738" s="32" t="s">
        <v>15</v>
      </c>
      <c r="E4738" s="32" t="s">
        <v>5080</v>
      </c>
      <c r="F4738" s="161">
        <v>46321.0</v>
      </c>
      <c r="G4738" s="54">
        <v>1.440025194E7</v>
      </c>
      <c r="H4738" s="14">
        <f t="shared" si="11"/>
        <v>3024052.907</v>
      </c>
      <c r="I4738" s="22">
        <v>432007.56</v>
      </c>
      <c r="J4738" s="22"/>
      <c r="K4738" s="15">
        <f t="shared" si="12"/>
        <v>17856312.41</v>
      </c>
      <c r="L4738" s="45"/>
      <c r="M4738" s="6"/>
    </row>
    <row r="4739" ht="15.75" customHeight="1">
      <c r="A4739" s="162">
        <v>46300.0</v>
      </c>
      <c r="B4739" s="50"/>
      <c r="C4739" s="31" t="s">
        <v>1564</v>
      </c>
      <c r="D4739" s="32" t="s">
        <v>15</v>
      </c>
      <c r="E4739" s="32" t="s">
        <v>5081</v>
      </c>
      <c r="F4739" s="161">
        <v>46321.0</v>
      </c>
      <c r="G4739" s="54">
        <v>1.121222392E7</v>
      </c>
      <c r="H4739" s="14">
        <f t="shared" si="11"/>
        <v>2354567.023</v>
      </c>
      <c r="I4739" s="22">
        <v>336366.72</v>
      </c>
      <c r="J4739" s="22"/>
      <c r="K4739" s="15">
        <f t="shared" si="12"/>
        <v>13903157.66</v>
      </c>
      <c r="L4739" s="45"/>
      <c r="M4739" s="6"/>
    </row>
    <row r="4740" ht="15.75" customHeight="1">
      <c r="A4740" s="162">
        <v>46300.0</v>
      </c>
      <c r="B4740" s="50"/>
      <c r="C4740" s="31" t="s">
        <v>1564</v>
      </c>
      <c r="D4740" s="32" t="s">
        <v>15</v>
      </c>
      <c r="E4740" s="32" t="s">
        <v>5082</v>
      </c>
      <c r="F4740" s="161">
        <v>46321.0</v>
      </c>
      <c r="G4740" s="54">
        <v>1.122533382E7</v>
      </c>
      <c r="H4740" s="14">
        <f t="shared" si="11"/>
        <v>2357320.102</v>
      </c>
      <c r="I4740" s="22">
        <v>336760.01</v>
      </c>
      <c r="J4740" s="22"/>
      <c r="K4740" s="15">
        <f t="shared" si="12"/>
        <v>13919413.93</v>
      </c>
      <c r="L4740" s="45"/>
      <c r="M4740" s="6"/>
    </row>
    <row r="4741" ht="15.75" customHeight="1">
      <c r="A4741" s="162">
        <v>46300.0</v>
      </c>
      <c r="B4741" s="50"/>
      <c r="C4741" s="31" t="s">
        <v>1564</v>
      </c>
      <c r="D4741" s="32" t="s">
        <v>15</v>
      </c>
      <c r="E4741" s="32" t="s">
        <v>5083</v>
      </c>
      <c r="F4741" s="161">
        <v>46321.0</v>
      </c>
      <c r="G4741" s="54">
        <v>1.071322482E7</v>
      </c>
      <c r="H4741" s="14">
        <f t="shared" si="11"/>
        <v>2249777.212</v>
      </c>
      <c r="I4741" s="22">
        <v>321396.74</v>
      </c>
      <c r="J4741" s="22"/>
      <c r="K4741" s="15">
        <f t="shared" si="12"/>
        <v>13284398.77</v>
      </c>
      <c r="L4741" s="45"/>
      <c r="M4741" s="6"/>
    </row>
    <row r="4742" ht="15.75" customHeight="1">
      <c r="A4742" s="217">
        <v>46301.0</v>
      </c>
      <c r="B4742" s="56"/>
      <c r="C4742" s="58" t="s">
        <v>3836</v>
      </c>
      <c r="D4742" s="58" t="s">
        <v>15</v>
      </c>
      <c r="E4742" s="57" t="s">
        <v>5084</v>
      </c>
      <c r="F4742" s="255">
        <v>46321.0</v>
      </c>
      <c r="G4742" s="155">
        <v>3.325158678E7</v>
      </c>
      <c r="H4742" s="9">
        <f t="shared" si="11"/>
        <v>6982833.224</v>
      </c>
      <c r="I4742" s="44"/>
      <c r="J4742" s="44"/>
      <c r="K4742" s="10">
        <f t="shared" si="12"/>
        <v>40234420</v>
      </c>
      <c r="L4742" s="61"/>
      <c r="M4742" s="62"/>
    </row>
    <row r="4743" ht="15.75" customHeight="1">
      <c r="A4743" s="217">
        <v>46301.0</v>
      </c>
      <c r="B4743" s="56"/>
      <c r="C4743" s="58" t="s">
        <v>3836</v>
      </c>
      <c r="D4743" s="58" t="s">
        <v>15</v>
      </c>
      <c r="E4743" s="57" t="s">
        <v>5085</v>
      </c>
      <c r="F4743" s="255">
        <v>46321.0</v>
      </c>
      <c r="G4743" s="155">
        <v>7832545.59</v>
      </c>
      <c r="H4743" s="9">
        <f t="shared" si="11"/>
        <v>1644834.574</v>
      </c>
      <c r="I4743" s="44"/>
      <c r="J4743" s="44"/>
      <c r="K4743" s="10">
        <f t="shared" si="12"/>
        <v>9477380.164</v>
      </c>
      <c r="L4743" s="61"/>
      <c r="M4743" s="62"/>
    </row>
    <row r="4744" ht="15.75" customHeight="1">
      <c r="A4744" s="208">
        <v>46301.0</v>
      </c>
      <c r="B4744" s="158"/>
      <c r="C4744" s="148" t="s">
        <v>5086</v>
      </c>
      <c r="D4744" s="242" t="s">
        <v>1543</v>
      </c>
      <c r="E4744" s="148" t="s">
        <v>5087</v>
      </c>
      <c r="F4744" s="250">
        <v>46291.0</v>
      </c>
      <c r="G4744" s="256">
        <v>2.000818594E7</v>
      </c>
      <c r="H4744" s="150">
        <f t="shared" si="11"/>
        <v>4201719.047</v>
      </c>
      <c r="I4744" s="151"/>
      <c r="J4744" s="151"/>
      <c r="K4744" s="152">
        <f t="shared" si="12"/>
        <v>24209904.99</v>
      </c>
      <c r="L4744" s="153"/>
      <c r="M4744" s="154"/>
    </row>
    <row r="4745" ht="15.75" customHeight="1">
      <c r="A4745" s="217">
        <v>46301.0</v>
      </c>
      <c r="B4745" s="56"/>
      <c r="C4745" s="57" t="s">
        <v>1112</v>
      </c>
      <c r="D4745" s="58" t="s">
        <v>99</v>
      </c>
      <c r="E4745" s="58" t="s">
        <v>5088</v>
      </c>
      <c r="F4745" s="255">
        <v>46321.0</v>
      </c>
      <c r="G4745" s="155">
        <v>1.534879029E7</v>
      </c>
      <c r="H4745" s="9">
        <f t="shared" si="11"/>
        <v>3223245.961</v>
      </c>
      <c r="I4745" s="44"/>
      <c r="J4745" s="44">
        <v>1534.88</v>
      </c>
      <c r="K4745" s="10">
        <f t="shared" si="12"/>
        <v>18573571.13</v>
      </c>
      <c r="L4745" s="61"/>
      <c r="M4745" s="62"/>
    </row>
    <row r="4746" ht="15.75" customHeight="1">
      <c r="A4746" s="217">
        <v>46301.0</v>
      </c>
      <c r="B4746" s="56"/>
      <c r="C4746" s="57" t="s">
        <v>1112</v>
      </c>
      <c r="D4746" s="58" t="s">
        <v>99</v>
      </c>
      <c r="E4746" s="58" t="s">
        <v>5089</v>
      </c>
      <c r="F4746" s="255">
        <v>46321.0</v>
      </c>
      <c r="G4746" s="155">
        <v>1.489248016E7</v>
      </c>
      <c r="H4746" s="9">
        <f t="shared" si="11"/>
        <v>3127420.834</v>
      </c>
      <c r="I4746" s="44"/>
      <c r="J4746" s="44">
        <v>1489.25</v>
      </c>
      <c r="K4746" s="10">
        <f t="shared" si="12"/>
        <v>18021390.24</v>
      </c>
      <c r="L4746" s="61"/>
      <c r="M4746" s="62"/>
    </row>
    <row r="4747" ht="15.75" customHeight="1">
      <c r="A4747" s="217">
        <v>46301.0</v>
      </c>
      <c r="B4747" s="56"/>
      <c r="C4747" s="57" t="s">
        <v>1112</v>
      </c>
      <c r="D4747" s="58" t="s">
        <v>99</v>
      </c>
      <c r="E4747" s="58" t="s">
        <v>5090</v>
      </c>
      <c r="F4747" s="255">
        <v>46321.0</v>
      </c>
      <c r="G4747" s="155">
        <v>1.511283046E7</v>
      </c>
      <c r="H4747" s="9">
        <f t="shared" si="11"/>
        <v>3173694.397</v>
      </c>
      <c r="I4747" s="44"/>
      <c r="J4747" s="44">
        <v>1511.28</v>
      </c>
      <c r="K4747" s="10">
        <f t="shared" si="12"/>
        <v>18288036.14</v>
      </c>
      <c r="L4747" s="61"/>
      <c r="M4747" s="62"/>
    </row>
    <row r="4748" ht="15.75" customHeight="1">
      <c r="A4748" s="217">
        <v>46301.0</v>
      </c>
      <c r="B4748" s="56"/>
      <c r="C4748" s="57" t="s">
        <v>1112</v>
      </c>
      <c r="D4748" s="58" t="s">
        <v>99</v>
      </c>
      <c r="E4748" s="58" t="s">
        <v>5091</v>
      </c>
      <c r="F4748" s="255">
        <v>46321.0</v>
      </c>
      <c r="G4748" s="155">
        <v>1.466047046E7</v>
      </c>
      <c r="H4748" s="9">
        <f t="shared" si="11"/>
        <v>3078698.797</v>
      </c>
      <c r="I4748" s="44"/>
      <c r="J4748" s="44">
        <v>1466.05</v>
      </c>
      <c r="K4748" s="10">
        <f t="shared" si="12"/>
        <v>17740635.31</v>
      </c>
      <c r="L4748" s="61"/>
      <c r="M4748" s="62"/>
    </row>
    <row r="4749" ht="15.75" customHeight="1">
      <c r="A4749" s="217">
        <v>46301.0</v>
      </c>
      <c r="B4749" s="56"/>
      <c r="C4749" s="57" t="s">
        <v>1112</v>
      </c>
      <c r="D4749" s="58" t="s">
        <v>15</v>
      </c>
      <c r="E4749" s="57" t="s">
        <v>5092</v>
      </c>
      <c r="F4749" s="255">
        <v>46321.0</v>
      </c>
      <c r="G4749" s="155">
        <v>1.477625062E7</v>
      </c>
      <c r="H4749" s="9">
        <f t="shared" si="11"/>
        <v>3103012.63</v>
      </c>
      <c r="I4749" s="44"/>
      <c r="J4749" s="44">
        <v>1477.63</v>
      </c>
      <c r="K4749" s="10">
        <f t="shared" si="12"/>
        <v>17880740.88</v>
      </c>
      <c r="L4749" s="61"/>
      <c r="M4749" s="62"/>
    </row>
    <row r="4750" ht="15.75" customHeight="1">
      <c r="A4750" s="217">
        <v>46301.0</v>
      </c>
      <c r="B4750" s="56"/>
      <c r="C4750" s="57" t="s">
        <v>1112</v>
      </c>
      <c r="D4750" s="58" t="s">
        <v>15</v>
      </c>
      <c r="E4750" s="57" t="s">
        <v>5093</v>
      </c>
      <c r="F4750" s="255">
        <v>46321.0</v>
      </c>
      <c r="G4750" s="155">
        <v>1.522857062E7</v>
      </c>
      <c r="H4750" s="9">
        <f t="shared" si="11"/>
        <v>3197999.83</v>
      </c>
      <c r="I4750" s="44"/>
      <c r="J4750" s="44">
        <v>1522.86</v>
      </c>
      <c r="K4750" s="10">
        <f t="shared" si="12"/>
        <v>18428093.31</v>
      </c>
      <c r="L4750" s="61"/>
      <c r="M4750" s="62"/>
    </row>
    <row r="4751" ht="15.75" customHeight="1">
      <c r="A4751" s="217">
        <v>46301.0</v>
      </c>
      <c r="B4751" s="56"/>
      <c r="C4751" s="57" t="s">
        <v>1112</v>
      </c>
      <c r="D4751" s="58" t="s">
        <v>15</v>
      </c>
      <c r="E4751" s="57" t="s">
        <v>5094</v>
      </c>
      <c r="F4751" s="255">
        <v>46321.0</v>
      </c>
      <c r="G4751" s="155">
        <v>1.489735064E7</v>
      </c>
      <c r="H4751" s="9">
        <f t="shared" si="11"/>
        <v>3128443.634</v>
      </c>
      <c r="I4751" s="44"/>
      <c r="J4751" s="44">
        <v>1489.74</v>
      </c>
      <c r="K4751" s="10">
        <f t="shared" si="12"/>
        <v>18027284.01</v>
      </c>
      <c r="L4751" s="61"/>
      <c r="M4751" s="62"/>
    </row>
    <row r="4752" ht="15.75" customHeight="1">
      <c r="A4752" s="217">
        <v>46301.0</v>
      </c>
      <c r="B4752" s="56"/>
      <c r="C4752" s="57" t="s">
        <v>1112</v>
      </c>
      <c r="D4752" s="58" t="s">
        <v>15</v>
      </c>
      <c r="E4752" s="57" t="s">
        <v>5095</v>
      </c>
      <c r="F4752" s="255">
        <v>46321.0</v>
      </c>
      <c r="G4752" s="155">
        <v>1.511187046E7</v>
      </c>
      <c r="H4752" s="9">
        <f t="shared" si="11"/>
        <v>3173492.797</v>
      </c>
      <c r="I4752" s="44"/>
      <c r="J4752" s="44">
        <v>1511.19</v>
      </c>
      <c r="K4752" s="10">
        <f t="shared" si="12"/>
        <v>18286874.45</v>
      </c>
      <c r="L4752" s="61"/>
      <c r="M4752" s="62"/>
    </row>
    <row r="4753" ht="15.75" customHeight="1">
      <c r="A4753" s="217">
        <v>46301.0</v>
      </c>
      <c r="B4753" s="56"/>
      <c r="C4753" s="57" t="s">
        <v>4719</v>
      </c>
      <c r="D4753" s="58" t="s">
        <v>99</v>
      </c>
      <c r="E4753" s="57" t="s">
        <v>5096</v>
      </c>
      <c r="F4753" s="255">
        <v>46321.0</v>
      </c>
      <c r="G4753" s="155">
        <v>4449117.15</v>
      </c>
      <c r="H4753" s="9">
        <f t="shared" si="11"/>
        <v>934314.6015</v>
      </c>
      <c r="I4753" s="44"/>
      <c r="J4753" s="44">
        <v>2224.56</v>
      </c>
      <c r="K4753" s="10">
        <f t="shared" si="12"/>
        <v>5385656.312</v>
      </c>
      <c r="L4753" s="61"/>
      <c r="M4753" s="62"/>
    </row>
    <row r="4754" ht="15.75" customHeight="1">
      <c r="A4754" s="217">
        <v>46301.0</v>
      </c>
      <c r="B4754" s="56"/>
      <c r="C4754" s="57" t="s">
        <v>4719</v>
      </c>
      <c r="D4754" s="58" t="s">
        <v>99</v>
      </c>
      <c r="E4754" s="57" t="s">
        <v>5097</v>
      </c>
      <c r="F4754" s="255">
        <v>46321.0</v>
      </c>
      <c r="G4754" s="155">
        <v>1.789009808E7</v>
      </c>
      <c r="H4754" s="9">
        <f t="shared" si="11"/>
        <v>3756920.597</v>
      </c>
      <c r="I4754" s="44"/>
      <c r="J4754" s="44">
        <v>8945.05</v>
      </c>
      <c r="K4754" s="10">
        <f t="shared" si="12"/>
        <v>21655963.73</v>
      </c>
      <c r="L4754" s="61"/>
      <c r="M4754" s="62"/>
    </row>
    <row r="4755" ht="15.75" customHeight="1">
      <c r="A4755" s="162">
        <v>46301.0</v>
      </c>
      <c r="B4755" s="50"/>
      <c r="C4755" s="31" t="s">
        <v>4719</v>
      </c>
      <c r="D4755" s="32" t="s">
        <v>15</v>
      </c>
      <c r="E4755" s="31" t="s">
        <v>5098</v>
      </c>
      <c r="F4755" s="161">
        <v>46321.0</v>
      </c>
      <c r="G4755" s="54">
        <v>8913362.62</v>
      </c>
      <c r="H4755" s="14">
        <f t="shared" si="11"/>
        <v>1871806.15</v>
      </c>
      <c r="I4755" s="22"/>
      <c r="J4755" s="22">
        <v>4456.68</v>
      </c>
      <c r="K4755" s="15">
        <f t="shared" si="12"/>
        <v>10789625.45</v>
      </c>
      <c r="L4755" s="45"/>
      <c r="M4755" s="6"/>
    </row>
    <row r="4756" ht="15.75" customHeight="1">
      <c r="A4756" s="162">
        <v>46301.0</v>
      </c>
      <c r="B4756" s="50"/>
      <c r="C4756" s="31" t="s">
        <v>4719</v>
      </c>
      <c r="D4756" s="32" t="s">
        <v>15</v>
      </c>
      <c r="E4756" s="31" t="s">
        <v>5099</v>
      </c>
      <c r="F4756" s="161">
        <v>46321.0</v>
      </c>
      <c r="G4756" s="54">
        <v>5789122.08</v>
      </c>
      <c r="H4756" s="14">
        <f t="shared" si="11"/>
        <v>1215715.637</v>
      </c>
      <c r="I4756" s="22"/>
      <c r="J4756" s="22">
        <v>2894.56</v>
      </c>
      <c r="K4756" s="15">
        <f t="shared" si="12"/>
        <v>7007732.277</v>
      </c>
      <c r="L4756" s="45"/>
      <c r="M4756" s="6"/>
    </row>
    <row r="4757" ht="15.75" customHeight="1">
      <c r="A4757" s="162">
        <v>46301.0</v>
      </c>
      <c r="B4757" s="50"/>
      <c r="C4757" s="31" t="s">
        <v>4719</v>
      </c>
      <c r="D4757" s="32" t="s">
        <v>15</v>
      </c>
      <c r="E4757" s="31" t="s">
        <v>5100</v>
      </c>
      <c r="F4757" s="161">
        <v>46321.0</v>
      </c>
      <c r="G4757" s="54">
        <v>1.590123269E7</v>
      </c>
      <c r="H4757" s="14">
        <f t="shared" si="11"/>
        <v>3339258.865</v>
      </c>
      <c r="I4757" s="22"/>
      <c r="J4757" s="22">
        <v>7950.62</v>
      </c>
      <c r="K4757" s="15">
        <f t="shared" si="12"/>
        <v>19248442.17</v>
      </c>
      <c r="L4757" s="45"/>
      <c r="M4757" s="6"/>
    </row>
    <row r="4758" ht="15.75" customHeight="1">
      <c r="A4758" s="162">
        <v>46301.0</v>
      </c>
      <c r="B4758" s="50"/>
      <c r="C4758" s="31" t="s">
        <v>4719</v>
      </c>
      <c r="D4758" s="32" t="s">
        <v>15</v>
      </c>
      <c r="E4758" s="31" t="s">
        <v>5101</v>
      </c>
      <c r="F4758" s="161">
        <v>46321.0</v>
      </c>
      <c r="G4758" s="54">
        <v>1.241283309E7</v>
      </c>
      <c r="H4758" s="14">
        <f t="shared" si="11"/>
        <v>2606694.949</v>
      </c>
      <c r="I4758" s="22"/>
      <c r="J4758" s="22">
        <v>6206.42</v>
      </c>
      <c r="K4758" s="15">
        <f t="shared" si="12"/>
        <v>15025734.46</v>
      </c>
      <c r="L4758" s="45"/>
      <c r="M4758" s="6"/>
    </row>
    <row r="4759" ht="15.75" customHeight="1">
      <c r="A4759" s="162">
        <v>46301.0</v>
      </c>
      <c r="B4759" s="50"/>
      <c r="C4759" s="31" t="s">
        <v>4719</v>
      </c>
      <c r="D4759" s="32" t="s">
        <v>15</v>
      </c>
      <c r="E4759" s="31" t="s">
        <v>5102</v>
      </c>
      <c r="F4759" s="161">
        <v>46321.0</v>
      </c>
      <c r="G4759" s="54">
        <v>1.733823319E7</v>
      </c>
      <c r="H4759" s="14">
        <f t="shared" si="11"/>
        <v>3641028.97</v>
      </c>
      <c r="I4759" s="22"/>
      <c r="J4759" s="22">
        <v>8669.13</v>
      </c>
      <c r="K4759" s="15">
        <f t="shared" si="12"/>
        <v>20987931.29</v>
      </c>
      <c r="L4759" s="45"/>
      <c r="M4759" s="6"/>
    </row>
    <row r="4760" ht="15.75" customHeight="1">
      <c r="A4760" s="162">
        <v>46301.0</v>
      </c>
      <c r="B4760" s="50"/>
      <c r="C4760" s="31" t="s">
        <v>4719</v>
      </c>
      <c r="D4760" s="32" t="s">
        <v>15</v>
      </c>
      <c r="E4760" s="32" t="s">
        <v>5103</v>
      </c>
      <c r="F4760" s="161">
        <v>46321.0</v>
      </c>
      <c r="G4760" s="54">
        <v>8463352.41</v>
      </c>
      <c r="H4760" s="14">
        <f t="shared" si="11"/>
        <v>1777304.006</v>
      </c>
      <c r="I4760" s="22"/>
      <c r="J4760" s="22">
        <v>4231.68</v>
      </c>
      <c r="K4760" s="15">
        <f t="shared" si="12"/>
        <v>10244888.1</v>
      </c>
      <c r="L4760" s="45"/>
      <c r="M4760" s="6"/>
    </row>
    <row r="4761" ht="15.75" customHeight="1">
      <c r="A4761" s="162">
        <v>46301.0</v>
      </c>
      <c r="B4761" s="50"/>
      <c r="C4761" s="31" t="s">
        <v>541</v>
      </c>
      <c r="D4761" s="32" t="s">
        <v>15</v>
      </c>
      <c r="E4761" s="31" t="s">
        <v>5104</v>
      </c>
      <c r="F4761" s="161">
        <v>46321.0</v>
      </c>
      <c r="G4761" s="54">
        <v>3.502168046E7</v>
      </c>
      <c r="H4761" s="14">
        <f t="shared" si="11"/>
        <v>7354552.897</v>
      </c>
      <c r="I4761" s="22"/>
      <c r="J4761" s="22"/>
      <c r="K4761" s="15">
        <f t="shared" si="12"/>
        <v>42376233.36</v>
      </c>
      <c r="L4761" s="45"/>
      <c r="M4761" s="6"/>
    </row>
    <row r="4762" ht="15.75" customHeight="1">
      <c r="A4762" s="217">
        <v>46301.0</v>
      </c>
      <c r="B4762" s="56"/>
      <c r="C4762" s="57" t="s">
        <v>1842</v>
      </c>
      <c r="D4762" s="58" t="s">
        <v>15</v>
      </c>
      <c r="E4762" s="57" t="s">
        <v>5105</v>
      </c>
      <c r="F4762" s="255">
        <v>46321.0</v>
      </c>
      <c r="G4762" s="155">
        <v>2.681458094E7</v>
      </c>
      <c r="H4762" s="9">
        <f t="shared" si="11"/>
        <v>5631061.997</v>
      </c>
      <c r="I4762" s="44"/>
      <c r="J4762" s="44">
        <v>134072.9</v>
      </c>
      <c r="K4762" s="10">
        <f t="shared" si="12"/>
        <v>32579715.84</v>
      </c>
      <c r="L4762" s="61"/>
      <c r="M4762" s="62"/>
    </row>
    <row r="4763" ht="15.75" customHeight="1">
      <c r="A4763" s="217">
        <v>46301.0</v>
      </c>
      <c r="B4763" s="56"/>
      <c r="C4763" s="57" t="s">
        <v>1842</v>
      </c>
      <c r="D4763" s="58" t="s">
        <v>15</v>
      </c>
      <c r="E4763" s="57" t="s">
        <v>5106</v>
      </c>
      <c r="F4763" s="255">
        <v>46321.0</v>
      </c>
      <c r="G4763" s="155">
        <v>2.696277029E7</v>
      </c>
      <c r="H4763" s="9">
        <f t="shared" si="11"/>
        <v>5662181.761</v>
      </c>
      <c r="I4763" s="44"/>
      <c r="J4763" s="44">
        <v>134813.85</v>
      </c>
      <c r="K4763" s="10">
        <f t="shared" si="12"/>
        <v>32759765.9</v>
      </c>
      <c r="L4763" s="61"/>
      <c r="M4763" s="62"/>
    </row>
    <row r="4764" ht="15.75" customHeight="1">
      <c r="A4764" s="162">
        <v>46301.0</v>
      </c>
      <c r="B4764" s="50"/>
      <c r="C4764" s="32" t="s">
        <v>4047</v>
      </c>
      <c r="D4764" s="32" t="s">
        <v>15</v>
      </c>
      <c r="E4764" s="31" t="s">
        <v>5107</v>
      </c>
      <c r="F4764" s="161">
        <v>46321.0</v>
      </c>
      <c r="G4764" s="54">
        <v>1.493237318E7</v>
      </c>
      <c r="H4764" s="14">
        <f t="shared" si="11"/>
        <v>3135798.368</v>
      </c>
      <c r="I4764" s="22"/>
      <c r="J4764" s="22"/>
      <c r="K4764" s="15">
        <f t="shared" si="12"/>
        <v>18068171.55</v>
      </c>
      <c r="L4764" s="45"/>
      <c r="M4764" s="6"/>
    </row>
    <row r="4765" ht="15.75" customHeight="1">
      <c r="A4765" s="162">
        <v>46301.0</v>
      </c>
      <c r="B4765" s="50"/>
      <c r="C4765" s="31" t="s">
        <v>4880</v>
      </c>
      <c r="D4765" s="32" t="s">
        <v>15</v>
      </c>
      <c r="E4765" s="31" t="s">
        <v>5108</v>
      </c>
      <c r="F4765" s="161">
        <v>46321.0</v>
      </c>
      <c r="G4765" s="54">
        <v>2.577790069E7</v>
      </c>
      <c r="H4765" s="14">
        <f t="shared" si="11"/>
        <v>5413359.145</v>
      </c>
      <c r="I4765" s="22"/>
      <c r="J4765" s="22">
        <v>335112.71</v>
      </c>
      <c r="K4765" s="15">
        <f t="shared" si="12"/>
        <v>31526372.54</v>
      </c>
      <c r="L4765" s="45"/>
      <c r="M4765" s="6"/>
    </row>
    <row r="4766" ht="15.75" customHeight="1">
      <c r="A4766" s="162">
        <v>46301.0</v>
      </c>
      <c r="B4766" s="50"/>
      <c r="C4766" s="31" t="s">
        <v>4880</v>
      </c>
      <c r="D4766" s="32" t="s">
        <v>15</v>
      </c>
      <c r="E4766" s="31" t="s">
        <v>5109</v>
      </c>
      <c r="F4766" s="161">
        <v>46321.0</v>
      </c>
      <c r="G4766" s="54">
        <v>1.840112205E7</v>
      </c>
      <c r="H4766" s="14">
        <f t="shared" si="11"/>
        <v>3864235.631</v>
      </c>
      <c r="I4766" s="22"/>
      <c r="J4766" s="22">
        <v>239214.59</v>
      </c>
      <c r="K4766" s="15">
        <f t="shared" si="12"/>
        <v>22504572.27</v>
      </c>
      <c r="L4766" s="45"/>
      <c r="M4766" s="6"/>
    </row>
    <row r="4767" ht="15.75" customHeight="1">
      <c r="A4767" s="162">
        <v>46301.0</v>
      </c>
      <c r="B4767" s="50"/>
      <c r="C4767" s="31" t="s">
        <v>4880</v>
      </c>
      <c r="D4767" s="32" t="s">
        <v>15</v>
      </c>
      <c r="E4767" s="31" t="s">
        <v>5110</v>
      </c>
      <c r="F4767" s="161">
        <v>46321.0</v>
      </c>
      <c r="G4767" s="54">
        <v>2.265901215E7</v>
      </c>
      <c r="H4767" s="14">
        <f t="shared" si="11"/>
        <v>4758392.552</v>
      </c>
      <c r="I4767" s="22"/>
      <c r="J4767" s="22">
        <v>294567.16</v>
      </c>
      <c r="K4767" s="15">
        <f t="shared" si="12"/>
        <v>27711971.86</v>
      </c>
      <c r="L4767" s="45"/>
      <c r="M4767" s="6"/>
    </row>
    <row r="4768" ht="15.75" customHeight="1">
      <c r="A4768" s="162">
        <v>46301.0</v>
      </c>
      <c r="B4768" s="50"/>
      <c r="C4768" s="31" t="s">
        <v>4880</v>
      </c>
      <c r="D4768" s="32" t="s">
        <v>15</v>
      </c>
      <c r="E4768" s="31" t="s">
        <v>5111</v>
      </c>
      <c r="F4768" s="161">
        <v>46321.0</v>
      </c>
      <c r="G4768" s="54">
        <v>1.799293326E7</v>
      </c>
      <c r="H4768" s="14">
        <f t="shared" si="11"/>
        <v>3778515.985</v>
      </c>
      <c r="I4768" s="22"/>
      <c r="J4768" s="22">
        <v>233908.13</v>
      </c>
      <c r="K4768" s="15">
        <f t="shared" si="12"/>
        <v>22005357.37</v>
      </c>
      <c r="L4768" s="45"/>
      <c r="M4768" s="6"/>
    </row>
    <row r="4769" ht="15.75" customHeight="1">
      <c r="A4769" s="162">
        <v>46301.0</v>
      </c>
      <c r="B4769" s="50"/>
      <c r="C4769" s="31" t="s">
        <v>4880</v>
      </c>
      <c r="D4769" s="32" t="s">
        <v>15</v>
      </c>
      <c r="E4769" s="31" t="s">
        <v>5112</v>
      </c>
      <c r="F4769" s="161">
        <v>46321.0</v>
      </c>
      <c r="G4769" s="54">
        <v>1.666012352E7</v>
      </c>
      <c r="H4769" s="14">
        <f t="shared" si="11"/>
        <v>3498625.939</v>
      </c>
      <c r="I4769" s="22"/>
      <c r="J4769" s="22">
        <v>216581.61</v>
      </c>
      <c r="K4769" s="15">
        <f t="shared" si="12"/>
        <v>20375331.07</v>
      </c>
      <c r="L4769" s="45"/>
      <c r="M4769" s="6"/>
    </row>
    <row r="4770" ht="15.75" customHeight="1">
      <c r="A4770" s="217">
        <v>46301.0</v>
      </c>
      <c r="B4770" s="56"/>
      <c r="C4770" s="57" t="s">
        <v>1136</v>
      </c>
      <c r="D4770" s="58" t="s">
        <v>15</v>
      </c>
      <c r="E4770" s="57" t="s">
        <v>5113</v>
      </c>
      <c r="F4770" s="255">
        <v>46321.0</v>
      </c>
      <c r="G4770" s="155">
        <v>5.995249092E7</v>
      </c>
      <c r="H4770" s="9">
        <f t="shared" si="11"/>
        <v>12590023.09</v>
      </c>
      <c r="I4770" s="44">
        <v>1798574.73</v>
      </c>
      <c r="J4770" s="44">
        <v>2997624.55</v>
      </c>
      <c r="K4770" s="10">
        <f t="shared" si="12"/>
        <v>77338713.29</v>
      </c>
      <c r="L4770" s="61"/>
      <c r="M4770" s="62"/>
    </row>
    <row r="4771" ht="15.75" customHeight="1">
      <c r="A4771" s="217">
        <v>46301.0</v>
      </c>
      <c r="B4771" s="56"/>
      <c r="C4771" s="57" t="s">
        <v>1136</v>
      </c>
      <c r="D4771" s="58" t="s">
        <v>15</v>
      </c>
      <c r="E4771" s="57" t="s">
        <v>5114</v>
      </c>
      <c r="F4771" s="255">
        <v>46321.0</v>
      </c>
      <c r="G4771" s="155">
        <v>5.995249092E7</v>
      </c>
      <c r="H4771" s="9">
        <f t="shared" si="11"/>
        <v>12590023.09</v>
      </c>
      <c r="I4771" s="44">
        <v>1798574.73</v>
      </c>
      <c r="J4771" s="44">
        <v>2997624.55</v>
      </c>
      <c r="K4771" s="10">
        <f t="shared" si="12"/>
        <v>77338713.29</v>
      </c>
      <c r="L4771" s="61"/>
      <c r="M4771" s="62"/>
    </row>
    <row r="4772" ht="15.75" customHeight="1">
      <c r="A4772" s="217">
        <v>46301.0</v>
      </c>
      <c r="B4772" s="56"/>
      <c r="C4772" s="57" t="s">
        <v>1136</v>
      </c>
      <c r="D4772" s="58" t="s">
        <v>15</v>
      </c>
      <c r="E4772" s="57" t="s">
        <v>5115</v>
      </c>
      <c r="F4772" s="255">
        <v>46321.0</v>
      </c>
      <c r="G4772" s="155">
        <v>5.995249092E7</v>
      </c>
      <c r="H4772" s="9">
        <f t="shared" si="11"/>
        <v>12590023.09</v>
      </c>
      <c r="I4772" s="44">
        <v>1798574.73</v>
      </c>
      <c r="J4772" s="44">
        <v>2997624.55</v>
      </c>
      <c r="K4772" s="10">
        <f t="shared" si="12"/>
        <v>77338713.29</v>
      </c>
      <c r="L4772" s="61"/>
      <c r="M4772" s="62"/>
    </row>
    <row r="4773" ht="15.75" customHeight="1">
      <c r="A4773" s="162">
        <v>46301.0</v>
      </c>
      <c r="B4773" s="50"/>
      <c r="C4773" s="31" t="s">
        <v>541</v>
      </c>
      <c r="D4773" s="32" t="s">
        <v>99</v>
      </c>
      <c r="E4773" s="32" t="s">
        <v>5116</v>
      </c>
      <c r="F4773" s="161">
        <v>46321.0</v>
      </c>
      <c r="G4773" s="54">
        <v>3.10278701E7</v>
      </c>
      <c r="H4773" s="14">
        <f t="shared" si="11"/>
        <v>6515852.721</v>
      </c>
      <c r="I4773" s="22">
        <v>930836.1</v>
      </c>
      <c r="J4773" s="22"/>
      <c r="K4773" s="15">
        <f t="shared" si="12"/>
        <v>38474558.92</v>
      </c>
      <c r="L4773" s="45"/>
      <c r="M4773" s="6"/>
    </row>
    <row r="4774" ht="15.75" customHeight="1">
      <c r="A4774" s="217">
        <v>46302.0</v>
      </c>
      <c r="B4774" s="56"/>
      <c r="C4774" s="58" t="s">
        <v>5025</v>
      </c>
      <c r="D4774" s="58" t="s">
        <v>5026</v>
      </c>
      <c r="E4774" s="58" t="s">
        <v>5117</v>
      </c>
      <c r="F4774" s="212">
        <v>46291.0</v>
      </c>
      <c r="G4774" s="155">
        <v>1.188607409E7</v>
      </c>
      <c r="H4774" s="9">
        <f t="shared" si="11"/>
        <v>2496075.559</v>
      </c>
      <c r="I4774" s="44"/>
      <c r="J4774" s="44"/>
      <c r="K4774" s="10">
        <f t="shared" si="12"/>
        <v>14382149.65</v>
      </c>
      <c r="L4774" s="61"/>
      <c r="M4774" s="62"/>
    </row>
    <row r="4775" ht="15.75" customHeight="1">
      <c r="A4775" s="217">
        <v>46302.0</v>
      </c>
      <c r="B4775" s="56"/>
      <c r="C4775" s="58" t="s">
        <v>5025</v>
      </c>
      <c r="D4775" s="58" t="s">
        <v>5026</v>
      </c>
      <c r="E4775" s="58" t="s">
        <v>5118</v>
      </c>
      <c r="F4775" s="212">
        <v>46291.0</v>
      </c>
      <c r="G4775" s="155">
        <v>1.257928045E7</v>
      </c>
      <c r="H4775" s="9">
        <f t="shared" si="11"/>
        <v>2641648.895</v>
      </c>
      <c r="I4775" s="44"/>
      <c r="J4775" s="44"/>
      <c r="K4775" s="10">
        <f t="shared" si="12"/>
        <v>15220929.34</v>
      </c>
      <c r="L4775" s="61"/>
      <c r="M4775" s="62"/>
    </row>
    <row r="4776" ht="15.75" customHeight="1">
      <c r="A4776" s="217">
        <v>46302.0</v>
      </c>
      <c r="B4776" s="56"/>
      <c r="C4776" s="58" t="s">
        <v>5025</v>
      </c>
      <c r="D4776" s="58" t="s">
        <v>5026</v>
      </c>
      <c r="E4776" s="58" t="s">
        <v>5119</v>
      </c>
      <c r="F4776" s="212">
        <v>46291.0</v>
      </c>
      <c r="G4776" s="155">
        <v>1.313756405E7</v>
      </c>
      <c r="H4776" s="9">
        <f t="shared" si="11"/>
        <v>2758888.451</v>
      </c>
      <c r="I4776" s="44"/>
      <c r="J4776" s="44"/>
      <c r="K4776" s="10">
        <f t="shared" si="12"/>
        <v>15896452.5</v>
      </c>
      <c r="L4776" s="61"/>
      <c r="M4776" s="62"/>
    </row>
    <row r="4777" ht="15.75" customHeight="1">
      <c r="A4777" s="217">
        <v>46302.0</v>
      </c>
      <c r="B4777" s="56"/>
      <c r="C4777" s="58" t="s">
        <v>5025</v>
      </c>
      <c r="D4777" s="58" t="s">
        <v>5029</v>
      </c>
      <c r="E4777" s="58" t="s">
        <v>5120</v>
      </c>
      <c r="F4777" s="212">
        <v>46291.0</v>
      </c>
      <c r="G4777" s="155">
        <v>1.327593885E7</v>
      </c>
      <c r="H4777" s="9">
        <f t="shared" si="11"/>
        <v>2787947.159</v>
      </c>
      <c r="I4777" s="44"/>
      <c r="J4777" s="44"/>
      <c r="K4777" s="10">
        <f t="shared" si="12"/>
        <v>16063886.01</v>
      </c>
      <c r="L4777" s="61"/>
      <c r="M4777" s="62"/>
    </row>
    <row r="4778" ht="15.75" customHeight="1">
      <c r="A4778" s="217">
        <v>46302.0</v>
      </c>
      <c r="B4778" s="56"/>
      <c r="C4778" s="58" t="s">
        <v>5025</v>
      </c>
      <c r="D4778" s="58" t="s">
        <v>5029</v>
      </c>
      <c r="E4778" s="58" t="s">
        <v>5121</v>
      </c>
      <c r="F4778" s="212">
        <v>46291.0</v>
      </c>
      <c r="G4778" s="155">
        <v>1.149893799E7</v>
      </c>
      <c r="H4778" s="9">
        <f t="shared" si="11"/>
        <v>2414776.978</v>
      </c>
      <c r="I4778" s="44"/>
      <c r="J4778" s="44"/>
      <c r="K4778" s="10">
        <f t="shared" si="12"/>
        <v>13913714.97</v>
      </c>
      <c r="L4778" s="61"/>
      <c r="M4778" s="62"/>
    </row>
    <row r="4779" ht="15.75" customHeight="1">
      <c r="A4779" s="217">
        <v>46302.0</v>
      </c>
      <c r="B4779" s="56"/>
      <c r="C4779" s="58" t="s">
        <v>5025</v>
      </c>
      <c r="D4779" s="58" t="s">
        <v>5029</v>
      </c>
      <c r="E4779" s="58" t="s">
        <v>5122</v>
      </c>
      <c r="F4779" s="212">
        <v>46291.0</v>
      </c>
      <c r="G4779" s="155">
        <v>1.208750506E7</v>
      </c>
      <c r="H4779" s="9">
        <f t="shared" si="11"/>
        <v>2538376.063</v>
      </c>
      <c r="I4779" s="44"/>
      <c r="J4779" s="44"/>
      <c r="K4779" s="10">
        <f t="shared" si="12"/>
        <v>14625881.12</v>
      </c>
      <c r="L4779" s="61"/>
      <c r="M4779" s="62"/>
    </row>
    <row r="4780" ht="15.75" customHeight="1">
      <c r="A4780" s="217">
        <v>46302.0</v>
      </c>
      <c r="B4780" s="56"/>
      <c r="C4780" s="58" t="s">
        <v>5025</v>
      </c>
      <c r="D4780" s="58" t="s">
        <v>5029</v>
      </c>
      <c r="E4780" s="58" t="s">
        <v>5123</v>
      </c>
      <c r="F4780" s="212">
        <v>46291.0</v>
      </c>
      <c r="G4780" s="155">
        <v>1.313763514E7</v>
      </c>
      <c r="H4780" s="9">
        <f t="shared" si="11"/>
        <v>2758903.379</v>
      </c>
      <c r="I4780" s="44"/>
      <c r="J4780" s="44"/>
      <c r="K4780" s="10">
        <f t="shared" si="12"/>
        <v>15896538.52</v>
      </c>
      <c r="L4780" s="61"/>
      <c r="M4780" s="62"/>
    </row>
    <row r="4781" ht="15.75" customHeight="1">
      <c r="A4781" s="162">
        <v>46302.0</v>
      </c>
      <c r="B4781" s="50"/>
      <c r="C4781" s="31" t="s">
        <v>64</v>
      </c>
      <c r="D4781" s="32" t="s">
        <v>1543</v>
      </c>
      <c r="E4781" s="32" t="s">
        <v>5124</v>
      </c>
      <c r="F4781" s="161">
        <v>46321.0</v>
      </c>
      <c r="G4781" s="207">
        <v>2.103372E7</v>
      </c>
      <c r="H4781" s="14">
        <f t="shared" si="11"/>
        <v>4417081.2</v>
      </c>
      <c r="I4781" s="22"/>
      <c r="J4781" s="22"/>
      <c r="K4781" s="15">
        <f t="shared" si="12"/>
        <v>25450801.2</v>
      </c>
      <c r="L4781" s="45"/>
      <c r="M4781" s="6"/>
    </row>
    <row r="4782" ht="15.75" customHeight="1">
      <c r="A4782" s="162">
        <v>46302.0</v>
      </c>
      <c r="B4782" s="50"/>
      <c r="C4782" s="31" t="s">
        <v>410</v>
      </c>
      <c r="D4782" s="32" t="s">
        <v>15</v>
      </c>
      <c r="E4782" s="31" t="s">
        <v>5125</v>
      </c>
      <c r="F4782" s="161">
        <v>46321.0</v>
      </c>
      <c r="G4782" s="54">
        <v>6022311.62</v>
      </c>
      <c r="H4782" s="14">
        <f t="shared" si="11"/>
        <v>1264685.44</v>
      </c>
      <c r="I4782" s="22"/>
      <c r="J4782" s="22">
        <v>48178.49</v>
      </c>
      <c r="K4782" s="15">
        <f t="shared" si="12"/>
        <v>7335175.55</v>
      </c>
      <c r="L4782" s="45"/>
      <c r="M4782" s="6"/>
    </row>
    <row r="4783" ht="15.75" customHeight="1">
      <c r="A4783" s="208">
        <v>46302.0</v>
      </c>
      <c r="B4783" s="158"/>
      <c r="C4783" s="147" t="s">
        <v>2346</v>
      </c>
      <c r="D4783" s="148" t="s">
        <v>15</v>
      </c>
      <c r="E4783" s="147" t="s">
        <v>5126</v>
      </c>
      <c r="F4783" s="181">
        <v>46321.0</v>
      </c>
      <c r="G4783" s="209">
        <v>1.472253318E7</v>
      </c>
      <c r="H4783" s="150">
        <f t="shared" si="11"/>
        <v>3091731.968</v>
      </c>
      <c r="I4783" s="151"/>
      <c r="J4783" s="151">
        <v>235560.53</v>
      </c>
      <c r="K4783" s="152">
        <f t="shared" si="12"/>
        <v>18049825.68</v>
      </c>
      <c r="L4783" s="61"/>
      <c r="M4783" s="62"/>
    </row>
    <row r="4784" ht="15.75" customHeight="1">
      <c r="A4784" s="208">
        <v>46302.0</v>
      </c>
      <c r="B4784" s="158"/>
      <c r="C4784" s="147" t="s">
        <v>2346</v>
      </c>
      <c r="D4784" s="148" t="s">
        <v>15</v>
      </c>
      <c r="E4784" s="147" t="s">
        <v>5127</v>
      </c>
      <c r="F4784" s="181">
        <v>46321.0</v>
      </c>
      <c r="G4784" s="209">
        <v>1.292827329E7</v>
      </c>
      <c r="H4784" s="150">
        <f t="shared" si="11"/>
        <v>2714937.391</v>
      </c>
      <c r="I4784" s="151"/>
      <c r="J4784" s="151">
        <v>206852.37</v>
      </c>
      <c r="K4784" s="152">
        <f t="shared" si="12"/>
        <v>15850063.05</v>
      </c>
      <c r="L4784" s="61"/>
      <c r="M4784" s="62"/>
    </row>
    <row r="4785" ht="15.75" customHeight="1">
      <c r="A4785" s="208">
        <v>46302.0</v>
      </c>
      <c r="B4785" s="158"/>
      <c r="C4785" s="147" t="s">
        <v>2346</v>
      </c>
      <c r="D4785" s="148" t="s">
        <v>15</v>
      </c>
      <c r="E4785" s="147" t="s">
        <v>5128</v>
      </c>
      <c r="F4785" s="181">
        <v>46321.0</v>
      </c>
      <c r="G4785" s="209">
        <v>2.000222318E7</v>
      </c>
      <c r="H4785" s="150">
        <f t="shared" si="11"/>
        <v>4200466.868</v>
      </c>
      <c r="I4785" s="151">
        <v>600066.7</v>
      </c>
      <c r="J4785" s="151">
        <v>320035.57</v>
      </c>
      <c r="K4785" s="152">
        <f t="shared" si="12"/>
        <v>25122792.32</v>
      </c>
      <c r="L4785" s="61"/>
      <c r="M4785" s="62"/>
    </row>
    <row r="4786" ht="15.75" customHeight="1">
      <c r="A4786" s="208">
        <v>46302.0</v>
      </c>
      <c r="B4786" s="158"/>
      <c r="C4786" s="147" t="s">
        <v>2346</v>
      </c>
      <c r="D4786" s="148" t="s">
        <v>15</v>
      </c>
      <c r="E4786" s="147" t="s">
        <v>5129</v>
      </c>
      <c r="F4786" s="181">
        <v>46321.0</v>
      </c>
      <c r="G4786" s="209">
        <v>1.417226326E7</v>
      </c>
      <c r="H4786" s="150">
        <f t="shared" si="11"/>
        <v>2976175.285</v>
      </c>
      <c r="I4786" s="151">
        <v>425167.9</v>
      </c>
      <c r="J4786" s="151">
        <v>226756.21</v>
      </c>
      <c r="K4786" s="152">
        <f t="shared" si="12"/>
        <v>17800362.65</v>
      </c>
      <c r="L4786" s="61"/>
      <c r="M4786" s="62"/>
    </row>
    <row r="4787" ht="15.75" customHeight="1">
      <c r="A4787" s="208">
        <v>46302.0</v>
      </c>
      <c r="B4787" s="158"/>
      <c r="C4787" s="147" t="s">
        <v>2346</v>
      </c>
      <c r="D4787" s="148" t="s">
        <v>15</v>
      </c>
      <c r="E4787" s="147" t="s">
        <v>5130</v>
      </c>
      <c r="F4787" s="181">
        <v>46321.0</v>
      </c>
      <c r="G4787" s="209">
        <v>1.361253319E7</v>
      </c>
      <c r="H4787" s="150">
        <f t="shared" si="11"/>
        <v>2858631.97</v>
      </c>
      <c r="I4787" s="151">
        <v>408376.0</v>
      </c>
      <c r="J4787" s="151">
        <v>217800.53</v>
      </c>
      <c r="K4787" s="152">
        <f t="shared" si="12"/>
        <v>17097341.69</v>
      </c>
      <c r="L4787" s="61"/>
      <c r="M4787" s="62"/>
    </row>
    <row r="4788" ht="15.75" customHeight="1">
      <c r="A4788" s="208">
        <v>46302.0</v>
      </c>
      <c r="B4788" s="158"/>
      <c r="C4788" s="147" t="s">
        <v>2346</v>
      </c>
      <c r="D4788" s="148" t="s">
        <v>15</v>
      </c>
      <c r="E4788" s="147" t="s">
        <v>5131</v>
      </c>
      <c r="F4788" s="181">
        <v>46321.0</v>
      </c>
      <c r="G4788" s="209">
        <v>2.199102329E7</v>
      </c>
      <c r="H4788" s="150">
        <f t="shared" si="11"/>
        <v>4618114.891</v>
      </c>
      <c r="I4788" s="151">
        <v>659730.7</v>
      </c>
      <c r="J4788" s="151">
        <v>351856.37</v>
      </c>
      <c r="K4788" s="152">
        <f t="shared" si="12"/>
        <v>27620725.25</v>
      </c>
      <c r="L4788" s="61"/>
      <c r="M4788" s="62"/>
    </row>
    <row r="4789" ht="15.75" customHeight="1">
      <c r="A4789" s="208">
        <v>46302.0</v>
      </c>
      <c r="B4789" s="158"/>
      <c r="C4789" s="147" t="s">
        <v>2346</v>
      </c>
      <c r="D4789" s="148" t="s">
        <v>15</v>
      </c>
      <c r="E4789" s="147" t="s">
        <v>5132</v>
      </c>
      <c r="F4789" s="181">
        <v>46321.0</v>
      </c>
      <c r="G4789" s="209">
        <v>1.832212221E7</v>
      </c>
      <c r="H4789" s="150">
        <f t="shared" si="11"/>
        <v>3847645.664</v>
      </c>
      <c r="I4789" s="151">
        <v>549663.67</v>
      </c>
      <c r="J4789" s="151">
        <v>293153.96</v>
      </c>
      <c r="K4789" s="152">
        <f t="shared" si="12"/>
        <v>23012585.5</v>
      </c>
      <c r="L4789" s="61"/>
      <c r="M4789" s="62"/>
    </row>
    <row r="4790" ht="15.75" customHeight="1">
      <c r="A4790" s="208">
        <v>46302.0</v>
      </c>
      <c r="B4790" s="158"/>
      <c r="C4790" s="147" t="s">
        <v>2346</v>
      </c>
      <c r="D4790" s="148" t="s">
        <v>15</v>
      </c>
      <c r="E4790" s="147" t="s">
        <v>5133</v>
      </c>
      <c r="F4790" s="181">
        <v>46321.0</v>
      </c>
      <c r="G4790" s="209">
        <v>7225333.82</v>
      </c>
      <c r="H4790" s="150">
        <f t="shared" si="11"/>
        <v>1517320.102</v>
      </c>
      <c r="I4790" s="151"/>
      <c r="J4790" s="151"/>
      <c r="K4790" s="152">
        <f t="shared" si="12"/>
        <v>8742653.922</v>
      </c>
      <c r="L4790" s="61"/>
      <c r="M4790" s="62"/>
    </row>
    <row r="4791" ht="15.75" customHeight="1">
      <c r="A4791" s="208">
        <v>46302.0</v>
      </c>
      <c r="B4791" s="158"/>
      <c r="C4791" s="147" t="s">
        <v>2346</v>
      </c>
      <c r="D4791" s="148" t="s">
        <v>15</v>
      </c>
      <c r="E4791" s="147" t="s">
        <v>5134</v>
      </c>
      <c r="F4791" s="181">
        <v>46321.0</v>
      </c>
      <c r="G4791" s="209">
        <v>1.444022805E7</v>
      </c>
      <c r="H4791" s="150">
        <f t="shared" si="11"/>
        <v>3032447.891</v>
      </c>
      <c r="I4791" s="151">
        <v>433206.84</v>
      </c>
      <c r="J4791" s="151">
        <v>231043.65</v>
      </c>
      <c r="K4791" s="152">
        <f t="shared" si="12"/>
        <v>18136926.43</v>
      </c>
      <c r="L4791" s="61"/>
      <c r="M4791" s="62"/>
    </row>
    <row r="4792" ht="15.75" customHeight="1">
      <c r="A4792" s="208">
        <v>46302.0</v>
      </c>
      <c r="B4792" s="158"/>
      <c r="C4792" s="147" t="s">
        <v>2346</v>
      </c>
      <c r="D4792" s="148" t="s">
        <v>15</v>
      </c>
      <c r="E4792" s="147" t="s">
        <v>5135</v>
      </c>
      <c r="F4792" s="181">
        <v>46321.0</v>
      </c>
      <c r="G4792" s="209">
        <v>1.562727614E7</v>
      </c>
      <c r="H4792" s="150">
        <f t="shared" si="11"/>
        <v>3281727.989</v>
      </c>
      <c r="I4792" s="151">
        <v>468818.28</v>
      </c>
      <c r="J4792" s="151">
        <v>250036.42</v>
      </c>
      <c r="K4792" s="152">
        <f t="shared" si="12"/>
        <v>19627858.83</v>
      </c>
      <c r="L4792" s="61"/>
      <c r="M4792" s="62"/>
    </row>
    <row r="4793" ht="15.75" customHeight="1">
      <c r="A4793" s="162">
        <v>46302.0</v>
      </c>
      <c r="B4793" s="50"/>
      <c r="C4793" s="31" t="s">
        <v>2346</v>
      </c>
      <c r="D4793" s="32" t="s">
        <v>99</v>
      </c>
      <c r="E4793" s="32" t="s">
        <v>5136</v>
      </c>
      <c r="F4793" s="161">
        <v>46321.0</v>
      </c>
      <c r="G4793" s="54">
        <v>1.562253315E7</v>
      </c>
      <c r="H4793" s="14">
        <f t="shared" si="11"/>
        <v>3280731.962</v>
      </c>
      <c r="I4793" s="22"/>
      <c r="J4793" s="22">
        <v>249960.53</v>
      </c>
      <c r="K4793" s="15">
        <f t="shared" si="12"/>
        <v>19153225.64</v>
      </c>
      <c r="L4793" s="61"/>
      <c r="M4793" s="62"/>
    </row>
    <row r="4794" ht="15.75" customHeight="1">
      <c r="A4794" s="208">
        <v>46302.0</v>
      </c>
      <c r="B4794" s="158"/>
      <c r="C4794" s="147" t="s">
        <v>2346</v>
      </c>
      <c r="D4794" s="148" t="s">
        <v>99</v>
      </c>
      <c r="E4794" s="148" t="s">
        <v>5137</v>
      </c>
      <c r="F4794" s="181">
        <v>46321.0</v>
      </c>
      <c r="G4794" s="209">
        <v>6791733.08</v>
      </c>
      <c r="H4794" s="150">
        <f t="shared" si="11"/>
        <v>1426263.947</v>
      </c>
      <c r="I4794" s="151">
        <v>203751.99</v>
      </c>
      <c r="J4794" s="151">
        <v>108667.73</v>
      </c>
      <c r="K4794" s="152">
        <f t="shared" si="12"/>
        <v>8530416.747</v>
      </c>
      <c r="L4794" s="61"/>
      <c r="M4794" s="62"/>
    </row>
    <row r="4795" ht="15.75" customHeight="1">
      <c r="A4795" s="208">
        <v>46302.0</v>
      </c>
      <c r="B4795" s="158"/>
      <c r="C4795" s="147" t="s">
        <v>2346</v>
      </c>
      <c r="D4795" s="148" t="s">
        <v>99</v>
      </c>
      <c r="E4795" s="148" t="s">
        <v>5138</v>
      </c>
      <c r="F4795" s="181">
        <v>46321.0</v>
      </c>
      <c r="G4795" s="209">
        <v>1.491827318E7</v>
      </c>
      <c r="H4795" s="150">
        <f t="shared" si="11"/>
        <v>3132837.368</v>
      </c>
      <c r="I4795" s="151">
        <v>447548.2</v>
      </c>
      <c r="J4795" s="151">
        <v>238692.37</v>
      </c>
      <c r="K4795" s="152">
        <f t="shared" si="12"/>
        <v>18737351.12</v>
      </c>
      <c r="L4795" s="61"/>
      <c r="M4795" s="62"/>
    </row>
    <row r="4796" ht="15.75" customHeight="1">
      <c r="A4796" s="162">
        <v>46302.0</v>
      </c>
      <c r="B4796" s="50"/>
      <c r="C4796" s="31" t="s">
        <v>2346</v>
      </c>
      <c r="D4796" s="32" t="s">
        <v>99</v>
      </c>
      <c r="E4796" s="32" t="s">
        <v>5139</v>
      </c>
      <c r="F4796" s="161">
        <v>46321.0</v>
      </c>
      <c r="G4796" s="54">
        <v>6322102.22</v>
      </c>
      <c r="H4796" s="14">
        <f t="shared" si="11"/>
        <v>1327641.466</v>
      </c>
      <c r="I4796" s="22"/>
      <c r="J4796" s="22">
        <v>101153.64</v>
      </c>
      <c r="K4796" s="15">
        <f t="shared" si="12"/>
        <v>7750897.326</v>
      </c>
      <c r="L4796" s="61"/>
      <c r="M4796" s="62"/>
    </row>
    <row r="4797" ht="15.75" customHeight="1">
      <c r="A4797" s="208">
        <v>46302.0</v>
      </c>
      <c r="B4797" s="158"/>
      <c r="C4797" s="147" t="s">
        <v>2346</v>
      </c>
      <c r="D4797" s="148" t="s">
        <v>99</v>
      </c>
      <c r="E4797" s="148" t="s">
        <v>5140</v>
      </c>
      <c r="F4797" s="181">
        <v>46321.0</v>
      </c>
      <c r="G4797" s="209">
        <v>7791193.22</v>
      </c>
      <c r="H4797" s="150">
        <f t="shared" si="11"/>
        <v>1636150.576</v>
      </c>
      <c r="I4797" s="151">
        <v>233735.8</v>
      </c>
      <c r="J4797" s="151">
        <v>124659.09</v>
      </c>
      <c r="K4797" s="152">
        <f t="shared" si="12"/>
        <v>9785738.686</v>
      </c>
      <c r="L4797" s="61"/>
      <c r="M4797" s="62"/>
    </row>
    <row r="4798" ht="15.75" customHeight="1">
      <c r="A4798" s="162">
        <v>46303.0</v>
      </c>
      <c r="B4798" s="50"/>
      <c r="C4798" s="32" t="s">
        <v>53</v>
      </c>
      <c r="D4798" s="32" t="s">
        <v>15</v>
      </c>
      <c r="E4798" s="31" t="s">
        <v>5141</v>
      </c>
      <c r="F4798" s="161">
        <v>46321.0</v>
      </c>
      <c r="G4798" s="54">
        <v>4604611.57</v>
      </c>
      <c r="H4798" s="14">
        <f t="shared" si="11"/>
        <v>966968.4297</v>
      </c>
      <c r="I4798" s="22"/>
      <c r="J4798" s="22"/>
      <c r="K4798" s="15">
        <f t="shared" si="12"/>
        <v>5571580</v>
      </c>
      <c r="L4798" s="45"/>
      <c r="M4798" s="6"/>
    </row>
    <row r="4799" ht="15.75" customHeight="1">
      <c r="A4799" s="162">
        <v>46304.0</v>
      </c>
      <c r="B4799" s="50"/>
      <c r="C4799" s="32" t="s">
        <v>53</v>
      </c>
      <c r="D4799" s="32" t="s">
        <v>1543</v>
      </c>
      <c r="E4799" s="32" t="s">
        <v>4178</v>
      </c>
      <c r="F4799" s="161">
        <v>46321.0</v>
      </c>
      <c r="G4799" s="207">
        <f>16507470/1.21</f>
        <v>13642537.19</v>
      </c>
      <c r="H4799" s="14">
        <f t="shared" si="11"/>
        <v>2864932.81</v>
      </c>
      <c r="I4799" s="22"/>
      <c r="J4799" s="22"/>
      <c r="K4799" s="15">
        <f t="shared" si="12"/>
        <v>16507470</v>
      </c>
      <c r="L4799" s="45"/>
      <c r="M4799" s="6"/>
    </row>
    <row r="4800" ht="15.75" customHeight="1">
      <c r="A4800" s="217">
        <v>46304.0</v>
      </c>
      <c r="B4800" s="56"/>
      <c r="C4800" s="57" t="s">
        <v>4885</v>
      </c>
      <c r="D4800" s="58" t="s">
        <v>99</v>
      </c>
      <c r="E4800" s="57" t="s">
        <v>5142</v>
      </c>
      <c r="F4800" s="255">
        <v>46321.0</v>
      </c>
      <c r="G4800" s="155">
        <v>1.041865835E7</v>
      </c>
      <c r="H4800" s="9">
        <f t="shared" si="11"/>
        <v>2187918.254</v>
      </c>
      <c r="I4800" s="44"/>
      <c r="J4800" s="44">
        <v>24055.38</v>
      </c>
      <c r="K4800" s="10">
        <f t="shared" si="12"/>
        <v>12630631.98</v>
      </c>
      <c r="L4800" s="61"/>
      <c r="M4800" s="62"/>
    </row>
    <row r="4801" ht="15.75" customHeight="1">
      <c r="A4801" s="217">
        <v>46304.0</v>
      </c>
      <c r="B4801" s="56"/>
      <c r="C4801" s="57" t="s">
        <v>4464</v>
      </c>
      <c r="D4801" s="58" t="s">
        <v>99</v>
      </c>
      <c r="E4801" s="57" t="s">
        <v>5143</v>
      </c>
      <c r="F4801" s="255">
        <v>46321.0</v>
      </c>
      <c r="G4801" s="155">
        <v>4186249.15</v>
      </c>
      <c r="H4801" s="9">
        <f t="shared" si="11"/>
        <v>879112.3215</v>
      </c>
      <c r="I4801" s="44"/>
      <c r="J4801" s="44"/>
      <c r="K4801" s="10">
        <f t="shared" si="12"/>
        <v>5065361.472</v>
      </c>
      <c r="L4801" s="61"/>
      <c r="M4801" s="62"/>
    </row>
    <row r="4802" ht="15.75" customHeight="1">
      <c r="A4802" s="217">
        <v>46304.0</v>
      </c>
      <c r="B4802" s="56"/>
      <c r="C4802" s="57" t="s">
        <v>4464</v>
      </c>
      <c r="D4802" s="58" t="s">
        <v>99</v>
      </c>
      <c r="E4802" s="57" t="s">
        <v>5144</v>
      </c>
      <c r="F4802" s="255">
        <v>46321.0</v>
      </c>
      <c r="G4802" s="155">
        <v>3698745.08</v>
      </c>
      <c r="H4802" s="9">
        <f t="shared" si="11"/>
        <v>776736.4668</v>
      </c>
      <c r="I4802" s="44"/>
      <c r="J4802" s="44"/>
      <c r="K4802" s="10">
        <f t="shared" si="12"/>
        <v>4475481.547</v>
      </c>
      <c r="L4802" s="61"/>
      <c r="M4802" s="62"/>
    </row>
    <row r="4803" ht="15.75" customHeight="1">
      <c r="A4803" s="217">
        <v>46304.0</v>
      </c>
      <c r="B4803" s="56"/>
      <c r="C4803" s="57" t="s">
        <v>4464</v>
      </c>
      <c r="D4803" s="58" t="s">
        <v>99</v>
      </c>
      <c r="E4803" s="57" t="s">
        <v>5145</v>
      </c>
      <c r="F4803" s="255">
        <v>46321.0</v>
      </c>
      <c r="G4803" s="155">
        <v>3158795.05</v>
      </c>
      <c r="H4803" s="9">
        <f t="shared" si="11"/>
        <v>663346.9605</v>
      </c>
      <c r="I4803" s="44"/>
      <c r="J4803" s="44"/>
      <c r="K4803" s="10">
        <f t="shared" si="12"/>
        <v>3822142.011</v>
      </c>
      <c r="L4803" s="61"/>
      <c r="M4803" s="62"/>
    </row>
    <row r="4804" ht="18.75" customHeight="1">
      <c r="A4804" s="217">
        <v>46304.0</v>
      </c>
      <c r="B4804" s="56"/>
      <c r="C4804" s="57" t="s">
        <v>4464</v>
      </c>
      <c r="D4804" s="58" t="s">
        <v>99</v>
      </c>
      <c r="E4804" s="57" t="s">
        <v>5146</v>
      </c>
      <c r="F4804" s="255">
        <v>46321.0</v>
      </c>
      <c r="G4804" s="155">
        <v>4587961.15</v>
      </c>
      <c r="H4804" s="9">
        <f t="shared" si="11"/>
        <v>963471.8415</v>
      </c>
      <c r="I4804" s="44"/>
      <c r="J4804" s="44"/>
      <c r="K4804" s="10">
        <f t="shared" si="12"/>
        <v>5551432.992</v>
      </c>
      <c r="L4804" s="61"/>
      <c r="M4804" s="62"/>
    </row>
    <row r="4805" ht="15.75" customHeight="1">
      <c r="A4805" s="217">
        <v>46304.0</v>
      </c>
      <c r="B4805" s="56"/>
      <c r="C4805" s="57" t="s">
        <v>247</v>
      </c>
      <c r="D4805" s="58" t="s">
        <v>15</v>
      </c>
      <c r="E4805" s="57" t="s">
        <v>5147</v>
      </c>
      <c r="F4805" s="255">
        <v>46321.0</v>
      </c>
      <c r="G4805" s="155">
        <v>9881470.16</v>
      </c>
      <c r="H4805" s="9">
        <f t="shared" si="11"/>
        <v>2075108.734</v>
      </c>
      <c r="I4805" s="44"/>
      <c r="J4805" s="44"/>
      <c r="K4805" s="10">
        <f t="shared" si="12"/>
        <v>11956578.89</v>
      </c>
      <c r="L4805" s="61"/>
      <c r="M4805" s="62"/>
    </row>
    <row r="4806" ht="15.75" customHeight="1">
      <c r="A4806" s="217">
        <v>46304.0</v>
      </c>
      <c r="B4806" s="56"/>
      <c r="C4806" s="57" t="s">
        <v>247</v>
      </c>
      <c r="D4806" s="58" t="s">
        <v>15</v>
      </c>
      <c r="E4806" s="58" t="s">
        <v>5148</v>
      </c>
      <c r="F4806" s="255">
        <v>46321.0</v>
      </c>
      <c r="G4806" s="155">
        <v>9379580.16</v>
      </c>
      <c r="H4806" s="9">
        <f t="shared" si="11"/>
        <v>1969711.834</v>
      </c>
      <c r="I4806" s="44"/>
      <c r="J4806" s="44"/>
      <c r="K4806" s="10">
        <f t="shared" si="12"/>
        <v>11349291.99</v>
      </c>
      <c r="L4806" s="61"/>
      <c r="M4806" s="62"/>
    </row>
    <row r="4807" ht="15.75" customHeight="1">
      <c r="A4807" s="217">
        <v>46304.0</v>
      </c>
      <c r="B4807" s="56"/>
      <c r="C4807" s="57" t="s">
        <v>247</v>
      </c>
      <c r="D4807" s="58" t="s">
        <v>15</v>
      </c>
      <c r="E4807" s="58" t="s">
        <v>5149</v>
      </c>
      <c r="F4807" s="255">
        <v>46321.0</v>
      </c>
      <c r="G4807" s="155">
        <v>9978460.65</v>
      </c>
      <c r="H4807" s="9">
        <f t="shared" si="11"/>
        <v>2095476.737</v>
      </c>
      <c r="I4807" s="44"/>
      <c r="J4807" s="44"/>
      <c r="K4807" s="10">
        <f t="shared" si="12"/>
        <v>12073937.39</v>
      </c>
      <c r="L4807" s="61"/>
      <c r="M4807" s="62"/>
    </row>
    <row r="4808" ht="15.75" customHeight="1">
      <c r="A4808" s="217">
        <v>46304.0</v>
      </c>
      <c r="B4808" s="56"/>
      <c r="C4808" s="57" t="s">
        <v>247</v>
      </c>
      <c r="D4808" s="58" t="s">
        <v>15</v>
      </c>
      <c r="E4808" s="58" t="s">
        <v>5150</v>
      </c>
      <c r="F4808" s="255">
        <v>46321.0</v>
      </c>
      <c r="G4808" s="155">
        <v>8769680.63</v>
      </c>
      <c r="H4808" s="9">
        <f t="shared" si="11"/>
        <v>1841632.932</v>
      </c>
      <c r="I4808" s="44"/>
      <c r="J4808" s="44"/>
      <c r="K4808" s="10">
        <f t="shared" si="12"/>
        <v>10611313.56</v>
      </c>
      <c r="L4808" s="61"/>
      <c r="M4808" s="62"/>
    </row>
    <row r="4809" ht="15.75" customHeight="1">
      <c r="A4809" s="217">
        <v>46308.0</v>
      </c>
      <c r="B4809" s="56"/>
      <c r="C4809" s="57" t="s">
        <v>2842</v>
      </c>
      <c r="D4809" s="58" t="s">
        <v>99</v>
      </c>
      <c r="E4809" s="58" t="s">
        <v>5151</v>
      </c>
      <c r="F4809" s="255">
        <v>46321.0</v>
      </c>
      <c r="G4809" s="155">
        <v>1.293551059E7</v>
      </c>
      <c r="H4809" s="9">
        <f t="shared" si="11"/>
        <v>2716457.224</v>
      </c>
      <c r="I4809" s="44">
        <v>388065.32</v>
      </c>
      <c r="J4809" s="44">
        <v>646775.53</v>
      </c>
      <c r="K4809" s="10">
        <f t="shared" si="12"/>
        <v>16686808.66</v>
      </c>
      <c r="L4809" s="61"/>
      <c r="M4809" s="62"/>
    </row>
    <row r="4810" ht="15.75" customHeight="1">
      <c r="A4810" s="217">
        <v>46308.0</v>
      </c>
      <c r="B4810" s="56"/>
      <c r="C4810" s="57" t="s">
        <v>2842</v>
      </c>
      <c r="D4810" s="58" t="s">
        <v>15</v>
      </c>
      <c r="E4810" s="57" t="s">
        <v>5152</v>
      </c>
      <c r="F4810" s="255">
        <v>46321.0</v>
      </c>
      <c r="G4810" s="155">
        <v>1.564590027E7</v>
      </c>
      <c r="H4810" s="9">
        <f t="shared" si="11"/>
        <v>3285639.057</v>
      </c>
      <c r="I4810" s="44">
        <v>469377.01</v>
      </c>
      <c r="J4810" s="44">
        <v>782295.01</v>
      </c>
      <c r="K4810" s="10">
        <f t="shared" si="12"/>
        <v>20183211.35</v>
      </c>
      <c r="L4810" s="61"/>
      <c r="M4810" s="62"/>
    </row>
    <row r="4811" ht="15.75" customHeight="1">
      <c r="A4811" s="217">
        <v>46308.0</v>
      </c>
      <c r="B4811" s="56"/>
      <c r="C4811" s="57" t="s">
        <v>5153</v>
      </c>
      <c r="D4811" s="58" t="s">
        <v>15</v>
      </c>
      <c r="E4811" s="57" t="s">
        <v>5154</v>
      </c>
      <c r="F4811" s="255">
        <v>46321.0</v>
      </c>
      <c r="G4811" s="155">
        <v>1.02629124E7</v>
      </c>
      <c r="H4811" s="9">
        <f t="shared" si="11"/>
        <v>2155211.604</v>
      </c>
      <c r="I4811" s="44">
        <v>307887.37</v>
      </c>
      <c r="J4811" s="44">
        <v>256572.81</v>
      </c>
      <c r="K4811" s="10">
        <f t="shared" si="12"/>
        <v>12982584.18</v>
      </c>
      <c r="L4811" s="61"/>
      <c r="M4811" s="62"/>
    </row>
    <row r="4812" ht="15.75" customHeight="1">
      <c r="A4812" s="217">
        <v>46308.0</v>
      </c>
      <c r="B4812" s="56"/>
      <c r="C4812" s="57" t="s">
        <v>5153</v>
      </c>
      <c r="D4812" s="58" t="s">
        <v>99</v>
      </c>
      <c r="E4812" s="57" t="s">
        <v>5155</v>
      </c>
      <c r="F4812" s="255">
        <v>46321.0</v>
      </c>
      <c r="G4812" s="155">
        <v>1.035080094E7</v>
      </c>
      <c r="H4812" s="9">
        <f t="shared" si="11"/>
        <v>2173668.197</v>
      </c>
      <c r="I4812" s="44">
        <v>310524.03</v>
      </c>
      <c r="J4812" s="44">
        <v>258770.02</v>
      </c>
      <c r="K4812" s="10">
        <f t="shared" si="12"/>
        <v>13093763.19</v>
      </c>
      <c r="L4812" s="61"/>
      <c r="M4812" s="62"/>
    </row>
    <row r="4813" ht="15.75" customHeight="1">
      <c r="A4813" s="162">
        <v>46309.0</v>
      </c>
      <c r="B4813" s="50"/>
      <c r="C4813" s="31" t="s">
        <v>1183</v>
      </c>
      <c r="D4813" s="32" t="s">
        <v>15</v>
      </c>
      <c r="E4813" s="31" t="s">
        <v>5156</v>
      </c>
      <c r="F4813" s="161">
        <v>46321.0</v>
      </c>
      <c r="G4813" s="54">
        <v>1.263440782E7</v>
      </c>
      <c r="H4813" s="14">
        <f t="shared" si="11"/>
        <v>2653225.642</v>
      </c>
      <c r="I4813" s="22">
        <v>379032.23</v>
      </c>
      <c r="J4813" s="22"/>
      <c r="K4813" s="15">
        <f t="shared" si="12"/>
        <v>15666665.69</v>
      </c>
      <c r="L4813" s="45"/>
      <c r="M4813" s="6"/>
    </row>
    <row r="4814" ht="15.75" customHeight="1">
      <c r="A4814" s="162">
        <v>46309.0</v>
      </c>
      <c r="B4814" s="50"/>
      <c r="C4814" s="31" t="s">
        <v>1183</v>
      </c>
      <c r="D4814" s="32" t="s">
        <v>15</v>
      </c>
      <c r="E4814" s="31" t="s">
        <v>5157</v>
      </c>
      <c r="F4814" s="161">
        <v>46321.0</v>
      </c>
      <c r="G4814" s="54">
        <v>1.293237359E7</v>
      </c>
      <c r="H4814" s="14">
        <f t="shared" si="11"/>
        <v>2715798.454</v>
      </c>
      <c r="I4814" s="22">
        <v>387971.21</v>
      </c>
      <c r="J4814" s="22"/>
      <c r="K4814" s="15">
        <f t="shared" si="12"/>
        <v>16036143.25</v>
      </c>
      <c r="L4814" s="45"/>
      <c r="M4814" s="6"/>
    </row>
    <row r="4815" ht="15.75" customHeight="1">
      <c r="A4815" s="162">
        <v>46309.0</v>
      </c>
      <c r="B4815" s="50"/>
      <c r="C4815" s="31" t="s">
        <v>1183</v>
      </c>
      <c r="D4815" s="32" t="s">
        <v>15</v>
      </c>
      <c r="E4815" s="31" t="s">
        <v>5158</v>
      </c>
      <c r="F4815" s="161">
        <v>46321.0</v>
      </c>
      <c r="G4815" s="54">
        <v>8922833.28</v>
      </c>
      <c r="H4815" s="14">
        <f t="shared" si="11"/>
        <v>1873794.989</v>
      </c>
      <c r="I4815" s="22">
        <v>267685.0</v>
      </c>
      <c r="J4815" s="22"/>
      <c r="K4815" s="15">
        <f t="shared" si="12"/>
        <v>11064313.27</v>
      </c>
      <c r="L4815" s="45"/>
      <c r="M4815" s="6"/>
    </row>
    <row r="4816" ht="15.75" customHeight="1">
      <c r="A4816" s="217">
        <v>46309.0</v>
      </c>
      <c r="B4816" s="56"/>
      <c r="C4816" s="57" t="s">
        <v>1183</v>
      </c>
      <c r="D4816" s="58" t="s">
        <v>15</v>
      </c>
      <c r="E4816" s="57" t="s">
        <v>5159</v>
      </c>
      <c r="F4816" s="255">
        <v>46321.0</v>
      </c>
      <c r="G4816" s="155">
        <v>1.263440722E7</v>
      </c>
      <c r="H4816" s="9">
        <f t="shared" si="11"/>
        <v>2653225.516</v>
      </c>
      <c r="I4816" s="44">
        <v>379032.22</v>
      </c>
      <c r="J4816" s="44"/>
      <c r="K4816" s="10">
        <f t="shared" si="12"/>
        <v>15666664.96</v>
      </c>
      <c r="L4816" s="61"/>
      <c r="M4816" s="62"/>
    </row>
    <row r="4817" ht="15.75" customHeight="1">
      <c r="A4817" s="217">
        <v>46309.0</v>
      </c>
      <c r="B4817" s="56"/>
      <c r="C4817" s="57" t="s">
        <v>1183</v>
      </c>
      <c r="D4817" s="58" t="s">
        <v>15</v>
      </c>
      <c r="E4817" s="57" t="s">
        <v>5160</v>
      </c>
      <c r="F4817" s="255">
        <v>46321.0</v>
      </c>
      <c r="G4817" s="155">
        <v>3495905.22</v>
      </c>
      <c r="H4817" s="9">
        <f t="shared" si="11"/>
        <v>734140.0962</v>
      </c>
      <c r="I4817" s="44">
        <v>104877.16</v>
      </c>
      <c r="J4817" s="44"/>
      <c r="K4817" s="10">
        <f t="shared" si="12"/>
        <v>4334922.476</v>
      </c>
      <c r="L4817" s="61"/>
      <c r="M4817" s="62"/>
    </row>
    <row r="4818" ht="15.75" customHeight="1">
      <c r="A4818" s="217">
        <v>46309.0</v>
      </c>
      <c r="B4818" s="56"/>
      <c r="C4818" s="57" t="s">
        <v>1183</v>
      </c>
      <c r="D4818" s="58" t="s">
        <v>15</v>
      </c>
      <c r="E4818" s="57" t="s">
        <v>5161</v>
      </c>
      <c r="F4818" s="255">
        <v>46321.0</v>
      </c>
      <c r="G4818" s="155">
        <v>3283866.95</v>
      </c>
      <c r="H4818" s="9">
        <f t="shared" si="11"/>
        <v>689612.0595</v>
      </c>
      <c r="I4818" s="44">
        <v>98516.01</v>
      </c>
      <c r="J4818" s="44"/>
      <c r="K4818" s="10">
        <f t="shared" si="12"/>
        <v>4071995.02</v>
      </c>
      <c r="L4818" s="61"/>
      <c r="M4818" s="62"/>
    </row>
    <row r="4819" ht="15.75" customHeight="1">
      <c r="A4819" s="217">
        <v>46309.0</v>
      </c>
      <c r="B4819" s="56"/>
      <c r="C4819" s="57" t="s">
        <v>1183</v>
      </c>
      <c r="D4819" s="58" t="s">
        <v>15</v>
      </c>
      <c r="E4819" s="57" t="s">
        <v>5162</v>
      </c>
      <c r="F4819" s="255">
        <v>46321.0</v>
      </c>
      <c r="G4819" s="155">
        <v>7182273.62</v>
      </c>
      <c r="H4819" s="9">
        <f t="shared" si="11"/>
        <v>1508277.46</v>
      </c>
      <c r="I4819" s="44">
        <v>215468.21</v>
      </c>
      <c r="J4819" s="44"/>
      <c r="K4819" s="10">
        <f t="shared" si="12"/>
        <v>8906019.29</v>
      </c>
      <c r="L4819" s="61"/>
      <c r="M4819" s="62"/>
    </row>
    <row r="4820" ht="15.75" customHeight="1">
      <c r="A4820" s="217">
        <v>46309.0</v>
      </c>
      <c r="B4820" s="56"/>
      <c r="C4820" s="57" t="s">
        <v>1183</v>
      </c>
      <c r="D4820" s="58" t="s">
        <v>15</v>
      </c>
      <c r="E4820" s="57" t="s">
        <v>5163</v>
      </c>
      <c r="F4820" s="255">
        <v>46321.0</v>
      </c>
      <c r="G4820" s="155">
        <v>4829273.66</v>
      </c>
      <c r="H4820" s="9">
        <f t="shared" si="11"/>
        <v>1014147.469</v>
      </c>
      <c r="I4820" s="44">
        <v>144878.21</v>
      </c>
      <c r="J4820" s="44"/>
      <c r="K4820" s="10">
        <f t="shared" si="12"/>
        <v>5988299.339</v>
      </c>
      <c r="L4820" s="61"/>
      <c r="M4820" s="62"/>
    </row>
    <row r="4821" ht="15.75" customHeight="1">
      <c r="A4821" s="162">
        <v>46309.0</v>
      </c>
      <c r="B4821" s="50"/>
      <c r="C4821" s="31" t="s">
        <v>1183</v>
      </c>
      <c r="D4821" s="32" t="s">
        <v>15</v>
      </c>
      <c r="E4821" s="31" t="s">
        <v>5164</v>
      </c>
      <c r="F4821" s="161">
        <v>46321.0</v>
      </c>
      <c r="G4821" s="54">
        <v>1.046081322E7</v>
      </c>
      <c r="H4821" s="14">
        <f t="shared" si="11"/>
        <v>2196770.776</v>
      </c>
      <c r="I4821" s="22">
        <v>313824.4</v>
      </c>
      <c r="J4821" s="22"/>
      <c r="K4821" s="15">
        <f t="shared" si="12"/>
        <v>12971408.4</v>
      </c>
      <c r="L4821" s="45"/>
      <c r="M4821" s="6"/>
    </row>
    <row r="4822" ht="15.75" customHeight="1">
      <c r="A4822" s="162">
        <v>46309.0</v>
      </c>
      <c r="B4822" s="50"/>
      <c r="C4822" s="31" t="s">
        <v>1183</v>
      </c>
      <c r="D4822" s="32" t="s">
        <v>15</v>
      </c>
      <c r="E4822" s="31" t="s">
        <v>5165</v>
      </c>
      <c r="F4822" s="161">
        <v>46321.0</v>
      </c>
      <c r="G4822" s="54">
        <v>7226333.77</v>
      </c>
      <c r="H4822" s="14">
        <f t="shared" si="11"/>
        <v>1517530.092</v>
      </c>
      <c r="I4822" s="22">
        <v>216790.01</v>
      </c>
      <c r="J4822" s="22"/>
      <c r="K4822" s="15">
        <f t="shared" si="12"/>
        <v>8960653.872</v>
      </c>
      <c r="L4822" s="45"/>
      <c r="M4822" s="6"/>
    </row>
    <row r="4823" ht="15.75" customHeight="1">
      <c r="A4823" s="162">
        <v>46309.0</v>
      </c>
      <c r="B4823" s="50"/>
      <c r="C4823" s="31" t="s">
        <v>1183</v>
      </c>
      <c r="D4823" s="32" t="s">
        <v>15</v>
      </c>
      <c r="E4823" s="31" t="s">
        <v>5166</v>
      </c>
      <c r="F4823" s="161">
        <v>46321.0</v>
      </c>
      <c r="G4823" s="54">
        <v>7901228.23</v>
      </c>
      <c r="H4823" s="14">
        <f t="shared" si="11"/>
        <v>1659257.928</v>
      </c>
      <c r="I4823" s="22">
        <v>237036.85</v>
      </c>
      <c r="J4823" s="22"/>
      <c r="K4823" s="15">
        <f t="shared" si="12"/>
        <v>9797523.008</v>
      </c>
      <c r="L4823" s="45"/>
      <c r="M4823" s="6"/>
    </row>
    <row r="4824" ht="15.75" customHeight="1">
      <c r="A4824" s="162">
        <v>46309.0</v>
      </c>
      <c r="B4824" s="50"/>
      <c r="C4824" s="31" t="s">
        <v>1183</v>
      </c>
      <c r="D4824" s="32" t="s">
        <v>15</v>
      </c>
      <c r="E4824" s="31" t="s">
        <v>5167</v>
      </c>
      <c r="F4824" s="161">
        <v>46321.0</v>
      </c>
      <c r="G4824" s="54">
        <v>1.262724715E7</v>
      </c>
      <c r="H4824" s="14">
        <f t="shared" si="11"/>
        <v>2651721.902</v>
      </c>
      <c r="I4824" s="22">
        <v>378817.41</v>
      </c>
      <c r="J4824" s="22"/>
      <c r="K4824" s="15">
        <f t="shared" si="12"/>
        <v>15657786.46</v>
      </c>
      <c r="L4824" s="45"/>
      <c r="M4824" s="6"/>
    </row>
    <row r="4825" ht="15.75" customHeight="1">
      <c r="A4825" s="162">
        <v>46309.0</v>
      </c>
      <c r="B4825" s="50"/>
      <c r="C4825" s="31" t="s">
        <v>1183</v>
      </c>
      <c r="D4825" s="32" t="s">
        <v>15</v>
      </c>
      <c r="E4825" s="31" t="s">
        <v>5168</v>
      </c>
      <c r="F4825" s="161">
        <v>46321.0</v>
      </c>
      <c r="G4825" s="54">
        <v>7162283.08</v>
      </c>
      <c r="H4825" s="14">
        <f t="shared" si="11"/>
        <v>1504079.447</v>
      </c>
      <c r="I4825" s="22">
        <v>214868.49</v>
      </c>
      <c r="J4825" s="22"/>
      <c r="K4825" s="15">
        <f t="shared" si="12"/>
        <v>8881231.017</v>
      </c>
      <c r="L4825" s="45"/>
      <c r="M4825" s="6"/>
    </row>
    <row r="4826" ht="15.75" customHeight="1">
      <c r="A4826" s="217">
        <v>46309.0</v>
      </c>
      <c r="B4826" s="56"/>
      <c r="C4826" s="57" t="s">
        <v>1183</v>
      </c>
      <c r="D4826" s="58" t="s">
        <v>15</v>
      </c>
      <c r="E4826" s="57" t="s">
        <v>5169</v>
      </c>
      <c r="F4826" s="255">
        <v>46321.0</v>
      </c>
      <c r="G4826" s="155">
        <v>1.271112985E7</v>
      </c>
      <c r="H4826" s="9">
        <f t="shared" si="11"/>
        <v>2669337.269</v>
      </c>
      <c r="I4826" s="44">
        <v>381333.9</v>
      </c>
      <c r="J4826" s="44"/>
      <c r="K4826" s="10">
        <f t="shared" si="12"/>
        <v>15761801.02</v>
      </c>
      <c r="L4826" s="61"/>
      <c r="M4826" s="62"/>
    </row>
    <row r="4827" ht="15.75" customHeight="1">
      <c r="A4827" s="217">
        <v>46309.0</v>
      </c>
      <c r="B4827" s="56"/>
      <c r="C4827" s="57" t="s">
        <v>4765</v>
      </c>
      <c r="D4827" s="58" t="s">
        <v>99</v>
      </c>
      <c r="E4827" s="58" t="s">
        <v>5170</v>
      </c>
      <c r="F4827" s="255">
        <v>46321.0</v>
      </c>
      <c r="G4827" s="155">
        <v>1.723690188E7</v>
      </c>
      <c r="H4827" s="9">
        <f t="shared" si="11"/>
        <v>3619749.395</v>
      </c>
      <c r="I4827" s="44">
        <v>517107.06</v>
      </c>
      <c r="J4827" s="44"/>
      <c r="K4827" s="10">
        <f t="shared" si="12"/>
        <v>21373758.33</v>
      </c>
      <c r="L4827" s="61"/>
      <c r="M4827" s="62"/>
    </row>
    <row r="4828" ht="15.75" customHeight="1">
      <c r="A4828" s="217">
        <v>46309.0</v>
      </c>
      <c r="B4828" s="56"/>
      <c r="C4828" s="57" t="s">
        <v>4765</v>
      </c>
      <c r="D4828" s="58" t="s">
        <v>99</v>
      </c>
      <c r="E4828" s="58" t="s">
        <v>5171</v>
      </c>
      <c r="F4828" s="255">
        <v>46321.0</v>
      </c>
      <c r="G4828" s="155">
        <v>2.712525311E7</v>
      </c>
      <c r="H4828" s="9">
        <f t="shared" si="11"/>
        <v>5696303.153</v>
      </c>
      <c r="I4828" s="44">
        <v>813757.59</v>
      </c>
      <c r="J4828" s="44"/>
      <c r="K4828" s="10">
        <f t="shared" si="12"/>
        <v>33635313.85</v>
      </c>
      <c r="L4828" s="61"/>
      <c r="M4828" s="62"/>
    </row>
    <row r="4829" ht="15.75" customHeight="1">
      <c r="A4829" s="217">
        <v>46309.0</v>
      </c>
      <c r="B4829" s="56"/>
      <c r="C4829" s="57" t="s">
        <v>4765</v>
      </c>
      <c r="D4829" s="58" t="s">
        <v>99</v>
      </c>
      <c r="E4829" s="58" t="s">
        <v>5172</v>
      </c>
      <c r="F4829" s="255">
        <v>46321.0</v>
      </c>
      <c r="G4829" s="155">
        <v>3.872363312E7</v>
      </c>
      <c r="H4829" s="9">
        <f t="shared" si="11"/>
        <v>8131962.955</v>
      </c>
      <c r="I4829" s="44">
        <v>1161708.99</v>
      </c>
      <c r="J4829" s="44"/>
      <c r="K4829" s="10">
        <f t="shared" si="12"/>
        <v>48017305.07</v>
      </c>
      <c r="L4829" s="61"/>
      <c r="M4829" s="62"/>
    </row>
    <row r="4830" ht="15.75" customHeight="1">
      <c r="A4830" s="217">
        <v>46309.0</v>
      </c>
      <c r="B4830" s="56"/>
      <c r="C4830" s="57" t="s">
        <v>4765</v>
      </c>
      <c r="D4830" s="58" t="s">
        <v>99</v>
      </c>
      <c r="E4830" s="58" t="s">
        <v>5173</v>
      </c>
      <c r="F4830" s="255">
        <v>46321.0</v>
      </c>
      <c r="G4830" s="155">
        <v>3.101012956E7</v>
      </c>
      <c r="H4830" s="9">
        <f t="shared" si="11"/>
        <v>6512127.208</v>
      </c>
      <c r="I4830" s="44">
        <v>930303.89</v>
      </c>
      <c r="J4830" s="44"/>
      <c r="K4830" s="10">
        <f t="shared" si="12"/>
        <v>38452560.66</v>
      </c>
      <c r="L4830" s="61"/>
      <c r="M4830" s="62"/>
    </row>
    <row r="4831" ht="15.75" customHeight="1">
      <c r="A4831" s="217">
        <v>46309.0</v>
      </c>
      <c r="B4831" s="56"/>
      <c r="C4831" s="57" t="s">
        <v>4765</v>
      </c>
      <c r="D4831" s="58" t="s">
        <v>99</v>
      </c>
      <c r="E4831" s="58" t="s">
        <v>5174</v>
      </c>
      <c r="F4831" s="255">
        <v>46321.0</v>
      </c>
      <c r="G4831" s="155">
        <v>1.563364482E7</v>
      </c>
      <c r="H4831" s="9">
        <f t="shared" si="11"/>
        <v>3283065.412</v>
      </c>
      <c r="I4831" s="44">
        <v>469009.34</v>
      </c>
      <c r="J4831" s="44"/>
      <c r="K4831" s="10">
        <f t="shared" si="12"/>
        <v>19385719.57</v>
      </c>
      <c r="L4831" s="61"/>
      <c r="M4831" s="62"/>
    </row>
    <row r="4832" ht="15.75" customHeight="1">
      <c r="A4832" s="217">
        <v>46309.0</v>
      </c>
      <c r="B4832" s="56"/>
      <c r="C4832" s="57" t="s">
        <v>4765</v>
      </c>
      <c r="D4832" s="58" t="s">
        <v>99</v>
      </c>
      <c r="E4832" s="58" t="s">
        <v>5175</v>
      </c>
      <c r="F4832" s="255">
        <v>46321.0</v>
      </c>
      <c r="G4832" s="155">
        <v>1.028402063E7</v>
      </c>
      <c r="H4832" s="9">
        <f t="shared" si="11"/>
        <v>2159644.332</v>
      </c>
      <c r="I4832" s="44">
        <v>308520.62</v>
      </c>
      <c r="J4832" s="44"/>
      <c r="K4832" s="10">
        <f t="shared" si="12"/>
        <v>12752185.58</v>
      </c>
      <c r="L4832" s="61"/>
      <c r="M4832" s="62"/>
    </row>
    <row r="4833" ht="15.75" customHeight="1">
      <c r="A4833" s="217">
        <v>46310.0</v>
      </c>
      <c r="B4833" s="56"/>
      <c r="C4833" s="57" t="s">
        <v>4765</v>
      </c>
      <c r="D4833" s="58" t="s">
        <v>99</v>
      </c>
      <c r="E4833" s="58" t="s">
        <v>5034</v>
      </c>
      <c r="F4833" s="255">
        <v>46321.0</v>
      </c>
      <c r="G4833" s="155">
        <v>-1.028402063E7</v>
      </c>
      <c r="H4833" s="9">
        <f t="shared" si="11"/>
        <v>-2159644.332</v>
      </c>
      <c r="I4833" s="44">
        <v>-308520.62</v>
      </c>
      <c r="J4833" s="44"/>
      <c r="K4833" s="10">
        <f t="shared" si="12"/>
        <v>-12752185.58</v>
      </c>
      <c r="L4833" s="61"/>
      <c r="M4833" s="62"/>
    </row>
    <row r="4834" ht="15.75" customHeight="1">
      <c r="A4834" s="217">
        <v>46310.0</v>
      </c>
      <c r="B4834" s="56"/>
      <c r="C4834" s="57" t="s">
        <v>4765</v>
      </c>
      <c r="D4834" s="58" t="s">
        <v>99</v>
      </c>
      <c r="E4834" s="58" t="s">
        <v>5176</v>
      </c>
      <c r="F4834" s="255">
        <v>46321.0</v>
      </c>
      <c r="G4834" s="155">
        <v>-1.563364482E7</v>
      </c>
      <c r="H4834" s="9">
        <f t="shared" si="11"/>
        <v>-3283065.412</v>
      </c>
      <c r="I4834" s="44">
        <v>-469009.34</v>
      </c>
      <c r="J4834" s="44"/>
      <c r="K4834" s="10">
        <f t="shared" si="12"/>
        <v>-19385719.57</v>
      </c>
      <c r="L4834" s="61"/>
      <c r="M4834" s="62"/>
    </row>
    <row r="4835" ht="15.75" customHeight="1">
      <c r="A4835" s="217">
        <v>46310.0</v>
      </c>
      <c r="B4835" s="56"/>
      <c r="C4835" s="57" t="s">
        <v>4765</v>
      </c>
      <c r="D4835" s="58" t="s">
        <v>99</v>
      </c>
      <c r="E4835" s="58" t="s">
        <v>3926</v>
      </c>
      <c r="F4835" s="255">
        <v>46321.0</v>
      </c>
      <c r="G4835" s="155">
        <v>-3.101012956E7</v>
      </c>
      <c r="H4835" s="9">
        <f t="shared" si="11"/>
        <v>-6512127.208</v>
      </c>
      <c r="I4835" s="44">
        <v>-930303.89</v>
      </c>
      <c r="J4835" s="44"/>
      <c r="K4835" s="10">
        <f t="shared" si="12"/>
        <v>-38452560.66</v>
      </c>
      <c r="L4835" s="61"/>
      <c r="M4835" s="62"/>
    </row>
    <row r="4836" ht="15.75" customHeight="1">
      <c r="A4836" s="217">
        <v>46310.0</v>
      </c>
      <c r="B4836" s="56"/>
      <c r="C4836" s="57" t="s">
        <v>4765</v>
      </c>
      <c r="D4836" s="58" t="s">
        <v>99</v>
      </c>
      <c r="E4836" s="58" t="s">
        <v>5177</v>
      </c>
      <c r="F4836" s="255">
        <v>46321.0</v>
      </c>
      <c r="G4836" s="155">
        <v>-3.872363312E7</v>
      </c>
      <c r="H4836" s="9">
        <f t="shared" si="11"/>
        <v>-8131962.955</v>
      </c>
      <c r="I4836" s="44">
        <v>-1161708.99</v>
      </c>
      <c r="J4836" s="44"/>
      <c r="K4836" s="10">
        <f t="shared" si="12"/>
        <v>-48017305.07</v>
      </c>
      <c r="L4836" s="61"/>
      <c r="M4836" s="62"/>
    </row>
    <row r="4837" ht="15.75" customHeight="1">
      <c r="A4837" s="217">
        <v>46310.0</v>
      </c>
      <c r="B4837" s="56"/>
      <c r="C4837" s="57" t="s">
        <v>4765</v>
      </c>
      <c r="D4837" s="58" t="s">
        <v>99</v>
      </c>
      <c r="E4837" s="58" t="s">
        <v>5178</v>
      </c>
      <c r="F4837" s="255">
        <v>46321.0</v>
      </c>
      <c r="G4837" s="155">
        <v>-2.712525311E7</v>
      </c>
      <c r="H4837" s="9">
        <f t="shared" si="11"/>
        <v>-5696303.153</v>
      </c>
      <c r="I4837" s="44">
        <v>-813757.59</v>
      </c>
      <c r="J4837" s="44"/>
      <c r="K4837" s="10">
        <f t="shared" si="12"/>
        <v>-33635313.85</v>
      </c>
      <c r="L4837" s="61"/>
      <c r="M4837" s="62"/>
    </row>
    <row r="4838" ht="15.75" customHeight="1">
      <c r="A4838" s="217">
        <v>46310.0</v>
      </c>
      <c r="B4838" s="56"/>
      <c r="C4838" s="57" t="s">
        <v>4765</v>
      </c>
      <c r="D4838" s="58" t="s">
        <v>99</v>
      </c>
      <c r="E4838" s="58" t="s">
        <v>5179</v>
      </c>
      <c r="F4838" s="255">
        <v>46321.0</v>
      </c>
      <c r="G4838" s="155">
        <v>-1.723690188E7</v>
      </c>
      <c r="H4838" s="9">
        <f t="shared" si="11"/>
        <v>-3619749.395</v>
      </c>
      <c r="I4838" s="44">
        <v>-517107.06</v>
      </c>
      <c r="J4838" s="44"/>
      <c r="K4838" s="10">
        <f t="shared" si="12"/>
        <v>-21373758.33</v>
      </c>
      <c r="L4838" s="61"/>
      <c r="M4838" s="62"/>
    </row>
    <row r="4839" ht="15.75" customHeight="1">
      <c r="A4839" s="217">
        <v>46310.0</v>
      </c>
      <c r="B4839" s="56"/>
      <c r="C4839" s="57" t="s">
        <v>5180</v>
      </c>
      <c r="D4839" s="58" t="s">
        <v>99</v>
      </c>
      <c r="E4839" s="58" t="s">
        <v>5181</v>
      </c>
      <c r="F4839" s="255">
        <v>46321.0</v>
      </c>
      <c r="G4839" s="155">
        <v>1.563364482E7</v>
      </c>
      <c r="H4839" s="9">
        <f t="shared" si="11"/>
        <v>3283065.412</v>
      </c>
      <c r="I4839" s="44">
        <v>469009.34</v>
      </c>
      <c r="J4839" s="44"/>
      <c r="K4839" s="10">
        <f t="shared" si="12"/>
        <v>19385719.57</v>
      </c>
      <c r="L4839" s="61"/>
      <c r="M4839" s="62"/>
    </row>
    <row r="4840" ht="15.75" customHeight="1">
      <c r="A4840" s="217">
        <v>46310.0</v>
      </c>
      <c r="B4840" s="56"/>
      <c r="C4840" s="57" t="s">
        <v>5180</v>
      </c>
      <c r="D4840" s="58" t="s">
        <v>99</v>
      </c>
      <c r="E4840" s="58" t="s">
        <v>5182</v>
      </c>
      <c r="F4840" s="255">
        <v>46321.0</v>
      </c>
      <c r="G4840" s="155">
        <v>1.028402063E7</v>
      </c>
      <c r="H4840" s="9">
        <f t="shared" si="11"/>
        <v>2159644.332</v>
      </c>
      <c r="I4840" s="44">
        <v>308520.62</v>
      </c>
      <c r="J4840" s="44"/>
      <c r="K4840" s="10">
        <f t="shared" si="12"/>
        <v>12752185.58</v>
      </c>
      <c r="L4840" s="61"/>
      <c r="M4840" s="62"/>
    </row>
    <row r="4841" ht="15.75" customHeight="1">
      <c r="A4841" s="217">
        <v>46310.0</v>
      </c>
      <c r="B4841" s="56"/>
      <c r="C4841" s="57" t="s">
        <v>5180</v>
      </c>
      <c r="D4841" s="58" t="s">
        <v>99</v>
      </c>
      <c r="E4841" s="58" t="s">
        <v>5183</v>
      </c>
      <c r="F4841" s="255">
        <v>46321.0</v>
      </c>
      <c r="G4841" s="155">
        <v>1.723690188E7</v>
      </c>
      <c r="H4841" s="9">
        <f t="shared" si="11"/>
        <v>3619749.395</v>
      </c>
      <c r="I4841" s="44">
        <v>517107.06</v>
      </c>
      <c r="J4841" s="44"/>
      <c r="K4841" s="10">
        <f t="shared" si="12"/>
        <v>21373758.33</v>
      </c>
      <c r="L4841" s="61"/>
      <c r="M4841" s="62"/>
    </row>
    <row r="4842" ht="15.75" customHeight="1">
      <c r="A4842" s="217">
        <v>46310.0</v>
      </c>
      <c r="B4842" s="56"/>
      <c r="C4842" s="57" t="s">
        <v>5180</v>
      </c>
      <c r="D4842" s="58" t="s">
        <v>99</v>
      </c>
      <c r="E4842" s="58" t="s">
        <v>5184</v>
      </c>
      <c r="F4842" s="255">
        <v>46321.0</v>
      </c>
      <c r="G4842" s="155">
        <v>2.712525311E7</v>
      </c>
      <c r="H4842" s="9">
        <f t="shared" si="11"/>
        <v>5696303.153</v>
      </c>
      <c r="I4842" s="44">
        <v>813757.59</v>
      </c>
      <c r="J4842" s="44"/>
      <c r="K4842" s="10">
        <f t="shared" si="12"/>
        <v>33635313.85</v>
      </c>
      <c r="L4842" s="61"/>
      <c r="M4842" s="62"/>
    </row>
    <row r="4843" ht="15.75" customHeight="1">
      <c r="A4843" s="217">
        <v>46310.0</v>
      </c>
      <c r="B4843" s="56"/>
      <c r="C4843" s="57" t="s">
        <v>5180</v>
      </c>
      <c r="D4843" s="58" t="s">
        <v>99</v>
      </c>
      <c r="E4843" s="58" t="s">
        <v>5185</v>
      </c>
      <c r="F4843" s="255">
        <v>46321.0</v>
      </c>
      <c r="G4843" s="155">
        <v>3.872363312E7</v>
      </c>
      <c r="H4843" s="9">
        <f t="shared" si="11"/>
        <v>8131962.955</v>
      </c>
      <c r="I4843" s="44">
        <v>1161708.99</v>
      </c>
      <c r="J4843" s="44"/>
      <c r="K4843" s="10">
        <f t="shared" si="12"/>
        <v>48017305.07</v>
      </c>
      <c r="L4843" s="61"/>
      <c r="M4843" s="62"/>
    </row>
    <row r="4844" ht="15.75" customHeight="1">
      <c r="A4844" s="217">
        <v>46310.0</v>
      </c>
      <c r="B4844" s="56"/>
      <c r="C4844" s="57" t="s">
        <v>5180</v>
      </c>
      <c r="D4844" s="58" t="s">
        <v>99</v>
      </c>
      <c r="E4844" s="58" t="s">
        <v>5186</v>
      </c>
      <c r="F4844" s="255">
        <v>46321.0</v>
      </c>
      <c r="G4844" s="155">
        <v>3.101012956E7</v>
      </c>
      <c r="H4844" s="9">
        <f t="shared" si="11"/>
        <v>6512127.208</v>
      </c>
      <c r="I4844" s="44">
        <v>930303.89</v>
      </c>
      <c r="J4844" s="44"/>
      <c r="K4844" s="10">
        <f t="shared" si="12"/>
        <v>38452560.66</v>
      </c>
      <c r="L4844" s="61"/>
      <c r="M4844" s="62"/>
    </row>
    <row r="4845" ht="15.75" customHeight="1">
      <c r="A4845" s="217">
        <v>46310.0</v>
      </c>
      <c r="B4845" s="56"/>
      <c r="C4845" s="57" t="s">
        <v>4880</v>
      </c>
      <c r="D4845" s="58" t="s">
        <v>99</v>
      </c>
      <c r="E4845" s="57" t="s">
        <v>5187</v>
      </c>
      <c r="F4845" s="255">
        <v>46321.0</v>
      </c>
      <c r="G4845" s="155">
        <v>1.700210804E7</v>
      </c>
      <c r="H4845" s="9">
        <f t="shared" si="11"/>
        <v>3570442.688</v>
      </c>
      <c r="I4845" s="44"/>
      <c r="J4845" s="44">
        <v>221027.4</v>
      </c>
      <c r="K4845" s="10">
        <f t="shared" si="12"/>
        <v>20793578.13</v>
      </c>
      <c r="L4845" s="61"/>
      <c r="M4845" s="62"/>
    </row>
    <row r="4846" ht="15.75" customHeight="1">
      <c r="A4846" s="217">
        <v>46310.0</v>
      </c>
      <c r="B4846" s="56"/>
      <c r="C4846" s="57" t="s">
        <v>4880</v>
      </c>
      <c r="D4846" s="58" t="s">
        <v>99</v>
      </c>
      <c r="E4846" s="57" t="s">
        <v>5188</v>
      </c>
      <c r="F4846" s="255">
        <v>46321.0</v>
      </c>
      <c r="G4846" s="155">
        <v>1.422633308E7</v>
      </c>
      <c r="H4846" s="9">
        <f t="shared" si="11"/>
        <v>2987529.947</v>
      </c>
      <c r="I4846" s="44"/>
      <c r="J4846" s="44">
        <v>184942.33</v>
      </c>
      <c r="K4846" s="10">
        <f t="shared" si="12"/>
        <v>17398805.36</v>
      </c>
      <c r="L4846" s="61"/>
      <c r="M4846" s="62"/>
    </row>
    <row r="4847" ht="15.75" customHeight="1">
      <c r="A4847" s="217">
        <v>46310.0</v>
      </c>
      <c r="B4847" s="56"/>
      <c r="C4847" s="57" t="s">
        <v>4880</v>
      </c>
      <c r="D4847" s="58" t="s">
        <v>15</v>
      </c>
      <c r="E4847" s="57" t="s">
        <v>5189</v>
      </c>
      <c r="F4847" s="255">
        <v>46321.0</v>
      </c>
      <c r="G4847" s="155">
        <v>1.533422422E7</v>
      </c>
      <c r="H4847" s="9">
        <f t="shared" si="11"/>
        <v>3220187.086</v>
      </c>
      <c r="I4847" s="44"/>
      <c r="J4847" s="44">
        <v>199344.91</v>
      </c>
      <c r="K4847" s="10">
        <f t="shared" si="12"/>
        <v>18753756.22</v>
      </c>
      <c r="L4847" s="61"/>
      <c r="M4847" s="62"/>
    </row>
    <row r="4848" ht="15.75" customHeight="1">
      <c r="A4848" s="217">
        <v>46310.0</v>
      </c>
      <c r="B4848" s="56"/>
      <c r="C4848" s="57" t="s">
        <v>4880</v>
      </c>
      <c r="D4848" s="58" t="s">
        <v>15</v>
      </c>
      <c r="E4848" s="57" t="s">
        <v>5190</v>
      </c>
      <c r="F4848" s="255">
        <v>46321.0</v>
      </c>
      <c r="G4848" s="155">
        <v>1.792202229E7</v>
      </c>
      <c r="H4848" s="9">
        <f t="shared" si="11"/>
        <v>3763624.681</v>
      </c>
      <c r="I4848" s="44"/>
      <c r="J4848" s="44">
        <v>232986.29</v>
      </c>
      <c r="K4848" s="10">
        <f t="shared" si="12"/>
        <v>21918633.26</v>
      </c>
      <c r="L4848" s="61"/>
      <c r="M4848" s="62"/>
    </row>
    <row r="4849" ht="15.75" customHeight="1">
      <c r="A4849" s="217">
        <v>46310.0</v>
      </c>
      <c r="B4849" s="56"/>
      <c r="C4849" s="57" t="s">
        <v>2346</v>
      </c>
      <c r="D4849" s="58" t="s">
        <v>15</v>
      </c>
      <c r="E4849" s="57" t="s">
        <v>5191</v>
      </c>
      <c r="F4849" s="255">
        <v>46321.0</v>
      </c>
      <c r="G4849" s="155">
        <v>1.600012046E7</v>
      </c>
      <c r="H4849" s="9">
        <f t="shared" si="11"/>
        <v>3360025.297</v>
      </c>
      <c r="I4849" s="44"/>
      <c r="J4849" s="44">
        <v>256001.93</v>
      </c>
      <c r="K4849" s="10">
        <f t="shared" si="12"/>
        <v>19616147.69</v>
      </c>
      <c r="L4849" s="61"/>
      <c r="M4849" s="62"/>
    </row>
    <row r="4850" ht="15.75" customHeight="1">
      <c r="A4850" s="217">
        <v>46310.0</v>
      </c>
      <c r="B4850" s="56"/>
      <c r="C4850" s="57" t="s">
        <v>2346</v>
      </c>
      <c r="D4850" s="58" t="s">
        <v>15</v>
      </c>
      <c r="E4850" s="58" t="s">
        <v>5192</v>
      </c>
      <c r="F4850" s="255">
        <v>46321.0</v>
      </c>
      <c r="G4850" s="155">
        <v>1.391822346E7</v>
      </c>
      <c r="H4850" s="9">
        <f t="shared" si="11"/>
        <v>2922826.927</v>
      </c>
      <c r="I4850" s="44"/>
      <c r="J4850" s="44">
        <v>222691.58</v>
      </c>
      <c r="K4850" s="10">
        <f t="shared" si="12"/>
        <v>17063741.97</v>
      </c>
      <c r="L4850" s="61"/>
      <c r="M4850" s="62"/>
    </row>
    <row r="4851" ht="15.75" customHeight="1">
      <c r="A4851" s="217">
        <v>46310.0</v>
      </c>
      <c r="B4851" s="56"/>
      <c r="C4851" s="57" t="s">
        <v>2346</v>
      </c>
      <c r="D4851" s="58" t="s">
        <v>15</v>
      </c>
      <c r="E4851" s="58" t="s">
        <v>5193</v>
      </c>
      <c r="F4851" s="255">
        <v>46321.0</v>
      </c>
      <c r="G4851" s="155">
        <v>1.299227308E7</v>
      </c>
      <c r="H4851" s="9">
        <f t="shared" si="11"/>
        <v>2728377.347</v>
      </c>
      <c r="I4851" s="44"/>
      <c r="J4851" s="44">
        <v>207876.37</v>
      </c>
      <c r="K4851" s="10">
        <f t="shared" si="12"/>
        <v>15928526.8</v>
      </c>
      <c r="L4851" s="61"/>
      <c r="M4851" s="62"/>
    </row>
    <row r="4852" ht="15.75" customHeight="1">
      <c r="A4852" s="217">
        <v>46310.0</v>
      </c>
      <c r="B4852" s="56"/>
      <c r="C4852" s="57" t="s">
        <v>2346</v>
      </c>
      <c r="D4852" s="58" t="s">
        <v>15</v>
      </c>
      <c r="E4852" s="58" t="s">
        <v>5194</v>
      </c>
      <c r="F4852" s="255">
        <v>46321.0</v>
      </c>
      <c r="G4852" s="155">
        <v>2.100283308E7</v>
      </c>
      <c r="H4852" s="9">
        <f t="shared" si="11"/>
        <v>4410594.947</v>
      </c>
      <c r="I4852" s="44"/>
      <c r="J4852" s="44">
        <v>336045.33</v>
      </c>
      <c r="K4852" s="10">
        <f t="shared" si="12"/>
        <v>25749473.36</v>
      </c>
      <c r="L4852" s="61"/>
      <c r="M4852" s="62"/>
    </row>
    <row r="4853" ht="15.75" customHeight="1">
      <c r="A4853" s="217">
        <v>46310.0</v>
      </c>
      <c r="B4853" s="56"/>
      <c r="C4853" s="57" t="s">
        <v>2346</v>
      </c>
      <c r="D4853" s="58" t="s">
        <v>15</v>
      </c>
      <c r="E4853" s="58" t="s">
        <v>5195</v>
      </c>
      <c r="F4853" s="255">
        <v>46321.0</v>
      </c>
      <c r="G4853" s="155">
        <v>1.922633308E7</v>
      </c>
      <c r="H4853" s="9">
        <f t="shared" si="11"/>
        <v>4037529.947</v>
      </c>
      <c r="I4853" s="44"/>
      <c r="J4853" s="44">
        <v>307621.33</v>
      </c>
      <c r="K4853" s="10">
        <f t="shared" si="12"/>
        <v>23571484.36</v>
      </c>
      <c r="L4853" s="61"/>
      <c r="M4853" s="62"/>
    </row>
    <row r="4854" ht="15.75" customHeight="1">
      <c r="A4854" s="217">
        <v>46310.0</v>
      </c>
      <c r="B4854" s="56"/>
      <c r="C4854" s="57" t="s">
        <v>2346</v>
      </c>
      <c r="D4854" s="58" t="s">
        <v>15</v>
      </c>
      <c r="E4854" s="58" t="s">
        <v>5196</v>
      </c>
      <c r="F4854" s="255">
        <v>46321.0</v>
      </c>
      <c r="G4854" s="155">
        <v>6502446.5</v>
      </c>
      <c r="H4854" s="9">
        <f t="shared" si="11"/>
        <v>1365513.765</v>
      </c>
      <c r="I4854" s="44"/>
      <c r="J4854" s="44"/>
      <c r="K4854" s="10">
        <f t="shared" si="12"/>
        <v>7867960.265</v>
      </c>
      <c r="L4854" s="61"/>
      <c r="M4854" s="62"/>
    </row>
    <row r="4855" ht="15.75" customHeight="1">
      <c r="A4855" s="217">
        <v>46310.0</v>
      </c>
      <c r="B4855" s="56"/>
      <c r="C4855" s="57" t="s">
        <v>2346</v>
      </c>
      <c r="D4855" s="58" t="s">
        <v>15</v>
      </c>
      <c r="E4855" s="58" t="s">
        <v>5197</v>
      </c>
      <c r="F4855" s="255">
        <v>46321.0</v>
      </c>
      <c r="G4855" s="155">
        <v>1.372265311E7</v>
      </c>
      <c r="H4855" s="9">
        <f t="shared" si="11"/>
        <v>2881757.153</v>
      </c>
      <c r="I4855" s="44"/>
      <c r="J4855" s="44">
        <v>219562.45</v>
      </c>
      <c r="K4855" s="10">
        <f t="shared" si="12"/>
        <v>16823972.71</v>
      </c>
      <c r="L4855" s="61"/>
      <c r="M4855" s="62"/>
    </row>
    <row r="4856" ht="15.75" customHeight="1">
      <c r="A4856" s="162">
        <v>46311.0</v>
      </c>
      <c r="B4856" s="50"/>
      <c r="C4856" s="31" t="s">
        <v>5198</v>
      </c>
      <c r="D4856" s="32" t="s">
        <v>1543</v>
      </c>
      <c r="E4856" s="32" t="s">
        <v>5199</v>
      </c>
      <c r="F4856" s="161">
        <v>46321.0</v>
      </c>
      <c r="G4856" s="207">
        <v>8323059.26</v>
      </c>
      <c r="H4856" s="14">
        <f t="shared" si="11"/>
        <v>1747842.445</v>
      </c>
      <c r="I4856" s="22"/>
      <c r="J4856" s="22"/>
      <c r="K4856" s="15">
        <f t="shared" si="12"/>
        <v>10070901.7</v>
      </c>
      <c r="L4856" s="45"/>
      <c r="M4856" s="6"/>
    </row>
    <row r="4857" ht="15.75" customHeight="1">
      <c r="A4857" s="217">
        <v>46311.0</v>
      </c>
      <c r="B4857" s="56"/>
      <c r="C4857" s="57" t="s">
        <v>5200</v>
      </c>
      <c r="D4857" s="58" t="s">
        <v>1543</v>
      </c>
      <c r="E4857" s="58" t="s">
        <v>5201</v>
      </c>
      <c r="F4857" s="255">
        <v>46321.0</v>
      </c>
      <c r="G4857" s="206">
        <v>8345059.26</v>
      </c>
      <c r="H4857" s="9">
        <f t="shared" si="11"/>
        <v>1752462.445</v>
      </c>
      <c r="I4857" s="44"/>
      <c r="J4857" s="44"/>
      <c r="K4857" s="10">
        <f t="shared" si="12"/>
        <v>10097521.7</v>
      </c>
      <c r="L4857" s="61"/>
      <c r="M4857" s="62"/>
    </row>
    <row r="4858" ht="15.75" customHeight="1">
      <c r="A4858" s="162">
        <v>46311.0</v>
      </c>
      <c r="B4858" s="50"/>
      <c r="C4858" s="31" t="s">
        <v>1285</v>
      </c>
      <c r="D4858" s="32" t="s">
        <v>15</v>
      </c>
      <c r="E4858" s="31" t="s">
        <v>5202</v>
      </c>
      <c r="F4858" s="161">
        <v>46321.0</v>
      </c>
      <c r="G4858" s="54">
        <v>5006590.43</v>
      </c>
      <c r="H4858" s="14">
        <f t="shared" si="11"/>
        <v>1051383.99</v>
      </c>
      <c r="I4858" s="22"/>
      <c r="J4858" s="22"/>
      <c r="K4858" s="15">
        <f t="shared" si="12"/>
        <v>6057974.42</v>
      </c>
      <c r="L4858" s="45"/>
      <c r="M4858" s="6"/>
    </row>
    <row r="4859" ht="15.75" customHeight="1">
      <c r="A4859" s="115">
        <v>46314.0</v>
      </c>
      <c r="B4859" s="50"/>
      <c r="C4859" s="32" t="s">
        <v>4804</v>
      </c>
      <c r="D4859" s="32" t="s">
        <v>5203</v>
      </c>
      <c r="E4859" s="32" t="s">
        <v>5204</v>
      </c>
      <c r="F4859" s="161">
        <v>46321.0</v>
      </c>
      <c r="G4859" s="54">
        <v>3.673094582E7</v>
      </c>
      <c r="H4859" s="14">
        <f t="shared" si="11"/>
        <v>7713498.622</v>
      </c>
      <c r="I4859" s="22"/>
      <c r="J4859" s="22"/>
      <c r="K4859" s="15">
        <f t="shared" si="12"/>
        <v>44444444.44</v>
      </c>
      <c r="L4859" s="45"/>
      <c r="M4859" s="6"/>
    </row>
    <row r="4860" ht="15.75" customHeight="1">
      <c r="A4860" s="127">
        <v>46314.0</v>
      </c>
      <c r="B4860" s="56"/>
      <c r="C4860" s="57" t="s">
        <v>3385</v>
      </c>
      <c r="D4860" s="58" t="s">
        <v>15</v>
      </c>
      <c r="E4860" s="57" t="s">
        <v>5205</v>
      </c>
      <c r="F4860" s="255">
        <v>46321.0</v>
      </c>
      <c r="G4860" s="155">
        <v>4485720.84</v>
      </c>
      <c r="H4860" s="9">
        <f t="shared" si="11"/>
        <v>942001.3764</v>
      </c>
      <c r="I4860" s="44"/>
      <c r="J4860" s="44"/>
      <c r="K4860" s="10">
        <f t="shared" si="12"/>
        <v>5427722.216</v>
      </c>
      <c r="L4860" s="61"/>
      <c r="M4860" s="62"/>
    </row>
    <row r="4861" ht="15.75" customHeight="1">
      <c r="A4861" s="127">
        <v>46314.0</v>
      </c>
      <c r="B4861" s="56"/>
      <c r="C4861" s="57" t="s">
        <v>4914</v>
      </c>
      <c r="D4861" s="58" t="s">
        <v>99</v>
      </c>
      <c r="E4861" s="57" t="s">
        <v>5206</v>
      </c>
      <c r="F4861" s="255">
        <v>46321.0</v>
      </c>
      <c r="G4861" s="155">
        <f>31460994.81/1.21</f>
        <v>26000822.16</v>
      </c>
      <c r="H4861" s="9">
        <f t="shared" si="11"/>
        <v>5460172.653</v>
      </c>
      <c r="I4861" s="44"/>
      <c r="J4861" s="44"/>
      <c r="K4861" s="10">
        <f t="shared" si="12"/>
        <v>31460994.81</v>
      </c>
      <c r="L4861" s="61"/>
      <c r="M4861" s="62"/>
    </row>
    <row r="4862" ht="15.75" customHeight="1">
      <c r="A4862" s="127">
        <v>46314.0</v>
      </c>
      <c r="B4862" s="56"/>
      <c r="C4862" s="57" t="s">
        <v>1277</v>
      </c>
      <c r="D4862" s="58" t="s">
        <v>15</v>
      </c>
      <c r="E4862" s="57" t="s">
        <v>5207</v>
      </c>
      <c r="F4862" s="255">
        <v>46321.0</v>
      </c>
      <c r="G4862" s="155">
        <v>2810950.08</v>
      </c>
      <c r="H4862" s="9">
        <f t="shared" si="11"/>
        <v>590299.5168</v>
      </c>
      <c r="I4862" s="44">
        <v>84328.5</v>
      </c>
      <c r="J4862" s="44"/>
      <c r="K4862" s="10">
        <f t="shared" si="12"/>
        <v>3485578.097</v>
      </c>
      <c r="L4862" s="61"/>
      <c r="M4862" s="62"/>
    </row>
    <row r="4863" ht="15.75" customHeight="1">
      <c r="A4863" s="127">
        <v>46314.0</v>
      </c>
      <c r="B4863" s="56"/>
      <c r="C4863" s="57" t="s">
        <v>1279</v>
      </c>
      <c r="D4863" s="58" t="s">
        <v>15</v>
      </c>
      <c r="E4863" s="57" t="s">
        <v>5208</v>
      </c>
      <c r="F4863" s="255">
        <v>46321.0</v>
      </c>
      <c r="G4863" s="155">
        <v>6615700.23</v>
      </c>
      <c r="H4863" s="9">
        <f t="shared" si="11"/>
        <v>1389297.048</v>
      </c>
      <c r="I4863" s="44">
        <v>198471.01</v>
      </c>
      <c r="J4863" s="44"/>
      <c r="K4863" s="10">
        <f t="shared" si="12"/>
        <v>8203468.288</v>
      </c>
      <c r="L4863" s="61"/>
      <c r="M4863" s="62"/>
    </row>
    <row r="4864" ht="15.75" customHeight="1">
      <c r="A4864" s="127">
        <v>46314.0</v>
      </c>
      <c r="B4864" s="56"/>
      <c r="C4864" s="57" t="s">
        <v>1283</v>
      </c>
      <c r="D4864" s="58" t="s">
        <v>15</v>
      </c>
      <c r="E4864" s="57" t="s">
        <v>5209</v>
      </c>
      <c r="F4864" s="255">
        <v>46321.0</v>
      </c>
      <c r="G4864" s="155">
        <v>4390205.26</v>
      </c>
      <c r="H4864" s="9">
        <f t="shared" si="11"/>
        <v>921943.1046</v>
      </c>
      <c r="I4864" s="44">
        <v>131706.16</v>
      </c>
      <c r="J4864" s="44"/>
      <c r="K4864" s="10">
        <f t="shared" si="12"/>
        <v>5443854.525</v>
      </c>
      <c r="L4864" s="61"/>
      <c r="M4864" s="62"/>
    </row>
    <row r="4865" ht="15.75" customHeight="1">
      <c r="A4865" s="127">
        <v>46314.0</v>
      </c>
      <c r="B4865" s="56"/>
      <c r="C4865" s="57" t="s">
        <v>4464</v>
      </c>
      <c r="D4865" s="58" t="s">
        <v>99</v>
      </c>
      <c r="E4865" s="57" t="s">
        <v>5210</v>
      </c>
      <c r="F4865" s="255">
        <v>46321.0</v>
      </c>
      <c r="G4865" s="155">
        <v>3258511.08</v>
      </c>
      <c r="H4865" s="9">
        <f t="shared" si="11"/>
        <v>684287.3268</v>
      </c>
      <c r="I4865" s="44"/>
      <c r="J4865" s="44"/>
      <c r="K4865" s="10">
        <f t="shared" si="12"/>
        <v>3942798.407</v>
      </c>
      <c r="L4865" s="61"/>
      <c r="M4865" s="62"/>
    </row>
    <row r="4866" ht="15.75" customHeight="1">
      <c r="A4866" s="127">
        <v>46314.0</v>
      </c>
      <c r="B4866" s="56"/>
      <c r="C4866" s="57" t="s">
        <v>4464</v>
      </c>
      <c r="D4866" s="58" t="s">
        <v>99</v>
      </c>
      <c r="E4866" s="57" t="s">
        <v>5211</v>
      </c>
      <c r="F4866" s="255">
        <v>46321.0</v>
      </c>
      <c r="G4866" s="155">
        <v>4521345.08</v>
      </c>
      <c r="H4866" s="9">
        <f t="shared" si="11"/>
        <v>949482.4668</v>
      </c>
      <c r="I4866" s="44"/>
      <c r="J4866" s="44"/>
      <c r="K4866" s="10">
        <f t="shared" si="12"/>
        <v>5470827.547</v>
      </c>
      <c r="L4866" s="61"/>
      <c r="M4866" s="62"/>
    </row>
    <row r="4867" ht="15.75" customHeight="1">
      <c r="A4867" s="127">
        <v>46314.0</v>
      </c>
      <c r="B4867" s="56"/>
      <c r="C4867" s="57" t="s">
        <v>4464</v>
      </c>
      <c r="D4867" s="58" t="s">
        <v>99</v>
      </c>
      <c r="E4867" s="57" t="s">
        <v>5212</v>
      </c>
      <c r="F4867" s="255">
        <v>46321.0</v>
      </c>
      <c r="G4867" s="155">
        <v>4541275.52</v>
      </c>
      <c r="H4867" s="9">
        <f t="shared" si="11"/>
        <v>953667.8592</v>
      </c>
      <c r="I4867" s="44"/>
      <c r="J4867" s="44"/>
      <c r="K4867" s="10">
        <f t="shared" si="12"/>
        <v>5494943.379</v>
      </c>
      <c r="L4867" s="61"/>
      <c r="M4867" s="62"/>
    </row>
    <row r="4868" ht="15.75" customHeight="1">
      <c r="A4868" s="127">
        <v>46314.0</v>
      </c>
      <c r="B4868" s="56"/>
      <c r="C4868" s="57" t="s">
        <v>4464</v>
      </c>
      <c r="D4868" s="58" t="s">
        <v>99</v>
      </c>
      <c r="E4868" s="57" t="s">
        <v>5213</v>
      </c>
      <c r="F4868" s="255">
        <v>46321.0</v>
      </c>
      <c r="G4868" s="155">
        <v>2895473.08</v>
      </c>
      <c r="H4868" s="9">
        <f t="shared" si="11"/>
        <v>608049.3468</v>
      </c>
      <c r="I4868" s="44"/>
      <c r="J4868" s="44"/>
      <c r="K4868" s="10">
        <f t="shared" si="12"/>
        <v>3503522.427</v>
      </c>
      <c r="L4868" s="61"/>
      <c r="M4868" s="62"/>
    </row>
    <row r="4869" ht="15.75" customHeight="1">
      <c r="A4869" s="127">
        <v>46314.0</v>
      </c>
      <c r="B4869" s="56"/>
      <c r="C4869" s="57" t="s">
        <v>5214</v>
      </c>
      <c r="D4869" s="58" t="s">
        <v>99</v>
      </c>
      <c r="E4869" s="57" t="s">
        <v>5215</v>
      </c>
      <c r="F4869" s="255">
        <v>46321.0</v>
      </c>
      <c r="G4869" s="155">
        <v>4.200105232E7</v>
      </c>
      <c r="H4869" s="9">
        <f t="shared" si="11"/>
        <v>8820220.987</v>
      </c>
      <c r="I4869" s="44">
        <v>1260031.57</v>
      </c>
      <c r="J4869" s="44">
        <v>2100052.62</v>
      </c>
      <c r="K4869" s="10">
        <f t="shared" si="12"/>
        <v>54181357.5</v>
      </c>
      <c r="L4869" s="61"/>
      <c r="M4869" s="62"/>
    </row>
    <row r="4870" ht="15.75" customHeight="1">
      <c r="A4870" s="127">
        <v>46315.0</v>
      </c>
      <c r="B4870" s="56"/>
      <c r="C4870" s="57" t="s">
        <v>4880</v>
      </c>
      <c r="D4870" s="58" t="s">
        <v>15</v>
      </c>
      <c r="E4870" s="57" t="s">
        <v>5216</v>
      </c>
      <c r="F4870" s="255">
        <v>46321.0</v>
      </c>
      <c r="G4870" s="155">
        <v>1.732122013E7</v>
      </c>
      <c r="H4870" s="9">
        <f t="shared" si="11"/>
        <v>3637456.227</v>
      </c>
      <c r="I4870" s="44"/>
      <c r="J4870" s="44">
        <v>225175.86</v>
      </c>
      <c r="K4870" s="10">
        <f t="shared" si="12"/>
        <v>21183852.22</v>
      </c>
      <c r="L4870" s="61"/>
      <c r="M4870" s="62"/>
    </row>
    <row r="4871" ht="15.75" customHeight="1">
      <c r="A4871" s="127">
        <v>46315.0</v>
      </c>
      <c r="B4871" s="56"/>
      <c r="C4871" s="57" t="s">
        <v>4880</v>
      </c>
      <c r="D4871" s="58" t="s">
        <v>15</v>
      </c>
      <c r="E4871" s="57" t="s">
        <v>5217</v>
      </c>
      <c r="F4871" s="255">
        <v>46321.0</v>
      </c>
      <c r="G4871" s="155">
        <v>2.312105962E7</v>
      </c>
      <c r="H4871" s="9">
        <f t="shared" si="11"/>
        <v>4855422.52</v>
      </c>
      <c r="I4871" s="44"/>
      <c r="J4871" s="44">
        <v>300573.78</v>
      </c>
      <c r="K4871" s="10">
        <f t="shared" si="12"/>
        <v>28277055.92</v>
      </c>
      <c r="L4871" s="61"/>
      <c r="M4871" s="62"/>
    </row>
    <row r="4872" ht="15.75" customHeight="1">
      <c r="A4872" s="127">
        <v>46315.0</v>
      </c>
      <c r="B4872" s="56"/>
      <c r="C4872" s="57" t="s">
        <v>4880</v>
      </c>
      <c r="D4872" s="58" t="s">
        <v>15</v>
      </c>
      <c r="E4872" s="57" t="s">
        <v>5218</v>
      </c>
      <c r="F4872" s="255">
        <v>46321.0</v>
      </c>
      <c r="G4872" s="155">
        <v>1.580080823E7</v>
      </c>
      <c r="H4872" s="9">
        <f t="shared" si="11"/>
        <v>3318169.728</v>
      </c>
      <c r="I4872" s="44"/>
      <c r="J4872" s="44">
        <v>205410.51</v>
      </c>
      <c r="K4872" s="10">
        <f t="shared" si="12"/>
        <v>19324388.47</v>
      </c>
      <c r="L4872" s="61"/>
      <c r="M4872" s="62"/>
    </row>
    <row r="4873" ht="15.75" customHeight="1">
      <c r="A4873" s="127">
        <v>46315.0</v>
      </c>
      <c r="B4873" s="56"/>
      <c r="C4873" s="57" t="s">
        <v>4880</v>
      </c>
      <c r="D4873" s="58" t="s">
        <v>15</v>
      </c>
      <c r="E4873" s="57" t="s">
        <v>5219</v>
      </c>
      <c r="F4873" s="255">
        <v>46321.0</v>
      </c>
      <c r="G4873" s="155">
        <v>2.610021513E7</v>
      </c>
      <c r="H4873" s="9">
        <f t="shared" si="11"/>
        <v>5481045.177</v>
      </c>
      <c r="I4873" s="44"/>
      <c r="J4873" s="44">
        <v>339302.8</v>
      </c>
      <c r="K4873" s="10">
        <f t="shared" si="12"/>
        <v>31920563.11</v>
      </c>
      <c r="L4873" s="61"/>
      <c r="M4873" s="62"/>
    </row>
    <row r="4874" ht="15.75" customHeight="1">
      <c r="A4874" s="127">
        <v>46315.0</v>
      </c>
      <c r="B4874" s="56"/>
      <c r="C4874" s="57" t="s">
        <v>4880</v>
      </c>
      <c r="D4874" s="58" t="s">
        <v>15</v>
      </c>
      <c r="E4874" s="57" t="s">
        <v>5220</v>
      </c>
      <c r="F4874" s="255">
        <v>46321.0</v>
      </c>
      <c r="G4874" s="155">
        <v>1.820053218E7</v>
      </c>
      <c r="H4874" s="9">
        <f t="shared" si="11"/>
        <v>3822111.758</v>
      </c>
      <c r="I4874" s="44"/>
      <c r="J4874" s="44">
        <v>236606.92</v>
      </c>
      <c r="K4874" s="10">
        <f t="shared" si="12"/>
        <v>22259250.86</v>
      </c>
      <c r="L4874" s="61"/>
      <c r="M4874" s="62"/>
    </row>
    <row r="4875" ht="15.75" customHeight="1">
      <c r="A4875" s="127">
        <v>46315.0</v>
      </c>
      <c r="B4875" s="56"/>
      <c r="C4875" s="57" t="s">
        <v>1980</v>
      </c>
      <c r="D4875" s="58" t="s">
        <v>15</v>
      </c>
      <c r="E4875" s="57" t="s">
        <v>5221</v>
      </c>
      <c r="F4875" s="255">
        <v>46321.0</v>
      </c>
      <c r="G4875" s="155">
        <v>3.57984E7</v>
      </c>
      <c r="H4875" s="9">
        <f t="shared" si="11"/>
        <v>7517664</v>
      </c>
      <c r="I4875" s="44">
        <v>1073952.0</v>
      </c>
      <c r="J4875" s="44">
        <v>1789920.0</v>
      </c>
      <c r="K4875" s="10">
        <f t="shared" si="12"/>
        <v>46179936</v>
      </c>
      <c r="L4875" s="61"/>
      <c r="M4875" s="62"/>
    </row>
    <row r="4876" ht="15.75" customHeight="1">
      <c r="A4876" s="127">
        <v>46315.0</v>
      </c>
      <c r="B4876" s="56"/>
      <c r="C4876" s="57" t="s">
        <v>1980</v>
      </c>
      <c r="D4876" s="58" t="s">
        <v>15</v>
      </c>
      <c r="E4876" s="57" t="s">
        <v>5222</v>
      </c>
      <c r="F4876" s="255">
        <v>46321.0</v>
      </c>
      <c r="G4876" s="155">
        <v>1.684194E7</v>
      </c>
      <c r="H4876" s="9">
        <f t="shared" si="11"/>
        <v>3536807.4</v>
      </c>
      <c r="I4876" s="44">
        <v>505258.2</v>
      </c>
      <c r="J4876" s="44">
        <v>842097.0</v>
      </c>
      <c r="K4876" s="10">
        <f t="shared" si="12"/>
        <v>21726102.6</v>
      </c>
      <c r="L4876" s="61"/>
      <c r="M4876" s="62"/>
    </row>
    <row r="4877" ht="15.75" customHeight="1">
      <c r="A4877" s="127">
        <v>46315.0</v>
      </c>
      <c r="B4877" s="56"/>
      <c r="C4877" s="57" t="s">
        <v>1980</v>
      </c>
      <c r="D4877" s="58" t="s">
        <v>15</v>
      </c>
      <c r="E4877" s="57" t="s">
        <v>5223</v>
      </c>
      <c r="F4877" s="255">
        <v>46321.0</v>
      </c>
      <c r="G4877" s="155">
        <v>1.53859E7</v>
      </c>
      <c r="H4877" s="9">
        <f t="shared" si="11"/>
        <v>3231039</v>
      </c>
      <c r="I4877" s="44">
        <v>461577.0</v>
      </c>
      <c r="J4877" s="44">
        <v>769295.0</v>
      </c>
      <c r="K4877" s="10">
        <f t="shared" si="12"/>
        <v>19847811</v>
      </c>
      <c r="L4877" s="61"/>
      <c r="M4877" s="62"/>
    </row>
    <row r="4878" ht="15.75" customHeight="1">
      <c r="A4878" s="127">
        <v>46315.0</v>
      </c>
      <c r="B4878" s="56"/>
      <c r="C4878" s="57" t="s">
        <v>1980</v>
      </c>
      <c r="D4878" s="58" t="s">
        <v>99</v>
      </c>
      <c r="E4878" s="57" t="s">
        <v>5224</v>
      </c>
      <c r="F4878" s="255">
        <v>46321.0</v>
      </c>
      <c r="G4878" s="155">
        <v>4.24424E7</v>
      </c>
      <c r="H4878" s="9">
        <f t="shared" si="11"/>
        <v>8912904</v>
      </c>
      <c r="I4878" s="44">
        <v>1273272.0</v>
      </c>
      <c r="J4878" s="44">
        <v>2122120.0</v>
      </c>
      <c r="K4878" s="10">
        <f t="shared" si="12"/>
        <v>54750696</v>
      </c>
      <c r="L4878" s="61"/>
      <c r="M4878" s="62"/>
    </row>
    <row r="4879" ht="15.75" customHeight="1">
      <c r="A4879" s="127">
        <v>46315.0</v>
      </c>
      <c r="B4879" s="56"/>
      <c r="C4879" s="57" t="s">
        <v>1980</v>
      </c>
      <c r="D4879" s="58" t="s">
        <v>99</v>
      </c>
      <c r="E4879" s="57" t="s">
        <v>5225</v>
      </c>
      <c r="F4879" s="255">
        <v>46321.0</v>
      </c>
      <c r="G4879" s="155">
        <v>1.54411E7</v>
      </c>
      <c r="H4879" s="9">
        <f t="shared" si="11"/>
        <v>3242631</v>
      </c>
      <c r="I4879" s="44">
        <v>463233.0</v>
      </c>
      <c r="J4879" s="44">
        <v>772055.0</v>
      </c>
      <c r="K4879" s="10">
        <f t="shared" si="12"/>
        <v>19919019</v>
      </c>
      <c r="L4879" s="61"/>
      <c r="M4879" s="62"/>
    </row>
    <row r="4880" ht="15.75" customHeight="1">
      <c r="A4880" s="127">
        <v>46315.0</v>
      </c>
      <c r="B4880" s="56"/>
      <c r="C4880" s="57" t="s">
        <v>1980</v>
      </c>
      <c r="D4880" s="58" t="s">
        <v>99</v>
      </c>
      <c r="E4880" s="57" t="s">
        <v>5226</v>
      </c>
      <c r="F4880" s="255">
        <v>46321.0</v>
      </c>
      <c r="G4880" s="155">
        <v>1.46472E7</v>
      </c>
      <c r="H4880" s="9">
        <f t="shared" si="11"/>
        <v>3075912</v>
      </c>
      <c r="I4880" s="44">
        <v>439416.0</v>
      </c>
      <c r="J4880" s="44">
        <v>732360.0</v>
      </c>
      <c r="K4880" s="10">
        <f t="shared" si="12"/>
        <v>18894888</v>
      </c>
      <c r="L4880" s="61"/>
      <c r="M4880" s="62"/>
    </row>
    <row r="4881" ht="15.75" customHeight="1">
      <c r="A4881" s="127">
        <v>46315.0</v>
      </c>
      <c r="B4881" s="56"/>
      <c r="C4881" s="57" t="s">
        <v>1861</v>
      </c>
      <c r="D4881" s="58" t="s">
        <v>15</v>
      </c>
      <c r="E4881" s="57" t="s">
        <v>5227</v>
      </c>
      <c r="F4881" s="255">
        <v>46321.0</v>
      </c>
      <c r="G4881" s="155">
        <v>2.613528736E7</v>
      </c>
      <c r="H4881" s="9">
        <f t="shared" si="11"/>
        <v>5488410.346</v>
      </c>
      <c r="I4881" s="44">
        <v>784058.62</v>
      </c>
      <c r="J4881" s="44">
        <v>418164.6</v>
      </c>
      <c r="K4881" s="10">
        <f t="shared" si="12"/>
        <v>32825920.93</v>
      </c>
      <c r="L4881" s="61"/>
      <c r="M4881" s="62"/>
    </row>
    <row r="4882" ht="15.75" customHeight="1">
      <c r="A4882" s="127">
        <v>46315.0</v>
      </c>
      <c r="B4882" s="56"/>
      <c r="C4882" s="57" t="s">
        <v>1861</v>
      </c>
      <c r="D4882" s="58" t="s">
        <v>15</v>
      </c>
      <c r="E4882" s="57" t="s">
        <v>5228</v>
      </c>
      <c r="F4882" s="255">
        <v>46321.0</v>
      </c>
      <c r="G4882" s="155">
        <v>2.520188424E7</v>
      </c>
      <c r="H4882" s="9">
        <f t="shared" si="11"/>
        <v>5292395.69</v>
      </c>
      <c r="I4882" s="44">
        <v>756056.53</v>
      </c>
      <c r="J4882" s="44">
        <v>403230.15</v>
      </c>
      <c r="K4882" s="10">
        <f t="shared" si="12"/>
        <v>31653566.61</v>
      </c>
      <c r="L4882" s="61"/>
      <c r="M4882" s="62"/>
    </row>
    <row r="4883" ht="15.75" customHeight="1">
      <c r="A4883" s="127">
        <v>46315.0</v>
      </c>
      <c r="B4883" s="56"/>
      <c r="C4883" s="57" t="s">
        <v>1861</v>
      </c>
      <c r="D4883" s="58" t="s">
        <v>99</v>
      </c>
      <c r="E4883" s="57" t="s">
        <v>5229</v>
      </c>
      <c r="F4883" s="255">
        <v>46321.0</v>
      </c>
      <c r="G4883" s="155">
        <v>1.697782464E7</v>
      </c>
      <c r="H4883" s="9">
        <f t="shared" si="11"/>
        <v>3565343.174</v>
      </c>
      <c r="I4883" s="44">
        <v>509334.74</v>
      </c>
      <c r="J4883" s="44">
        <v>271645.19</v>
      </c>
      <c r="K4883" s="10">
        <f t="shared" si="12"/>
        <v>21324147.74</v>
      </c>
      <c r="L4883" s="61"/>
      <c r="M4883" s="62"/>
    </row>
    <row r="4884" ht="15.75" customHeight="1">
      <c r="A4884" s="127">
        <v>46315.0</v>
      </c>
      <c r="B4884" s="56"/>
      <c r="C4884" s="57" t="s">
        <v>1861</v>
      </c>
      <c r="D4884" s="58" t="s">
        <v>99</v>
      </c>
      <c r="E4884" s="57" t="s">
        <v>5230</v>
      </c>
      <c r="F4884" s="255">
        <v>46321.0</v>
      </c>
      <c r="G4884" s="155">
        <v>1.634901632E7</v>
      </c>
      <c r="H4884" s="9">
        <f t="shared" si="11"/>
        <v>3433293.427</v>
      </c>
      <c r="I4884" s="44">
        <v>490470.49</v>
      </c>
      <c r="J4884" s="44">
        <v>261584.26</v>
      </c>
      <c r="K4884" s="10">
        <f t="shared" si="12"/>
        <v>20534364.5</v>
      </c>
      <c r="L4884" s="61"/>
      <c r="M4884" s="62"/>
    </row>
    <row r="4885" ht="15.75" customHeight="1">
      <c r="A4885" s="127">
        <v>46315.0</v>
      </c>
      <c r="B4885" s="56"/>
      <c r="C4885" s="57" t="s">
        <v>1861</v>
      </c>
      <c r="D4885" s="58" t="s">
        <v>99</v>
      </c>
      <c r="E4885" s="57" t="s">
        <v>5231</v>
      </c>
      <c r="F4885" s="255">
        <v>46321.0</v>
      </c>
      <c r="G4885" s="155">
        <v>2.289048866E7</v>
      </c>
      <c r="H4885" s="9">
        <f t="shared" si="11"/>
        <v>4807002.619</v>
      </c>
      <c r="I4885" s="44">
        <v>686714.66</v>
      </c>
      <c r="J4885" s="44">
        <v>366247.82</v>
      </c>
      <c r="K4885" s="10">
        <f t="shared" si="12"/>
        <v>28750453.76</v>
      </c>
      <c r="L4885" s="61"/>
      <c r="M4885" s="62"/>
    </row>
    <row r="4886" ht="15.75" customHeight="1">
      <c r="A4886" s="127">
        <v>46315.0</v>
      </c>
      <c r="B4886" s="56"/>
      <c r="C4886" s="57" t="s">
        <v>1861</v>
      </c>
      <c r="D4886" s="58" t="s">
        <v>99</v>
      </c>
      <c r="E4886" s="57" t="s">
        <v>5232</v>
      </c>
      <c r="F4886" s="255">
        <v>46321.0</v>
      </c>
      <c r="G4886" s="155">
        <v>2.289048866E7</v>
      </c>
      <c r="H4886" s="9">
        <f t="shared" si="11"/>
        <v>4807002.619</v>
      </c>
      <c r="I4886" s="44">
        <v>686714.66</v>
      </c>
      <c r="J4886" s="44">
        <v>366247.82</v>
      </c>
      <c r="K4886" s="10">
        <f t="shared" si="12"/>
        <v>28750453.76</v>
      </c>
      <c r="L4886" s="61"/>
      <c r="M4886" s="62"/>
    </row>
    <row r="4887" ht="15.75" customHeight="1">
      <c r="A4887" s="127">
        <v>46315.0</v>
      </c>
      <c r="B4887" s="56"/>
      <c r="C4887" s="57" t="s">
        <v>1858</v>
      </c>
      <c r="D4887" s="58" t="s">
        <v>15</v>
      </c>
      <c r="E4887" s="57" t="s">
        <v>5233</v>
      </c>
      <c r="F4887" s="255">
        <v>46321.0</v>
      </c>
      <c r="G4887" s="155">
        <v>2.35520704E7</v>
      </c>
      <c r="H4887" s="9">
        <f t="shared" si="11"/>
        <v>4945934.784</v>
      </c>
      <c r="I4887" s="44">
        <v>706562.11</v>
      </c>
      <c r="J4887" s="44">
        <v>94208.28</v>
      </c>
      <c r="K4887" s="10">
        <f t="shared" si="12"/>
        <v>29298775.57</v>
      </c>
      <c r="L4887" s="61"/>
      <c r="M4887" s="62"/>
    </row>
    <row r="4888" ht="15.75" customHeight="1">
      <c r="A4888" s="127">
        <v>46315.0</v>
      </c>
      <c r="B4888" s="56"/>
      <c r="C4888" s="57" t="s">
        <v>1858</v>
      </c>
      <c r="D4888" s="58" t="s">
        <v>15</v>
      </c>
      <c r="E4888" s="57" t="s">
        <v>5234</v>
      </c>
      <c r="F4888" s="255">
        <v>46321.0</v>
      </c>
      <c r="G4888" s="155">
        <v>2.35520704E7</v>
      </c>
      <c r="H4888" s="9">
        <f t="shared" si="11"/>
        <v>4945934.784</v>
      </c>
      <c r="I4888" s="44">
        <v>706562.11</v>
      </c>
      <c r="J4888" s="44">
        <v>94208.28</v>
      </c>
      <c r="K4888" s="10">
        <f t="shared" si="12"/>
        <v>29298775.57</v>
      </c>
      <c r="L4888" s="61"/>
      <c r="M4888" s="62"/>
    </row>
    <row r="4889" ht="15.75" customHeight="1">
      <c r="A4889" s="127">
        <v>46315.0</v>
      </c>
      <c r="B4889" s="56"/>
      <c r="C4889" s="57" t="s">
        <v>1858</v>
      </c>
      <c r="D4889" s="58" t="s">
        <v>15</v>
      </c>
      <c r="E4889" s="57" t="s">
        <v>5235</v>
      </c>
      <c r="F4889" s="255">
        <v>46321.0</v>
      </c>
      <c r="G4889" s="155">
        <v>1.743866208E7</v>
      </c>
      <c r="H4889" s="9">
        <f t="shared" si="11"/>
        <v>3662119.037</v>
      </c>
      <c r="I4889" s="44">
        <v>523159.86</v>
      </c>
      <c r="J4889" s="44">
        <v>69754.65</v>
      </c>
      <c r="K4889" s="10">
        <f t="shared" si="12"/>
        <v>21693695.63</v>
      </c>
      <c r="L4889" s="61"/>
      <c r="M4889" s="62"/>
    </row>
    <row r="4890" ht="15.75" customHeight="1">
      <c r="A4890" s="127">
        <v>46315.0</v>
      </c>
      <c r="B4890" s="56"/>
      <c r="C4890" s="57" t="s">
        <v>1858</v>
      </c>
      <c r="D4890" s="58" t="s">
        <v>15</v>
      </c>
      <c r="E4890" s="58" t="s">
        <v>5236</v>
      </c>
      <c r="F4890" s="255">
        <v>46321.0</v>
      </c>
      <c r="G4890" s="155">
        <v>1.584221232E7</v>
      </c>
      <c r="H4890" s="9">
        <f t="shared" si="11"/>
        <v>3326864.587</v>
      </c>
      <c r="I4890" s="44">
        <v>475266.37</v>
      </c>
      <c r="J4890" s="44">
        <v>63368.85</v>
      </c>
      <c r="K4890" s="10">
        <f t="shared" si="12"/>
        <v>19707712.13</v>
      </c>
      <c r="L4890" s="61"/>
      <c r="M4890" s="62"/>
    </row>
    <row r="4891" ht="15.75" customHeight="1">
      <c r="A4891" s="127">
        <v>46315.0</v>
      </c>
      <c r="B4891" s="56"/>
      <c r="C4891" s="57" t="s">
        <v>1854</v>
      </c>
      <c r="D4891" s="58" t="s">
        <v>15</v>
      </c>
      <c r="E4891" s="57" t="s">
        <v>5237</v>
      </c>
      <c r="F4891" s="255">
        <v>46321.0</v>
      </c>
      <c r="G4891" s="155">
        <v>2.46884341E7</v>
      </c>
      <c r="H4891" s="9">
        <f t="shared" si="11"/>
        <v>5184571.161</v>
      </c>
      <c r="I4891" s="44">
        <v>740653.02</v>
      </c>
      <c r="J4891" s="44">
        <v>370326.51</v>
      </c>
      <c r="K4891" s="10">
        <f t="shared" si="12"/>
        <v>30983984.79</v>
      </c>
      <c r="L4891" s="61"/>
      <c r="M4891" s="62"/>
    </row>
    <row r="4892" ht="15.75" customHeight="1">
      <c r="A4892" s="127">
        <v>46315.0</v>
      </c>
      <c r="B4892" s="56"/>
      <c r="C4892" s="57" t="s">
        <v>1854</v>
      </c>
      <c r="D4892" s="58" t="s">
        <v>15</v>
      </c>
      <c r="E4892" s="57" t="s">
        <v>5238</v>
      </c>
      <c r="F4892" s="255">
        <v>46321.0</v>
      </c>
      <c r="G4892" s="155">
        <v>2.356623255E7</v>
      </c>
      <c r="H4892" s="9">
        <f t="shared" si="11"/>
        <v>4948908.836</v>
      </c>
      <c r="I4892" s="44">
        <v>706986.98</v>
      </c>
      <c r="J4892" s="44">
        <v>353493.49</v>
      </c>
      <c r="K4892" s="10">
        <f t="shared" si="12"/>
        <v>29575621.86</v>
      </c>
      <c r="L4892" s="61"/>
      <c r="M4892" s="62"/>
    </row>
    <row r="4893" ht="15.75" customHeight="1">
      <c r="A4893" s="127">
        <v>46315.0</v>
      </c>
      <c r="B4893" s="56"/>
      <c r="C4893" s="57" t="s">
        <v>1854</v>
      </c>
      <c r="D4893" s="58" t="s">
        <v>15</v>
      </c>
      <c r="E4893" s="57" t="s">
        <v>5239</v>
      </c>
      <c r="F4893" s="255">
        <v>46321.0</v>
      </c>
      <c r="G4893" s="155">
        <v>2.356623255E7</v>
      </c>
      <c r="H4893" s="9">
        <f t="shared" si="11"/>
        <v>4948908.836</v>
      </c>
      <c r="I4893" s="44">
        <v>706986.98</v>
      </c>
      <c r="J4893" s="44">
        <v>353493.49</v>
      </c>
      <c r="K4893" s="10">
        <f t="shared" si="12"/>
        <v>29575621.86</v>
      </c>
      <c r="L4893" s="61"/>
      <c r="M4893" s="62"/>
    </row>
    <row r="4894" ht="15.75" customHeight="1">
      <c r="A4894" s="127">
        <v>46315.0</v>
      </c>
      <c r="B4894" s="56"/>
      <c r="C4894" s="57" t="s">
        <v>1854</v>
      </c>
      <c r="D4894" s="58" t="s">
        <v>15</v>
      </c>
      <c r="E4894" s="58" t="s">
        <v>5240</v>
      </c>
      <c r="F4894" s="255">
        <v>46321.0</v>
      </c>
      <c r="G4894" s="155">
        <v>2.356623255E7</v>
      </c>
      <c r="H4894" s="9">
        <f t="shared" si="11"/>
        <v>4948908.836</v>
      </c>
      <c r="I4894" s="44">
        <v>706986.98</v>
      </c>
      <c r="J4894" s="44">
        <v>353493.49</v>
      </c>
      <c r="K4894" s="10">
        <f t="shared" si="12"/>
        <v>29575621.86</v>
      </c>
      <c r="L4894" s="61"/>
      <c r="M4894" s="62"/>
    </row>
    <row r="4895" ht="15.75" customHeight="1">
      <c r="A4895" s="127">
        <v>46315.0</v>
      </c>
      <c r="B4895" s="56"/>
      <c r="C4895" s="57" t="s">
        <v>1854</v>
      </c>
      <c r="D4895" s="58" t="s">
        <v>15</v>
      </c>
      <c r="E4895" s="58" t="s">
        <v>5241</v>
      </c>
      <c r="F4895" s="255">
        <v>46321.0</v>
      </c>
      <c r="G4895" s="155">
        <v>2.356623255E7</v>
      </c>
      <c r="H4895" s="9">
        <f t="shared" si="11"/>
        <v>4948908.836</v>
      </c>
      <c r="I4895" s="44">
        <v>706986.98</v>
      </c>
      <c r="J4895" s="44">
        <v>353493.49</v>
      </c>
      <c r="K4895" s="10">
        <f t="shared" si="12"/>
        <v>29575621.86</v>
      </c>
      <c r="L4895" s="61"/>
      <c r="M4895" s="62"/>
    </row>
    <row r="4896" ht="15.75" customHeight="1">
      <c r="A4896" s="127">
        <v>46315.0</v>
      </c>
      <c r="B4896" s="56"/>
      <c r="C4896" s="57" t="s">
        <v>1854</v>
      </c>
      <c r="D4896" s="58" t="s">
        <v>15</v>
      </c>
      <c r="E4896" s="57" t="s">
        <v>5242</v>
      </c>
      <c r="F4896" s="255">
        <v>46321.0</v>
      </c>
      <c r="G4896" s="155">
        <v>2.356623255E7</v>
      </c>
      <c r="H4896" s="9">
        <f t="shared" si="11"/>
        <v>4948908.836</v>
      </c>
      <c r="I4896" s="44">
        <v>706986.98</v>
      </c>
      <c r="J4896" s="44">
        <v>353493.49</v>
      </c>
      <c r="K4896" s="10">
        <f t="shared" si="12"/>
        <v>29575621.86</v>
      </c>
      <c r="L4896" s="61"/>
      <c r="M4896" s="62"/>
    </row>
    <row r="4897" ht="15.75" customHeight="1">
      <c r="A4897" s="127">
        <v>46315.0</v>
      </c>
      <c r="B4897" s="56"/>
      <c r="C4897" s="57" t="s">
        <v>1854</v>
      </c>
      <c r="D4897" s="58" t="s">
        <v>15</v>
      </c>
      <c r="E4897" s="57" t="s">
        <v>5243</v>
      </c>
      <c r="F4897" s="255">
        <v>46321.0</v>
      </c>
      <c r="G4897" s="155">
        <v>1.59159231E7</v>
      </c>
      <c r="H4897" s="9">
        <f t="shared" si="11"/>
        <v>3342343.851</v>
      </c>
      <c r="I4897" s="44">
        <v>477477.69</v>
      </c>
      <c r="J4897" s="44">
        <v>238738.85</v>
      </c>
      <c r="K4897" s="10">
        <f t="shared" si="12"/>
        <v>19974483.49</v>
      </c>
      <c r="L4897" s="61"/>
      <c r="M4897" s="62"/>
    </row>
    <row r="4898" ht="15.75" customHeight="1">
      <c r="A4898" s="127">
        <v>46315.0</v>
      </c>
      <c r="B4898" s="56"/>
      <c r="C4898" s="57" t="s">
        <v>1854</v>
      </c>
      <c r="D4898" s="58" t="s">
        <v>15</v>
      </c>
      <c r="E4898" s="57" t="s">
        <v>5244</v>
      </c>
      <c r="F4898" s="255">
        <v>46321.0</v>
      </c>
      <c r="G4898" s="155">
        <v>1.59159231E7</v>
      </c>
      <c r="H4898" s="9">
        <f t="shared" si="11"/>
        <v>3342343.851</v>
      </c>
      <c r="I4898" s="44">
        <v>477477.69</v>
      </c>
      <c r="J4898" s="44">
        <v>238738.85</v>
      </c>
      <c r="K4898" s="10">
        <f t="shared" si="12"/>
        <v>19974483.49</v>
      </c>
      <c r="L4898" s="61"/>
      <c r="M4898" s="62"/>
    </row>
    <row r="4899" ht="15.75" customHeight="1">
      <c r="A4899" s="127">
        <v>46315.0</v>
      </c>
      <c r="B4899" s="56"/>
      <c r="C4899" s="57" t="s">
        <v>1854</v>
      </c>
      <c r="D4899" s="58" t="s">
        <v>15</v>
      </c>
      <c r="E4899" s="58" t="s">
        <v>5245</v>
      </c>
      <c r="F4899" s="255">
        <v>46321.0</v>
      </c>
      <c r="G4899" s="155">
        <v>1.891282312E7</v>
      </c>
      <c r="H4899" s="9">
        <f t="shared" si="11"/>
        <v>3971692.855</v>
      </c>
      <c r="I4899" s="44"/>
      <c r="J4899" s="44">
        <v>283692.35</v>
      </c>
      <c r="K4899" s="10">
        <f t="shared" si="12"/>
        <v>23168208.33</v>
      </c>
      <c r="L4899" s="61"/>
      <c r="M4899" s="62"/>
    </row>
    <row r="4900" ht="15.75" customHeight="1">
      <c r="A4900" s="127">
        <v>46315.0</v>
      </c>
      <c r="B4900" s="56"/>
      <c r="C4900" s="57" t="s">
        <v>1854</v>
      </c>
      <c r="D4900" s="58" t="s">
        <v>15</v>
      </c>
      <c r="E4900" s="57" t="s">
        <v>5246</v>
      </c>
      <c r="F4900" s="255">
        <v>46321.0</v>
      </c>
      <c r="G4900" s="155">
        <v>1.244322312E7</v>
      </c>
      <c r="H4900" s="9">
        <f t="shared" si="11"/>
        <v>2613076.855</v>
      </c>
      <c r="I4900" s="44"/>
      <c r="J4900" s="44">
        <v>186648.35</v>
      </c>
      <c r="K4900" s="10">
        <f t="shared" si="12"/>
        <v>15242948.33</v>
      </c>
      <c r="L4900" s="61"/>
      <c r="M4900" s="62"/>
    </row>
    <row r="4901" ht="15.75" customHeight="1">
      <c r="A4901" s="127">
        <v>46315.0</v>
      </c>
      <c r="B4901" s="56"/>
      <c r="C4901" s="57" t="s">
        <v>1854</v>
      </c>
      <c r="D4901" s="58" t="s">
        <v>15</v>
      </c>
      <c r="E4901" s="58" t="s">
        <v>5247</v>
      </c>
      <c r="F4901" s="255">
        <v>46321.0</v>
      </c>
      <c r="G4901" s="155">
        <v>1.486124307E7</v>
      </c>
      <c r="H4901" s="9">
        <f t="shared" si="11"/>
        <v>3120861.045</v>
      </c>
      <c r="I4901" s="44"/>
      <c r="J4901" s="44">
        <v>222918.65</v>
      </c>
      <c r="K4901" s="10">
        <f t="shared" si="12"/>
        <v>18205022.76</v>
      </c>
      <c r="L4901" s="61"/>
      <c r="M4901" s="62"/>
    </row>
    <row r="4902" ht="15.75" customHeight="1">
      <c r="A4902" s="127">
        <v>46315.0</v>
      </c>
      <c r="B4902" s="56"/>
      <c r="C4902" s="57" t="s">
        <v>1854</v>
      </c>
      <c r="D4902" s="58" t="s">
        <v>15</v>
      </c>
      <c r="E4902" s="57" t="s">
        <v>5248</v>
      </c>
      <c r="F4902" s="255">
        <v>46321.0</v>
      </c>
      <c r="G4902" s="155">
        <v>1.410987612E7</v>
      </c>
      <c r="H4902" s="9">
        <f t="shared" si="11"/>
        <v>2963073.985</v>
      </c>
      <c r="I4902" s="44">
        <v>423296.28</v>
      </c>
      <c r="J4902" s="44">
        <v>211648.14</v>
      </c>
      <c r="K4902" s="10">
        <f t="shared" si="12"/>
        <v>17707894.53</v>
      </c>
      <c r="L4902" s="61"/>
      <c r="M4902" s="62"/>
    </row>
    <row r="4903" ht="15.75" customHeight="1">
      <c r="A4903" s="127">
        <v>46315.0</v>
      </c>
      <c r="B4903" s="56"/>
      <c r="C4903" s="57" t="s">
        <v>1854</v>
      </c>
      <c r="D4903" s="58" t="s">
        <v>15</v>
      </c>
      <c r="E4903" s="57" t="s">
        <v>5249</v>
      </c>
      <c r="F4903" s="255">
        <v>46321.0</v>
      </c>
      <c r="G4903" s="155">
        <v>1.682263312E7</v>
      </c>
      <c r="H4903" s="9">
        <f t="shared" si="11"/>
        <v>3532752.955</v>
      </c>
      <c r="I4903" s="44"/>
      <c r="J4903" s="44">
        <v>252339.5</v>
      </c>
      <c r="K4903" s="10">
        <f t="shared" si="12"/>
        <v>20607725.58</v>
      </c>
      <c r="L4903" s="61"/>
      <c r="M4903" s="62"/>
    </row>
    <row r="4904" ht="15.75" customHeight="1">
      <c r="A4904" s="127">
        <v>46315.0</v>
      </c>
      <c r="B4904" s="56"/>
      <c r="C4904" s="57" t="s">
        <v>1854</v>
      </c>
      <c r="D4904" s="58" t="s">
        <v>15</v>
      </c>
      <c r="E4904" s="57" t="s">
        <v>5250</v>
      </c>
      <c r="F4904" s="255">
        <v>46321.0</v>
      </c>
      <c r="G4904" s="155">
        <v>1.543213217E7</v>
      </c>
      <c r="H4904" s="9">
        <f t="shared" si="11"/>
        <v>3240747.756</v>
      </c>
      <c r="I4904" s="44"/>
      <c r="J4904" s="44">
        <v>231481.98</v>
      </c>
      <c r="K4904" s="10">
        <f t="shared" si="12"/>
        <v>18904361.91</v>
      </c>
      <c r="L4904" s="61"/>
      <c r="M4904" s="62"/>
    </row>
    <row r="4905" ht="15.75" customHeight="1">
      <c r="A4905" s="127">
        <v>46315.0</v>
      </c>
      <c r="B4905" s="56"/>
      <c r="C4905" s="57" t="s">
        <v>1854</v>
      </c>
      <c r="D4905" s="58" t="s">
        <v>15</v>
      </c>
      <c r="E4905" s="58" t="s">
        <v>5251</v>
      </c>
      <c r="F4905" s="255">
        <v>46321.0</v>
      </c>
      <c r="G4905" s="155">
        <v>1.390018232E7</v>
      </c>
      <c r="H4905" s="9">
        <f t="shared" si="11"/>
        <v>2919038.287</v>
      </c>
      <c r="I4905" s="44"/>
      <c r="J4905" s="44">
        <v>208502.73</v>
      </c>
      <c r="K4905" s="10">
        <f t="shared" si="12"/>
        <v>17027723.34</v>
      </c>
      <c r="L4905" s="61"/>
      <c r="M4905" s="62"/>
    </row>
    <row r="4906" ht="15.75" customHeight="1">
      <c r="A4906" s="127">
        <v>46315.0</v>
      </c>
      <c r="B4906" s="56"/>
      <c r="C4906" s="57" t="s">
        <v>1854</v>
      </c>
      <c r="D4906" s="58" t="s">
        <v>99</v>
      </c>
      <c r="E4906" s="57" t="s">
        <v>5252</v>
      </c>
      <c r="F4906" s="255">
        <v>46321.0</v>
      </c>
      <c r="G4906" s="155">
        <v>2.30751495E7</v>
      </c>
      <c r="H4906" s="9">
        <f t="shared" si="11"/>
        <v>4845781.395</v>
      </c>
      <c r="I4906" s="44">
        <v>692254.49</v>
      </c>
      <c r="J4906" s="44">
        <v>346127.24</v>
      </c>
      <c r="K4906" s="10">
        <f t="shared" si="12"/>
        <v>28959312.63</v>
      </c>
      <c r="L4906" s="61"/>
      <c r="M4906" s="62"/>
    </row>
    <row r="4907" ht="15.75" customHeight="1">
      <c r="A4907" s="127">
        <v>46315.0</v>
      </c>
      <c r="B4907" s="56"/>
      <c r="C4907" s="57" t="s">
        <v>1854</v>
      </c>
      <c r="D4907" s="58" t="s">
        <v>99</v>
      </c>
      <c r="E4907" s="57" t="s">
        <v>5253</v>
      </c>
      <c r="F4907" s="255">
        <v>46321.0</v>
      </c>
      <c r="G4907" s="155">
        <v>2.218764375E7</v>
      </c>
      <c r="H4907" s="9">
        <f t="shared" si="11"/>
        <v>4659405.188</v>
      </c>
      <c r="I4907" s="44">
        <v>665629.31</v>
      </c>
      <c r="J4907" s="44">
        <v>332814.66</v>
      </c>
      <c r="K4907" s="10">
        <f t="shared" si="12"/>
        <v>27845492.91</v>
      </c>
      <c r="L4907" s="61"/>
      <c r="M4907" s="62"/>
    </row>
    <row r="4908" ht="15.75" customHeight="1">
      <c r="A4908" s="127">
        <v>46315.0</v>
      </c>
      <c r="B4908" s="56"/>
      <c r="C4908" s="57" t="s">
        <v>1854</v>
      </c>
      <c r="D4908" s="58" t="s">
        <v>99</v>
      </c>
      <c r="E4908" s="57" t="s">
        <v>5254</v>
      </c>
      <c r="F4908" s="255">
        <v>46321.0</v>
      </c>
      <c r="G4908" s="155">
        <v>2.218764375E7</v>
      </c>
      <c r="H4908" s="9">
        <f t="shared" si="11"/>
        <v>4659405.188</v>
      </c>
      <c r="I4908" s="44">
        <v>665629.31</v>
      </c>
      <c r="J4908" s="44">
        <v>332814.66</v>
      </c>
      <c r="K4908" s="10">
        <f t="shared" si="12"/>
        <v>27845492.91</v>
      </c>
      <c r="L4908" s="61"/>
      <c r="M4908" s="62"/>
    </row>
    <row r="4909" ht="15.75" customHeight="1">
      <c r="A4909" s="127">
        <v>46315.0</v>
      </c>
      <c r="B4909" s="56"/>
      <c r="C4909" s="57" t="s">
        <v>1854</v>
      </c>
      <c r="D4909" s="58" t="s">
        <v>99</v>
      </c>
      <c r="E4909" s="58" t="s">
        <v>5255</v>
      </c>
      <c r="F4909" s="255">
        <v>46321.0</v>
      </c>
      <c r="G4909" s="155">
        <v>2.218764375E7</v>
      </c>
      <c r="H4909" s="9">
        <f t="shared" si="11"/>
        <v>4659405.188</v>
      </c>
      <c r="I4909" s="44">
        <v>665629.31</v>
      </c>
      <c r="J4909" s="44">
        <v>332814.66</v>
      </c>
      <c r="K4909" s="10">
        <f t="shared" si="12"/>
        <v>27845492.91</v>
      </c>
      <c r="L4909" s="61"/>
      <c r="M4909" s="62"/>
    </row>
    <row r="4910" ht="15.75" customHeight="1">
      <c r="A4910" s="127">
        <v>46315.0</v>
      </c>
      <c r="B4910" s="56"/>
      <c r="C4910" s="57" t="s">
        <v>1854</v>
      </c>
      <c r="D4910" s="58" t="s">
        <v>99</v>
      </c>
      <c r="E4910" s="57" t="s">
        <v>5256</v>
      </c>
      <c r="F4910" s="255">
        <v>46321.0</v>
      </c>
      <c r="G4910" s="155">
        <v>2.218764375E7</v>
      </c>
      <c r="H4910" s="9">
        <f t="shared" si="11"/>
        <v>4659405.188</v>
      </c>
      <c r="I4910" s="44">
        <v>665629.31</v>
      </c>
      <c r="J4910" s="44">
        <v>332814.66</v>
      </c>
      <c r="K4910" s="10">
        <f t="shared" si="12"/>
        <v>27845492.91</v>
      </c>
      <c r="L4910" s="61"/>
      <c r="M4910" s="62"/>
    </row>
    <row r="4911" ht="15.75" customHeight="1">
      <c r="A4911" s="127">
        <v>46315.0</v>
      </c>
      <c r="B4911" s="56"/>
      <c r="C4911" s="57" t="s">
        <v>1854</v>
      </c>
      <c r="D4911" s="58" t="s">
        <v>99</v>
      </c>
      <c r="E4911" s="57" t="s">
        <v>5257</v>
      </c>
      <c r="F4911" s="255">
        <v>46321.0</v>
      </c>
      <c r="G4911" s="155">
        <v>1.230112208E7</v>
      </c>
      <c r="H4911" s="9">
        <f t="shared" si="11"/>
        <v>2583235.637</v>
      </c>
      <c r="I4911" s="44"/>
      <c r="J4911" s="44">
        <v>184516.83</v>
      </c>
      <c r="K4911" s="10">
        <f t="shared" si="12"/>
        <v>15068874.55</v>
      </c>
      <c r="L4911" s="61"/>
      <c r="M4911" s="62"/>
    </row>
    <row r="4912" ht="15.75" customHeight="1">
      <c r="A4912" s="127">
        <v>46315.0</v>
      </c>
      <c r="B4912" s="56"/>
      <c r="C4912" s="57" t="s">
        <v>1854</v>
      </c>
      <c r="D4912" s="58" t="s">
        <v>99</v>
      </c>
      <c r="E4912" s="57" t="s">
        <v>5258</v>
      </c>
      <c r="F4912" s="255">
        <v>46321.0</v>
      </c>
      <c r="G4912" s="155">
        <v>1.490109812E7</v>
      </c>
      <c r="H4912" s="9">
        <f t="shared" si="11"/>
        <v>3129230.605</v>
      </c>
      <c r="I4912" s="44">
        <v>447032.94</v>
      </c>
      <c r="J4912" s="44">
        <v>223516.47</v>
      </c>
      <c r="K4912" s="10">
        <f t="shared" si="12"/>
        <v>18700878.14</v>
      </c>
      <c r="L4912" s="61"/>
      <c r="M4912" s="62"/>
    </row>
    <row r="4913" ht="15.75" customHeight="1">
      <c r="A4913" s="127">
        <v>46315.0</v>
      </c>
      <c r="B4913" s="56"/>
      <c r="C4913" s="57" t="s">
        <v>1854</v>
      </c>
      <c r="D4913" s="58" t="s">
        <v>99</v>
      </c>
      <c r="E4913" s="58" t="s">
        <v>5259</v>
      </c>
      <c r="F4913" s="255">
        <v>46321.0</v>
      </c>
      <c r="G4913" s="155">
        <v>1.781237308E7</v>
      </c>
      <c r="H4913" s="9">
        <f t="shared" si="11"/>
        <v>3740598.347</v>
      </c>
      <c r="I4913" s="44">
        <v>534371.19</v>
      </c>
      <c r="J4913" s="44">
        <v>267185.6</v>
      </c>
      <c r="K4913" s="10">
        <f t="shared" si="12"/>
        <v>22354528.22</v>
      </c>
      <c r="L4913" s="61"/>
      <c r="M4913" s="62"/>
    </row>
    <row r="4914" ht="15.75" customHeight="1">
      <c r="A4914" s="127">
        <v>46315.0</v>
      </c>
      <c r="B4914" s="56"/>
      <c r="C4914" s="57" t="s">
        <v>1283</v>
      </c>
      <c r="D4914" s="58" t="s">
        <v>15</v>
      </c>
      <c r="E4914" s="57" t="s">
        <v>5260</v>
      </c>
      <c r="F4914" s="255">
        <v>46321.0</v>
      </c>
      <c r="G4914" s="155">
        <v>4395301.1</v>
      </c>
      <c r="H4914" s="9">
        <f t="shared" si="11"/>
        <v>923013.231</v>
      </c>
      <c r="I4914" s="44">
        <v>131859.03</v>
      </c>
      <c r="J4914" s="44"/>
      <c r="K4914" s="10">
        <f t="shared" si="12"/>
        <v>5450173.361</v>
      </c>
      <c r="L4914" s="61"/>
      <c r="M4914" s="62"/>
    </row>
    <row r="4915" ht="15.75" customHeight="1">
      <c r="A4915" s="127">
        <v>46315.0</v>
      </c>
      <c r="B4915" s="56"/>
      <c r="C4915" s="57" t="s">
        <v>1279</v>
      </c>
      <c r="D4915" s="58" t="s">
        <v>15</v>
      </c>
      <c r="E4915" s="57" t="s">
        <v>5261</v>
      </c>
      <c r="F4915" s="255">
        <v>46321.0</v>
      </c>
      <c r="G4915" s="155">
        <v>1.232425063E7</v>
      </c>
      <c r="H4915" s="9">
        <f t="shared" si="11"/>
        <v>2588092.632</v>
      </c>
      <c r="I4915" s="44">
        <v>369727.52</v>
      </c>
      <c r="J4915" s="44"/>
      <c r="K4915" s="10">
        <f t="shared" si="12"/>
        <v>15282070.78</v>
      </c>
      <c r="L4915" s="61"/>
      <c r="M4915" s="62"/>
    </row>
    <row r="4916" ht="15.75" customHeight="1">
      <c r="A4916" s="127">
        <v>46315.0</v>
      </c>
      <c r="B4916" s="56"/>
      <c r="C4916" s="57" t="s">
        <v>2842</v>
      </c>
      <c r="D4916" s="58" t="s">
        <v>15</v>
      </c>
      <c r="E4916" s="57" t="s">
        <v>5262</v>
      </c>
      <c r="F4916" s="255">
        <v>46321.0</v>
      </c>
      <c r="G4916" s="155">
        <v>1.564590027E7</v>
      </c>
      <c r="H4916" s="9">
        <f t="shared" si="11"/>
        <v>3285639.057</v>
      </c>
      <c r="I4916" s="44">
        <v>469377.01</v>
      </c>
      <c r="J4916" s="44">
        <v>782295.01</v>
      </c>
      <c r="K4916" s="10">
        <f t="shared" si="12"/>
        <v>20183211.35</v>
      </c>
      <c r="L4916" s="61"/>
      <c r="M4916" s="62"/>
    </row>
    <row r="4917" ht="15.75" customHeight="1">
      <c r="A4917" s="127">
        <v>46315.0</v>
      </c>
      <c r="B4917" s="56"/>
      <c r="C4917" s="57" t="s">
        <v>2842</v>
      </c>
      <c r="D4917" s="58" t="s">
        <v>99</v>
      </c>
      <c r="E4917" s="58" t="s">
        <v>5263</v>
      </c>
      <c r="F4917" s="255">
        <v>46321.0</v>
      </c>
      <c r="G4917" s="155">
        <v>1.293551053E7</v>
      </c>
      <c r="H4917" s="9">
        <f t="shared" si="11"/>
        <v>2716457.211</v>
      </c>
      <c r="I4917" s="44">
        <v>388065.32</v>
      </c>
      <c r="J4917" s="44">
        <v>646775.53</v>
      </c>
      <c r="K4917" s="10">
        <f t="shared" si="12"/>
        <v>16686808.59</v>
      </c>
      <c r="L4917" s="61"/>
      <c r="M4917" s="62"/>
    </row>
    <row r="4918" ht="15.75" customHeight="1">
      <c r="A4918" s="127"/>
      <c r="B4918" s="56"/>
      <c r="C4918" s="257"/>
      <c r="D4918" s="156"/>
      <c r="E4918" s="258"/>
      <c r="F4918" s="255"/>
      <c r="G4918" s="259"/>
      <c r="H4918" s="9">
        <f t="shared" si="11"/>
        <v>0</v>
      </c>
      <c r="I4918" s="44"/>
      <c r="J4918" s="44"/>
      <c r="K4918" s="10">
        <f t="shared" si="12"/>
        <v>0</v>
      </c>
      <c r="L4918" s="61"/>
      <c r="M4918" s="62"/>
    </row>
    <row r="4919" ht="15.75" customHeight="1">
      <c r="A4919" s="127"/>
      <c r="B4919" s="56"/>
      <c r="C4919" s="257"/>
      <c r="D4919" s="56"/>
      <c r="E4919" s="258"/>
      <c r="F4919" s="255"/>
      <c r="G4919" s="259"/>
      <c r="H4919" s="9">
        <f t="shared" si="11"/>
        <v>0</v>
      </c>
      <c r="I4919" s="44"/>
      <c r="J4919" s="44"/>
      <c r="K4919" s="10">
        <f t="shared" si="12"/>
        <v>0</v>
      </c>
      <c r="L4919" s="61"/>
      <c r="M4919" s="62"/>
    </row>
    <row r="4920" ht="15.75" customHeight="1">
      <c r="A4920" s="127"/>
      <c r="B4920" s="56"/>
      <c r="C4920" s="64"/>
      <c r="D4920" s="56"/>
      <c r="E4920" s="258"/>
      <c r="F4920" s="255"/>
      <c r="G4920" s="259"/>
      <c r="H4920" s="9">
        <f t="shared" si="11"/>
        <v>0</v>
      </c>
      <c r="I4920" s="44"/>
      <c r="J4920" s="44"/>
      <c r="K4920" s="10">
        <f t="shared" si="12"/>
        <v>0</v>
      </c>
      <c r="L4920" s="61"/>
      <c r="M4920" s="62"/>
    </row>
    <row r="4921" ht="15.75" customHeight="1">
      <c r="A4921" s="127"/>
      <c r="B4921" s="56"/>
      <c r="C4921" s="64"/>
      <c r="D4921" s="56"/>
      <c r="E4921" s="260"/>
      <c r="F4921" s="255"/>
      <c r="G4921" s="259"/>
      <c r="H4921" s="9">
        <f t="shared" si="11"/>
        <v>0</v>
      </c>
      <c r="I4921" s="44"/>
      <c r="J4921" s="44"/>
      <c r="K4921" s="10">
        <f t="shared" si="12"/>
        <v>0</v>
      </c>
      <c r="L4921" s="61"/>
      <c r="M4921" s="62"/>
    </row>
    <row r="4922" ht="15.75" customHeight="1">
      <c r="A4922" s="127"/>
      <c r="B4922" s="56"/>
      <c r="C4922" s="64"/>
      <c r="D4922" s="56"/>
      <c r="E4922" s="260"/>
      <c r="F4922" s="255"/>
      <c r="G4922" s="259"/>
      <c r="H4922" s="9">
        <f t="shared" si="11"/>
        <v>0</v>
      </c>
      <c r="I4922" s="44"/>
      <c r="J4922" s="44"/>
      <c r="K4922" s="10">
        <f t="shared" si="12"/>
        <v>0</v>
      </c>
      <c r="L4922" s="61"/>
      <c r="M4922" s="62"/>
    </row>
    <row r="4923" ht="15.75" customHeight="1">
      <c r="A4923" s="127"/>
      <c r="B4923" s="56"/>
      <c r="C4923" s="64"/>
      <c r="D4923" s="56"/>
      <c r="E4923" s="260"/>
      <c r="F4923" s="255"/>
      <c r="G4923" s="259"/>
      <c r="H4923" s="9">
        <f t="shared" si="11"/>
        <v>0</v>
      </c>
      <c r="I4923" s="44"/>
      <c r="J4923" s="44"/>
      <c r="K4923" s="10">
        <f t="shared" si="12"/>
        <v>0</v>
      </c>
      <c r="L4923" s="61"/>
      <c r="M4923" s="62"/>
    </row>
    <row r="4924" ht="15.75" customHeight="1">
      <c r="A4924" s="127"/>
      <c r="B4924" s="56"/>
      <c r="C4924" s="64"/>
      <c r="D4924" s="56"/>
      <c r="E4924" s="260"/>
      <c r="F4924" s="56"/>
      <c r="G4924" s="259"/>
      <c r="H4924" s="9">
        <f t="shared" si="11"/>
        <v>0</v>
      </c>
      <c r="I4924" s="44"/>
      <c r="J4924" s="44"/>
      <c r="K4924" s="10">
        <f t="shared" si="12"/>
        <v>0</v>
      </c>
      <c r="L4924" s="61"/>
      <c r="M4924" s="62"/>
    </row>
    <row r="4925" ht="15.75" customHeight="1">
      <c r="A4925" s="127"/>
      <c r="B4925" s="56"/>
      <c r="C4925" s="64"/>
      <c r="D4925" s="56"/>
      <c r="E4925" s="260"/>
      <c r="F4925" s="56"/>
      <c r="G4925" s="259"/>
      <c r="H4925" s="9">
        <f t="shared" si="11"/>
        <v>0</v>
      </c>
      <c r="I4925" s="44"/>
      <c r="J4925" s="44"/>
      <c r="K4925" s="10">
        <f t="shared" si="12"/>
        <v>0</v>
      </c>
      <c r="L4925" s="61"/>
      <c r="M4925" s="62"/>
    </row>
    <row r="4926" ht="15.75" customHeight="1">
      <c r="A4926" s="127"/>
      <c r="B4926" s="56"/>
      <c r="C4926" s="64"/>
      <c r="D4926" s="56"/>
      <c r="E4926" s="260"/>
      <c r="F4926" s="261"/>
      <c r="G4926" s="259"/>
      <c r="H4926" s="9">
        <f t="shared" si="11"/>
        <v>0</v>
      </c>
      <c r="I4926" s="44"/>
      <c r="J4926" s="44"/>
      <c r="K4926" s="10">
        <f t="shared" si="12"/>
        <v>0</v>
      </c>
      <c r="L4926" s="61"/>
      <c r="M4926" s="62"/>
    </row>
    <row r="4927" ht="15.75" customHeight="1">
      <c r="A4927" s="127"/>
      <c r="B4927" s="56"/>
      <c r="C4927" s="64"/>
      <c r="D4927" s="56"/>
      <c r="E4927" s="260"/>
      <c r="F4927" s="56"/>
      <c r="G4927" s="259"/>
      <c r="H4927" s="9">
        <f t="shared" si="11"/>
        <v>0</v>
      </c>
      <c r="I4927" s="44"/>
      <c r="J4927" s="44"/>
      <c r="K4927" s="10">
        <f t="shared" si="12"/>
        <v>0</v>
      </c>
      <c r="L4927" s="61"/>
      <c r="M4927" s="62"/>
    </row>
    <row r="4928" ht="15.75" customHeight="1">
      <c r="A4928" s="127"/>
      <c r="B4928" s="56"/>
      <c r="C4928" s="64"/>
      <c r="D4928" s="56"/>
      <c r="E4928" s="260"/>
      <c r="F4928" s="56"/>
      <c r="G4928" s="259"/>
      <c r="H4928" s="9">
        <f t="shared" si="11"/>
        <v>0</v>
      </c>
      <c r="I4928" s="44"/>
      <c r="J4928" s="44"/>
      <c r="K4928" s="10">
        <f t="shared" si="12"/>
        <v>0</v>
      </c>
      <c r="L4928" s="61"/>
      <c r="M4928" s="62"/>
    </row>
    <row r="4929" ht="15.75" customHeight="1">
      <c r="A4929" s="127"/>
      <c r="B4929" s="56"/>
      <c r="C4929" s="64"/>
      <c r="D4929" s="56"/>
      <c r="E4929" s="260"/>
      <c r="F4929" s="56"/>
      <c r="G4929" s="259"/>
      <c r="H4929" s="9">
        <f t="shared" si="11"/>
        <v>0</v>
      </c>
      <c r="I4929" s="44"/>
      <c r="J4929" s="44"/>
      <c r="K4929" s="10">
        <f t="shared" si="12"/>
        <v>0</v>
      </c>
      <c r="L4929" s="61"/>
      <c r="M4929" s="62"/>
    </row>
    <row r="4930" ht="15.75" customHeight="1">
      <c r="A4930" s="127"/>
      <c r="B4930" s="56"/>
      <c r="C4930" s="64"/>
      <c r="D4930" s="56"/>
      <c r="E4930" s="260"/>
      <c r="F4930" s="56"/>
      <c r="G4930" s="259"/>
      <c r="H4930" s="9">
        <f t="shared" si="11"/>
        <v>0</v>
      </c>
      <c r="I4930" s="44"/>
      <c r="J4930" s="44"/>
      <c r="K4930" s="10">
        <f t="shared" si="12"/>
        <v>0</v>
      </c>
      <c r="L4930" s="61"/>
      <c r="M4930" s="62"/>
    </row>
    <row r="4931" ht="15.75" customHeight="1">
      <c r="A4931" s="127"/>
      <c r="B4931" s="56"/>
      <c r="C4931" s="64"/>
      <c r="D4931" s="56"/>
      <c r="E4931" s="260"/>
      <c r="F4931" s="56"/>
      <c r="G4931" s="259"/>
      <c r="H4931" s="9">
        <f t="shared" si="11"/>
        <v>0</v>
      </c>
      <c r="I4931" s="44"/>
      <c r="J4931" s="44"/>
      <c r="K4931" s="10">
        <f t="shared" si="12"/>
        <v>0</v>
      </c>
      <c r="L4931" s="61"/>
      <c r="M4931" s="62"/>
    </row>
    <row r="4932" ht="15.75" customHeight="1">
      <c r="A4932" s="127"/>
      <c r="B4932" s="56"/>
      <c r="C4932" s="64"/>
      <c r="D4932" s="56"/>
      <c r="E4932" s="260"/>
      <c r="F4932" s="56"/>
      <c r="G4932" s="259"/>
      <c r="H4932" s="9">
        <f t="shared" si="11"/>
        <v>0</v>
      </c>
      <c r="I4932" s="44"/>
      <c r="J4932" s="44"/>
      <c r="K4932" s="10">
        <f t="shared" si="12"/>
        <v>0</v>
      </c>
      <c r="L4932" s="61"/>
      <c r="M4932" s="62"/>
    </row>
    <row r="4933" ht="15.75" customHeight="1">
      <c r="A4933" s="127"/>
      <c r="B4933" s="56"/>
      <c r="C4933" s="64"/>
      <c r="D4933" s="56"/>
      <c r="E4933" s="260"/>
      <c r="F4933" s="56"/>
      <c r="G4933" s="259"/>
      <c r="H4933" s="9">
        <f t="shared" si="11"/>
        <v>0</v>
      </c>
      <c r="I4933" s="44"/>
      <c r="J4933" s="44"/>
      <c r="K4933" s="10">
        <f t="shared" si="12"/>
        <v>0</v>
      </c>
      <c r="L4933" s="61"/>
      <c r="M4933" s="62"/>
    </row>
    <row r="4934" ht="15.75" customHeight="1">
      <c r="A4934" s="127"/>
      <c r="B4934" s="56"/>
      <c r="C4934" s="64"/>
      <c r="D4934" s="56"/>
      <c r="E4934" s="260"/>
      <c r="F4934" s="56"/>
      <c r="G4934" s="259"/>
      <c r="H4934" s="9">
        <f t="shared" si="11"/>
        <v>0</v>
      </c>
      <c r="I4934" s="44"/>
      <c r="J4934" s="44"/>
      <c r="K4934" s="10">
        <f t="shared" si="12"/>
        <v>0</v>
      </c>
      <c r="L4934" s="61"/>
      <c r="M4934" s="62"/>
    </row>
    <row r="4935" ht="15.75" customHeight="1">
      <c r="A4935" s="127"/>
      <c r="B4935" s="56"/>
      <c r="C4935" s="64"/>
      <c r="D4935" s="56"/>
      <c r="E4935" s="260"/>
      <c r="F4935" s="261"/>
      <c r="G4935" s="259"/>
      <c r="H4935" s="9">
        <f t="shared" si="11"/>
        <v>0</v>
      </c>
      <c r="I4935" s="44"/>
      <c r="J4935" s="44"/>
      <c r="K4935" s="10">
        <f t="shared" si="12"/>
        <v>0</v>
      </c>
      <c r="L4935" s="61"/>
      <c r="M4935" s="62"/>
    </row>
    <row r="4936" ht="15.75" customHeight="1">
      <c r="A4936" s="127"/>
      <c r="B4936" s="56"/>
      <c r="C4936" s="64"/>
      <c r="D4936" s="56"/>
      <c r="E4936" s="260"/>
      <c r="F4936" s="56"/>
      <c r="G4936" s="259"/>
      <c r="H4936" s="9">
        <f t="shared" si="11"/>
        <v>0</v>
      </c>
      <c r="I4936" s="44"/>
      <c r="J4936" s="44"/>
      <c r="K4936" s="10">
        <f t="shared" si="12"/>
        <v>0</v>
      </c>
      <c r="L4936" s="61"/>
      <c r="M4936" s="62"/>
    </row>
    <row r="4937" ht="15.75" customHeight="1">
      <c r="A4937" s="64"/>
      <c r="B4937" s="56"/>
      <c r="C4937" s="64"/>
      <c r="D4937" s="56"/>
      <c r="E4937" s="260"/>
      <c r="F4937" s="56"/>
      <c r="G4937" s="259"/>
      <c r="H4937" s="9">
        <f t="shared" si="11"/>
        <v>0</v>
      </c>
      <c r="I4937" s="44"/>
      <c r="J4937" s="44"/>
      <c r="K4937" s="10">
        <f t="shared" si="12"/>
        <v>0</v>
      </c>
      <c r="L4937" s="61"/>
      <c r="M4937" s="62"/>
    </row>
    <row r="4938" ht="15.75" customHeight="1">
      <c r="A4938" s="64"/>
      <c r="B4938" s="56"/>
      <c r="C4938" s="64"/>
      <c r="D4938" s="56"/>
      <c r="E4938" s="260"/>
      <c r="F4938" s="56"/>
      <c r="G4938" s="259"/>
      <c r="H4938" s="9">
        <f t="shared" si="11"/>
        <v>0</v>
      </c>
      <c r="I4938" s="44"/>
      <c r="J4938" s="44"/>
      <c r="K4938" s="10">
        <f t="shared" si="12"/>
        <v>0</v>
      </c>
      <c r="L4938" s="61"/>
      <c r="M4938" s="62"/>
    </row>
    <row r="4939" ht="15.75" customHeight="1">
      <c r="A4939" s="64"/>
      <c r="B4939" s="56"/>
      <c r="C4939" s="64"/>
      <c r="D4939" s="56"/>
      <c r="E4939" s="260"/>
      <c r="F4939" s="56"/>
      <c r="G4939" s="259"/>
      <c r="H4939" s="9">
        <f t="shared" si="11"/>
        <v>0</v>
      </c>
      <c r="I4939" s="44"/>
      <c r="J4939" s="44"/>
      <c r="K4939" s="10">
        <f t="shared" si="12"/>
        <v>0</v>
      </c>
      <c r="L4939" s="61"/>
      <c r="M4939" s="62"/>
    </row>
    <row r="4940" ht="15.75" customHeight="1">
      <c r="A4940" s="64"/>
      <c r="B4940" s="56"/>
      <c r="C4940" s="64"/>
      <c r="D4940" s="56"/>
      <c r="E4940" s="260"/>
      <c r="F4940" s="56"/>
      <c r="G4940" s="259"/>
      <c r="H4940" s="9">
        <f t="shared" si="11"/>
        <v>0</v>
      </c>
      <c r="I4940" s="44"/>
      <c r="J4940" s="44"/>
      <c r="K4940" s="10">
        <f t="shared" si="12"/>
        <v>0</v>
      </c>
      <c r="L4940" s="61"/>
      <c r="M4940" s="62"/>
    </row>
    <row r="4941" ht="15.75" customHeight="1">
      <c r="A4941" s="64"/>
      <c r="B4941" s="56"/>
      <c r="C4941" s="64"/>
      <c r="D4941" s="56"/>
      <c r="E4941" s="260"/>
      <c r="F4941" s="56"/>
      <c r="G4941" s="259"/>
      <c r="H4941" s="9">
        <f t="shared" si="11"/>
        <v>0</v>
      </c>
      <c r="I4941" s="44"/>
      <c r="J4941" s="44"/>
      <c r="K4941" s="10">
        <f t="shared" si="12"/>
        <v>0</v>
      </c>
      <c r="L4941" s="61"/>
      <c r="M4941" s="62"/>
    </row>
    <row r="4942" ht="15.75" customHeight="1">
      <c r="A4942" s="262"/>
      <c r="B4942" s="56"/>
      <c r="C4942" s="64"/>
      <c r="D4942" s="56"/>
      <c r="E4942" s="260"/>
      <c r="F4942" s="261"/>
      <c r="G4942" s="259"/>
      <c r="H4942" s="9">
        <f t="shared" si="11"/>
        <v>0</v>
      </c>
      <c r="I4942" s="44"/>
      <c r="J4942" s="44"/>
      <c r="K4942" s="10">
        <f t="shared" si="12"/>
        <v>0</v>
      </c>
      <c r="L4942" s="61"/>
      <c r="M4942" s="62"/>
    </row>
    <row r="4943" ht="15.75" customHeight="1">
      <c r="A4943" s="64"/>
      <c r="B4943" s="56"/>
      <c r="C4943" s="64"/>
      <c r="D4943" s="56"/>
      <c r="E4943" s="260"/>
      <c r="F4943" s="56"/>
      <c r="G4943" s="259"/>
      <c r="H4943" s="9">
        <f t="shared" si="11"/>
        <v>0</v>
      </c>
      <c r="I4943" s="44"/>
      <c r="J4943" s="44"/>
      <c r="K4943" s="10">
        <f t="shared" si="12"/>
        <v>0</v>
      </c>
      <c r="L4943" s="61"/>
      <c r="M4943" s="62"/>
    </row>
    <row r="4944" ht="15.75" customHeight="1">
      <c r="A4944" s="64"/>
      <c r="B4944" s="56"/>
      <c r="C4944" s="64"/>
      <c r="D4944" s="56"/>
      <c r="E4944" s="260"/>
      <c r="F4944" s="56"/>
      <c r="G4944" s="259"/>
      <c r="H4944" s="9">
        <f t="shared" si="11"/>
        <v>0</v>
      </c>
      <c r="I4944" s="44"/>
      <c r="J4944" s="44"/>
      <c r="K4944" s="10">
        <f t="shared" si="12"/>
        <v>0</v>
      </c>
      <c r="L4944" s="61"/>
      <c r="M4944" s="62"/>
    </row>
    <row r="4945" ht="15.75" customHeight="1">
      <c r="A4945" s="64"/>
      <c r="B4945" s="56"/>
      <c r="C4945" s="64"/>
      <c r="D4945" s="56"/>
      <c r="E4945" s="260"/>
      <c r="F4945" s="56"/>
      <c r="G4945" s="259"/>
      <c r="H4945" s="9">
        <f t="shared" si="11"/>
        <v>0</v>
      </c>
      <c r="I4945" s="44"/>
      <c r="J4945" s="44"/>
      <c r="K4945" s="10">
        <f t="shared" si="12"/>
        <v>0</v>
      </c>
      <c r="L4945" s="61"/>
      <c r="M4945" s="62"/>
    </row>
    <row r="4946" ht="15.75" customHeight="1">
      <c r="A4946" s="64"/>
      <c r="B4946" s="56"/>
      <c r="C4946" s="64"/>
      <c r="D4946" s="56"/>
      <c r="E4946" s="260"/>
      <c r="F4946" s="56"/>
      <c r="G4946" s="259"/>
      <c r="H4946" s="9">
        <f t="shared" si="11"/>
        <v>0</v>
      </c>
      <c r="I4946" s="44"/>
      <c r="J4946" s="44"/>
      <c r="K4946" s="10">
        <f t="shared" si="12"/>
        <v>0</v>
      </c>
      <c r="L4946" s="61"/>
      <c r="M4946" s="62"/>
    </row>
    <row r="4947" ht="15.75" customHeight="1">
      <c r="A4947" s="64"/>
      <c r="B4947" s="56"/>
      <c r="C4947" s="64"/>
      <c r="D4947" s="56"/>
      <c r="E4947" s="260"/>
      <c r="F4947" s="56"/>
      <c r="G4947" s="259"/>
      <c r="H4947" s="9">
        <f t="shared" si="11"/>
        <v>0</v>
      </c>
      <c r="I4947" s="44"/>
      <c r="J4947" s="44"/>
      <c r="K4947" s="10">
        <f t="shared" si="12"/>
        <v>0</v>
      </c>
      <c r="L4947" s="61"/>
      <c r="M4947" s="62"/>
    </row>
    <row r="4948" ht="15.75" customHeight="1">
      <c r="A4948" s="64"/>
      <c r="B4948" s="56"/>
      <c r="C4948" s="64"/>
      <c r="D4948" s="56"/>
      <c r="E4948" s="260"/>
      <c r="F4948" s="56"/>
      <c r="G4948" s="259"/>
      <c r="H4948" s="9">
        <f t="shared" si="11"/>
        <v>0</v>
      </c>
      <c r="I4948" s="44"/>
      <c r="J4948" s="44"/>
      <c r="K4948" s="10">
        <f t="shared" si="12"/>
        <v>0</v>
      </c>
      <c r="L4948" s="61"/>
      <c r="M4948" s="62"/>
    </row>
    <row r="4949" ht="15.75" customHeight="1">
      <c r="A4949" s="64"/>
      <c r="B4949" s="56"/>
      <c r="C4949" s="64"/>
      <c r="D4949" s="56"/>
      <c r="E4949" s="260"/>
      <c r="F4949" s="56"/>
      <c r="G4949" s="259"/>
      <c r="H4949" s="9">
        <f t="shared" si="11"/>
        <v>0</v>
      </c>
      <c r="I4949" s="44"/>
      <c r="J4949" s="44"/>
      <c r="K4949" s="10">
        <f t="shared" si="12"/>
        <v>0</v>
      </c>
      <c r="L4949" s="61"/>
      <c r="M4949" s="62"/>
    </row>
    <row r="4950" ht="15.75" customHeight="1">
      <c r="A4950" s="64"/>
      <c r="B4950" s="56"/>
      <c r="C4950" s="64"/>
      <c r="D4950" s="56"/>
      <c r="E4950" s="260"/>
      <c r="F4950" s="56"/>
      <c r="G4950" s="259"/>
      <c r="H4950" s="9">
        <f t="shared" si="11"/>
        <v>0</v>
      </c>
      <c r="I4950" s="44"/>
      <c r="J4950" s="44"/>
      <c r="K4950" s="10">
        <f t="shared" si="12"/>
        <v>0</v>
      </c>
      <c r="L4950" s="61"/>
      <c r="M4950" s="62"/>
    </row>
    <row r="4951" ht="15.75" customHeight="1">
      <c r="A4951" s="262"/>
      <c r="B4951" s="56"/>
      <c r="C4951" s="64"/>
      <c r="D4951" s="56"/>
      <c r="E4951" s="260"/>
      <c r="F4951" s="261"/>
      <c r="G4951" s="259"/>
      <c r="H4951" s="9">
        <f t="shared" si="11"/>
        <v>0</v>
      </c>
      <c r="I4951" s="44"/>
      <c r="J4951" s="44"/>
      <c r="K4951" s="10">
        <f t="shared" si="12"/>
        <v>0</v>
      </c>
      <c r="L4951" s="61"/>
      <c r="M4951" s="62"/>
    </row>
    <row r="4952" ht="15.75" customHeight="1">
      <c r="A4952" s="64"/>
      <c r="B4952" s="56"/>
      <c r="C4952" s="64"/>
      <c r="D4952" s="56"/>
      <c r="E4952" s="260"/>
      <c r="F4952" s="56"/>
      <c r="G4952" s="259"/>
      <c r="H4952" s="9">
        <f t="shared" si="11"/>
        <v>0</v>
      </c>
      <c r="I4952" s="44"/>
      <c r="J4952" s="44"/>
      <c r="K4952" s="10">
        <f t="shared" si="12"/>
        <v>0</v>
      </c>
      <c r="L4952" s="61"/>
      <c r="M4952" s="62"/>
    </row>
    <row r="4953" ht="15.75" customHeight="1">
      <c r="A4953" s="64"/>
      <c r="B4953" s="56"/>
      <c r="C4953" s="64"/>
      <c r="D4953" s="56"/>
      <c r="E4953" s="260"/>
      <c r="F4953" s="56"/>
      <c r="G4953" s="259"/>
      <c r="H4953" s="9">
        <f t="shared" si="11"/>
        <v>0</v>
      </c>
      <c r="I4953" s="44"/>
      <c r="J4953" s="44"/>
      <c r="K4953" s="10">
        <f t="shared" si="12"/>
        <v>0</v>
      </c>
      <c r="L4953" s="61"/>
      <c r="M4953" s="62"/>
    </row>
    <row r="4954" ht="15.75" customHeight="1">
      <c r="A4954" s="64"/>
      <c r="B4954" s="56"/>
      <c r="C4954" s="64"/>
      <c r="D4954" s="56"/>
      <c r="E4954" s="260"/>
      <c r="F4954" s="56"/>
      <c r="G4954" s="259"/>
      <c r="H4954" s="9">
        <f t="shared" si="11"/>
        <v>0</v>
      </c>
      <c r="I4954" s="44"/>
      <c r="J4954" s="44"/>
      <c r="K4954" s="10">
        <f t="shared" si="12"/>
        <v>0</v>
      </c>
      <c r="L4954" s="61"/>
      <c r="M4954" s="62"/>
    </row>
    <row r="4955" ht="15.75" customHeight="1">
      <c r="A4955" s="64"/>
      <c r="B4955" s="56"/>
      <c r="C4955" s="64"/>
      <c r="D4955" s="56"/>
      <c r="E4955" s="260"/>
      <c r="F4955" s="56"/>
      <c r="G4955" s="259"/>
      <c r="H4955" s="9">
        <f t="shared" si="11"/>
        <v>0</v>
      </c>
      <c r="I4955" s="44"/>
      <c r="J4955" s="44"/>
      <c r="K4955" s="10">
        <f t="shared" si="12"/>
        <v>0</v>
      </c>
      <c r="L4955" s="61"/>
      <c r="M4955" s="62"/>
    </row>
    <row r="4956" ht="15.75" customHeight="1">
      <c r="A4956" s="64"/>
      <c r="B4956" s="56"/>
      <c r="C4956" s="64"/>
      <c r="D4956" s="56"/>
      <c r="E4956" s="260"/>
      <c r="F4956" s="56"/>
      <c r="G4956" s="259"/>
      <c r="H4956" s="9">
        <f t="shared" si="11"/>
        <v>0</v>
      </c>
      <c r="I4956" s="44"/>
      <c r="J4956" s="44"/>
      <c r="K4956" s="10">
        <f t="shared" si="12"/>
        <v>0</v>
      </c>
      <c r="L4956" s="61"/>
      <c r="M4956" s="62"/>
    </row>
    <row r="4957" ht="15.75" customHeight="1">
      <c r="A4957" s="64"/>
      <c r="B4957" s="56"/>
      <c r="C4957" s="64"/>
      <c r="D4957" s="56"/>
      <c r="E4957" s="260"/>
      <c r="F4957" s="56"/>
      <c r="G4957" s="259"/>
      <c r="H4957" s="9">
        <f t="shared" si="11"/>
        <v>0</v>
      </c>
      <c r="I4957" s="44"/>
      <c r="J4957" s="44"/>
      <c r="K4957" s="10">
        <f t="shared" si="12"/>
        <v>0</v>
      </c>
      <c r="L4957" s="61"/>
      <c r="M4957" s="62"/>
    </row>
    <row r="4958" ht="15.75" customHeight="1">
      <c r="A4958" s="262"/>
      <c r="B4958" s="56"/>
      <c r="C4958" s="64"/>
      <c r="D4958" s="56"/>
      <c r="E4958" s="260"/>
      <c r="F4958" s="261"/>
      <c r="G4958" s="259"/>
      <c r="H4958" s="9">
        <f t="shared" si="11"/>
        <v>0</v>
      </c>
      <c r="I4958" s="44"/>
      <c r="J4958" s="44"/>
      <c r="K4958" s="10">
        <f t="shared" si="12"/>
        <v>0</v>
      </c>
      <c r="L4958" s="61"/>
      <c r="M4958" s="62"/>
    </row>
    <row r="4959" ht="15.75" customHeight="1">
      <c r="A4959" s="64"/>
      <c r="B4959" s="56"/>
      <c r="C4959" s="64"/>
      <c r="D4959" s="56"/>
      <c r="E4959" s="260"/>
      <c r="F4959" s="56"/>
      <c r="G4959" s="259"/>
      <c r="H4959" s="9">
        <f t="shared" si="11"/>
        <v>0</v>
      </c>
      <c r="I4959" s="44"/>
      <c r="J4959" s="44"/>
      <c r="K4959" s="10">
        <f t="shared" si="12"/>
        <v>0</v>
      </c>
      <c r="L4959" s="61"/>
      <c r="M4959" s="62"/>
    </row>
    <row r="4960" ht="15.75" customHeight="1">
      <c r="A4960" s="64"/>
      <c r="B4960" s="56"/>
      <c r="C4960" s="64"/>
      <c r="D4960" s="56"/>
      <c r="E4960" s="260"/>
      <c r="F4960" s="56"/>
      <c r="G4960" s="259"/>
      <c r="H4960" s="9">
        <f t="shared" si="11"/>
        <v>0</v>
      </c>
      <c r="I4960" s="44"/>
      <c r="J4960" s="44"/>
      <c r="K4960" s="10">
        <f t="shared" si="12"/>
        <v>0</v>
      </c>
      <c r="L4960" s="61"/>
      <c r="M4960" s="62"/>
    </row>
    <row r="4961" ht="15.75" customHeight="1">
      <c r="A4961" s="64"/>
      <c r="B4961" s="56"/>
      <c r="C4961" s="64"/>
      <c r="D4961" s="56"/>
      <c r="E4961" s="260"/>
      <c r="F4961" s="56"/>
      <c r="G4961" s="259"/>
      <c r="H4961" s="9">
        <f t="shared" si="11"/>
        <v>0</v>
      </c>
      <c r="I4961" s="44"/>
      <c r="J4961" s="44"/>
      <c r="K4961" s="10">
        <f t="shared" si="12"/>
        <v>0</v>
      </c>
      <c r="L4961" s="61"/>
      <c r="M4961" s="62"/>
    </row>
    <row r="4962" ht="15.75" customHeight="1">
      <c r="A4962" s="64"/>
      <c r="B4962" s="56"/>
      <c r="C4962" s="64"/>
      <c r="D4962" s="56"/>
      <c r="E4962" s="260"/>
      <c r="F4962" s="56"/>
      <c r="G4962" s="259"/>
      <c r="H4962" s="9">
        <f t="shared" si="11"/>
        <v>0</v>
      </c>
      <c r="I4962" s="44"/>
      <c r="J4962" s="44"/>
      <c r="K4962" s="10">
        <f t="shared" si="12"/>
        <v>0</v>
      </c>
      <c r="L4962" s="61"/>
      <c r="M4962" s="62"/>
    </row>
    <row r="4963" ht="15.75" customHeight="1">
      <c r="A4963" s="64"/>
      <c r="B4963" s="56"/>
      <c r="C4963" s="64"/>
      <c r="D4963" s="56"/>
      <c r="E4963" s="260"/>
      <c r="F4963" s="56"/>
      <c r="G4963" s="259"/>
      <c r="H4963" s="9">
        <f t="shared" si="11"/>
        <v>0</v>
      </c>
      <c r="I4963" s="44"/>
      <c r="J4963" s="44"/>
      <c r="K4963" s="10">
        <f t="shared" si="12"/>
        <v>0</v>
      </c>
      <c r="L4963" s="61"/>
      <c r="M4963" s="62"/>
    </row>
    <row r="4964" ht="15.75" customHeight="1">
      <c r="A4964" s="64"/>
      <c r="B4964" s="56"/>
      <c r="C4964" s="64"/>
      <c r="D4964" s="56"/>
      <c r="E4964" s="260"/>
      <c r="F4964" s="56"/>
      <c r="G4964" s="259"/>
      <c r="H4964" s="9">
        <f t="shared" si="11"/>
        <v>0</v>
      </c>
      <c r="I4964" s="44"/>
      <c r="J4964" s="44"/>
      <c r="K4964" s="10">
        <f t="shared" si="12"/>
        <v>0</v>
      </c>
      <c r="L4964" s="61"/>
      <c r="M4964" s="62"/>
    </row>
    <row r="4965" ht="15.75" customHeight="1">
      <c r="A4965" s="64"/>
      <c r="B4965" s="56"/>
      <c r="C4965" s="64"/>
      <c r="D4965" s="56"/>
      <c r="E4965" s="260"/>
      <c r="F4965" s="56"/>
      <c r="G4965" s="259"/>
      <c r="H4965" s="9">
        <f t="shared" si="11"/>
        <v>0</v>
      </c>
      <c r="I4965" s="44"/>
      <c r="J4965" s="44"/>
      <c r="K4965" s="10">
        <f t="shared" si="12"/>
        <v>0</v>
      </c>
      <c r="L4965" s="61"/>
      <c r="M4965" s="62"/>
    </row>
    <row r="4966" ht="15.75" customHeight="1">
      <c r="A4966" s="64"/>
      <c r="B4966" s="56"/>
      <c r="C4966" s="64"/>
      <c r="D4966" s="56"/>
      <c r="E4966" s="260"/>
      <c r="F4966" s="56"/>
      <c r="G4966" s="259"/>
      <c r="H4966" s="9">
        <f t="shared" si="11"/>
        <v>0</v>
      </c>
      <c r="I4966" s="44"/>
      <c r="J4966" s="44"/>
      <c r="K4966" s="10">
        <f t="shared" si="12"/>
        <v>0</v>
      </c>
      <c r="L4966" s="61"/>
      <c r="M4966" s="62"/>
    </row>
    <row r="4967" ht="15.75" customHeight="1">
      <c r="A4967" s="262"/>
      <c r="B4967" s="56"/>
      <c r="C4967" s="64"/>
      <c r="D4967" s="56"/>
      <c r="E4967" s="260"/>
      <c r="F4967" s="261"/>
      <c r="G4967" s="259"/>
      <c r="H4967" s="9">
        <f t="shared" si="11"/>
        <v>0</v>
      </c>
      <c r="I4967" s="44"/>
      <c r="J4967" s="44"/>
      <c r="K4967" s="10">
        <f t="shared" si="12"/>
        <v>0</v>
      </c>
      <c r="L4967" s="61"/>
      <c r="M4967" s="62"/>
    </row>
    <row r="4968" ht="15.75" customHeight="1">
      <c r="A4968" s="64"/>
      <c r="B4968" s="56"/>
      <c r="C4968" s="64"/>
      <c r="D4968" s="56"/>
      <c r="E4968" s="260"/>
      <c r="F4968" s="56"/>
      <c r="G4968" s="259"/>
      <c r="H4968" s="9">
        <f t="shared" si="11"/>
        <v>0</v>
      </c>
      <c r="I4968" s="44"/>
      <c r="J4968" s="44"/>
      <c r="K4968" s="10">
        <f t="shared" si="12"/>
        <v>0</v>
      </c>
      <c r="L4968" s="61"/>
      <c r="M4968" s="62"/>
    </row>
    <row r="4969" ht="15.75" customHeight="1">
      <c r="A4969" s="64"/>
      <c r="B4969" s="56"/>
      <c r="C4969" s="64"/>
      <c r="D4969" s="56"/>
      <c r="E4969" s="260"/>
      <c r="F4969" s="56"/>
      <c r="G4969" s="259"/>
      <c r="H4969" s="9">
        <f t="shared" si="11"/>
        <v>0</v>
      </c>
      <c r="I4969" s="44"/>
      <c r="J4969" s="44"/>
      <c r="K4969" s="10">
        <f t="shared" si="12"/>
        <v>0</v>
      </c>
      <c r="L4969" s="61"/>
      <c r="M4969" s="62"/>
    </row>
    <row r="4970" ht="15.75" customHeight="1">
      <c r="A4970" s="64"/>
      <c r="B4970" s="56"/>
      <c r="C4970" s="64"/>
      <c r="D4970" s="56"/>
      <c r="E4970" s="260"/>
      <c r="F4970" s="56"/>
      <c r="G4970" s="259"/>
      <c r="H4970" s="9">
        <f t="shared" si="11"/>
        <v>0</v>
      </c>
      <c r="I4970" s="44"/>
      <c r="J4970" s="44"/>
      <c r="K4970" s="10">
        <f t="shared" si="12"/>
        <v>0</v>
      </c>
      <c r="L4970" s="61"/>
      <c r="M4970" s="62"/>
    </row>
    <row r="4971" ht="15.75" customHeight="1">
      <c r="A4971" s="64"/>
      <c r="B4971" s="56"/>
      <c r="C4971" s="64"/>
      <c r="D4971" s="56"/>
      <c r="E4971" s="260"/>
      <c r="F4971" s="56"/>
      <c r="G4971" s="259"/>
      <c r="H4971" s="9">
        <f t="shared" si="11"/>
        <v>0</v>
      </c>
      <c r="I4971" s="44"/>
      <c r="J4971" s="44"/>
      <c r="K4971" s="10">
        <f t="shared" si="12"/>
        <v>0</v>
      </c>
      <c r="L4971" s="61"/>
      <c r="M4971" s="62"/>
    </row>
    <row r="4972" ht="15.75" customHeight="1">
      <c r="A4972" s="64"/>
      <c r="B4972" s="56"/>
      <c r="C4972" s="64"/>
      <c r="D4972" s="56"/>
      <c r="E4972" s="260"/>
      <c r="F4972" s="56"/>
      <c r="G4972" s="259"/>
      <c r="H4972" s="9">
        <f t="shared" si="11"/>
        <v>0</v>
      </c>
      <c r="I4972" s="44"/>
      <c r="J4972" s="44"/>
      <c r="K4972" s="10">
        <f t="shared" si="12"/>
        <v>0</v>
      </c>
      <c r="L4972" s="61"/>
      <c r="M4972" s="62"/>
    </row>
    <row r="4973" ht="15.75" customHeight="1">
      <c r="A4973" s="64"/>
      <c r="B4973" s="56"/>
      <c r="C4973" s="64"/>
      <c r="D4973" s="56"/>
      <c r="E4973" s="260"/>
      <c r="F4973" s="56"/>
      <c r="G4973" s="259"/>
      <c r="H4973" s="9">
        <f t="shared" si="11"/>
        <v>0</v>
      </c>
      <c r="I4973" s="44"/>
      <c r="J4973" s="44"/>
      <c r="K4973" s="10">
        <f t="shared" si="12"/>
        <v>0</v>
      </c>
      <c r="L4973" s="61"/>
      <c r="M4973" s="62"/>
    </row>
    <row r="4974" ht="15.75" customHeight="1">
      <c r="A4974" s="262"/>
      <c r="B4974" s="56"/>
      <c r="C4974" s="64"/>
      <c r="D4974" s="56"/>
      <c r="E4974" s="260"/>
      <c r="F4974" s="261"/>
      <c r="G4974" s="259"/>
      <c r="H4974" s="9">
        <f t="shared" si="11"/>
        <v>0</v>
      </c>
      <c r="I4974" s="44"/>
      <c r="J4974" s="44"/>
      <c r="K4974" s="10">
        <f t="shared" si="12"/>
        <v>0</v>
      </c>
      <c r="L4974" s="61"/>
      <c r="M4974" s="62"/>
    </row>
    <row r="4975" ht="15.75" customHeight="1">
      <c r="A4975" s="64"/>
      <c r="B4975" s="56"/>
      <c r="C4975" s="64"/>
      <c r="D4975" s="56"/>
      <c r="E4975" s="260"/>
      <c r="F4975" s="56"/>
      <c r="G4975" s="259"/>
      <c r="H4975" s="9">
        <f t="shared" si="11"/>
        <v>0</v>
      </c>
      <c r="I4975" s="44"/>
      <c r="J4975" s="44"/>
      <c r="K4975" s="10">
        <f t="shared" si="12"/>
        <v>0</v>
      </c>
      <c r="L4975" s="61"/>
      <c r="M4975" s="62"/>
    </row>
    <row r="4976" ht="15.75" customHeight="1">
      <c r="A4976" s="64"/>
      <c r="B4976" s="56"/>
      <c r="C4976" s="64"/>
      <c r="D4976" s="56"/>
      <c r="E4976" s="260"/>
      <c r="F4976" s="56"/>
      <c r="G4976" s="259"/>
      <c r="H4976" s="9">
        <f t="shared" si="11"/>
        <v>0</v>
      </c>
      <c r="I4976" s="44"/>
      <c r="J4976" s="44"/>
      <c r="K4976" s="10">
        <f t="shared" si="12"/>
        <v>0</v>
      </c>
      <c r="L4976" s="61"/>
      <c r="M4976" s="62"/>
    </row>
    <row r="4977" ht="15.75" customHeight="1">
      <c r="A4977" s="64"/>
      <c r="B4977" s="56"/>
      <c r="C4977" s="64"/>
      <c r="D4977" s="56"/>
      <c r="E4977" s="260"/>
      <c r="F4977" s="56"/>
      <c r="G4977" s="259"/>
      <c r="H4977" s="9">
        <f t="shared" si="11"/>
        <v>0</v>
      </c>
      <c r="I4977" s="44"/>
      <c r="J4977" s="44"/>
      <c r="K4977" s="10">
        <f t="shared" si="12"/>
        <v>0</v>
      </c>
      <c r="L4977" s="61"/>
      <c r="M4977" s="62"/>
    </row>
    <row r="4978" ht="15.75" customHeight="1">
      <c r="A4978" s="64"/>
      <c r="B4978" s="56"/>
      <c r="C4978" s="64"/>
      <c r="D4978" s="56"/>
      <c r="E4978" s="260"/>
      <c r="F4978" s="56"/>
      <c r="G4978" s="259"/>
      <c r="H4978" s="9">
        <f t="shared" si="11"/>
        <v>0</v>
      </c>
      <c r="I4978" s="44"/>
      <c r="J4978" s="44"/>
      <c r="K4978" s="10">
        <f t="shared" si="12"/>
        <v>0</v>
      </c>
      <c r="L4978" s="61"/>
      <c r="M4978" s="62"/>
    </row>
    <row r="4979" ht="15.75" customHeight="1">
      <c r="A4979" s="64"/>
      <c r="B4979" s="56"/>
      <c r="C4979" s="64"/>
      <c r="D4979" s="56"/>
      <c r="E4979" s="260"/>
      <c r="F4979" s="56"/>
      <c r="G4979" s="259"/>
      <c r="H4979" s="9">
        <f t="shared" si="11"/>
        <v>0</v>
      </c>
      <c r="I4979" s="44"/>
      <c r="J4979" s="44"/>
      <c r="K4979" s="10">
        <f t="shared" si="12"/>
        <v>0</v>
      </c>
      <c r="L4979" s="61"/>
      <c r="M4979" s="62"/>
    </row>
    <row r="4980" ht="15.75" customHeight="1">
      <c r="A4980" s="64"/>
      <c r="B4980" s="56"/>
      <c r="C4980" s="64"/>
      <c r="D4980" s="56"/>
      <c r="E4980" s="260"/>
      <c r="F4980" s="56"/>
      <c r="G4980" s="259"/>
      <c r="H4980" s="9">
        <f t="shared" si="11"/>
        <v>0</v>
      </c>
      <c r="I4980" s="44"/>
      <c r="J4980" s="44"/>
      <c r="K4980" s="10">
        <f t="shared" si="12"/>
        <v>0</v>
      </c>
      <c r="L4980" s="61"/>
      <c r="M4980" s="62"/>
    </row>
    <row r="4981" ht="15.75" customHeight="1">
      <c r="A4981" s="64"/>
      <c r="B4981" s="56"/>
      <c r="C4981" s="64"/>
      <c r="D4981" s="56"/>
      <c r="E4981" s="260"/>
      <c r="F4981" s="56"/>
      <c r="G4981" s="259"/>
      <c r="H4981" s="9">
        <f t="shared" si="11"/>
        <v>0</v>
      </c>
      <c r="I4981" s="44"/>
      <c r="J4981" s="44"/>
      <c r="K4981" s="10">
        <f t="shared" si="12"/>
        <v>0</v>
      </c>
      <c r="L4981" s="61"/>
      <c r="M4981" s="62"/>
    </row>
    <row r="4982" ht="15.75" customHeight="1">
      <c r="A4982" s="64"/>
      <c r="B4982" s="56"/>
      <c r="C4982" s="64"/>
      <c r="D4982" s="56"/>
      <c r="E4982" s="260"/>
      <c r="F4982" s="56"/>
      <c r="G4982" s="259"/>
      <c r="H4982" s="9">
        <f t="shared" si="11"/>
        <v>0</v>
      </c>
      <c r="I4982" s="44"/>
      <c r="J4982" s="44"/>
      <c r="K4982" s="10">
        <f t="shared" si="12"/>
        <v>0</v>
      </c>
      <c r="L4982" s="61"/>
      <c r="M4982" s="62"/>
    </row>
    <row r="4983" ht="15.75" customHeight="1">
      <c r="A4983" s="262"/>
      <c r="B4983" s="56"/>
      <c r="C4983" s="64"/>
      <c r="D4983" s="56"/>
      <c r="E4983" s="260"/>
      <c r="F4983" s="261"/>
      <c r="G4983" s="259"/>
      <c r="H4983" s="9">
        <f t="shared" si="11"/>
        <v>0</v>
      </c>
      <c r="I4983" s="44"/>
      <c r="J4983" s="44"/>
      <c r="K4983" s="10">
        <f t="shared" si="12"/>
        <v>0</v>
      </c>
      <c r="L4983" s="61"/>
      <c r="M4983" s="62"/>
    </row>
    <row r="4984" ht="15.75" customHeight="1">
      <c r="A4984" s="64"/>
      <c r="B4984" s="56"/>
      <c r="C4984" s="64"/>
      <c r="D4984" s="56"/>
      <c r="E4984" s="260"/>
      <c r="F4984" s="56"/>
      <c r="G4984" s="259"/>
      <c r="H4984" s="9">
        <f t="shared" si="11"/>
        <v>0</v>
      </c>
      <c r="I4984" s="44"/>
      <c r="J4984" s="44"/>
      <c r="K4984" s="10">
        <f t="shared" si="12"/>
        <v>0</v>
      </c>
      <c r="L4984" s="61"/>
      <c r="M4984" s="62"/>
    </row>
    <row r="4985" ht="15.75" customHeight="1">
      <c r="A4985" s="64"/>
      <c r="B4985" s="56"/>
      <c r="C4985" s="64"/>
      <c r="D4985" s="56"/>
      <c r="E4985" s="260"/>
      <c r="F4985" s="56"/>
      <c r="G4985" s="259"/>
      <c r="H4985" s="9">
        <f t="shared" si="11"/>
        <v>0</v>
      </c>
      <c r="I4985" s="44"/>
      <c r="J4985" s="44"/>
      <c r="K4985" s="10">
        <f t="shared" si="12"/>
        <v>0</v>
      </c>
      <c r="L4985" s="61"/>
      <c r="M4985" s="62"/>
    </row>
    <row r="4986" ht="15.75" customHeight="1">
      <c r="A4986" s="64"/>
      <c r="B4986" s="56"/>
      <c r="C4986" s="64"/>
      <c r="D4986" s="56"/>
      <c r="E4986" s="260"/>
      <c r="F4986" s="56"/>
      <c r="G4986" s="259"/>
      <c r="H4986" s="9">
        <f t="shared" si="11"/>
        <v>0</v>
      </c>
      <c r="I4986" s="44"/>
      <c r="J4986" s="44"/>
      <c r="K4986" s="10">
        <f t="shared" si="12"/>
        <v>0</v>
      </c>
      <c r="L4986" s="61"/>
      <c r="M4986" s="62"/>
    </row>
    <row r="4987" ht="15.75" customHeight="1">
      <c r="A4987" s="64"/>
      <c r="B4987" s="56"/>
      <c r="C4987" s="64"/>
      <c r="D4987" s="56"/>
      <c r="E4987" s="260"/>
      <c r="F4987" s="56"/>
      <c r="G4987" s="259"/>
      <c r="H4987" s="9">
        <f t="shared" si="11"/>
        <v>0</v>
      </c>
      <c r="I4987" s="44"/>
      <c r="J4987" s="44"/>
      <c r="K4987" s="10">
        <f t="shared" si="12"/>
        <v>0</v>
      </c>
      <c r="L4987" s="61"/>
      <c r="M4987" s="62"/>
    </row>
    <row r="4988" ht="15.75" customHeight="1">
      <c r="A4988" s="64"/>
      <c r="B4988" s="56"/>
      <c r="C4988" s="64"/>
      <c r="D4988" s="56"/>
      <c r="E4988" s="260"/>
      <c r="F4988" s="56"/>
      <c r="G4988" s="259"/>
      <c r="H4988" s="9">
        <f t="shared" si="11"/>
        <v>0</v>
      </c>
      <c r="I4988" s="44"/>
      <c r="J4988" s="44"/>
      <c r="K4988" s="10">
        <f t="shared" si="12"/>
        <v>0</v>
      </c>
      <c r="L4988" s="61"/>
      <c r="M4988" s="62"/>
    </row>
    <row r="4989" ht="15.75" customHeight="1">
      <c r="A4989" s="64"/>
      <c r="B4989" s="56"/>
      <c r="C4989" s="64"/>
      <c r="D4989" s="56"/>
      <c r="E4989" s="260"/>
      <c r="F4989" s="56"/>
      <c r="G4989" s="259"/>
      <c r="H4989" s="9">
        <f t="shared" si="11"/>
        <v>0</v>
      </c>
      <c r="I4989" s="44"/>
      <c r="J4989" s="44"/>
      <c r="K4989" s="10">
        <f t="shared" si="12"/>
        <v>0</v>
      </c>
      <c r="L4989" s="61"/>
      <c r="M4989" s="62"/>
    </row>
    <row r="4990" ht="15.75" customHeight="1">
      <c r="A4990" s="64"/>
      <c r="B4990" s="56"/>
      <c r="C4990" s="64"/>
      <c r="D4990" s="56"/>
      <c r="E4990" s="260"/>
      <c r="F4990" s="56"/>
      <c r="G4990" s="259"/>
      <c r="H4990" s="9">
        <f t="shared" si="11"/>
        <v>0</v>
      </c>
      <c r="I4990" s="44"/>
      <c r="J4990" s="44"/>
      <c r="K4990" s="10">
        <f t="shared" si="12"/>
        <v>0</v>
      </c>
      <c r="L4990" s="61"/>
      <c r="M4990" s="62"/>
    </row>
    <row r="4991" ht="15.75" customHeight="1">
      <c r="A4991" s="64"/>
      <c r="B4991" s="56"/>
      <c r="C4991" s="64"/>
      <c r="D4991" s="56"/>
      <c r="E4991" s="260"/>
      <c r="F4991" s="56"/>
      <c r="G4991" s="259"/>
      <c r="H4991" s="9">
        <f t="shared" si="11"/>
        <v>0</v>
      </c>
      <c r="I4991" s="44"/>
      <c r="J4991" s="44"/>
      <c r="K4991" s="10">
        <f t="shared" si="12"/>
        <v>0</v>
      </c>
      <c r="L4991" s="61"/>
      <c r="M4991" s="62"/>
    </row>
    <row r="4992" ht="15.75" customHeight="1">
      <c r="A4992" s="64"/>
      <c r="B4992" s="56"/>
      <c r="C4992" s="64"/>
      <c r="D4992" s="56"/>
      <c r="E4992" s="260"/>
      <c r="F4992" s="56"/>
      <c r="G4992" s="259"/>
      <c r="H4992" s="9">
        <f t="shared" si="11"/>
        <v>0</v>
      </c>
      <c r="I4992" s="44"/>
      <c r="J4992" s="44"/>
      <c r="K4992" s="10">
        <f t="shared" si="12"/>
        <v>0</v>
      </c>
      <c r="L4992" s="61"/>
      <c r="M4992" s="62"/>
    </row>
    <row r="4993" ht="15.75" customHeight="1">
      <c r="A4993" s="64"/>
      <c r="B4993" s="56"/>
      <c r="C4993" s="64"/>
      <c r="D4993" s="56"/>
      <c r="E4993" s="260"/>
      <c r="F4993" s="56"/>
      <c r="G4993" s="259"/>
      <c r="H4993" s="9">
        <f t="shared" si="11"/>
        <v>0</v>
      </c>
      <c r="I4993" s="44"/>
      <c r="J4993" s="44"/>
      <c r="K4993" s="10">
        <f t="shared" si="12"/>
        <v>0</v>
      </c>
      <c r="L4993" s="61"/>
      <c r="M4993" s="62"/>
    </row>
    <row r="4994" ht="15.75" customHeight="1">
      <c r="A4994" s="64"/>
      <c r="B4994" s="56"/>
      <c r="C4994" s="64"/>
      <c r="D4994" s="56"/>
      <c r="E4994" s="260"/>
      <c r="F4994" s="56"/>
      <c r="G4994" s="259"/>
      <c r="H4994" s="9">
        <f t="shared" si="11"/>
        <v>0</v>
      </c>
      <c r="I4994" s="44"/>
      <c r="J4994" s="44"/>
      <c r="K4994" s="10">
        <f t="shared" si="12"/>
        <v>0</v>
      </c>
      <c r="L4994" s="61"/>
      <c r="M4994" s="62"/>
    </row>
    <row r="4995" ht="15.75" customHeight="1">
      <c r="A4995" s="262"/>
      <c r="B4995" s="56"/>
      <c r="C4995" s="64"/>
      <c r="D4995" s="56"/>
      <c r="E4995" s="260"/>
      <c r="F4995" s="261"/>
      <c r="G4995" s="259"/>
      <c r="H4995" s="9">
        <f t="shared" si="11"/>
        <v>0</v>
      </c>
      <c r="I4995" s="44"/>
      <c r="J4995" s="44"/>
      <c r="K4995" s="10">
        <f t="shared" si="12"/>
        <v>0</v>
      </c>
      <c r="L4995" s="61"/>
      <c r="M4995" s="62"/>
    </row>
    <row r="4996" ht="15.75" customHeight="1">
      <c r="A4996" s="64"/>
      <c r="B4996" s="56"/>
      <c r="C4996" s="64"/>
      <c r="D4996" s="56"/>
      <c r="E4996" s="260"/>
      <c r="F4996" s="56"/>
      <c r="G4996" s="259"/>
      <c r="H4996" s="9">
        <f t="shared" si="11"/>
        <v>0</v>
      </c>
      <c r="I4996" s="44"/>
      <c r="J4996" s="44"/>
      <c r="K4996" s="10">
        <f t="shared" si="12"/>
        <v>0</v>
      </c>
      <c r="L4996" s="61"/>
      <c r="M4996" s="62"/>
    </row>
    <row r="4997" ht="15.75" customHeight="1">
      <c r="A4997" s="64"/>
      <c r="B4997" s="56"/>
      <c r="C4997" s="64"/>
      <c r="D4997" s="56"/>
      <c r="E4997" s="260"/>
      <c r="F4997" s="56"/>
      <c r="G4997" s="259"/>
      <c r="H4997" s="9">
        <f t="shared" si="11"/>
        <v>0</v>
      </c>
      <c r="I4997" s="44"/>
      <c r="J4997" s="44"/>
      <c r="K4997" s="10">
        <f t="shared" si="12"/>
        <v>0</v>
      </c>
      <c r="L4997" s="61"/>
      <c r="M4997" s="62"/>
    </row>
    <row r="4998" ht="15.75" customHeight="1">
      <c r="A4998" s="64"/>
      <c r="B4998" s="56"/>
      <c r="C4998" s="64"/>
      <c r="D4998" s="56"/>
      <c r="E4998" s="260"/>
      <c r="F4998" s="56"/>
      <c r="G4998" s="259"/>
      <c r="H4998" s="263"/>
      <c r="I4998" s="86"/>
      <c r="J4998" s="86"/>
      <c r="K4998" s="264"/>
      <c r="M4998" s="265"/>
    </row>
    <row r="4999" ht="15.75" customHeight="1">
      <c r="A4999" s="64"/>
      <c r="B4999" s="56"/>
      <c r="C4999" s="64"/>
      <c r="D4999" s="56"/>
      <c r="E4999" s="260"/>
      <c r="F4999" s="56"/>
      <c r="G4999" s="259"/>
      <c r="H4999" s="263"/>
      <c r="I4999" s="86"/>
      <c r="J4999" s="86"/>
      <c r="K4999" s="264"/>
      <c r="M4999" s="265"/>
    </row>
    <row r="5000" ht="15.75" customHeight="1">
      <c r="A5000" s="266"/>
      <c r="B5000" s="267"/>
      <c r="C5000" s="266"/>
      <c r="D5000" s="267"/>
      <c r="E5000" s="268"/>
      <c r="F5000" s="267"/>
      <c r="G5000" s="269"/>
      <c r="H5000" s="263"/>
      <c r="I5000" s="86"/>
      <c r="J5000" s="86"/>
      <c r="K5000" s="264"/>
      <c r="M5000" s="265"/>
    </row>
    <row r="5001" ht="15.75" customHeight="1">
      <c r="A5001" s="266"/>
      <c r="B5001" s="267"/>
      <c r="C5001" s="266"/>
      <c r="D5001" s="267"/>
      <c r="E5001" s="268"/>
      <c r="F5001" s="267"/>
      <c r="G5001" s="269"/>
      <c r="H5001" s="263"/>
      <c r="I5001" s="86"/>
      <c r="J5001" s="86"/>
      <c r="K5001" s="264"/>
      <c r="M5001" s="265"/>
    </row>
    <row r="5002" ht="15.75" customHeight="1">
      <c r="A5002" s="266"/>
      <c r="B5002" s="267"/>
      <c r="C5002" s="266"/>
      <c r="D5002" s="267"/>
      <c r="E5002" s="268"/>
      <c r="F5002" s="267"/>
      <c r="G5002" s="269"/>
      <c r="H5002" s="263"/>
      <c r="I5002" s="86"/>
      <c r="J5002" s="86"/>
      <c r="K5002" s="264"/>
      <c r="M5002" s="265"/>
    </row>
    <row r="5003" ht="15.75" customHeight="1">
      <c r="A5003" s="266"/>
      <c r="B5003" s="267"/>
      <c r="C5003" s="266"/>
      <c r="D5003" s="267"/>
      <c r="E5003" s="268"/>
      <c r="F5003" s="267"/>
      <c r="G5003" s="269"/>
      <c r="H5003" s="263"/>
      <c r="I5003" s="86"/>
      <c r="J5003" s="86"/>
      <c r="K5003" s="264"/>
      <c r="M5003" s="265"/>
    </row>
    <row r="5004" ht="15.75" customHeight="1">
      <c r="A5004" s="266"/>
      <c r="B5004" s="267"/>
      <c r="C5004" s="266"/>
      <c r="D5004" s="267"/>
      <c r="E5004" s="268"/>
      <c r="F5004" s="267"/>
      <c r="G5004" s="269"/>
      <c r="H5004" s="263"/>
      <c r="I5004" s="86"/>
      <c r="J5004" s="86"/>
      <c r="K5004" s="264"/>
      <c r="M5004" s="265"/>
    </row>
    <row r="5005" ht="15.75" customHeight="1">
      <c r="A5005" s="266"/>
      <c r="B5005" s="267"/>
      <c r="C5005" s="266"/>
      <c r="D5005" s="267"/>
      <c r="E5005" s="268"/>
      <c r="F5005" s="267"/>
      <c r="G5005" s="269"/>
      <c r="H5005" s="263"/>
      <c r="I5005" s="86"/>
      <c r="J5005" s="86"/>
      <c r="K5005" s="264"/>
      <c r="M5005" s="265"/>
    </row>
    <row r="5006" ht="15.75" customHeight="1">
      <c r="A5006" s="266"/>
      <c r="B5006" s="267"/>
      <c r="C5006" s="266"/>
      <c r="D5006" s="267"/>
      <c r="E5006" s="268"/>
      <c r="F5006" s="267"/>
      <c r="G5006" s="269"/>
      <c r="H5006" s="263"/>
      <c r="I5006" s="86"/>
      <c r="J5006" s="86"/>
      <c r="K5006" s="264"/>
      <c r="M5006" s="265"/>
    </row>
    <row r="5007" ht="15.75" customHeight="1">
      <c r="A5007" s="266"/>
      <c r="B5007" s="267"/>
      <c r="C5007" s="266"/>
      <c r="D5007" s="267"/>
      <c r="E5007" s="268"/>
      <c r="F5007" s="267"/>
      <c r="G5007" s="269"/>
      <c r="H5007" s="263"/>
      <c r="I5007" s="86"/>
      <c r="J5007" s="86"/>
      <c r="K5007" s="264"/>
      <c r="M5007" s="265"/>
    </row>
    <row r="5008" ht="15.75" customHeight="1">
      <c r="A5008" s="266"/>
      <c r="B5008" s="267"/>
      <c r="C5008" s="266"/>
      <c r="D5008" s="267"/>
      <c r="E5008" s="268"/>
      <c r="F5008" s="267"/>
      <c r="G5008" s="269"/>
      <c r="H5008" s="263"/>
      <c r="I5008" s="86"/>
      <c r="J5008" s="86"/>
      <c r="K5008" s="264"/>
      <c r="M5008" s="265"/>
    </row>
    <row r="5009" ht="15.75" customHeight="1">
      <c r="A5009" s="266"/>
      <c r="B5009" s="267"/>
      <c r="C5009" s="266"/>
      <c r="D5009" s="267"/>
      <c r="E5009" s="268"/>
      <c r="F5009" s="267"/>
      <c r="G5009" s="269"/>
      <c r="H5009" s="263"/>
      <c r="I5009" s="86"/>
      <c r="J5009" s="86"/>
      <c r="K5009" s="264"/>
      <c r="M5009" s="265"/>
    </row>
    <row r="5010" ht="15.75" customHeight="1">
      <c r="A5010" s="266"/>
      <c r="B5010" s="267"/>
      <c r="C5010" s="266"/>
      <c r="D5010" s="267"/>
      <c r="E5010" s="268"/>
      <c r="F5010" s="267"/>
      <c r="G5010" s="269"/>
      <c r="H5010" s="263"/>
      <c r="I5010" s="86"/>
      <c r="J5010" s="86"/>
      <c r="K5010" s="264"/>
      <c r="M5010" s="265"/>
    </row>
    <row r="5011" ht="15.75" customHeight="1">
      <c r="A5011" s="266"/>
      <c r="B5011" s="267"/>
      <c r="C5011" s="266"/>
      <c r="D5011" s="267"/>
      <c r="E5011" s="268"/>
      <c r="F5011" s="267"/>
      <c r="G5011" s="269"/>
      <c r="H5011" s="263"/>
      <c r="I5011" s="86"/>
      <c r="J5011" s="86"/>
      <c r="K5011" s="264"/>
      <c r="M5011" s="265"/>
    </row>
    <row r="5012" ht="15.75" customHeight="1">
      <c r="A5012" s="266"/>
      <c r="B5012" s="267"/>
      <c r="C5012" s="266"/>
      <c r="D5012" s="267"/>
      <c r="E5012" s="268"/>
      <c r="F5012" s="267"/>
      <c r="G5012" s="269"/>
      <c r="H5012" s="263"/>
      <c r="I5012" s="86"/>
      <c r="J5012" s="86"/>
      <c r="K5012" s="264"/>
      <c r="M5012" s="265"/>
    </row>
    <row r="5013" ht="15.75" customHeight="1">
      <c r="A5013" s="266"/>
      <c r="B5013" s="267"/>
      <c r="C5013" s="266"/>
      <c r="D5013" s="267"/>
      <c r="E5013" s="268"/>
      <c r="F5013" s="267"/>
      <c r="G5013" s="269"/>
      <c r="H5013" s="263"/>
      <c r="I5013" s="86"/>
      <c r="J5013" s="86"/>
      <c r="K5013" s="264"/>
      <c r="M5013" s="265"/>
    </row>
    <row r="5014" ht="15.75" customHeight="1">
      <c r="A5014" s="266"/>
      <c r="B5014" s="267"/>
      <c r="C5014" s="266"/>
      <c r="D5014" s="267"/>
      <c r="E5014" s="268"/>
      <c r="F5014" s="267"/>
      <c r="G5014" s="269"/>
      <c r="H5014" s="263"/>
      <c r="I5014" s="86"/>
      <c r="J5014" s="86"/>
      <c r="K5014" s="264"/>
      <c r="M5014" s="265"/>
    </row>
    <row r="5015" ht="15.75" customHeight="1">
      <c r="A5015" s="266"/>
      <c r="B5015" s="267"/>
      <c r="C5015" s="266"/>
      <c r="D5015" s="267"/>
      <c r="E5015" s="268"/>
      <c r="F5015" s="267"/>
      <c r="G5015" s="269"/>
      <c r="H5015" s="263"/>
      <c r="I5015" s="86"/>
      <c r="J5015" s="86"/>
      <c r="K5015" s="264"/>
      <c r="M5015" s="265"/>
    </row>
    <row r="5016" ht="15.75" customHeight="1">
      <c r="A5016" s="266"/>
      <c r="B5016" s="267"/>
      <c r="C5016" s="266"/>
      <c r="D5016" s="267"/>
      <c r="E5016" s="268"/>
      <c r="F5016" s="267"/>
      <c r="G5016" s="269"/>
      <c r="H5016" s="263"/>
      <c r="I5016" s="86"/>
      <c r="J5016" s="86"/>
      <c r="K5016" s="264"/>
      <c r="M5016" s="265"/>
    </row>
    <row r="5017" ht="15.75" customHeight="1">
      <c r="A5017" s="266"/>
      <c r="B5017" s="267"/>
      <c r="C5017" s="266"/>
      <c r="D5017" s="267"/>
      <c r="E5017" s="268"/>
      <c r="F5017" s="267"/>
      <c r="G5017" s="269"/>
      <c r="H5017" s="263"/>
      <c r="I5017" s="86"/>
      <c r="J5017" s="86"/>
      <c r="K5017" s="264"/>
      <c r="M5017" s="265"/>
    </row>
    <row r="5018" ht="15.75" customHeight="1">
      <c r="A5018" s="266"/>
      <c r="B5018" s="267"/>
      <c r="C5018" s="266"/>
      <c r="D5018" s="267"/>
      <c r="E5018" s="268"/>
      <c r="F5018" s="267"/>
      <c r="G5018" s="269"/>
      <c r="H5018" s="263"/>
      <c r="I5018" s="86"/>
      <c r="J5018" s="86"/>
      <c r="K5018" s="264"/>
      <c r="M5018" s="265"/>
    </row>
    <row r="5019" ht="15.75" customHeight="1">
      <c r="A5019" s="266"/>
      <c r="B5019" s="267"/>
      <c r="C5019" s="266"/>
      <c r="D5019" s="267"/>
      <c r="E5019" s="268"/>
      <c r="F5019" s="267"/>
      <c r="G5019" s="269"/>
      <c r="H5019" s="263"/>
      <c r="I5019" s="86"/>
      <c r="J5019" s="86"/>
      <c r="K5019" s="264"/>
      <c r="M5019" s="265"/>
    </row>
    <row r="5020" ht="15.75" customHeight="1">
      <c r="A5020" s="266"/>
      <c r="B5020" s="267"/>
      <c r="C5020" s="266"/>
      <c r="D5020" s="267"/>
      <c r="E5020" s="268"/>
      <c r="F5020" s="267"/>
      <c r="G5020" s="269"/>
      <c r="H5020" s="263"/>
      <c r="I5020" s="86"/>
      <c r="J5020" s="86"/>
      <c r="K5020" s="264"/>
      <c r="M5020" s="265"/>
    </row>
    <row r="5021" ht="15.75" customHeight="1">
      <c r="A5021" s="266"/>
      <c r="B5021" s="267"/>
      <c r="C5021" s="266"/>
      <c r="D5021" s="267"/>
      <c r="E5021" s="268"/>
      <c r="F5021" s="267"/>
      <c r="G5021" s="269"/>
      <c r="H5021" s="263"/>
      <c r="I5021" s="86"/>
      <c r="J5021" s="86"/>
      <c r="K5021" s="264"/>
      <c r="M5021" s="265"/>
    </row>
    <row r="5022" ht="15.75" customHeight="1">
      <c r="A5022" s="266"/>
      <c r="B5022" s="267"/>
      <c r="C5022" s="266"/>
      <c r="D5022" s="267"/>
      <c r="E5022" s="268"/>
      <c r="F5022" s="267"/>
      <c r="G5022" s="269"/>
      <c r="H5022" s="263"/>
      <c r="I5022" s="86"/>
      <c r="J5022" s="86"/>
      <c r="K5022" s="264"/>
      <c r="M5022" s="265"/>
    </row>
    <row r="5023" ht="15.75" customHeight="1">
      <c r="A5023" s="266"/>
      <c r="B5023" s="267"/>
      <c r="C5023" s="266"/>
      <c r="D5023" s="267"/>
      <c r="E5023" s="268"/>
      <c r="F5023" s="267"/>
      <c r="G5023" s="269"/>
      <c r="H5023" s="263"/>
      <c r="I5023" s="86"/>
      <c r="J5023" s="86"/>
      <c r="K5023" s="264"/>
      <c r="M5023" s="265"/>
    </row>
    <row r="5024" ht="15.75" customHeight="1">
      <c r="A5024" s="266"/>
      <c r="B5024" s="267"/>
      <c r="C5024" s="266"/>
      <c r="D5024" s="267"/>
      <c r="E5024" s="268"/>
      <c r="F5024" s="267"/>
      <c r="G5024" s="269"/>
      <c r="H5024" s="263"/>
      <c r="I5024" s="86"/>
      <c r="J5024" s="86"/>
      <c r="K5024" s="264"/>
      <c r="M5024" s="265"/>
    </row>
    <row r="5025" ht="15.75" customHeight="1">
      <c r="A5025" s="266"/>
      <c r="B5025" s="267"/>
      <c r="C5025" s="266"/>
      <c r="D5025" s="267"/>
      <c r="E5025" s="268"/>
      <c r="F5025" s="267"/>
      <c r="G5025" s="269"/>
      <c r="H5025" s="263"/>
      <c r="I5025" s="86"/>
      <c r="J5025" s="86"/>
      <c r="K5025" s="264"/>
      <c r="M5025" s="265"/>
    </row>
    <row r="5026" ht="15.75" customHeight="1">
      <c r="A5026" s="266"/>
      <c r="B5026" s="267"/>
      <c r="C5026" s="266"/>
      <c r="D5026" s="267"/>
      <c r="E5026" s="268"/>
      <c r="F5026" s="267"/>
      <c r="G5026" s="269"/>
      <c r="H5026" s="263"/>
      <c r="I5026" s="86"/>
      <c r="J5026" s="86"/>
      <c r="K5026" s="264"/>
      <c r="M5026" s="265"/>
    </row>
    <row r="5027" ht="15.75" customHeight="1">
      <c r="A5027" s="266"/>
      <c r="B5027" s="267"/>
      <c r="C5027" s="266"/>
      <c r="D5027" s="267"/>
      <c r="E5027" s="268"/>
      <c r="F5027" s="267"/>
      <c r="G5027" s="269"/>
      <c r="H5027" s="263"/>
      <c r="I5027" s="86"/>
      <c r="J5027" s="86"/>
      <c r="K5027" s="264"/>
      <c r="M5027" s="265"/>
    </row>
    <row r="5028" ht="15.75" customHeight="1">
      <c r="A5028" s="266"/>
      <c r="B5028" s="267"/>
      <c r="C5028" s="266"/>
      <c r="D5028" s="267"/>
      <c r="E5028" s="268"/>
      <c r="F5028" s="267"/>
      <c r="G5028" s="269"/>
      <c r="H5028" s="263"/>
      <c r="I5028" s="86"/>
      <c r="J5028" s="86"/>
      <c r="K5028" s="264"/>
      <c r="M5028" s="265"/>
    </row>
    <row r="5029" ht="15.75" customHeight="1">
      <c r="A5029" s="266"/>
      <c r="B5029" s="267"/>
      <c r="C5029" s="266"/>
      <c r="D5029" s="267"/>
      <c r="E5029" s="268"/>
      <c r="F5029" s="267"/>
      <c r="G5029" s="269"/>
      <c r="H5029" s="263"/>
      <c r="I5029" s="86"/>
      <c r="J5029" s="86"/>
      <c r="K5029" s="264"/>
      <c r="M5029" s="265"/>
    </row>
    <row r="5030" ht="15.75" customHeight="1">
      <c r="A5030" s="266"/>
      <c r="B5030" s="267"/>
      <c r="C5030" s="266"/>
      <c r="D5030" s="267"/>
      <c r="E5030" s="268"/>
      <c r="F5030" s="267"/>
      <c r="G5030" s="269"/>
      <c r="H5030" s="263"/>
      <c r="I5030" s="86"/>
      <c r="J5030" s="86"/>
      <c r="K5030" s="264"/>
      <c r="M5030" s="265"/>
    </row>
    <row r="5031" ht="15.75" customHeight="1">
      <c r="A5031" s="266"/>
      <c r="B5031" s="267"/>
      <c r="C5031" s="266"/>
      <c r="D5031" s="267"/>
      <c r="E5031" s="268"/>
      <c r="F5031" s="267"/>
      <c r="G5031" s="269"/>
      <c r="H5031" s="263"/>
      <c r="I5031" s="86"/>
      <c r="J5031" s="86"/>
      <c r="K5031" s="264"/>
      <c r="M5031" s="265"/>
    </row>
    <row r="5032" ht="15.75" customHeight="1">
      <c r="A5032" s="266"/>
      <c r="B5032" s="267"/>
      <c r="C5032" s="266"/>
      <c r="D5032" s="267"/>
      <c r="E5032" s="268"/>
      <c r="F5032" s="267"/>
      <c r="G5032" s="269"/>
      <c r="H5032" s="263"/>
      <c r="I5032" s="86"/>
      <c r="J5032" s="86"/>
      <c r="K5032" s="264"/>
      <c r="M5032" s="265"/>
    </row>
    <row r="5033" ht="15.75" customHeight="1">
      <c r="A5033" s="266"/>
      <c r="B5033" s="267"/>
      <c r="C5033" s="266"/>
      <c r="D5033" s="267"/>
      <c r="E5033" s="268"/>
      <c r="F5033" s="267"/>
      <c r="G5033" s="269"/>
      <c r="H5033" s="263"/>
      <c r="I5033" s="86"/>
      <c r="J5033" s="86"/>
      <c r="K5033" s="264"/>
      <c r="M5033" s="265"/>
    </row>
    <row r="5034" ht="15.75" customHeight="1">
      <c r="A5034" s="266"/>
      <c r="B5034" s="267"/>
      <c r="C5034" s="266"/>
      <c r="D5034" s="267"/>
      <c r="E5034" s="268"/>
      <c r="F5034" s="267"/>
      <c r="G5034" s="269"/>
      <c r="H5034" s="263"/>
      <c r="I5034" s="86"/>
      <c r="J5034" s="86"/>
      <c r="K5034" s="264"/>
      <c r="M5034" s="265"/>
    </row>
    <row r="5035" ht="15.75" customHeight="1">
      <c r="A5035" s="266"/>
      <c r="B5035" s="267"/>
      <c r="C5035" s="266"/>
      <c r="D5035" s="267"/>
      <c r="E5035" s="268"/>
      <c r="F5035" s="267"/>
      <c r="G5035" s="269"/>
      <c r="H5035" s="263"/>
      <c r="I5035" s="86"/>
      <c r="J5035" s="86"/>
      <c r="K5035" s="264"/>
      <c r="M5035" s="265"/>
    </row>
    <row r="5036" ht="15.75" customHeight="1">
      <c r="A5036" s="266"/>
      <c r="B5036" s="267"/>
      <c r="C5036" s="266"/>
      <c r="D5036" s="267"/>
      <c r="E5036" s="268"/>
      <c r="F5036" s="267"/>
      <c r="G5036" s="269"/>
      <c r="H5036" s="263"/>
      <c r="I5036" s="86"/>
      <c r="J5036" s="86"/>
      <c r="K5036" s="264"/>
      <c r="M5036" s="265"/>
    </row>
    <row r="5037" ht="15.75" customHeight="1">
      <c r="A5037" s="266"/>
      <c r="B5037" s="267"/>
      <c r="C5037" s="266"/>
      <c r="D5037" s="267"/>
      <c r="E5037" s="268"/>
      <c r="F5037" s="267"/>
      <c r="G5037" s="269"/>
      <c r="H5037" s="263"/>
      <c r="I5037" s="86"/>
      <c r="J5037" s="86"/>
      <c r="K5037" s="264"/>
      <c r="M5037" s="265"/>
    </row>
    <row r="5038" ht="15.75" customHeight="1">
      <c r="A5038" s="266"/>
      <c r="B5038" s="267"/>
      <c r="C5038" s="266"/>
      <c r="D5038" s="267"/>
      <c r="E5038" s="268"/>
      <c r="F5038" s="267"/>
      <c r="G5038" s="269"/>
      <c r="H5038" s="263"/>
      <c r="I5038" s="86"/>
      <c r="J5038" s="86"/>
      <c r="K5038" s="264"/>
      <c r="M5038" s="265"/>
    </row>
    <row r="5039" ht="15.75" customHeight="1">
      <c r="A5039" s="266"/>
      <c r="B5039" s="267"/>
      <c r="C5039" s="266"/>
      <c r="D5039" s="267"/>
      <c r="E5039" s="268"/>
      <c r="F5039" s="267"/>
      <c r="G5039" s="269"/>
      <c r="H5039" s="263"/>
      <c r="I5039" s="86"/>
      <c r="J5039" s="86"/>
      <c r="K5039" s="264"/>
      <c r="M5039" s="265"/>
    </row>
    <row r="5040" ht="15.75" customHeight="1">
      <c r="A5040" s="266"/>
      <c r="B5040" s="267"/>
      <c r="C5040" s="266"/>
      <c r="D5040" s="267"/>
      <c r="E5040" s="268"/>
      <c r="F5040" s="267"/>
      <c r="G5040" s="269"/>
      <c r="H5040" s="263"/>
      <c r="I5040" s="86"/>
      <c r="J5040" s="86"/>
      <c r="K5040" s="264"/>
      <c r="M5040" s="265"/>
    </row>
    <row r="5041" ht="15.75" customHeight="1">
      <c r="A5041" s="266"/>
      <c r="B5041" s="267"/>
      <c r="C5041" s="266"/>
      <c r="D5041" s="267"/>
      <c r="E5041" s="268"/>
      <c r="F5041" s="267"/>
      <c r="G5041" s="269"/>
      <c r="H5041" s="263"/>
      <c r="I5041" s="86"/>
      <c r="J5041" s="86"/>
      <c r="K5041" s="264"/>
      <c r="M5041" s="265"/>
    </row>
    <row r="5042" ht="15.75" customHeight="1">
      <c r="A5042" s="266"/>
      <c r="B5042" s="267"/>
      <c r="C5042" s="266"/>
      <c r="D5042" s="267"/>
      <c r="E5042" s="268"/>
      <c r="F5042" s="267"/>
      <c r="G5042" s="269"/>
      <c r="H5042" s="263"/>
      <c r="I5042" s="86"/>
      <c r="J5042" s="86"/>
      <c r="K5042" s="264"/>
      <c r="M5042" s="265"/>
    </row>
    <row r="5043" ht="15.75" customHeight="1">
      <c r="A5043" s="266"/>
      <c r="B5043" s="267"/>
      <c r="C5043" s="266"/>
      <c r="D5043" s="267"/>
      <c r="E5043" s="268"/>
      <c r="F5043" s="267"/>
      <c r="G5043" s="269"/>
      <c r="H5043" s="263"/>
      <c r="I5043" s="86"/>
      <c r="J5043" s="86"/>
      <c r="K5043" s="264"/>
      <c r="M5043" s="265"/>
    </row>
    <row r="5044" ht="15.75" customHeight="1">
      <c r="A5044" s="266"/>
      <c r="B5044" s="267"/>
      <c r="C5044" s="266"/>
      <c r="D5044" s="267"/>
      <c r="E5044" s="268"/>
      <c r="F5044" s="267"/>
      <c r="G5044" s="269"/>
      <c r="H5044" s="263"/>
      <c r="I5044" s="86"/>
      <c r="J5044" s="86"/>
      <c r="K5044" s="264"/>
      <c r="M5044" s="265"/>
    </row>
    <row r="5045" ht="15.75" customHeight="1">
      <c r="A5045" s="266"/>
      <c r="B5045" s="267"/>
      <c r="C5045" s="266"/>
      <c r="D5045" s="267"/>
      <c r="E5045" s="268"/>
      <c r="F5045" s="267"/>
      <c r="G5045" s="269"/>
      <c r="H5045" s="263"/>
      <c r="I5045" s="86"/>
      <c r="J5045" s="86"/>
      <c r="K5045" s="264"/>
      <c r="M5045" s="265"/>
    </row>
    <row r="5046" ht="15.75" customHeight="1">
      <c r="A5046" s="266"/>
      <c r="B5046" s="267"/>
      <c r="C5046" s="266"/>
      <c r="D5046" s="267"/>
      <c r="E5046" s="268"/>
      <c r="F5046" s="267"/>
      <c r="G5046" s="269"/>
      <c r="H5046" s="263"/>
      <c r="I5046" s="86"/>
      <c r="J5046" s="86"/>
      <c r="K5046" s="264"/>
      <c r="M5046" s="265"/>
    </row>
    <row r="5047" ht="15.75" customHeight="1">
      <c r="A5047" s="266"/>
      <c r="B5047" s="267"/>
      <c r="C5047" s="266"/>
      <c r="D5047" s="267"/>
      <c r="E5047" s="268"/>
      <c r="F5047" s="267"/>
      <c r="G5047" s="269"/>
      <c r="H5047" s="263"/>
      <c r="I5047" s="86"/>
      <c r="J5047" s="86"/>
      <c r="K5047" s="264"/>
      <c r="M5047" s="265"/>
    </row>
    <row r="5048" ht="15.75" customHeight="1">
      <c r="A5048" s="266"/>
      <c r="B5048" s="267"/>
      <c r="C5048" s="266"/>
      <c r="D5048" s="267"/>
      <c r="E5048" s="268"/>
      <c r="F5048" s="267"/>
      <c r="G5048" s="269"/>
      <c r="H5048" s="263"/>
      <c r="I5048" s="86"/>
      <c r="J5048" s="86"/>
      <c r="K5048" s="264"/>
      <c r="M5048" s="265"/>
    </row>
    <row r="5049" ht="15.75" customHeight="1">
      <c r="A5049" s="266"/>
      <c r="B5049" s="267"/>
      <c r="C5049" s="266"/>
      <c r="D5049" s="267"/>
      <c r="E5049" s="268"/>
      <c r="F5049" s="267"/>
      <c r="G5049" s="269"/>
      <c r="H5049" s="263"/>
      <c r="I5049" s="86"/>
      <c r="J5049" s="86"/>
      <c r="K5049" s="264"/>
      <c r="M5049" s="265"/>
    </row>
    <row r="5050" ht="15.75" customHeight="1">
      <c r="A5050" s="266"/>
      <c r="B5050" s="267"/>
      <c r="C5050" s="266"/>
      <c r="D5050" s="267"/>
      <c r="E5050" s="268"/>
      <c r="F5050" s="267"/>
      <c r="G5050" s="269"/>
      <c r="H5050" s="263"/>
      <c r="I5050" s="86"/>
      <c r="J5050" s="86"/>
      <c r="K5050" s="264"/>
      <c r="M5050" s="265"/>
    </row>
    <row r="5051" ht="15.75" customHeight="1">
      <c r="A5051" s="266"/>
      <c r="B5051" s="267"/>
      <c r="C5051" s="266"/>
      <c r="D5051" s="267"/>
      <c r="E5051" s="268"/>
      <c r="F5051" s="267"/>
      <c r="G5051" s="269"/>
      <c r="H5051" s="263"/>
      <c r="I5051" s="86"/>
      <c r="J5051" s="86"/>
      <c r="K5051" s="264"/>
      <c r="M5051" s="265"/>
    </row>
    <row r="5052" ht="15.75" customHeight="1">
      <c r="A5052" s="266"/>
      <c r="B5052" s="267"/>
      <c r="C5052" s="266"/>
      <c r="D5052" s="267"/>
      <c r="E5052" s="268"/>
      <c r="F5052" s="267"/>
      <c r="G5052" s="269"/>
      <c r="H5052" s="263"/>
      <c r="I5052" s="86"/>
      <c r="J5052" s="86"/>
      <c r="K5052" s="264"/>
      <c r="M5052" s="265"/>
    </row>
    <row r="5053" ht="15.75" customHeight="1">
      <c r="A5053" s="266"/>
      <c r="B5053" s="267"/>
      <c r="C5053" s="266"/>
      <c r="D5053" s="267"/>
      <c r="E5053" s="268"/>
      <c r="F5053" s="267"/>
      <c r="G5053" s="269"/>
      <c r="H5053" s="263"/>
      <c r="I5053" s="86"/>
      <c r="J5053" s="86"/>
      <c r="K5053" s="264"/>
      <c r="M5053" s="265"/>
    </row>
    <row r="5054" ht="15.75" customHeight="1">
      <c r="A5054" s="266"/>
      <c r="B5054" s="267"/>
      <c r="C5054" s="266"/>
      <c r="D5054" s="267"/>
      <c r="E5054" s="268"/>
      <c r="F5054" s="267"/>
      <c r="G5054" s="269"/>
      <c r="H5054" s="263"/>
      <c r="I5054" s="86"/>
      <c r="J5054" s="86"/>
      <c r="K5054" s="264"/>
      <c r="M5054" s="265"/>
    </row>
    <row r="5055" ht="15.75" customHeight="1">
      <c r="A5055" s="266"/>
      <c r="B5055" s="267"/>
      <c r="C5055" s="266"/>
      <c r="D5055" s="267"/>
      <c r="E5055" s="268"/>
      <c r="F5055" s="267"/>
      <c r="G5055" s="269"/>
      <c r="H5055" s="263"/>
      <c r="I5055" s="86"/>
      <c r="J5055" s="86"/>
      <c r="K5055" s="264"/>
      <c r="M5055" s="265"/>
    </row>
    <row r="5056" ht="15.75" customHeight="1">
      <c r="A5056" s="266"/>
      <c r="B5056" s="267"/>
      <c r="C5056" s="266"/>
      <c r="D5056" s="267"/>
      <c r="E5056" s="268"/>
      <c r="F5056" s="267"/>
      <c r="G5056" s="269"/>
      <c r="H5056" s="263"/>
      <c r="I5056" s="86"/>
      <c r="J5056" s="86"/>
      <c r="K5056" s="264"/>
      <c r="M5056" s="265"/>
    </row>
    <row r="5057" ht="15.75" customHeight="1">
      <c r="A5057" s="266"/>
      <c r="B5057" s="267"/>
      <c r="C5057" s="266"/>
      <c r="D5057" s="267"/>
      <c r="E5057" s="268"/>
      <c r="F5057" s="267"/>
      <c r="G5057" s="269"/>
      <c r="H5057" s="263"/>
      <c r="I5057" s="86"/>
      <c r="J5057" s="86"/>
      <c r="K5057" s="264"/>
      <c r="M5057" s="265"/>
    </row>
    <row r="5058" ht="15.75" customHeight="1">
      <c r="A5058" s="266"/>
      <c r="B5058" s="267"/>
      <c r="C5058" s="266"/>
      <c r="D5058" s="267"/>
      <c r="E5058" s="268"/>
      <c r="F5058" s="267"/>
      <c r="G5058" s="269"/>
      <c r="H5058" s="263"/>
      <c r="I5058" s="86"/>
      <c r="J5058" s="86"/>
      <c r="K5058" s="264"/>
      <c r="M5058" s="265"/>
    </row>
    <row r="5059" ht="15.75" customHeight="1">
      <c r="A5059" s="266"/>
      <c r="B5059" s="267"/>
      <c r="C5059" s="266"/>
      <c r="D5059" s="267"/>
      <c r="E5059" s="268"/>
      <c r="F5059" s="267"/>
      <c r="G5059" s="269"/>
      <c r="H5059" s="263"/>
      <c r="I5059" s="86"/>
      <c r="J5059" s="86"/>
      <c r="K5059" s="264"/>
      <c r="M5059" s="265"/>
    </row>
    <row r="5060" ht="15.75" customHeight="1">
      <c r="A5060" s="266"/>
      <c r="B5060" s="267"/>
      <c r="C5060" s="266"/>
      <c r="D5060" s="267"/>
      <c r="E5060" s="268"/>
      <c r="F5060" s="267"/>
      <c r="G5060" s="269"/>
      <c r="H5060" s="263"/>
      <c r="I5060" s="86"/>
      <c r="J5060" s="86"/>
      <c r="K5060" s="264"/>
      <c r="M5060" s="265"/>
    </row>
    <row r="5061" ht="15.75" customHeight="1">
      <c r="A5061" s="266"/>
      <c r="B5061" s="267"/>
      <c r="C5061" s="266"/>
      <c r="D5061" s="267"/>
      <c r="E5061" s="268"/>
      <c r="F5061" s="267"/>
      <c r="G5061" s="269"/>
      <c r="H5061" s="263"/>
      <c r="I5061" s="86"/>
      <c r="J5061" s="86"/>
      <c r="K5061" s="264"/>
      <c r="M5061" s="265"/>
    </row>
    <row r="5062" ht="15.75" customHeight="1">
      <c r="A5062" s="266"/>
      <c r="B5062" s="267"/>
      <c r="C5062" s="266"/>
      <c r="D5062" s="267"/>
      <c r="E5062" s="268"/>
      <c r="F5062" s="267"/>
      <c r="G5062" s="269"/>
      <c r="H5062" s="263"/>
      <c r="I5062" s="86"/>
      <c r="J5062" s="86"/>
      <c r="K5062" s="264"/>
      <c r="M5062" s="265"/>
    </row>
    <row r="5063" ht="15.75" customHeight="1">
      <c r="A5063" s="266"/>
      <c r="B5063" s="267"/>
      <c r="C5063" s="266"/>
      <c r="D5063" s="267"/>
      <c r="E5063" s="268"/>
      <c r="F5063" s="267"/>
      <c r="G5063" s="269"/>
      <c r="H5063" s="263"/>
      <c r="I5063" s="86"/>
      <c r="J5063" s="86"/>
      <c r="K5063" s="264"/>
      <c r="M5063" s="265"/>
    </row>
    <row r="5064" ht="15.75" customHeight="1">
      <c r="A5064" s="266"/>
      <c r="B5064" s="267"/>
      <c r="C5064" s="266"/>
      <c r="D5064" s="267"/>
      <c r="E5064" s="268"/>
      <c r="F5064" s="267"/>
      <c r="G5064" s="269"/>
      <c r="H5064" s="263"/>
      <c r="I5064" s="86"/>
      <c r="J5064" s="86"/>
      <c r="K5064" s="264"/>
      <c r="M5064" s="265"/>
    </row>
    <row r="5065" ht="15.75" customHeight="1">
      <c r="A5065" s="266"/>
      <c r="B5065" s="267"/>
      <c r="C5065" s="266"/>
      <c r="D5065" s="267"/>
      <c r="E5065" s="268"/>
      <c r="F5065" s="267"/>
      <c r="G5065" s="269"/>
      <c r="H5065" s="263"/>
      <c r="I5065" s="86"/>
      <c r="J5065" s="86"/>
      <c r="K5065" s="264"/>
      <c r="M5065" s="265"/>
    </row>
    <row r="5066" ht="15.75" customHeight="1">
      <c r="A5066" s="266"/>
      <c r="B5066" s="267"/>
      <c r="C5066" s="266"/>
      <c r="D5066" s="267"/>
      <c r="E5066" s="268"/>
      <c r="F5066" s="267"/>
      <c r="G5066" s="269"/>
      <c r="H5066" s="263"/>
      <c r="I5066" s="86"/>
      <c r="J5066" s="86"/>
      <c r="K5066" s="264"/>
      <c r="M5066" s="265"/>
    </row>
    <row r="5067" ht="15.75" customHeight="1">
      <c r="A5067" s="266"/>
      <c r="B5067" s="267"/>
      <c r="C5067" s="266"/>
      <c r="D5067" s="267"/>
      <c r="E5067" s="268"/>
      <c r="F5067" s="267"/>
      <c r="G5067" s="269"/>
      <c r="H5067" s="263"/>
      <c r="I5067" s="86"/>
      <c r="J5067" s="86"/>
      <c r="K5067" s="264"/>
      <c r="M5067" s="265"/>
    </row>
    <row r="5068" ht="15.75" customHeight="1">
      <c r="A5068" s="266"/>
      <c r="B5068" s="267"/>
      <c r="C5068" s="266"/>
      <c r="D5068" s="267"/>
      <c r="E5068" s="268"/>
      <c r="F5068" s="267"/>
      <c r="G5068" s="269"/>
      <c r="H5068" s="263"/>
      <c r="I5068" s="86"/>
      <c r="J5068" s="86"/>
      <c r="K5068" s="264"/>
      <c r="M5068" s="265"/>
    </row>
    <row r="5069" ht="15.75" customHeight="1">
      <c r="A5069" s="266"/>
      <c r="B5069" s="267"/>
      <c r="C5069" s="266"/>
      <c r="D5069" s="267"/>
      <c r="E5069" s="268"/>
      <c r="F5069" s="267"/>
      <c r="G5069" s="269"/>
      <c r="H5069" s="263"/>
      <c r="I5069" s="86"/>
      <c r="J5069" s="86"/>
      <c r="K5069" s="264"/>
      <c r="M5069" s="265"/>
    </row>
    <row r="5070" ht="15.75" customHeight="1">
      <c r="A5070" s="266"/>
      <c r="B5070" s="267"/>
      <c r="C5070" s="266"/>
      <c r="D5070" s="267"/>
      <c r="E5070" s="268"/>
      <c r="F5070" s="267"/>
      <c r="G5070" s="269"/>
      <c r="H5070" s="263"/>
      <c r="I5070" s="86"/>
      <c r="J5070" s="86"/>
      <c r="K5070" s="264"/>
      <c r="M5070" s="265"/>
    </row>
    <row r="5071" ht="15.75" customHeight="1">
      <c r="A5071" s="266"/>
      <c r="B5071" s="267"/>
      <c r="C5071" s="266"/>
      <c r="D5071" s="267"/>
      <c r="E5071" s="268"/>
      <c r="F5071" s="267"/>
      <c r="G5071" s="269"/>
      <c r="H5071" s="263"/>
      <c r="I5071" s="86"/>
      <c r="J5071" s="86"/>
      <c r="K5071" s="264"/>
      <c r="M5071" s="265"/>
    </row>
    <row r="5072" ht="15.75" customHeight="1">
      <c r="A5072" s="266"/>
      <c r="B5072" s="267"/>
      <c r="C5072" s="266"/>
      <c r="D5072" s="267"/>
      <c r="E5072" s="268"/>
      <c r="F5072" s="267"/>
      <c r="G5072" s="269"/>
      <c r="H5072" s="263"/>
      <c r="I5072" s="86"/>
      <c r="J5072" s="86"/>
      <c r="K5072" s="264"/>
      <c r="M5072" s="265"/>
    </row>
    <row r="5073" ht="15.75" customHeight="1">
      <c r="A5073" s="266"/>
      <c r="B5073" s="267"/>
      <c r="C5073" s="266"/>
      <c r="D5073" s="267"/>
      <c r="E5073" s="268"/>
      <c r="F5073" s="267"/>
      <c r="G5073" s="269"/>
      <c r="H5073" s="263"/>
      <c r="I5073" s="86"/>
      <c r="J5073" s="86"/>
      <c r="K5073" s="264"/>
      <c r="M5073" s="265"/>
    </row>
    <row r="5074" ht="15.75" customHeight="1">
      <c r="A5074" s="266"/>
      <c r="B5074" s="267"/>
      <c r="C5074" s="266"/>
      <c r="D5074" s="267"/>
      <c r="E5074" s="268"/>
      <c r="F5074" s="267"/>
      <c r="G5074" s="269"/>
      <c r="H5074" s="263"/>
      <c r="I5074" s="86"/>
      <c r="J5074" s="86"/>
      <c r="K5074" s="264"/>
      <c r="M5074" s="265"/>
    </row>
    <row r="5075" ht="15.75" customHeight="1">
      <c r="A5075" s="266"/>
      <c r="B5075" s="267"/>
      <c r="C5075" s="266"/>
      <c r="D5075" s="267"/>
      <c r="E5075" s="268"/>
      <c r="F5075" s="267"/>
      <c r="G5075" s="269"/>
      <c r="H5075" s="263"/>
      <c r="I5075" s="86"/>
      <c r="J5075" s="86"/>
      <c r="K5075" s="264"/>
      <c r="M5075" s="265"/>
    </row>
    <row r="5076" ht="15.75" customHeight="1">
      <c r="A5076" s="266"/>
      <c r="B5076" s="267"/>
      <c r="C5076" s="266"/>
      <c r="D5076" s="267"/>
      <c r="E5076" s="268"/>
      <c r="F5076" s="267"/>
      <c r="G5076" s="269"/>
      <c r="H5076" s="263"/>
      <c r="I5076" s="86"/>
      <c r="J5076" s="86"/>
      <c r="K5076" s="264"/>
      <c r="M5076" s="265"/>
    </row>
    <row r="5077" ht="15.75" customHeight="1">
      <c r="A5077" s="266"/>
      <c r="B5077" s="267"/>
      <c r="C5077" s="266"/>
      <c r="D5077" s="267"/>
      <c r="E5077" s="268"/>
      <c r="F5077" s="267"/>
      <c r="G5077" s="269"/>
      <c r="H5077" s="263"/>
      <c r="I5077" s="86"/>
      <c r="J5077" s="86"/>
      <c r="K5077" s="264"/>
      <c r="M5077" s="265"/>
    </row>
    <row r="5078" ht="15.75" customHeight="1">
      <c r="A5078" s="266"/>
      <c r="B5078" s="267"/>
      <c r="C5078" s="266"/>
      <c r="D5078" s="267"/>
      <c r="E5078" s="268"/>
      <c r="F5078" s="267"/>
      <c r="G5078" s="269"/>
      <c r="H5078" s="263"/>
      <c r="I5078" s="86"/>
      <c r="J5078" s="86"/>
      <c r="K5078" s="264"/>
      <c r="M5078" s="265"/>
    </row>
    <row r="5079" ht="15.75" customHeight="1">
      <c r="A5079" s="266"/>
      <c r="B5079" s="267"/>
      <c r="C5079" s="266"/>
      <c r="D5079" s="267"/>
      <c r="E5079" s="268"/>
      <c r="F5079" s="267"/>
      <c r="G5079" s="269"/>
      <c r="H5079" s="263"/>
      <c r="I5079" s="86"/>
      <c r="J5079" s="86"/>
      <c r="K5079" s="264"/>
      <c r="M5079" s="265"/>
    </row>
    <row r="5080" ht="15.75" customHeight="1">
      <c r="A5080" s="266"/>
      <c r="B5080" s="267"/>
      <c r="C5080" s="266"/>
      <c r="D5080" s="267"/>
      <c r="E5080" s="268"/>
      <c r="F5080" s="267"/>
      <c r="G5080" s="269"/>
      <c r="H5080" s="263"/>
      <c r="I5080" s="86"/>
      <c r="J5080" s="86"/>
      <c r="K5080" s="264"/>
      <c r="M5080" s="265"/>
    </row>
    <row r="5081" ht="15.75" customHeight="1">
      <c r="A5081" s="266"/>
      <c r="B5081" s="267"/>
      <c r="C5081" s="266"/>
      <c r="D5081" s="267"/>
      <c r="E5081" s="268"/>
      <c r="F5081" s="267"/>
      <c r="G5081" s="269"/>
      <c r="H5081" s="263"/>
      <c r="I5081" s="86"/>
      <c r="J5081" s="86"/>
      <c r="K5081" s="264"/>
      <c r="M5081" s="265"/>
    </row>
    <row r="5082" ht="15.75" customHeight="1">
      <c r="A5082" s="266"/>
      <c r="B5082" s="267"/>
      <c r="C5082" s="266"/>
      <c r="D5082" s="267"/>
      <c r="E5082" s="268"/>
      <c r="F5082" s="267"/>
      <c r="G5082" s="269"/>
      <c r="H5082" s="263"/>
      <c r="I5082" s="86"/>
      <c r="J5082" s="86"/>
      <c r="K5082" s="264"/>
      <c r="M5082" s="265"/>
    </row>
    <row r="5083" ht="15.75" customHeight="1">
      <c r="A5083" s="266"/>
      <c r="B5083" s="267"/>
      <c r="C5083" s="266"/>
      <c r="D5083" s="267"/>
      <c r="E5083" s="268"/>
      <c r="F5083" s="267"/>
      <c r="G5083" s="269"/>
      <c r="H5083" s="263"/>
      <c r="I5083" s="86"/>
      <c r="J5083" s="86"/>
      <c r="K5083" s="264"/>
      <c r="M5083" s="265"/>
    </row>
    <row r="5084" ht="15.75" customHeight="1">
      <c r="A5084" s="266"/>
      <c r="B5084" s="267"/>
      <c r="C5084" s="266"/>
      <c r="D5084" s="267"/>
      <c r="E5084" s="268"/>
      <c r="F5084" s="267"/>
      <c r="G5084" s="269"/>
      <c r="H5084" s="263"/>
      <c r="I5084" s="86"/>
      <c r="J5084" s="86"/>
      <c r="K5084" s="264"/>
      <c r="M5084" s="265"/>
    </row>
    <row r="5085" ht="15.75" customHeight="1">
      <c r="A5085" s="266"/>
      <c r="B5085" s="267"/>
      <c r="C5085" s="266"/>
      <c r="D5085" s="267"/>
      <c r="E5085" s="268"/>
      <c r="F5085" s="267"/>
      <c r="G5085" s="269"/>
      <c r="H5085" s="263"/>
      <c r="I5085" s="86"/>
      <c r="J5085" s="86"/>
      <c r="K5085" s="264"/>
      <c r="M5085" s="265"/>
    </row>
    <row r="5086" ht="15.75" customHeight="1">
      <c r="A5086" s="266"/>
      <c r="B5086" s="267"/>
      <c r="C5086" s="266"/>
      <c r="D5086" s="267"/>
      <c r="E5086" s="268"/>
      <c r="F5086" s="267"/>
      <c r="G5086" s="269"/>
      <c r="H5086" s="263"/>
      <c r="I5086" s="86"/>
      <c r="J5086" s="86"/>
      <c r="K5086" s="264"/>
      <c r="M5086" s="265"/>
    </row>
    <row r="5087" ht="15.75" customHeight="1">
      <c r="A5087" s="266"/>
      <c r="B5087" s="267"/>
      <c r="C5087" s="266"/>
      <c r="D5087" s="267"/>
      <c r="E5087" s="268"/>
      <c r="F5087" s="267"/>
      <c r="G5087" s="269"/>
      <c r="H5087" s="263"/>
      <c r="I5087" s="86"/>
      <c r="J5087" s="86"/>
      <c r="K5087" s="264"/>
      <c r="M5087" s="265"/>
    </row>
    <row r="5088" ht="15.75" customHeight="1">
      <c r="A5088" s="266"/>
      <c r="B5088" s="267"/>
      <c r="C5088" s="266"/>
      <c r="D5088" s="267"/>
      <c r="E5088" s="268"/>
      <c r="F5088" s="267"/>
      <c r="G5088" s="269"/>
      <c r="H5088" s="263"/>
      <c r="I5088" s="86"/>
      <c r="J5088" s="86"/>
      <c r="K5088" s="264"/>
      <c r="M5088" s="265"/>
    </row>
    <row r="5089" ht="15.75" customHeight="1">
      <c r="A5089" s="266"/>
      <c r="B5089" s="267"/>
      <c r="C5089" s="266"/>
      <c r="D5089" s="267"/>
      <c r="E5089" s="268"/>
      <c r="F5089" s="267"/>
      <c r="G5089" s="269"/>
      <c r="H5089" s="263"/>
      <c r="I5089" s="86"/>
      <c r="J5089" s="86"/>
      <c r="K5089" s="264"/>
      <c r="M5089" s="265"/>
    </row>
    <row r="5090" ht="15.75" customHeight="1">
      <c r="A5090" s="266"/>
      <c r="B5090" s="267"/>
      <c r="C5090" s="266"/>
      <c r="D5090" s="267"/>
      <c r="E5090" s="268"/>
      <c r="F5090" s="267"/>
      <c r="G5090" s="269"/>
      <c r="H5090" s="263"/>
      <c r="I5090" s="86"/>
      <c r="J5090" s="86"/>
      <c r="K5090" s="264"/>
      <c r="M5090" s="265"/>
    </row>
    <row r="5091" ht="15.75" customHeight="1">
      <c r="A5091" s="266"/>
      <c r="B5091" s="267"/>
      <c r="C5091" s="266"/>
      <c r="D5091" s="267"/>
      <c r="E5091" s="268"/>
      <c r="F5091" s="267"/>
      <c r="G5091" s="269"/>
      <c r="H5091" s="263"/>
      <c r="I5091" s="86"/>
      <c r="J5091" s="86"/>
      <c r="K5091" s="264"/>
      <c r="M5091" s="265"/>
    </row>
    <row r="5092" ht="15.75" customHeight="1">
      <c r="A5092" s="266"/>
      <c r="B5092" s="267"/>
      <c r="C5092" s="266"/>
      <c r="D5092" s="267"/>
      <c r="E5092" s="268"/>
      <c r="F5092" s="267"/>
      <c r="G5092" s="269"/>
      <c r="H5092" s="263"/>
      <c r="I5092" s="86"/>
      <c r="J5092" s="86"/>
      <c r="K5092" s="264"/>
      <c r="M5092" s="265"/>
    </row>
    <row r="5093" ht="15.75" customHeight="1">
      <c r="A5093" s="266"/>
      <c r="B5093" s="267"/>
      <c r="C5093" s="266"/>
      <c r="D5093" s="267"/>
      <c r="E5093" s="268"/>
      <c r="F5093" s="267"/>
      <c r="G5093" s="269"/>
      <c r="H5093" s="263"/>
      <c r="I5093" s="86"/>
      <c r="J5093" s="86"/>
      <c r="K5093" s="264"/>
      <c r="M5093" s="265"/>
    </row>
    <row r="5094" ht="15.75" customHeight="1">
      <c r="A5094" s="266"/>
      <c r="B5094" s="267"/>
      <c r="C5094" s="266"/>
      <c r="D5094" s="267"/>
      <c r="E5094" s="268"/>
      <c r="F5094" s="267"/>
      <c r="G5094" s="269"/>
      <c r="H5094" s="263"/>
      <c r="I5094" s="86"/>
      <c r="J5094" s="86"/>
      <c r="K5094" s="264"/>
      <c r="M5094" s="265"/>
    </row>
    <row r="5095" ht="15.75" customHeight="1">
      <c r="A5095" s="266"/>
      <c r="B5095" s="267"/>
      <c r="C5095" s="266"/>
      <c r="D5095" s="267"/>
      <c r="E5095" s="268"/>
      <c r="F5095" s="267"/>
      <c r="G5095" s="269"/>
      <c r="H5095" s="263"/>
      <c r="I5095" s="86"/>
      <c r="J5095" s="86"/>
      <c r="K5095" s="264"/>
      <c r="M5095" s="265"/>
    </row>
    <row r="5096" ht="15.75" customHeight="1">
      <c r="A5096" s="266"/>
      <c r="B5096" s="267"/>
      <c r="C5096" s="266"/>
      <c r="D5096" s="267"/>
      <c r="E5096" s="268"/>
      <c r="F5096" s="267"/>
      <c r="G5096" s="269"/>
      <c r="H5096" s="263"/>
      <c r="I5096" s="86"/>
      <c r="J5096" s="86"/>
      <c r="K5096" s="264"/>
      <c r="M5096" s="265"/>
    </row>
    <row r="5097" ht="15.75" customHeight="1">
      <c r="A5097" s="266"/>
      <c r="B5097" s="267"/>
      <c r="C5097" s="266"/>
      <c r="D5097" s="267"/>
      <c r="E5097" s="268"/>
      <c r="F5097" s="267"/>
      <c r="G5097" s="269"/>
      <c r="H5097" s="263"/>
      <c r="I5097" s="86"/>
      <c r="J5097" s="86"/>
      <c r="K5097" s="264"/>
      <c r="M5097" s="265"/>
    </row>
    <row r="5098" ht="15.75" customHeight="1">
      <c r="A5098" s="266"/>
      <c r="B5098" s="267"/>
      <c r="C5098" s="266"/>
      <c r="D5098" s="267"/>
      <c r="E5098" s="268"/>
      <c r="F5098" s="267"/>
      <c r="G5098" s="269"/>
      <c r="H5098" s="263"/>
      <c r="I5098" s="86"/>
      <c r="J5098" s="86"/>
      <c r="K5098" s="264"/>
      <c r="M5098" s="265"/>
    </row>
    <row r="5099" ht="15.75" customHeight="1">
      <c r="A5099" s="266"/>
      <c r="B5099" s="267"/>
      <c r="C5099" s="266"/>
      <c r="D5099" s="267"/>
      <c r="E5099" s="268"/>
      <c r="F5099" s="267"/>
      <c r="G5099" s="269"/>
      <c r="H5099" s="263"/>
      <c r="I5099" s="86"/>
      <c r="J5099" s="86"/>
      <c r="K5099" s="264"/>
      <c r="M5099" s="265"/>
    </row>
    <row r="5100" ht="15.75" customHeight="1">
      <c r="A5100" s="266"/>
      <c r="B5100" s="267"/>
      <c r="C5100" s="266"/>
      <c r="D5100" s="267"/>
      <c r="E5100" s="268"/>
      <c r="F5100" s="267"/>
      <c r="G5100" s="269"/>
      <c r="H5100" s="263"/>
      <c r="I5100" s="86"/>
      <c r="J5100" s="86"/>
      <c r="K5100" s="264"/>
      <c r="M5100" s="265"/>
    </row>
    <row r="5101" ht="15.75" customHeight="1">
      <c r="A5101" s="266"/>
      <c r="B5101" s="267"/>
      <c r="C5101" s="266"/>
      <c r="D5101" s="267"/>
      <c r="E5101" s="268"/>
      <c r="F5101" s="267"/>
      <c r="G5101" s="269"/>
      <c r="H5101" s="263"/>
      <c r="I5101" s="86"/>
      <c r="J5101" s="86"/>
      <c r="K5101" s="264"/>
      <c r="M5101" s="265"/>
    </row>
    <row r="5102" ht="15.75" customHeight="1">
      <c r="A5102" s="266"/>
      <c r="B5102" s="267"/>
      <c r="C5102" s="266"/>
      <c r="D5102" s="267"/>
      <c r="E5102" s="268"/>
      <c r="F5102" s="267"/>
      <c r="G5102" s="269"/>
      <c r="H5102" s="263"/>
      <c r="I5102" s="86"/>
      <c r="J5102" s="86"/>
      <c r="K5102" s="264"/>
      <c r="M5102" s="265"/>
    </row>
    <row r="5103" ht="15.75" customHeight="1">
      <c r="A5103" s="266"/>
      <c r="B5103" s="267"/>
      <c r="C5103" s="266"/>
      <c r="D5103" s="267"/>
      <c r="E5103" s="268"/>
      <c r="F5103" s="267"/>
      <c r="G5103" s="269"/>
      <c r="H5103" s="263"/>
      <c r="I5103" s="86"/>
      <c r="J5103" s="86"/>
      <c r="K5103" s="264"/>
      <c r="M5103" s="265"/>
    </row>
    <row r="5104" ht="15.75" customHeight="1">
      <c r="A5104" s="266"/>
      <c r="B5104" s="267"/>
      <c r="C5104" s="266"/>
      <c r="D5104" s="267"/>
      <c r="E5104" s="268"/>
      <c r="F5104" s="267"/>
      <c r="G5104" s="269"/>
      <c r="H5104" s="263"/>
      <c r="I5104" s="86"/>
      <c r="J5104" s="86"/>
      <c r="K5104" s="264"/>
      <c r="M5104" s="265"/>
    </row>
    <row r="5105" ht="15.75" customHeight="1">
      <c r="A5105" s="266"/>
      <c r="B5105" s="267"/>
      <c r="C5105" s="266"/>
      <c r="D5105" s="267"/>
      <c r="E5105" s="268"/>
      <c r="F5105" s="267"/>
      <c r="G5105" s="269"/>
      <c r="H5105" s="263"/>
      <c r="I5105" s="86"/>
      <c r="J5105" s="86"/>
      <c r="K5105" s="264"/>
      <c r="M5105" s="265"/>
    </row>
    <row r="5106" ht="15.75" customHeight="1">
      <c r="A5106" s="266"/>
      <c r="B5106" s="267"/>
      <c r="C5106" s="266"/>
      <c r="D5106" s="267"/>
      <c r="E5106" s="268"/>
      <c r="F5106" s="267"/>
      <c r="G5106" s="269"/>
      <c r="H5106" s="263"/>
      <c r="I5106" s="86"/>
      <c r="J5106" s="86"/>
      <c r="K5106" s="264"/>
      <c r="M5106" s="265"/>
    </row>
    <row r="5107" ht="15.75" customHeight="1">
      <c r="A5107" s="266"/>
      <c r="B5107" s="267"/>
      <c r="C5107" s="266"/>
      <c r="D5107" s="267"/>
      <c r="E5107" s="268"/>
      <c r="F5107" s="267"/>
      <c r="G5107" s="269"/>
      <c r="H5107" s="263"/>
      <c r="I5107" s="86"/>
      <c r="J5107" s="86"/>
      <c r="K5107" s="264"/>
      <c r="M5107" s="265"/>
    </row>
    <row r="5108" ht="15.75" customHeight="1">
      <c r="A5108" s="266"/>
      <c r="B5108" s="267"/>
      <c r="C5108" s="266"/>
      <c r="D5108" s="267"/>
      <c r="E5108" s="268"/>
      <c r="F5108" s="267"/>
      <c r="G5108" s="269"/>
      <c r="H5108" s="263"/>
      <c r="I5108" s="86"/>
      <c r="J5108" s="86"/>
      <c r="K5108" s="264"/>
      <c r="M5108" s="265"/>
    </row>
    <row r="5109" ht="15.75" customHeight="1">
      <c r="A5109" s="266"/>
      <c r="B5109" s="267"/>
      <c r="C5109" s="266"/>
      <c r="D5109" s="267"/>
      <c r="E5109" s="268"/>
      <c r="F5109" s="267"/>
      <c r="G5109" s="269"/>
      <c r="H5109" s="263"/>
      <c r="I5109" s="86"/>
      <c r="J5109" s="86"/>
      <c r="K5109" s="264"/>
      <c r="M5109" s="265"/>
    </row>
    <row r="5110" ht="15.75" customHeight="1">
      <c r="A5110" s="266"/>
      <c r="B5110" s="267"/>
      <c r="C5110" s="266"/>
      <c r="D5110" s="267"/>
      <c r="E5110" s="268"/>
      <c r="F5110" s="267"/>
      <c r="G5110" s="269"/>
      <c r="H5110" s="263"/>
      <c r="I5110" s="86"/>
      <c r="J5110" s="86"/>
      <c r="K5110" s="264"/>
      <c r="M5110" s="265"/>
    </row>
    <row r="5111" ht="15.75" customHeight="1">
      <c r="A5111" s="266"/>
      <c r="B5111" s="267"/>
      <c r="C5111" s="266"/>
      <c r="D5111" s="267"/>
      <c r="E5111" s="268"/>
      <c r="F5111" s="267"/>
      <c r="G5111" s="269"/>
      <c r="H5111" s="263"/>
      <c r="I5111" s="86"/>
      <c r="J5111" s="86"/>
      <c r="K5111" s="264"/>
      <c r="M5111" s="265"/>
    </row>
    <row r="5112" ht="15.75" customHeight="1">
      <c r="A5112" s="266"/>
      <c r="B5112" s="267"/>
      <c r="C5112" s="266"/>
      <c r="D5112" s="267"/>
      <c r="E5112" s="268"/>
      <c r="F5112" s="267"/>
      <c r="G5112" s="269"/>
      <c r="H5112" s="263"/>
      <c r="I5112" s="86"/>
      <c r="J5112" s="86"/>
      <c r="K5112" s="264"/>
      <c r="M5112" s="265"/>
    </row>
    <row r="5113" ht="15.75" customHeight="1">
      <c r="A5113" s="266"/>
      <c r="B5113" s="267"/>
      <c r="C5113" s="266"/>
      <c r="D5113" s="267"/>
      <c r="E5113" s="268"/>
      <c r="F5113" s="267"/>
      <c r="G5113" s="269"/>
      <c r="H5113" s="263"/>
      <c r="I5113" s="86"/>
      <c r="J5113" s="86"/>
      <c r="K5113" s="264"/>
      <c r="M5113" s="265"/>
    </row>
    <row r="5114" ht="15.75" customHeight="1">
      <c r="A5114" s="266"/>
      <c r="B5114" s="267"/>
      <c r="C5114" s="266"/>
      <c r="D5114" s="267"/>
      <c r="E5114" s="268"/>
      <c r="F5114" s="267"/>
      <c r="G5114" s="269"/>
      <c r="H5114" s="263"/>
      <c r="I5114" s="86"/>
      <c r="J5114" s="86"/>
      <c r="K5114" s="264"/>
      <c r="M5114" s="265"/>
    </row>
    <row r="5115" ht="15.75" customHeight="1">
      <c r="A5115" s="266"/>
      <c r="B5115" s="267"/>
      <c r="C5115" s="266"/>
      <c r="D5115" s="267"/>
      <c r="E5115" s="268"/>
      <c r="F5115" s="267"/>
      <c r="G5115" s="269"/>
      <c r="H5115" s="263"/>
      <c r="I5115" s="86"/>
      <c r="J5115" s="86"/>
      <c r="K5115" s="264"/>
      <c r="M5115" s="265"/>
    </row>
    <row r="5116" ht="15.75" customHeight="1">
      <c r="A5116" s="266"/>
      <c r="B5116" s="267"/>
      <c r="C5116" s="266"/>
      <c r="D5116" s="267"/>
      <c r="E5116" s="268"/>
      <c r="F5116" s="267"/>
      <c r="G5116" s="269"/>
      <c r="H5116" s="263"/>
      <c r="I5116" s="86"/>
      <c r="J5116" s="86"/>
      <c r="K5116" s="264"/>
      <c r="M5116" s="265"/>
    </row>
    <row r="5117" ht="15.75" customHeight="1">
      <c r="A5117" s="266"/>
      <c r="B5117" s="267"/>
      <c r="C5117" s="266"/>
      <c r="D5117" s="267"/>
      <c r="E5117" s="268"/>
      <c r="F5117" s="267"/>
      <c r="G5117" s="269"/>
      <c r="H5117" s="263"/>
      <c r="I5117" s="86"/>
      <c r="J5117" s="86"/>
      <c r="K5117" s="264"/>
      <c r="M5117" s="265"/>
    </row>
    <row r="5118" ht="15.75" customHeight="1">
      <c r="A5118" s="266"/>
      <c r="B5118" s="267"/>
      <c r="C5118" s="266"/>
      <c r="D5118" s="267"/>
      <c r="E5118" s="268"/>
      <c r="F5118" s="267"/>
      <c r="G5118" s="269"/>
      <c r="H5118" s="263"/>
      <c r="I5118" s="86"/>
      <c r="J5118" s="86"/>
      <c r="K5118" s="264"/>
      <c r="M5118" s="265"/>
    </row>
    <row r="5119" ht="15.75" customHeight="1">
      <c r="A5119" s="266"/>
      <c r="B5119" s="267"/>
      <c r="C5119" s="266"/>
      <c r="D5119" s="267"/>
      <c r="E5119" s="268"/>
      <c r="F5119" s="267"/>
      <c r="G5119" s="269"/>
      <c r="H5119" s="263"/>
      <c r="I5119" s="86"/>
      <c r="J5119" s="86"/>
      <c r="K5119" s="264"/>
      <c r="M5119" s="265"/>
    </row>
    <row r="5120" ht="15.75" customHeight="1">
      <c r="A5120" s="266"/>
      <c r="B5120" s="267"/>
      <c r="C5120" s="266"/>
      <c r="D5120" s="267"/>
      <c r="E5120" s="268"/>
      <c r="F5120" s="267"/>
      <c r="G5120" s="269"/>
      <c r="H5120" s="263"/>
      <c r="I5120" s="86"/>
      <c r="J5120" s="86"/>
      <c r="K5120" s="264"/>
      <c r="M5120" s="265"/>
    </row>
    <row r="5121" ht="15.75" customHeight="1">
      <c r="A5121" s="266"/>
      <c r="B5121" s="267"/>
      <c r="C5121" s="266"/>
      <c r="D5121" s="267"/>
      <c r="E5121" s="268"/>
      <c r="F5121" s="267"/>
      <c r="G5121" s="269"/>
      <c r="H5121" s="263"/>
      <c r="I5121" s="86"/>
      <c r="J5121" s="86"/>
      <c r="K5121" s="264"/>
      <c r="M5121" s="265"/>
    </row>
    <row r="5122" ht="15.75" customHeight="1">
      <c r="A5122" s="266"/>
      <c r="B5122" s="267"/>
      <c r="C5122" s="266"/>
      <c r="D5122" s="267"/>
      <c r="E5122" s="268"/>
      <c r="F5122" s="267"/>
      <c r="G5122" s="269"/>
      <c r="H5122" s="263"/>
      <c r="I5122" s="86"/>
      <c r="J5122" s="86"/>
      <c r="K5122" s="264"/>
      <c r="M5122" s="265"/>
    </row>
    <row r="5123" ht="15.75" customHeight="1">
      <c r="A5123" s="266"/>
      <c r="B5123" s="267"/>
      <c r="C5123" s="266"/>
      <c r="D5123" s="267"/>
      <c r="E5123" s="268"/>
      <c r="F5123" s="267"/>
      <c r="G5123" s="269"/>
      <c r="H5123" s="263"/>
      <c r="I5123" s="86"/>
      <c r="J5123" s="86"/>
      <c r="K5123" s="264"/>
      <c r="M5123" s="265"/>
    </row>
    <row r="5124" ht="15.75" customHeight="1">
      <c r="A5124" s="266"/>
      <c r="B5124" s="267"/>
      <c r="C5124" s="266"/>
      <c r="D5124" s="267"/>
      <c r="E5124" s="268"/>
      <c r="F5124" s="267"/>
      <c r="G5124" s="269"/>
      <c r="H5124" s="263"/>
      <c r="I5124" s="86"/>
      <c r="J5124" s="86"/>
      <c r="K5124" s="264"/>
      <c r="M5124" s="265"/>
    </row>
    <row r="5125" ht="15.75" customHeight="1">
      <c r="A5125" s="266"/>
      <c r="B5125" s="267"/>
      <c r="C5125" s="266"/>
      <c r="D5125" s="267"/>
      <c r="E5125" s="268"/>
      <c r="F5125" s="267"/>
      <c r="G5125" s="269"/>
      <c r="H5125" s="263"/>
      <c r="I5125" s="86"/>
      <c r="J5125" s="86"/>
      <c r="K5125" s="264"/>
      <c r="M5125" s="265"/>
    </row>
    <row r="5126" ht="15.75" customHeight="1">
      <c r="A5126" s="266"/>
      <c r="B5126" s="267"/>
      <c r="C5126" s="266"/>
      <c r="D5126" s="267"/>
      <c r="E5126" s="268"/>
      <c r="F5126" s="267"/>
      <c r="G5126" s="269"/>
      <c r="H5126" s="263"/>
      <c r="I5126" s="86"/>
      <c r="J5126" s="86"/>
      <c r="K5126" s="264"/>
      <c r="M5126" s="265"/>
    </row>
    <row r="5127" ht="15.75" customHeight="1">
      <c r="A5127" s="266"/>
      <c r="B5127" s="267"/>
      <c r="C5127" s="266"/>
      <c r="D5127" s="267"/>
      <c r="E5127" s="268"/>
      <c r="F5127" s="267"/>
      <c r="G5127" s="269"/>
      <c r="H5127" s="263"/>
      <c r="I5127" s="86"/>
      <c r="J5127" s="86"/>
      <c r="K5127" s="264"/>
      <c r="M5127" s="265"/>
    </row>
    <row r="5128" ht="15.75" customHeight="1">
      <c r="A5128" s="266"/>
      <c r="B5128" s="267"/>
      <c r="C5128" s="266"/>
      <c r="D5128" s="267"/>
      <c r="E5128" s="268"/>
      <c r="F5128" s="267"/>
      <c r="G5128" s="269"/>
      <c r="H5128" s="263"/>
      <c r="I5128" s="86"/>
      <c r="J5128" s="86"/>
      <c r="K5128" s="264"/>
      <c r="M5128" s="265"/>
    </row>
    <row r="5129" ht="15.75" customHeight="1">
      <c r="A5129" s="266"/>
      <c r="B5129" s="267"/>
      <c r="C5129" s="266"/>
      <c r="D5129" s="267"/>
      <c r="E5129" s="268"/>
      <c r="F5129" s="267"/>
      <c r="G5129" s="269"/>
      <c r="H5129" s="263"/>
      <c r="I5129" s="86"/>
      <c r="J5129" s="86"/>
      <c r="K5129" s="264"/>
      <c r="M5129" s="265"/>
    </row>
    <row r="5130" ht="15.75" customHeight="1">
      <c r="A5130" s="266"/>
      <c r="B5130" s="267"/>
      <c r="C5130" s="266"/>
      <c r="D5130" s="267"/>
      <c r="E5130" s="268"/>
      <c r="F5130" s="267"/>
      <c r="G5130" s="269"/>
      <c r="H5130" s="263"/>
      <c r="I5130" s="86"/>
      <c r="J5130" s="86"/>
      <c r="K5130" s="264"/>
      <c r="M5130" s="265"/>
    </row>
    <row r="5131" ht="15.75" customHeight="1">
      <c r="A5131" s="266"/>
      <c r="B5131" s="267"/>
      <c r="C5131" s="266"/>
      <c r="D5131" s="267"/>
      <c r="E5131" s="268"/>
      <c r="F5131" s="267"/>
      <c r="G5131" s="269"/>
      <c r="H5131" s="263"/>
      <c r="I5131" s="86"/>
      <c r="J5131" s="86"/>
      <c r="K5131" s="264"/>
      <c r="M5131" s="265"/>
    </row>
    <row r="5132" ht="15.75" customHeight="1">
      <c r="A5132" s="266"/>
      <c r="B5132" s="267"/>
      <c r="C5132" s="266"/>
      <c r="D5132" s="267"/>
      <c r="E5132" s="268"/>
      <c r="F5132" s="267"/>
      <c r="G5132" s="269"/>
      <c r="H5132" s="263"/>
      <c r="I5132" s="86"/>
      <c r="J5132" s="86"/>
      <c r="K5132" s="264"/>
      <c r="M5132" s="265"/>
    </row>
    <row r="5133" ht="15.75" customHeight="1">
      <c r="A5133" s="266"/>
      <c r="B5133" s="267"/>
      <c r="C5133" s="266"/>
      <c r="D5133" s="267"/>
      <c r="E5133" s="268"/>
      <c r="F5133" s="267"/>
      <c r="G5133" s="269"/>
      <c r="H5133" s="263"/>
      <c r="I5133" s="86"/>
      <c r="J5133" s="86"/>
      <c r="K5133" s="264"/>
      <c r="M5133" s="265"/>
    </row>
    <row r="5134" ht="15.75" customHeight="1">
      <c r="A5134" s="266"/>
      <c r="B5134" s="267"/>
      <c r="C5134" s="266"/>
      <c r="D5134" s="267"/>
      <c r="E5134" s="268"/>
      <c r="F5134" s="267"/>
      <c r="G5134" s="269"/>
      <c r="H5134" s="263"/>
      <c r="I5134" s="86"/>
      <c r="J5134" s="86"/>
      <c r="K5134" s="264"/>
      <c r="M5134" s="265"/>
    </row>
    <row r="5135" ht="15.75" customHeight="1">
      <c r="A5135" s="266"/>
      <c r="B5135" s="267"/>
      <c r="C5135" s="266"/>
      <c r="D5135" s="267"/>
      <c r="E5135" s="268"/>
      <c r="F5135" s="267"/>
      <c r="G5135" s="269"/>
      <c r="H5135" s="263"/>
      <c r="I5135" s="86"/>
      <c r="J5135" s="86"/>
      <c r="K5135" s="264"/>
      <c r="M5135" s="265"/>
    </row>
    <row r="5136" ht="15.75" customHeight="1">
      <c r="A5136" s="266"/>
      <c r="B5136" s="267"/>
      <c r="C5136" s="266"/>
      <c r="D5136" s="267"/>
      <c r="E5136" s="268"/>
      <c r="F5136" s="267"/>
      <c r="G5136" s="269"/>
      <c r="H5136" s="263"/>
      <c r="I5136" s="86"/>
      <c r="J5136" s="86"/>
      <c r="K5136" s="264"/>
      <c r="M5136" s="265"/>
    </row>
    <row r="5137" ht="15.75" customHeight="1">
      <c r="A5137" s="266"/>
      <c r="B5137" s="267"/>
      <c r="C5137" s="266"/>
      <c r="D5137" s="267"/>
      <c r="E5137" s="268"/>
      <c r="F5137" s="267"/>
      <c r="G5137" s="269"/>
      <c r="H5137" s="263"/>
      <c r="I5137" s="86"/>
      <c r="J5137" s="86"/>
      <c r="K5137" s="264"/>
      <c r="M5137" s="265"/>
    </row>
    <row r="5138" ht="15.75" customHeight="1">
      <c r="A5138" s="266"/>
      <c r="B5138" s="267"/>
      <c r="C5138" s="266"/>
      <c r="D5138" s="267"/>
      <c r="E5138" s="268"/>
      <c r="F5138" s="267"/>
      <c r="G5138" s="269"/>
      <c r="H5138" s="263"/>
      <c r="I5138" s="86"/>
      <c r="J5138" s="86"/>
      <c r="K5138" s="264"/>
      <c r="M5138" s="265"/>
    </row>
    <row r="5139" ht="15.75" customHeight="1">
      <c r="A5139" s="266"/>
      <c r="B5139" s="267"/>
      <c r="C5139" s="266"/>
      <c r="D5139" s="267"/>
      <c r="E5139" s="268"/>
      <c r="F5139" s="267"/>
      <c r="G5139" s="269"/>
      <c r="H5139" s="263"/>
      <c r="I5139" s="86"/>
      <c r="J5139" s="86"/>
      <c r="K5139" s="264"/>
      <c r="M5139" s="265"/>
    </row>
    <row r="5140" ht="15.75" customHeight="1">
      <c r="A5140" s="266"/>
      <c r="B5140" s="267"/>
      <c r="C5140" s="266"/>
      <c r="D5140" s="267"/>
      <c r="E5140" s="268"/>
      <c r="F5140" s="267"/>
      <c r="G5140" s="269"/>
      <c r="H5140" s="263"/>
      <c r="I5140" s="86"/>
      <c r="J5140" s="86"/>
      <c r="K5140" s="264"/>
      <c r="M5140" s="265"/>
    </row>
    <row r="5141" ht="15.75" customHeight="1">
      <c r="A5141" s="266"/>
      <c r="B5141" s="267"/>
      <c r="C5141" s="266"/>
      <c r="D5141" s="267"/>
      <c r="E5141" s="268"/>
      <c r="F5141" s="267"/>
      <c r="G5141" s="269"/>
      <c r="H5141" s="263"/>
      <c r="I5141" s="86"/>
      <c r="J5141" s="86"/>
      <c r="K5141" s="264"/>
      <c r="M5141" s="265"/>
    </row>
    <row r="5142" ht="15.75" customHeight="1">
      <c r="A5142" s="266"/>
      <c r="B5142" s="267"/>
      <c r="C5142" s="266"/>
      <c r="D5142" s="267"/>
      <c r="E5142" s="268"/>
      <c r="F5142" s="267"/>
      <c r="G5142" s="269"/>
      <c r="H5142" s="263"/>
      <c r="I5142" s="86"/>
      <c r="J5142" s="86"/>
      <c r="K5142" s="264"/>
      <c r="M5142" s="265"/>
    </row>
    <row r="5143" ht="15.75" customHeight="1">
      <c r="A5143" s="266"/>
      <c r="B5143" s="267"/>
      <c r="C5143" s="266"/>
      <c r="D5143" s="267"/>
      <c r="E5143" s="268"/>
      <c r="F5143" s="267"/>
      <c r="G5143" s="269"/>
      <c r="H5143" s="263"/>
      <c r="I5143" s="86"/>
      <c r="J5143" s="86"/>
      <c r="K5143" s="264"/>
      <c r="M5143" s="265"/>
    </row>
    <row r="5144" ht="15.75" customHeight="1">
      <c r="A5144" s="266"/>
      <c r="B5144" s="267"/>
      <c r="C5144" s="266"/>
      <c r="D5144" s="267"/>
      <c r="E5144" s="268"/>
      <c r="F5144" s="267"/>
      <c r="G5144" s="269"/>
      <c r="H5144" s="263"/>
      <c r="I5144" s="86"/>
      <c r="J5144" s="86"/>
      <c r="K5144" s="264"/>
      <c r="M5144" s="265"/>
    </row>
    <row r="5145" ht="15.75" customHeight="1">
      <c r="A5145" s="266"/>
      <c r="B5145" s="267"/>
      <c r="C5145" s="266"/>
      <c r="D5145" s="267"/>
      <c r="E5145" s="268"/>
      <c r="F5145" s="267"/>
      <c r="G5145" s="269"/>
      <c r="H5145" s="263"/>
      <c r="I5145" s="86"/>
      <c r="J5145" s="86"/>
      <c r="K5145" s="264"/>
      <c r="M5145" s="265"/>
    </row>
    <row r="5146" ht="15.75" customHeight="1">
      <c r="A5146" s="266"/>
      <c r="B5146" s="267"/>
      <c r="C5146" s="266"/>
      <c r="D5146" s="267"/>
      <c r="E5146" s="268"/>
      <c r="F5146" s="267"/>
      <c r="G5146" s="269"/>
      <c r="H5146" s="263"/>
      <c r="I5146" s="86"/>
      <c r="J5146" s="86"/>
      <c r="K5146" s="264"/>
      <c r="M5146" s="265"/>
    </row>
    <row r="5147" ht="15.75" customHeight="1">
      <c r="A5147" s="266"/>
      <c r="B5147" s="267"/>
      <c r="C5147" s="266"/>
      <c r="D5147" s="267"/>
      <c r="E5147" s="268"/>
      <c r="F5147" s="267"/>
      <c r="G5147" s="269"/>
      <c r="H5147" s="263"/>
      <c r="I5147" s="86"/>
      <c r="J5147" s="86"/>
      <c r="K5147" s="264"/>
      <c r="M5147" s="265"/>
    </row>
    <row r="5148" ht="15.75" customHeight="1">
      <c r="A5148" s="266"/>
      <c r="B5148" s="267"/>
      <c r="C5148" s="266"/>
      <c r="D5148" s="267"/>
      <c r="E5148" s="268"/>
      <c r="F5148" s="267"/>
      <c r="G5148" s="269"/>
      <c r="H5148" s="263"/>
      <c r="I5148" s="86"/>
      <c r="J5148" s="86"/>
      <c r="K5148" s="264"/>
      <c r="M5148" s="265"/>
    </row>
    <row r="5149" ht="15.75" customHeight="1">
      <c r="A5149" s="266"/>
      <c r="B5149" s="267"/>
      <c r="C5149" s="266"/>
      <c r="D5149" s="267"/>
      <c r="E5149" s="268"/>
      <c r="F5149" s="267"/>
      <c r="G5149" s="269"/>
      <c r="H5149" s="263"/>
      <c r="I5149" s="86"/>
      <c r="J5149" s="86"/>
      <c r="K5149" s="264"/>
      <c r="M5149" s="265"/>
    </row>
    <row r="5150" ht="15.75" customHeight="1">
      <c r="A5150" s="266"/>
      <c r="B5150" s="267"/>
      <c r="C5150" s="266"/>
      <c r="D5150" s="267"/>
      <c r="E5150" s="268"/>
      <c r="F5150" s="267"/>
      <c r="G5150" s="269"/>
      <c r="H5150" s="263"/>
      <c r="I5150" s="86"/>
      <c r="J5150" s="86"/>
      <c r="K5150" s="264"/>
      <c r="M5150" s="265"/>
    </row>
    <row r="5151" ht="15.75" customHeight="1">
      <c r="A5151" s="266"/>
      <c r="B5151" s="267"/>
      <c r="C5151" s="266"/>
      <c r="D5151" s="267"/>
      <c r="E5151" s="268"/>
      <c r="F5151" s="267"/>
      <c r="G5151" s="269"/>
      <c r="H5151" s="263"/>
      <c r="I5151" s="86"/>
      <c r="J5151" s="86"/>
      <c r="K5151" s="264"/>
      <c r="M5151" s="265"/>
    </row>
    <row r="5152" ht="15.75" customHeight="1">
      <c r="A5152" s="266"/>
      <c r="B5152" s="267"/>
      <c r="C5152" s="266"/>
      <c r="D5152" s="267"/>
      <c r="E5152" s="268"/>
      <c r="F5152" s="267"/>
      <c r="G5152" s="269"/>
      <c r="H5152" s="263"/>
      <c r="I5152" s="86"/>
      <c r="J5152" s="86"/>
      <c r="K5152" s="264"/>
      <c r="M5152" s="265"/>
    </row>
    <row r="5153" ht="15.75" customHeight="1">
      <c r="A5153" s="266"/>
      <c r="B5153" s="267"/>
      <c r="C5153" s="266"/>
      <c r="D5153" s="267"/>
      <c r="E5153" s="268"/>
      <c r="F5153" s="267"/>
      <c r="G5153" s="269"/>
      <c r="H5153" s="263"/>
      <c r="I5153" s="86"/>
      <c r="J5153" s="86"/>
      <c r="K5153" s="264"/>
      <c r="M5153" s="265"/>
    </row>
    <row r="5154" ht="15.75" customHeight="1">
      <c r="A5154" s="266"/>
      <c r="B5154" s="267"/>
      <c r="C5154" s="266"/>
      <c r="D5154" s="267"/>
      <c r="E5154" s="268"/>
      <c r="F5154" s="267"/>
      <c r="G5154" s="269"/>
      <c r="H5154" s="263"/>
      <c r="I5154" s="86"/>
      <c r="J5154" s="86"/>
      <c r="K5154" s="264"/>
      <c r="M5154" s="265"/>
    </row>
    <row r="5155" ht="15.75" customHeight="1">
      <c r="A5155" s="266"/>
      <c r="B5155" s="267"/>
      <c r="C5155" s="266"/>
      <c r="D5155" s="267"/>
      <c r="E5155" s="268"/>
      <c r="F5155" s="267"/>
      <c r="G5155" s="269"/>
      <c r="H5155" s="263"/>
      <c r="I5155" s="86"/>
      <c r="J5155" s="86"/>
      <c r="K5155" s="264"/>
      <c r="M5155" s="265"/>
    </row>
    <row r="5156" ht="15.75" customHeight="1">
      <c r="A5156" s="266"/>
      <c r="B5156" s="267"/>
      <c r="C5156" s="266"/>
      <c r="D5156" s="267"/>
      <c r="E5156" s="268"/>
      <c r="F5156" s="267"/>
      <c r="G5156" s="269"/>
      <c r="H5156" s="263"/>
      <c r="I5156" s="86"/>
      <c r="J5156" s="86"/>
      <c r="K5156" s="264"/>
      <c r="M5156" s="265"/>
    </row>
    <row r="5157" ht="15.75" customHeight="1">
      <c r="A5157" s="266"/>
      <c r="B5157" s="267"/>
      <c r="C5157" s="266"/>
      <c r="D5157" s="267"/>
      <c r="E5157" s="268"/>
      <c r="F5157" s="267"/>
      <c r="G5157" s="269"/>
      <c r="H5157" s="263"/>
      <c r="I5157" s="86"/>
      <c r="J5157" s="86"/>
      <c r="K5157" s="264"/>
      <c r="M5157" s="265"/>
    </row>
    <row r="5158" ht="15.75" customHeight="1">
      <c r="A5158" s="266"/>
      <c r="B5158" s="267"/>
      <c r="C5158" s="266"/>
      <c r="D5158" s="267"/>
      <c r="E5158" s="268"/>
      <c r="F5158" s="267"/>
      <c r="G5158" s="269"/>
      <c r="H5158" s="263"/>
      <c r="I5158" s="86"/>
      <c r="J5158" s="86"/>
      <c r="K5158" s="264"/>
      <c r="M5158" s="265"/>
    </row>
    <row r="5159" ht="15.75" customHeight="1">
      <c r="A5159" s="266"/>
      <c r="B5159" s="267"/>
      <c r="C5159" s="266"/>
      <c r="D5159" s="267"/>
      <c r="E5159" s="268"/>
      <c r="F5159" s="267"/>
      <c r="G5159" s="269"/>
      <c r="H5159" s="263"/>
      <c r="I5159" s="86"/>
      <c r="J5159" s="86"/>
      <c r="K5159" s="264"/>
      <c r="M5159" s="265"/>
    </row>
    <row r="5160" ht="15.75" customHeight="1">
      <c r="A5160" s="266"/>
      <c r="B5160" s="267"/>
      <c r="C5160" s="266"/>
      <c r="D5160" s="267"/>
      <c r="E5160" s="268"/>
      <c r="F5160" s="267"/>
      <c r="G5160" s="269"/>
      <c r="H5160" s="263"/>
      <c r="I5160" s="86"/>
      <c r="J5160" s="86"/>
      <c r="K5160" s="264"/>
      <c r="M5160" s="265"/>
    </row>
    <row r="5161" ht="15.75" customHeight="1">
      <c r="A5161" s="266"/>
      <c r="B5161" s="267"/>
      <c r="C5161" s="266"/>
      <c r="D5161" s="267"/>
      <c r="E5161" s="268"/>
      <c r="F5161" s="267"/>
      <c r="G5161" s="269"/>
      <c r="H5161" s="263"/>
      <c r="I5161" s="86"/>
      <c r="J5161" s="86"/>
      <c r="K5161" s="264"/>
      <c r="M5161" s="265"/>
    </row>
    <row r="5162" ht="15.75" customHeight="1">
      <c r="A5162" s="266"/>
      <c r="B5162" s="267"/>
      <c r="C5162" s="266"/>
      <c r="D5162" s="267"/>
      <c r="E5162" s="268"/>
      <c r="F5162" s="267"/>
      <c r="G5162" s="269"/>
      <c r="H5162" s="263"/>
      <c r="I5162" s="86"/>
      <c r="J5162" s="86"/>
      <c r="K5162" s="264"/>
      <c r="M5162" s="265"/>
    </row>
    <row r="5163" ht="15.75" customHeight="1">
      <c r="A5163" s="266"/>
      <c r="B5163" s="267"/>
      <c r="C5163" s="266"/>
      <c r="D5163" s="267"/>
      <c r="E5163" s="268"/>
      <c r="F5163" s="267"/>
      <c r="G5163" s="269"/>
      <c r="H5163" s="263"/>
      <c r="I5163" s="86"/>
      <c r="J5163" s="86"/>
      <c r="K5163" s="264"/>
      <c r="M5163" s="265"/>
    </row>
    <row r="5164" ht="15.75" customHeight="1">
      <c r="A5164" s="266"/>
      <c r="B5164" s="267"/>
      <c r="C5164" s="266"/>
      <c r="D5164" s="267"/>
      <c r="E5164" s="268"/>
      <c r="F5164" s="267"/>
      <c r="G5164" s="269"/>
      <c r="H5164" s="263"/>
      <c r="I5164" s="86"/>
      <c r="J5164" s="86"/>
      <c r="K5164" s="264"/>
      <c r="M5164" s="265"/>
    </row>
    <row r="5165" ht="15.75" customHeight="1">
      <c r="A5165" s="266"/>
      <c r="B5165" s="267"/>
      <c r="C5165" s="266"/>
      <c r="D5165" s="267"/>
      <c r="E5165" s="268"/>
      <c r="F5165" s="267"/>
      <c r="G5165" s="269"/>
      <c r="H5165" s="263"/>
      <c r="I5165" s="86"/>
      <c r="J5165" s="86"/>
      <c r="K5165" s="264"/>
      <c r="M5165" s="265"/>
    </row>
    <row r="5166" ht="15.75" customHeight="1">
      <c r="A5166" s="266"/>
      <c r="B5166" s="267"/>
      <c r="C5166" s="266"/>
      <c r="D5166" s="267"/>
      <c r="E5166" s="268"/>
      <c r="F5166" s="267"/>
      <c r="G5166" s="269"/>
      <c r="H5166" s="263"/>
      <c r="I5166" s="86"/>
      <c r="J5166" s="86"/>
      <c r="K5166" s="264"/>
      <c r="M5166" s="265"/>
    </row>
    <row r="5167" ht="15.75" customHeight="1">
      <c r="A5167" s="266"/>
      <c r="B5167" s="267"/>
      <c r="C5167" s="266"/>
      <c r="D5167" s="267"/>
      <c r="E5167" s="268"/>
      <c r="F5167" s="267"/>
      <c r="G5167" s="269"/>
      <c r="H5167" s="263"/>
      <c r="I5167" s="86"/>
      <c r="J5167" s="86"/>
      <c r="K5167" s="264"/>
      <c r="M5167" s="265"/>
    </row>
    <row r="5168" ht="15.75" customHeight="1">
      <c r="A5168" s="266"/>
      <c r="B5168" s="267"/>
      <c r="C5168" s="266"/>
      <c r="D5168" s="267"/>
      <c r="E5168" s="268"/>
      <c r="F5168" s="267"/>
      <c r="G5168" s="269"/>
      <c r="H5168" s="263"/>
      <c r="I5168" s="86"/>
      <c r="J5168" s="86"/>
      <c r="K5168" s="264"/>
      <c r="M5168" s="265"/>
    </row>
    <row r="5169" ht="15.75" customHeight="1">
      <c r="A5169" s="266"/>
      <c r="B5169" s="267"/>
      <c r="C5169" s="266"/>
      <c r="D5169" s="267"/>
      <c r="E5169" s="268"/>
      <c r="F5169" s="267"/>
      <c r="G5169" s="269"/>
      <c r="H5169" s="263"/>
      <c r="I5169" s="86"/>
      <c r="J5169" s="86"/>
      <c r="K5169" s="264"/>
      <c r="M5169" s="265"/>
    </row>
    <row r="5170" ht="15.75" customHeight="1">
      <c r="A5170" s="266"/>
      <c r="B5170" s="267"/>
      <c r="C5170" s="266"/>
      <c r="D5170" s="267"/>
      <c r="E5170" s="268"/>
      <c r="F5170" s="267"/>
      <c r="G5170" s="269"/>
      <c r="H5170" s="263"/>
      <c r="I5170" s="86"/>
      <c r="J5170" s="86"/>
      <c r="K5170" s="264"/>
      <c r="M5170" s="265"/>
    </row>
    <row r="5171" ht="15.75" customHeight="1">
      <c r="A5171" s="266"/>
      <c r="B5171" s="267"/>
      <c r="C5171" s="266"/>
      <c r="D5171" s="267"/>
      <c r="E5171" s="268"/>
      <c r="F5171" s="267"/>
      <c r="G5171" s="269"/>
      <c r="H5171" s="263"/>
      <c r="I5171" s="86"/>
      <c r="J5171" s="86"/>
      <c r="K5171" s="264"/>
      <c r="M5171" s="265"/>
    </row>
    <row r="5172" ht="15.75" customHeight="1">
      <c r="A5172" s="266"/>
      <c r="B5172" s="267"/>
      <c r="C5172" s="266"/>
      <c r="D5172" s="267"/>
      <c r="E5172" s="268"/>
      <c r="F5172" s="267"/>
      <c r="G5172" s="269"/>
      <c r="H5172" s="263"/>
      <c r="I5172" s="86"/>
      <c r="J5172" s="86"/>
      <c r="K5172" s="264"/>
      <c r="M5172" s="265"/>
    </row>
    <row r="5173" ht="15.75" customHeight="1">
      <c r="A5173" s="266"/>
      <c r="B5173" s="267"/>
      <c r="C5173" s="266"/>
      <c r="D5173" s="267"/>
      <c r="E5173" s="268"/>
      <c r="F5173" s="267"/>
      <c r="G5173" s="269"/>
      <c r="H5173" s="263"/>
      <c r="I5173" s="86"/>
      <c r="J5173" s="86"/>
      <c r="K5173" s="264"/>
      <c r="M5173" s="265"/>
    </row>
    <row r="5174" ht="15.75" customHeight="1">
      <c r="A5174" s="266"/>
      <c r="B5174" s="267"/>
      <c r="C5174" s="266"/>
      <c r="D5174" s="267"/>
      <c r="E5174" s="268"/>
      <c r="F5174" s="267"/>
      <c r="G5174" s="269"/>
      <c r="H5174" s="263"/>
      <c r="I5174" s="86"/>
      <c r="J5174" s="86"/>
      <c r="K5174" s="264"/>
      <c r="M5174" s="265"/>
    </row>
    <row r="5175" ht="15.75" customHeight="1">
      <c r="A5175" s="266"/>
      <c r="B5175" s="267"/>
      <c r="C5175" s="266"/>
      <c r="D5175" s="267"/>
      <c r="E5175" s="268"/>
      <c r="F5175" s="267"/>
      <c r="G5175" s="269"/>
      <c r="H5175" s="263"/>
      <c r="I5175" s="86"/>
      <c r="J5175" s="86"/>
      <c r="K5175" s="264"/>
      <c r="M5175" s="265"/>
    </row>
    <row r="5176" ht="15.75" customHeight="1">
      <c r="A5176" s="266"/>
      <c r="B5176" s="267"/>
      <c r="C5176" s="266"/>
      <c r="D5176" s="267"/>
      <c r="E5176" s="268"/>
      <c r="F5176" s="267"/>
      <c r="G5176" s="269"/>
      <c r="H5176" s="263"/>
      <c r="I5176" s="86"/>
      <c r="J5176" s="86"/>
      <c r="K5176" s="264"/>
      <c r="M5176" s="265"/>
    </row>
    <row r="5177" ht="15.75" customHeight="1">
      <c r="A5177" s="266"/>
      <c r="B5177" s="267"/>
      <c r="C5177" s="266"/>
      <c r="D5177" s="267"/>
      <c r="E5177" s="268"/>
      <c r="F5177" s="267"/>
      <c r="G5177" s="269"/>
      <c r="H5177" s="263"/>
      <c r="I5177" s="86"/>
      <c r="J5177" s="86"/>
      <c r="K5177" s="264"/>
      <c r="M5177" s="265"/>
    </row>
    <row r="5178" ht="15.75" customHeight="1">
      <c r="A5178" s="266"/>
      <c r="B5178" s="267"/>
      <c r="C5178" s="266"/>
      <c r="D5178" s="267"/>
      <c r="E5178" s="268"/>
      <c r="F5178" s="267"/>
      <c r="G5178" s="269"/>
      <c r="H5178" s="263"/>
      <c r="I5178" s="86"/>
      <c r="J5178" s="86"/>
      <c r="K5178" s="264"/>
      <c r="M5178" s="265"/>
    </row>
    <row r="5179" ht="15.75" customHeight="1">
      <c r="A5179" s="266"/>
      <c r="B5179" s="267"/>
      <c r="C5179" s="266"/>
      <c r="D5179" s="267"/>
      <c r="E5179" s="268"/>
      <c r="F5179" s="267"/>
      <c r="G5179" s="269"/>
      <c r="H5179" s="263"/>
      <c r="I5179" s="86"/>
      <c r="J5179" s="86"/>
      <c r="K5179" s="264"/>
      <c r="M5179" s="265"/>
    </row>
    <row r="5180" ht="15.75" customHeight="1">
      <c r="A5180" s="266"/>
      <c r="B5180" s="267"/>
      <c r="C5180" s="266"/>
      <c r="D5180" s="267"/>
      <c r="E5180" s="268"/>
      <c r="F5180" s="267"/>
      <c r="G5180" s="269"/>
      <c r="H5180" s="263"/>
      <c r="I5180" s="86"/>
      <c r="J5180" s="86"/>
      <c r="K5180" s="264"/>
      <c r="M5180" s="265"/>
    </row>
    <row r="5181" ht="15.75" customHeight="1">
      <c r="A5181" s="266"/>
      <c r="B5181" s="267"/>
      <c r="C5181" s="266"/>
      <c r="D5181" s="267"/>
      <c r="E5181" s="268"/>
      <c r="F5181" s="267"/>
      <c r="G5181" s="269"/>
      <c r="H5181" s="263"/>
      <c r="I5181" s="86"/>
      <c r="J5181" s="86"/>
      <c r="K5181" s="264"/>
      <c r="M5181" s="265"/>
    </row>
    <row r="5182" ht="15.75" customHeight="1">
      <c r="A5182" s="266"/>
      <c r="B5182" s="267"/>
      <c r="C5182" s="266"/>
      <c r="D5182" s="267"/>
      <c r="E5182" s="268"/>
      <c r="F5182" s="267"/>
      <c r="G5182" s="269"/>
      <c r="H5182" s="263"/>
      <c r="I5182" s="86"/>
      <c r="J5182" s="86"/>
      <c r="K5182" s="264"/>
      <c r="M5182" s="265"/>
    </row>
    <row r="5183" ht="15.75" customHeight="1">
      <c r="A5183" s="266"/>
      <c r="B5183" s="267"/>
      <c r="C5183" s="266"/>
      <c r="D5183" s="267"/>
      <c r="E5183" s="268"/>
      <c r="F5183" s="267"/>
      <c r="G5183" s="269"/>
      <c r="H5183" s="263"/>
      <c r="I5183" s="86"/>
      <c r="J5183" s="86"/>
      <c r="K5183" s="264"/>
      <c r="M5183" s="265"/>
    </row>
    <row r="5184" ht="15.75" customHeight="1">
      <c r="A5184" s="266"/>
      <c r="B5184" s="267"/>
      <c r="C5184" s="266"/>
      <c r="D5184" s="267"/>
      <c r="E5184" s="268"/>
      <c r="F5184" s="267"/>
      <c r="G5184" s="269"/>
      <c r="H5184" s="263"/>
      <c r="I5184" s="86"/>
      <c r="J5184" s="86"/>
      <c r="K5184" s="264"/>
      <c r="M5184" s="265"/>
    </row>
    <row r="5185" ht="15.75" customHeight="1">
      <c r="A5185" s="266"/>
      <c r="B5185" s="267"/>
      <c r="C5185" s="266"/>
      <c r="D5185" s="267"/>
      <c r="E5185" s="268"/>
      <c r="F5185" s="267"/>
      <c r="G5185" s="269"/>
      <c r="H5185" s="263"/>
      <c r="I5185" s="86"/>
      <c r="J5185" s="86"/>
      <c r="K5185" s="264"/>
      <c r="M5185" s="265"/>
    </row>
    <row r="5186" ht="15.75" customHeight="1">
      <c r="A5186" s="266"/>
      <c r="B5186" s="267"/>
      <c r="C5186" s="266"/>
      <c r="D5186" s="267"/>
      <c r="E5186" s="268"/>
      <c r="F5186" s="267"/>
      <c r="G5186" s="269"/>
      <c r="H5186" s="263"/>
      <c r="I5186" s="86"/>
      <c r="J5186" s="86"/>
      <c r="K5186" s="264"/>
      <c r="M5186" s="265"/>
    </row>
    <row r="5187" ht="15.75" customHeight="1">
      <c r="A5187" s="266"/>
      <c r="B5187" s="267"/>
      <c r="C5187" s="266"/>
      <c r="D5187" s="267"/>
      <c r="E5187" s="268"/>
      <c r="F5187" s="267"/>
      <c r="G5187" s="269"/>
      <c r="H5187" s="263"/>
      <c r="I5187" s="86"/>
      <c r="J5187" s="86"/>
      <c r="K5187" s="264"/>
      <c r="M5187" s="265"/>
    </row>
    <row r="5188" ht="15.75" customHeight="1">
      <c r="A5188" s="266"/>
      <c r="B5188" s="267"/>
      <c r="C5188" s="266"/>
      <c r="D5188" s="267"/>
      <c r="E5188" s="268"/>
      <c r="F5188" s="267"/>
      <c r="G5188" s="269"/>
      <c r="H5188" s="263"/>
      <c r="I5188" s="86"/>
      <c r="J5188" s="86"/>
      <c r="K5188" s="264"/>
      <c r="M5188" s="265"/>
    </row>
    <row r="5189" ht="15.75" customHeight="1">
      <c r="A5189" s="266"/>
      <c r="B5189" s="267"/>
      <c r="C5189" s="266"/>
      <c r="D5189" s="267"/>
      <c r="E5189" s="268"/>
      <c r="F5189" s="267"/>
      <c r="G5189" s="269"/>
      <c r="H5189" s="263"/>
      <c r="I5189" s="86"/>
      <c r="J5189" s="86"/>
      <c r="K5189" s="264"/>
      <c r="M5189" s="265"/>
    </row>
    <row r="5190" ht="15.75" customHeight="1">
      <c r="A5190" s="266"/>
      <c r="B5190" s="267"/>
      <c r="C5190" s="266"/>
      <c r="D5190" s="267"/>
      <c r="E5190" s="268"/>
      <c r="F5190" s="267"/>
      <c r="G5190" s="269"/>
      <c r="H5190" s="263"/>
      <c r="I5190" s="86"/>
      <c r="J5190" s="86"/>
      <c r="K5190" s="264"/>
      <c r="M5190" s="265"/>
    </row>
    <row r="5191" ht="15.75" customHeight="1">
      <c r="A5191" s="266"/>
      <c r="B5191" s="267"/>
      <c r="C5191" s="266"/>
      <c r="D5191" s="267"/>
      <c r="E5191" s="268"/>
      <c r="F5191" s="267"/>
      <c r="G5191" s="269"/>
      <c r="H5191" s="263"/>
      <c r="I5191" s="86"/>
      <c r="J5191" s="86"/>
      <c r="K5191" s="264"/>
      <c r="M5191" s="265"/>
    </row>
    <row r="5192" ht="15.75" customHeight="1">
      <c r="A5192" s="266"/>
      <c r="B5192" s="267"/>
      <c r="C5192" s="266"/>
      <c r="D5192" s="267"/>
      <c r="E5192" s="268"/>
      <c r="F5192" s="267"/>
      <c r="G5192" s="269"/>
      <c r="H5192" s="263"/>
      <c r="I5192" s="86"/>
      <c r="J5192" s="86"/>
      <c r="K5192" s="264"/>
      <c r="M5192" s="265"/>
    </row>
    <row r="5193" ht="15.75" customHeight="1">
      <c r="A5193" s="266"/>
      <c r="B5193" s="267"/>
      <c r="C5193" s="266"/>
      <c r="D5193" s="267"/>
      <c r="E5193" s="268"/>
      <c r="F5193" s="267"/>
      <c r="G5193" s="269"/>
      <c r="H5193" s="263"/>
      <c r="I5193" s="86"/>
      <c r="J5193" s="86"/>
      <c r="K5193" s="264"/>
      <c r="M5193" s="265"/>
    </row>
    <row r="5194" ht="15.75" customHeight="1">
      <c r="A5194" s="266"/>
      <c r="B5194" s="267"/>
      <c r="C5194" s="266"/>
      <c r="D5194" s="267"/>
      <c r="E5194" s="268"/>
      <c r="F5194" s="267"/>
      <c r="G5194" s="269"/>
      <c r="H5194" s="263"/>
      <c r="I5194" s="86"/>
      <c r="J5194" s="86"/>
      <c r="K5194" s="264"/>
      <c r="M5194" s="265"/>
    </row>
    <row r="5195" ht="15.75" customHeight="1">
      <c r="A5195" s="266"/>
      <c r="B5195" s="267"/>
      <c r="C5195" s="266"/>
      <c r="D5195" s="267"/>
      <c r="E5195" s="268"/>
      <c r="F5195" s="267"/>
      <c r="G5195" s="269"/>
      <c r="H5195" s="263"/>
      <c r="I5195" s="86"/>
      <c r="J5195" s="86"/>
      <c r="K5195" s="264"/>
      <c r="M5195" s="265"/>
    </row>
    <row r="5196" ht="15.75" customHeight="1">
      <c r="A5196" s="266"/>
      <c r="B5196" s="267"/>
      <c r="C5196" s="266"/>
      <c r="D5196" s="267"/>
      <c r="E5196" s="268"/>
      <c r="F5196" s="267"/>
      <c r="G5196" s="269"/>
      <c r="H5196" s="263"/>
      <c r="I5196" s="86"/>
      <c r="J5196" s="86"/>
      <c r="K5196" s="264"/>
      <c r="M5196" s="265"/>
    </row>
    <row r="5197" ht="15.75" customHeight="1">
      <c r="A5197" s="266"/>
      <c r="B5197" s="267"/>
      <c r="C5197" s="266"/>
      <c r="D5197" s="267"/>
      <c r="E5197" s="268"/>
      <c r="F5197" s="267"/>
      <c r="G5197" s="269"/>
      <c r="H5197" s="263"/>
      <c r="I5197" s="86"/>
      <c r="J5197" s="86"/>
      <c r="K5197" s="264"/>
      <c r="M5197" s="265"/>
    </row>
    <row r="5198" ht="15.75" customHeight="1">
      <c r="A5198" s="266"/>
      <c r="B5198" s="267"/>
      <c r="C5198" s="266"/>
      <c r="D5198" s="267"/>
      <c r="E5198" s="268"/>
      <c r="F5198" s="267"/>
      <c r="G5198" s="269"/>
      <c r="H5198" s="263"/>
      <c r="I5198" s="86"/>
      <c r="J5198" s="86"/>
      <c r="K5198" s="264"/>
      <c r="M5198" s="265"/>
    </row>
    <row r="5199" ht="15.75" customHeight="1">
      <c r="A5199" s="266"/>
      <c r="B5199" s="267"/>
      <c r="C5199" s="266"/>
      <c r="D5199" s="267"/>
      <c r="E5199" s="268"/>
      <c r="F5199" s="267"/>
      <c r="G5199" s="269"/>
      <c r="H5199" s="263"/>
      <c r="I5199" s="86"/>
      <c r="J5199" s="86"/>
      <c r="K5199" s="264"/>
      <c r="M5199" s="265"/>
    </row>
    <row r="5200" ht="15.75" customHeight="1">
      <c r="A5200" s="266"/>
      <c r="B5200" s="267"/>
      <c r="C5200" s="266"/>
      <c r="D5200" s="267"/>
      <c r="E5200" s="268"/>
      <c r="F5200" s="267"/>
      <c r="G5200" s="269"/>
      <c r="H5200" s="263"/>
      <c r="I5200" s="86"/>
      <c r="J5200" s="86"/>
      <c r="K5200" s="264"/>
      <c r="M5200" s="265"/>
    </row>
    <row r="5201" ht="15.75" customHeight="1">
      <c r="A5201" s="266"/>
      <c r="B5201" s="267"/>
      <c r="C5201" s="266"/>
      <c r="D5201" s="267"/>
      <c r="E5201" s="268"/>
      <c r="F5201" s="267"/>
      <c r="G5201" s="269"/>
      <c r="H5201" s="263"/>
      <c r="I5201" s="86"/>
      <c r="J5201" s="86"/>
      <c r="K5201" s="264"/>
      <c r="M5201" s="265"/>
    </row>
    <row r="5202" ht="15.75" customHeight="1">
      <c r="A5202" s="266"/>
      <c r="B5202" s="267"/>
      <c r="C5202" s="266"/>
      <c r="D5202" s="267"/>
      <c r="E5202" s="268"/>
      <c r="F5202" s="267"/>
      <c r="G5202" s="269"/>
      <c r="H5202" s="263"/>
      <c r="I5202" s="86"/>
      <c r="J5202" s="86"/>
      <c r="K5202" s="264"/>
      <c r="M5202" s="265"/>
    </row>
    <row r="5203" ht="15.75" customHeight="1">
      <c r="A5203" s="266"/>
      <c r="B5203" s="267"/>
      <c r="C5203" s="266"/>
      <c r="D5203" s="267"/>
      <c r="E5203" s="268"/>
      <c r="F5203" s="267"/>
      <c r="G5203" s="269"/>
      <c r="H5203" s="263"/>
      <c r="I5203" s="86"/>
      <c r="J5203" s="86"/>
      <c r="K5203" s="264"/>
      <c r="M5203" s="265"/>
    </row>
    <row r="5204" ht="15.75" customHeight="1">
      <c r="A5204" s="266"/>
      <c r="B5204" s="267"/>
      <c r="C5204" s="266"/>
      <c r="D5204" s="267"/>
      <c r="E5204" s="268"/>
      <c r="F5204" s="267"/>
      <c r="G5204" s="269"/>
      <c r="H5204" s="263"/>
      <c r="I5204" s="86"/>
      <c r="J5204" s="86"/>
      <c r="K5204" s="264"/>
      <c r="M5204" s="265"/>
    </row>
    <row r="5205" ht="15.75" customHeight="1">
      <c r="A5205" s="266"/>
      <c r="B5205" s="267"/>
      <c r="C5205" s="266"/>
      <c r="D5205" s="267"/>
      <c r="E5205" s="268"/>
      <c r="F5205" s="267"/>
      <c r="G5205" s="269"/>
      <c r="H5205" s="263"/>
      <c r="I5205" s="86"/>
      <c r="J5205" s="86"/>
      <c r="K5205" s="264"/>
      <c r="M5205" s="265"/>
    </row>
    <row r="5206" ht="15.75" customHeight="1">
      <c r="A5206" s="266"/>
      <c r="B5206" s="267"/>
      <c r="C5206" s="266"/>
      <c r="D5206" s="267"/>
      <c r="E5206" s="268"/>
      <c r="F5206" s="267"/>
      <c r="G5206" s="269"/>
      <c r="H5206" s="263"/>
      <c r="I5206" s="86"/>
      <c r="J5206" s="86"/>
      <c r="K5206" s="264"/>
      <c r="M5206" s="265"/>
    </row>
    <row r="5207" ht="15.75" customHeight="1">
      <c r="A5207" s="266"/>
      <c r="B5207" s="267"/>
      <c r="C5207" s="266"/>
      <c r="D5207" s="267"/>
      <c r="E5207" s="268"/>
      <c r="F5207" s="267"/>
      <c r="G5207" s="269"/>
      <c r="H5207" s="263"/>
      <c r="I5207" s="86"/>
      <c r="J5207" s="86"/>
      <c r="K5207" s="264"/>
      <c r="M5207" s="265"/>
    </row>
    <row r="5208" ht="15.75" customHeight="1">
      <c r="A5208" s="266"/>
      <c r="B5208" s="267"/>
      <c r="C5208" s="266"/>
      <c r="D5208" s="267"/>
      <c r="E5208" s="268"/>
      <c r="F5208" s="267"/>
      <c r="G5208" s="269"/>
      <c r="H5208" s="263"/>
      <c r="I5208" s="86"/>
      <c r="J5208" s="86"/>
      <c r="K5208" s="264"/>
      <c r="M5208" s="265"/>
    </row>
    <row r="5209" ht="15.75" customHeight="1">
      <c r="A5209" s="266"/>
      <c r="B5209" s="267"/>
      <c r="C5209" s="266"/>
      <c r="D5209" s="267"/>
      <c r="E5209" s="268"/>
      <c r="F5209" s="267"/>
      <c r="G5209" s="269"/>
      <c r="H5209" s="263"/>
      <c r="I5209" s="86"/>
      <c r="J5209" s="86"/>
      <c r="K5209" s="264"/>
      <c r="M5209" s="265"/>
    </row>
    <row r="5210" ht="15.75" customHeight="1">
      <c r="A5210" s="266"/>
      <c r="B5210" s="267"/>
      <c r="C5210" s="266"/>
      <c r="D5210" s="267"/>
      <c r="E5210" s="268"/>
      <c r="F5210" s="267"/>
      <c r="G5210" s="269"/>
      <c r="H5210" s="263"/>
      <c r="I5210" s="86"/>
      <c r="J5210" s="86"/>
      <c r="K5210" s="264"/>
      <c r="M5210" s="265"/>
    </row>
    <row r="5211" ht="15.75" customHeight="1">
      <c r="A5211" s="266"/>
      <c r="B5211" s="267"/>
      <c r="C5211" s="266"/>
      <c r="D5211" s="267"/>
      <c r="E5211" s="268"/>
      <c r="F5211" s="267"/>
      <c r="G5211" s="269"/>
      <c r="H5211" s="263"/>
      <c r="I5211" s="86"/>
      <c r="J5211" s="86"/>
      <c r="K5211" s="264"/>
      <c r="M5211" s="265"/>
    </row>
    <row r="5212" ht="15.75" customHeight="1">
      <c r="A5212" s="266"/>
      <c r="B5212" s="267"/>
      <c r="C5212" s="266"/>
      <c r="D5212" s="267"/>
      <c r="E5212" s="268"/>
      <c r="F5212" s="267"/>
      <c r="G5212" s="269"/>
      <c r="H5212" s="263"/>
      <c r="I5212" s="86"/>
      <c r="J5212" s="86"/>
      <c r="K5212" s="264"/>
      <c r="M5212" s="265"/>
    </row>
    <row r="5213" ht="15.75" customHeight="1">
      <c r="A5213" s="266"/>
      <c r="B5213" s="267"/>
      <c r="C5213" s="266"/>
      <c r="D5213" s="267"/>
      <c r="E5213" s="268"/>
      <c r="F5213" s="267"/>
      <c r="G5213" s="269"/>
      <c r="H5213" s="263"/>
      <c r="I5213" s="86"/>
      <c r="J5213" s="86"/>
      <c r="K5213" s="264"/>
      <c r="M5213" s="265"/>
    </row>
    <row r="5214" ht="15.75" customHeight="1">
      <c r="A5214" s="266"/>
      <c r="B5214" s="267"/>
      <c r="C5214" s="266"/>
      <c r="D5214" s="267"/>
      <c r="E5214" s="268"/>
      <c r="F5214" s="267"/>
      <c r="G5214" s="269"/>
      <c r="H5214" s="263"/>
      <c r="I5214" s="86"/>
      <c r="J5214" s="86"/>
      <c r="K5214" s="264"/>
      <c r="M5214" s="265"/>
    </row>
    <row r="5215" ht="15.75" customHeight="1">
      <c r="A5215" s="266"/>
      <c r="B5215" s="267"/>
      <c r="C5215" s="266"/>
      <c r="D5215" s="267"/>
      <c r="E5215" s="268"/>
      <c r="F5215" s="267"/>
      <c r="G5215" s="269"/>
      <c r="H5215" s="263"/>
      <c r="I5215" s="86"/>
      <c r="J5215" s="86"/>
      <c r="K5215" s="264"/>
      <c r="M5215" s="265"/>
    </row>
    <row r="5216" ht="15.75" customHeight="1">
      <c r="A5216" s="266"/>
      <c r="B5216" s="267"/>
      <c r="C5216" s="266"/>
      <c r="D5216" s="267"/>
      <c r="E5216" s="268"/>
      <c r="F5216" s="267"/>
      <c r="G5216" s="269"/>
      <c r="H5216" s="263"/>
      <c r="I5216" s="86"/>
      <c r="J5216" s="86"/>
      <c r="K5216" s="264"/>
      <c r="M5216" s="265"/>
    </row>
    <row r="5217" ht="15.75" customHeight="1">
      <c r="A5217" s="266"/>
      <c r="B5217" s="267"/>
      <c r="C5217" s="266"/>
      <c r="D5217" s="267"/>
      <c r="E5217" s="268"/>
      <c r="F5217" s="267"/>
      <c r="G5217" s="269"/>
      <c r="H5217" s="263"/>
      <c r="I5217" s="86"/>
      <c r="J5217" s="86"/>
      <c r="K5217" s="264"/>
      <c r="M5217" s="265"/>
    </row>
    <row r="5218" ht="15.75" customHeight="1">
      <c r="A5218" s="266"/>
      <c r="B5218" s="267"/>
      <c r="C5218" s="266"/>
      <c r="D5218" s="267"/>
      <c r="E5218" s="268"/>
      <c r="F5218" s="267"/>
      <c r="G5218" s="269"/>
      <c r="H5218" s="263"/>
      <c r="I5218" s="86"/>
      <c r="J5218" s="86"/>
      <c r="K5218" s="264"/>
      <c r="M5218" s="265"/>
    </row>
    <row r="5219" ht="15.75" customHeight="1">
      <c r="A5219" s="266"/>
      <c r="B5219" s="267"/>
      <c r="C5219" s="266"/>
      <c r="D5219" s="267"/>
      <c r="E5219" s="268"/>
      <c r="F5219" s="267"/>
      <c r="G5219" s="269"/>
      <c r="H5219" s="263"/>
      <c r="I5219" s="86"/>
      <c r="J5219" s="86"/>
      <c r="K5219" s="264"/>
      <c r="M5219" s="265"/>
    </row>
    <row r="5220" ht="15.75" customHeight="1">
      <c r="A5220" s="266"/>
      <c r="B5220" s="267"/>
      <c r="C5220" s="266"/>
      <c r="D5220" s="267"/>
      <c r="E5220" s="268"/>
      <c r="F5220" s="267"/>
      <c r="G5220" s="269"/>
      <c r="H5220" s="263"/>
      <c r="I5220" s="86"/>
      <c r="J5220" s="86"/>
      <c r="K5220" s="264"/>
      <c r="M5220" s="265"/>
    </row>
    <row r="5221" ht="15.75" customHeight="1">
      <c r="A5221" s="266"/>
      <c r="B5221" s="267"/>
      <c r="C5221" s="266"/>
      <c r="D5221" s="267"/>
      <c r="E5221" s="268"/>
      <c r="F5221" s="267"/>
      <c r="G5221" s="269"/>
      <c r="H5221" s="263"/>
      <c r="I5221" s="86"/>
      <c r="J5221" s="86"/>
      <c r="K5221" s="264"/>
      <c r="M5221" s="265"/>
    </row>
    <row r="5222" ht="15.75" customHeight="1">
      <c r="A5222" s="266"/>
      <c r="B5222" s="267"/>
      <c r="C5222" s="266"/>
      <c r="D5222" s="267"/>
      <c r="E5222" s="268"/>
      <c r="F5222" s="267"/>
      <c r="G5222" s="269"/>
      <c r="H5222" s="263"/>
      <c r="I5222" s="86"/>
      <c r="J5222" s="86"/>
      <c r="K5222" s="264"/>
      <c r="M5222" s="265"/>
    </row>
    <row r="5223" ht="15.75" customHeight="1">
      <c r="A5223" s="266"/>
      <c r="B5223" s="267"/>
      <c r="C5223" s="266"/>
      <c r="D5223" s="267"/>
      <c r="E5223" s="268"/>
      <c r="F5223" s="267"/>
      <c r="G5223" s="269"/>
      <c r="H5223" s="263"/>
      <c r="I5223" s="86"/>
      <c r="J5223" s="86"/>
      <c r="K5223" s="264"/>
      <c r="M5223" s="265"/>
    </row>
    <row r="5224" ht="15.75" customHeight="1">
      <c r="A5224" s="266"/>
      <c r="B5224" s="267"/>
      <c r="C5224" s="266"/>
      <c r="D5224" s="267"/>
      <c r="E5224" s="268"/>
      <c r="F5224" s="267"/>
      <c r="G5224" s="269"/>
      <c r="H5224" s="263"/>
      <c r="I5224" s="86"/>
      <c r="J5224" s="86"/>
      <c r="K5224" s="264"/>
      <c r="M5224" s="265"/>
    </row>
    <row r="5225" ht="15.75" customHeight="1">
      <c r="A5225" s="266"/>
      <c r="B5225" s="267"/>
      <c r="C5225" s="266"/>
      <c r="D5225" s="267"/>
      <c r="E5225" s="268"/>
      <c r="F5225" s="267"/>
      <c r="G5225" s="269"/>
      <c r="H5225" s="263"/>
      <c r="I5225" s="86"/>
      <c r="J5225" s="86"/>
      <c r="K5225" s="264"/>
      <c r="M5225" s="265"/>
    </row>
    <row r="5226" ht="15.75" customHeight="1">
      <c r="A5226" s="266"/>
      <c r="B5226" s="267"/>
      <c r="C5226" s="266"/>
      <c r="D5226" s="267"/>
      <c r="E5226" s="268"/>
      <c r="F5226" s="267"/>
      <c r="G5226" s="269"/>
      <c r="H5226" s="263"/>
      <c r="I5226" s="86"/>
      <c r="J5226" s="86"/>
      <c r="K5226" s="264"/>
      <c r="M5226" s="265"/>
    </row>
    <row r="5227" ht="15.75" customHeight="1">
      <c r="A5227" s="266"/>
      <c r="B5227" s="267"/>
      <c r="C5227" s="266"/>
      <c r="D5227" s="267"/>
      <c r="E5227" s="268"/>
      <c r="F5227" s="267"/>
      <c r="G5227" s="269"/>
      <c r="H5227" s="263"/>
      <c r="I5227" s="86"/>
      <c r="J5227" s="86"/>
      <c r="K5227" s="264"/>
      <c r="M5227" s="265"/>
    </row>
    <row r="5228" ht="15.75" customHeight="1">
      <c r="A5228" s="266"/>
      <c r="B5228" s="267"/>
      <c r="C5228" s="266"/>
      <c r="D5228" s="267"/>
      <c r="E5228" s="268"/>
      <c r="F5228" s="267"/>
      <c r="G5228" s="269"/>
      <c r="H5228" s="263"/>
      <c r="I5228" s="86"/>
      <c r="J5228" s="86"/>
      <c r="K5228" s="264"/>
      <c r="M5228" s="265"/>
    </row>
    <row r="5229" ht="15.75" customHeight="1">
      <c r="A5229" s="266"/>
      <c r="B5229" s="267"/>
      <c r="C5229" s="266"/>
      <c r="D5229" s="267"/>
      <c r="E5229" s="268"/>
      <c r="F5229" s="267"/>
      <c r="G5229" s="269"/>
      <c r="H5229" s="263"/>
      <c r="I5229" s="86"/>
      <c r="J5229" s="86"/>
      <c r="K5229" s="264"/>
      <c r="M5229" s="265"/>
    </row>
    <row r="5230" ht="15.75" customHeight="1">
      <c r="A5230" s="266"/>
      <c r="B5230" s="267"/>
      <c r="C5230" s="266"/>
      <c r="D5230" s="267"/>
      <c r="E5230" s="268"/>
      <c r="F5230" s="267"/>
      <c r="G5230" s="269"/>
      <c r="H5230" s="263"/>
      <c r="I5230" s="86"/>
      <c r="J5230" s="86"/>
      <c r="K5230" s="264"/>
      <c r="M5230" s="265"/>
    </row>
    <row r="5231" ht="15.75" customHeight="1">
      <c r="A5231" s="266"/>
      <c r="B5231" s="267"/>
      <c r="C5231" s="266"/>
      <c r="D5231" s="267"/>
      <c r="E5231" s="268"/>
      <c r="F5231" s="267"/>
      <c r="G5231" s="269"/>
      <c r="H5231" s="263"/>
      <c r="I5231" s="86"/>
      <c r="J5231" s="86"/>
      <c r="K5231" s="264"/>
      <c r="M5231" s="265"/>
    </row>
    <row r="5232" ht="15.75" customHeight="1">
      <c r="A5232" s="266"/>
      <c r="B5232" s="267"/>
      <c r="C5232" s="266"/>
      <c r="D5232" s="267"/>
      <c r="E5232" s="268"/>
      <c r="F5232" s="267"/>
      <c r="G5232" s="269"/>
      <c r="H5232" s="263"/>
      <c r="I5232" s="86"/>
      <c r="J5232" s="86"/>
      <c r="K5232" s="264"/>
      <c r="M5232" s="265"/>
    </row>
    <row r="5233" ht="15.75" customHeight="1">
      <c r="A5233" s="266"/>
      <c r="B5233" s="267"/>
      <c r="C5233" s="266"/>
      <c r="D5233" s="267"/>
      <c r="E5233" s="268"/>
      <c r="F5233" s="267"/>
      <c r="G5233" s="269"/>
      <c r="H5233" s="263"/>
      <c r="I5233" s="86"/>
      <c r="J5233" s="86"/>
      <c r="K5233" s="264"/>
      <c r="M5233" s="265"/>
    </row>
    <row r="5234" ht="15.75" customHeight="1">
      <c r="A5234" s="266"/>
      <c r="B5234" s="267"/>
      <c r="C5234" s="266"/>
      <c r="D5234" s="267"/>
      <c r="E5234" s="268"/>
      <c r="F5234" s="267"/>
      <c r="G5234" s="269"/>
      <c r="H5234" s="263"/>
      <c r="I5234" s="86"/>
      <c r="J5234" s="86"/>
      <c r="K5234" s="264"/>
      <c r="M5234" s="265"/>
    </row>
    <row r="5235" ht="15.75" customHeight="1">
      <c r="A5235" s="266"/>
      <c r="B5235" s="267"/>
      <c r="C5235" s="266"/>
      <c r="D5235" s="267"/>
      <c r="E5235" s="268"/>
      <c r="F5235" s="267"/>
      <c r="G5235" s="269"/>
      <c r="H5235" s="263"/>
      <c r="I5235" s="86"/>
      <c r="J5235" s="86"/>
      <c r="K5235" s="264"/>
      <c r="M5235" s="265"/>
    </row>
    <row r="5236" ht="15.75" customHeight="1">
      <c r="A5236" s="266"/>
      <c r="B5236" s="267"/>
      <c r="C5236" s="266"/>
      <c r="D5236" s="267"/>
      <c r="E5236" s="268"/>
      <c r="F5236" s="267"/>
      <c r="G5236" s="269"/>
      <c r="H5236" s="263"/>
      <c r="I5236" s="86"/>
      <c r="J5236" s="86"/>
      <c r="K5236" s="264"/>
      <c r="M5236" s="265"/>
    </row>
    <row r="5237" ht="15.75" customHeight="1">
      <c r="A5237" s="266"/>
      <c r="B5237" s="267"/>
      <c r="C5237" s="266"/>
      <c r="D5237" s="267"/>
      <c r="E5237" s="268"/>
      <c r="F5237" s="267"/>
      <c r="G5237" s="269"/>
      <c r="H5237" s="263"/>
      <c r="I5237" s="86"/>
      <c r="J5237" s="86"/>
      <c r="K5237" s="264"/>
      <c r="M5237" s="265"/>
    </row>
    <row r="5238" ht="15.75" customHeight="1">
      <c r="A5238" s="266"/>
      <c r="B5238" s="267"/>
      <c r="C5238" s="266"/>
      <c r="D5238" s="267"/>
      <c r="E5238" s="268"/>
      <c r="F5238" s="267"/>
      <c r="G5238" s="269"/>
      <c r="H5238" s="263"/>
      <c r="I5238" s="86"/>
      <c r="J5238" s="86"/>
      <c r="K5238" s="264"/>
      <c r="M5238" s="265"/>
    </row>
    <row r="5239" ht="15.75" customHeight="1">
      <c r="A5239" s="266"/>
      <c r="B5239" s="267"/>
      <c r="C5239" s="266"/>
      <c r="D5239" s="267"/>
      <c r="E5239" s="268"/>
      <c r="F5239" s="267"/>
      <c r="G5239" s="269"/>
      <c r="H5239" s="263"/>
      <c r="I5239" s="86"/>
      <c r="J5239" s="86"/>
      <c r="K5239" s="264"/>
      <c r="M5239" s="265"/>
    </row>
    <row r="5240" ht="15.75" customHeight="1">
      <c r="A5240" s="266"/>
      <c r="B5240" s="267"/>
      <c r="C5240" s="266"/>
      <c r="D5240" s="267"/>
      <c r="E5240" s="268"/>
      <c r="F5240" s="267"/>
      <c r="G5240" s="269"/>
      <c r="H5240" s="263"/>
      <c r="I5240" s="86"/>
      <c r="J5240" s="86"/>
      <c r="K5240" s="264"/>
      <c r="M5240" s="265"/>
    </row>
    <row r="5241" ht="15.75" customHeight="1">
      <c r="A5241" s="266"/>
      <c r="B5241" s="267"/>
      <c r="C5241" s="266"/>
      <c r="D5241" s="267"/>
      <c r="E5241" s="268"/>
      <c r="F5241" s="267"/>
      <c r="G5241" s="269"/>
      <c r="H5241" s="263"/>
      <c r="I5241" s="86"/>
      <c r="J5241" s="86"/>
      <c r="K5241" s="264"/>
      <c r="M5241" s="265"/>
    </row>
    <row r="5242" ht="15.75" customHeight="1">
      <c r="A5242" s="266"/>
      <c r="B5242" s="267"/>
      <c r="C5242" s="266"/>
      <c r="D5242" s="267"/>
      <c r="E5242" s="268"/>
      <c r="F5242" s="267"/>
      <c r="G5242" s="269"/>
      <c r="H5242" s="263"/>
      <c r="I5242" s="86"/>
      <c r="J5242" s="86"/>
      <c r="K5242" s="264"/>
      <c r="M5242" s="265"/>
    </row>
    <row r="5243" ht="15.75" customHeight="1">
      <c r="A5243" s="266"/>
      <c r="B5243" s="267"/>
      <c r="C5243" s="266"/>
      <c r="D5243" s="267"/>
      <c r="E5243" s="268"/>
      <c r="F5243" s="267"/>
      <c r="G5243" s="269"/>
      <c r="H5243" s="263"/>
      <c r="I5243" s="86"/>
      <c r="J5243" s="86"/>
      <c r="K5243" s="264"/>
      <c r="M5243" s="265"/>
    </row>
    <row r="5244" ht="15.75" customHeight="1">
      <c r="A5244" s="266"/>
      <c r="B5244" s="267"/>
      <c r="C5244" s="266"/>
      <c r="D5244" s="267"/>
      <c r="E5244" s="268"/>
      <c r="F5244" s="267"/>
      <c r="G5244" s="269"/>
      <c r="H5244" s="263"/>
      <c r="I5244" s="86"/>
      <c r="J5244" s="86"/>
      <c r="K5244" s="264"/>
      <c r="M5244" s="265"/>
    </row>
    <row r="5245" ht="15.75" customHeight="1">
      <c r="A5245" s="266"/>
      <c r="B5245" s="267"/>
      <c r="C5245" s="266"/>
      <c r="D5245" s="267"/>
      <c r="E5245" s="268"/>
      <c r="F5245" s="267"/>
      <c r="G5245" s="269"/>
      <c r="H5245" s="263"/>
      <c r="I5245" s="86"/>
      <c r="J5245" s="86"/>
      <c r="K5245" s="264"/>
      <c r="M5245" s="265"/>
    </row>
    <row r="5246" ht="15.75" customHeight="1">
      <c r="A5246" s="266"/>
      <c r="B5246" s="267"/>
      <c r="C5246" s="266"/>
      <c r="D5246" s="267"/>
      <c r="E5246" s="268"/>
      <c r="F5246" s="267"/>
      <c r="G5246" s="269"/>
      <c r="H5246" s="263"/>
      <c r="I5246" s="86"/>
      <c r="J5246" s="86"/>
      <c r="K5246" s="264"/>
      <c r="M5246" s="265"/>
    </row>
    <row r="5247" ht="15.75" customHeight="1">
      <c r="A5247" s="266"/>
      <c r="B5247" s="267"/>
      <c r="C5247" s="266"/>
      <c r="D5247" s="267"/>
      <c r="E5247" s="268"/>
      <c r="F5247" s="267"/>
      <c r="G5247" s="269"/>
      <c r="H5247" s="263"/>
      <c r="I5247" s="86"/>
      <c r="J5247" s="86"/>
      <c r="K5247" s="264"/>
      <c r="M5247" s="265"/>
    </row>
    <row r="5248" ht="15.75" customHeight="1">
      <c r="A5248" s="266"/>
      <c r="B5248" s="267"/>
      <c r="C5248" s="266"/>
      <c r="D5248" s="267"/>
      <c r="E5248" s="268"/>
      <c r="F5248" s="267"/>
      <c r="G5248" s="269"/>
      <c r="H5248" s="263"/>
      <c r="I5248" s="86"/>
      <c r="J5248" s="86"/>
      <c r="K5248" s="264"/>
      <c r="M5248" s="265"/>
    </row>
    <row r="5249" ht="15.75" customHeight="1">
      <c r="A5249" s="266"/>
      <c r="B5249" s="267"/>
      <c r="C5249" s="266"/>
      <c r="D5249" s="267"/>
      <c r="E5249" s="268"/>
      <c r="F5249" s="267"/>
      <c r="G5249" s="269"/>
      <c r="H5249" s="263"/>
      <c r="I5249" s="86"/>
      <c r="J5249" s="86"/>
      <c r="K5249" s="264"/>
      <c r="M5249" s="265"/>
    </row>
    <row r="5250" ht="15.75" customHeight="1">
      <c r="A5250" s="266"/>
      <c r="B5250" s="267"/>
      <c r="C5250" s="266"/>
      <c r="D5250" s="267"/>
      <c r="E5250" s="268"/>
      <c r="F5250" s="267"/>
      <c r="G5250" s="269"/>
      <c r="H5250" s="263"/>
      <c r="I5250" s="86"/>
      <c r="J5250" s="86"/>
      <c r="K5250" s="264"/>
      <c r="M5250" s="265"/>
    </row>
    <row r="5251" ht="15.75" customHeight="1">
      <c r="A5251" s="266"/>
      <c r="B5251" s="267"/>
      <c r="C5251" s="266"/>
      <c r="D5251" s="267"/>
      <c r="E5251" s="268"/>
      <c r="F5251" s="267"/>
      <c r="G5251" s="269"/>
      <c r="H5251" s="263"/>
      <c r="I5251" s="86"/>
      <c r="J5251" s="86"/>
      <c r="K5251" s="264"/>
      <c r="M5251" s="265"/>
    </row>
    <row r="5252" ht="15.75" customHeight="1">
      <c r="A5252" s="266"/>
      <c r="B5252" s="267"/>
      <c r="C5252" s="266"/>
      <c r="D5252" s="267"/>
      <c r="E5252" s="268"/>
      <c r="F5252" s="267"/>
      <c r="G5252" s="269"/>
      <c r="H5252" s="263"/>
      <c r="I5252" s="86"/>
      <c r="J5252" s="86"/>
      <c r="K5252" s="264"/>
      <c r="M5252" s="265"/>
    </row>
    <row r="5253" ht="15.75" customHeight="1">
      <c r="A5253" s="266"/>
      <c r="B5253" s="267"/>
      <c r="C5253" s="266"/>
      <c r="D5253" s="267"/>
      <c r="E5253" s="268"/>
      <c r="F5253" s="267"/>
      <c r="G5253" s="269"/>
      <c r="H5253" s="263"/>
      <c r="I5253" s="86"/>
      <c r="J5253" s="86"/>
      <c r="K5253" s="264"/>
      <c r="M5253" s="265"/>
    </row>
    <row r="5254" ht="15.75" customHeight="1">
      <c r="A5254" s="266"/>
      <c r="B5254" s="267"/>
      <c r="C5254" s="266"/>
      <c r="D5254" s="267"/>
      <c r="E5254" s="268"/>
      <c r="F5254" s="267"/>
      <c r="G5254" s="269"/>
      <c r="H5254" s="263"/>
      <c r="I5254" s="86"/>
      <c r="J5254" s="86"/>
      <c r="K5254" s="264"/>
      <c r="M5254" s="265"/>
    </row>
    <row r="5255" ht="15.75" customHeight="1">
      <c r="A5255" s="266"/>
      <c r="B5255" s="267"/>
      <c r="C5255" s="266"/>
      <c r="D5255" s="267"/>
      <c r="E5255" s="268"/>
      <c r="F5255" s="267"/>
      <c r="G5255" s="269"/>
      <c r="H5255" s="263"/>
      <c r="I5255" s="86"/>
      <c r="J5255" s="86"/>
      <c r="K5255" s="264"/>
      <c r="M5255" s="265"/>
    </row>
    <row r="5256" ht="15.75" customHeight="1">
      <c r="A5256" s="266"/>
      <c r="B5256" s="267"/>
      <c r="C5256" s="266"/>
      <c r="D5256" s="267"/>
      <c r="E5256" s="268"/>
      <c r="F5256" s="267"/>
      <c r="G5256" s="269"/>
      <c r="H5256" s="263"/>
      <c r="I5256" s="86"/>
      <c r="J5256" s="86"/>
      <c r="K5256" s="264"/>
      <c r="M5256" s="265"/>
    </row>
    <row r="5257" ht="15.75" customHeight="1">
      <c r="A5257" s="266"/>
      <c r="B5257" s="267"/>
      <c r="C5257" s="266"/>
      <c r="D5257" s="267"/>
      <c r="E5257" s="268"/>
      <c r="F5257" s="267"/>
      <c r="G5257" s="269"/>
      <c r="H5257" s="263"/>
      <c r="I5257" s="86"/>
      <c r="J5257" s="86"/>
      <c r="K5257" s="264"/>
      <c r="M5257" s="265"/>
    </row>
    <row r="5258" ht="15.75" customHeight="1">
      <c r="A5258" s="266"/>
      <c r="B5258" s="267"/>
      <c r="C5258" s="266"/>
      <c r="D5258" s="267"/>
      <c r="E5258" s="268"/>
      <c r="F5258" s="267"/>
      <c r="G5258" s="269"/>
      <c r="H5258" s="263"/>
      <c r="I5258" s="86"/>
      <c r="J5258" s="86"/>
      <c r="K5258" s="264"/>
      <c r="M5258" s="265"/>
    </row>
    <row r="5259" ht="15.75" customHeight="1">
      <c r="A5259" s="266"/>
      <c r="B5259" s="267"/>
      <c r="C5259" s="266"/>
      <c r="D5259" s="267"/>
      <c r="E5259" s="268"/>
      <c r="F5259" s="267"/>
      <c r="G5259" s="269"/>
      <c r="H5259" s="263"/>
      <c r="I5259" s="86"/>
      <c r="J5259" s="86"/>
      <c r="K5259" s="264"/>
      <c r="M5259" s="265"/>
    </row>
    <row r="5260" ht="15.75" customHeight="1">
      <c r="A5260" s="266"/>
      <c r="B5260" s="267"/>
      <c r="C5260" s="266"/>
      <c r="D5260" s="267"/>
      <c r="E5260" s="268"/>
      <c r="F5260" s="267"/>
      <c r="G5260" s="269"/>
      <c r="H5260" s="263"/>
      <c r="I5260" s="86"/>
      <c r="J5260" s="86"/>
      <c r="K5260" s="264"/>
      <c r="M5260" s="265"/>
    </row>
    <row r="5261" ht="15.75" customHeight="1">
      <c r="A5261" s="266"/>
      <c r="B5261" s="267"/>
      <c r="C5261" s="266"/>
      <c r="D5261" s="267"/>
      <c r="E5261" s="268"/>
      <c r="F5261" s="267"/>
      <c r="G5261" s="269"/>
      <c r="H5261" s="263"/>
      <c r="I5261" s="86"/>
      <c r="J5261" s="86"/>
      <c r="K5261" s="264"/>
      <c r="M5261" s="265"/>
    </row>
    <row r="5262" ht="15.75" customHeight="1">
      <c r="A5262" s="266"/>
      <c r="B5262" s="267"/>
      <c r="C5262" s="266"/>
      <c r="D5262" s="267"/>
      <c r="E5262" s="268"/>
      <c r="F5262" s="267"/>
      <c r="G5262" s="269"/>
      <c r="H5262" s="263"/>
      <c r="I5262" s="86"/>
      <c r="J5262" s="86"/>
      <c r="K5262" s="264"/>
      <c r="M5262" s="265"/>
    </row>
    <row r="5263" ht="15.75" customHeight="1">
      <c r="A5263" s="266"/>
      <c r="B5263" s="267"/>
      <c r="C5263" s="266"/>
      <c r="D5263" s="267"/>
      <c r="E5263" s="268"/>
      <c r="F5263" s="267"/>
      <c r="G5263" s="269"/>
      <c r="H5263" s="263"/>
      <c r="I5263" s="86"/>
      <c r="J5263" s="86"/>
      <c r="K5263" s="264"/>
      <c r="M5263" s="265"/>
    </row>
    <row r="5264" ht="15.75" customHeight="1">
      <c r="A5264" s="266"/>
      <c r="B5264" s="267"/>
      <c r="C5264" s="266"/>
      <c r="D5264" s="267"/>
      <c r="E5264" s="268"/>
      <c r="F5264" s="267"/>
      <c r="G5264" s="269"/>
      <c r="H5264" s="263"/>
      <c r="I5264" s="86"/>
      <c r="J5264" s="86"/>
      <c r="K5264" s="264"/>
      <c r="M5264" s="265"/>
    </row>
    <row r="5265" ht="15.75" customHeight="1">
      <c r="A5265" s="266"/>
      <c r="B5265" s="267"/>
      <c r="C5265" s="266"/>
      <c r="D5265" s="267"/>
      <c r="E5265" s="268"/>
      <c r="F5265" s="267"/>
      <c r="G5265" s="269"/>
      <c r="H5265" s="263"/>
      <c r="I5265" s="86"/>
      <c r="J5265" s="86"/>
      <c r="K5265" s="264"/>
      <c r="M5265" s="265"/>
    </row>
    <row r="5266" ht="15.75" customHeight="1">
      <c r="A5266" s="266"/>
      <c r="B5266" s="267"/>
      <c r="C5266" s="266"/>
      <c r="D5266" s="267"/>
      <c r="E5266" s="268"/>
      <c r="F5266" s="267"/>
      <c r="G5266" s="269"/>
      <c r="H5266" s="263"/>
      <c r="I5266" s="86"/>
      <c r="J5266" s="86"/>
      <c r="K5266" s="264"/>
      <c r="M5266" s="265"/>
    </row>
    <row r="5267" ht="15.75" customHeight="1">
      <c r="A5267" s="266"/>
      <c r="B5267" s="267"/>
      <c r="C5267" s="266"/>
      <c r="D5267" s="267"/>
      <c r="E5267" s="268"/>
      <c r="F5267" s="267"/>
      <c r="G5267" s="269"/>
      <c r="H5267" s="263"/>
      <c r="I5267" s="86"/>
      <c r="J5267" s="86"/>
      <c r="K5267" s="264"/>
      <c r="M5267" s="265"/>
    </row>
    <row r="5268" ht="15.75" customHeight="1">
      <c r="A5268" s="266"/>
      <c r="B5268" s="267"/>
      <c r="C5268" s="266"/>
      <c r="D5268" s="267"/>
      <c r="E5268" s="268"/>
      <c r="F5268" s="267"/>
      <c r="G5268" s="269"/>
      <c r="H5268" s="263"/>
      <c r="I5268" s="86"/>
      <c r="J5268" s="86"/>
      <c r="K5268" s="264"/>
      <c r="M5268" s="265"/>
    </row>
    <row r="5269" ht="15.75" customHeight="1">
      <c r="A5269" s="266"/>
      <c r="B5269" s="267"/>
      <c r="C5269" s="266"/>
      <c r="D5269" s="267"/>
      <c r="E5269" s="268"/>
      <c r="F5269" s="267"/>
      <c r="G5269" s="269"/>
      <c r="H5269" s="263"/>
      <c r="I5269" s="86"/>
      <c r="J5269" s="86"/>
      <c r="K5269" s="264"/>
      <c r="M5269" s="265"/>
    </row>
    <row r="5270" ht="15.75" customHeight="1">
      <c r="A5270" s="266"/>
      <c r="B5270" s="267"/>
      <c r="C5270" s="266"/>
      <c r="D5270" s="267"/>
      <c r="E5270" s="268"/>
      <c r="F5270" s="267"/>
      <c r="G5270" s="269"/>
      <c r="H5270" s="263"/>
      <c r="I5270" s="86"/>
      <c r="J5270" s="86"/>
      <c r="K5270" s="264"/>
      <c r="M5270" s="265"/>
    </row>
    <row r="5271" ht="15.75" customHeight="1">
      <c r="A5271" s="266"/>
      <c r="B5271" s="267"/>
      <c r="C5271" s="266"/>
      <c r="D5271" s="267"/>
      <c r="E5271" s="268"/>
      <c r="F5271" s="267"/>
      <c r="G5271" s="269"/>
      <c r="H5271" s="263"/>
      <c r="I5271" s="86"/>
      <c r="J5271" s="86"/>
      <c r="K5271" s="264"/>
      <c r="M5271" s="265"/>
    </row>
    <row r="5272" ht="15.75" customHeight="1">
      <c r="A5272" s="266"/>
      <c r="B5272" s="267"/>
      <c r="C5272" s="266"/>
      <c r="D5272" s="267"/>
      <c r="E5272" s="268"/>
      <c r="F5272" s="267"/>
      <c r="G5272" s="269"/>
      <c r="H5272" s="263"/>
      <c r="I5272" s="86"/>
      <c r="J5272" s="86"/>
      <c r="K5272" s="264"/>
      <c r="M5272" s="265"/>
    </row>
    <row r="5273" ht="15.75" customHeight="1">
      <c r="A5273" s="266"/>
      <c r="B5273" s="267"/>
      <c r="C5273" s="266"/>
      <c r="D5273" s="267"/>
      <c r="E5273" s="268"/>
      <c r="F5273" s="267"/>
      <c r="G5273" s="269"/>
      <c r="H5273" s="263"/>
      <c r="I5273" s="86"/>
      <c r="J5273" s="86"/>
      <c r="K5273" s="264"/>
      <c r="M5273" s="265"/>
    </row>
    <row r="5274" ht="15.75" customHeight="1">
      <c r="A5274" s="266"/>
      <c r="B5274" s="267"/>
      <c r="C5274" s="266"/>
      <c r="D5274" s="267"/>
      <c r="E5274" s="268"/>
      <c r="F5274" s="267"/>
      <c r="G5274" s="269"/>
      <c r="H5274" s="263"/>
      <c r="I5274" s="86"/>
      <c r="J5274" s="86"/>
      <c r="K5274" s="264"/>
      <c r="M5274" s="265"/>
    </row>
    <row r="5275" ht="15.75" customHeight="1">
      <c r="A5275" s="266"/>
      <c r="B5275" s="267"/>
      <c r="C5275" s="266"/>
      <c r="D5275" s="267"/>
      <c r="E5275" s="268"/>
      <c r="F5275" s="267"/>
      <c r="G5275" s="269"/>
      <c r="H5275" s="263"/>
      <c r="I5275" s="86"/>
      <c r="J5275" s="86"/>
      <c r="K5275" s="264"/>
      <c r="M5275" s="265"/>
    </row>
    <row r="5276" ht="15.75" customHeight="1">
      <c r="A5276" s="266"/>
      <c r="B5276" s="267"/>
      <c r="C5276" s="266"/>
      <c r="D5276" s="267"/>
      <c r="E5276" s="268"/>
      <c r="F5276" s="267"/>
      <c r="G5276" s="269"/>
      <c r="H5276" s="263"/>
      <c r="I5276" s="86"/>
      <c r="J5276" s="86"/>
      <c r="K5276" s="264"/>
      <c r="M5276" s="265"/>
    </row>
    <row r="5277" ht="15.75" customHeight="1">
      <c r="A5277" s="266"/>
      <c r="B5277" s="267"/>
      <c r="C5277" s="266"/>
      <c r="D5277" s="267"/>
      <c r="E5277" s="268"/>
      <c r="F5277" s="267"/>
      <c r="G5277" s="269"/>
      <c r="H5277" s="263"/>
      <c r="I5277" s="86"/>
      <c r="J5277" s="86"/>
      <c r="K5277" s="264"/>
      <c r="M5277" s="265"/>
    </row>
    <row r="5278" ht="15.75" customHeight="1">
      <c r="A5278" s="266"/>
      <c r="B5278" s="267"/>
      <c r="C5278" s="266"/>
      <c r="D5278" s="267"/>
      <c r="E5278" s="268"/>
      <c r="F5278" s="267"/>
      <c r="G5278" s="269"/>
      <c r="H5278" s="263"/>
      <c r="I5278" s="86"/>
      <c r="J5278" s="86"/>
      <c r="K5278" s="264"/>
      <c r="M5278" s="265"/>
    </row>
    <row r="5279" ht="15.75" customHeight="1">
      <c r="A5279" s="266"/>
      <c r="B5279" s="267"/>
      <c r="C5279" s="266"/>
      <c r="D5279" s="267"/>
      <c r="E5279" s="268"/>
      <c r="F5279" s="267"/>
      <c r="G5279" s="269"/>
      <c r="H5279" s="263"/>
      <c r="I5279" s="86"/>
      <c r="J5279" s="86"/>
      <c r="K5279" s="264"/>
      <c r="M5279" s="265"/>
    </row>
    <row r="5280" ht="15.75" customHeight="1">
      <c r="A5280" s="266"/>
      <c r="B5280" s="267"/>
      <c r="C5280" s="266"/>
      <c r="D5280" s="267"/>
      <c r="E5280" s="268"/>
      <c r="F5280" s="267"/>
      <c r="G5280" s="269"/>
      <c r="H5280" s="263"/>
      <c r="I5280" s="86"/>
      <c r="J5280" s="86"/>
      <c r="K5280" s="264"/>
      <c r="M5280" s="265"/>
    </row>
    <row r="5281" ht="15.75" customHeight="1">
      <c r="A5281" s="266"/>
      <c r="B5281" s="267"/>
      <c r="C5281" s="266"/>
      <c r="D5281" s="267"/>
      <c r="E5281" s="268"/>
      <c r="F5281" s="267"/>
      <c r="G5281" s="269"/>
      <c r="H5281" s="263"/>
      <c r="I5281" s="86"/>
      <c r="J5281" s="86"/>
      <c r="K5281" s="264"/>
      <c r="M5281" s="265"/>
    </row>
    <row r="5282" ht="15.75" customHeight="1">
      <c r="A5282" s="266"/>
      <c r="B5282" s="267"/>
      <c r="C5282" s="266"/>
      <c r="D5282" s="267"/>
      <c r="E5282" s="268"/>
      <c r="F5282" s="267"/>
      <c r="G5282" s="269"/>
      <c r="H5282" s="263"/>
      <c r="I5282" s="86"/>
      <c r="J5282" s="86"/>
      <c r="K5282" s="264"/>
      <c r="M5282" s="265"/>
    </row>
    <row r="5283" ht="15.75" customHeight="1">
      <c r="A5283" s="266"/>
      <c r="B5283" s="267"/>
      <c r="C5283" s="266"/>
      <c r="D5283" s="267"/>
      <c r="E5283" s="268"/>
      <c r="F5283" s="267"/>
      <c r="G5283" s="269"/>
      <c r="H5283" s="263"/>
      <c r="I5283" s="86"/>
      <c r="J5283" s="86"/>
      <c r="K5283" s="264"/>
      <c r="M5283" s="265"/>
    </row>
    <row r="5284" ht="15.75" customHeight="1">
      <c r="A5284" s="266"/>
      <c r="B5284" s="267"/>
      <c r="C5284" s="266"/>
      <c r="D5284" s="267"/>
      <c r="E5284" s="268"/>
      <c r="F5284" s="267"/>
      <c r="G5284" s="269"/>
      <c r="H5284" s="263"/>
      <c r="I5284" s="86"/>
      <c r="J5284" s="86"/>
      <c r="K5284" s="264"/>
      <c r="M5284" s="265"/>
    </row>
    <row r="5285" ht="15.75" customHeight="1">
      <c r="A5285" s="266"/>
      <c r="B5285" s="267"/>
      <c r="C5285" s="266"/>
      <c r="D5285" s="267"/>
      <c r="E5285" s="268"/>
      <c r="F5285" s="267"/>
      <c r="G5285" s="269"/>
      <c r="H5285" s="263"/>
      <c r="I5285" s="86"/>
      <c r="J5285" s="86"/>
      <c r="K5285" s="264"/>
      <c r="M5285" s="265"/>
    </row>
    <row r="5286" ht="15.75" customHeight="1">
      <c r="A5286" s="266"/>
      <c r="B5286" s="267"/>
      <c r="C5286" s="266"/>
      <c r="D5286" s="267"/>
      <c r="E5286" s="268"/>
      <c r="F5286" s="267"/>
      <c r="G5286" s="269"/>
      <c r="H5286" s="263"/>
      <c r="I5286" s="86"/>
      <c r="J5286" s="86"/>
      <c r="K5286" s="264"/>
      <c r="M5286" s="265"/>
    </row>
    <row r="5287" ht="15.75" customHeight="1">
      <c r="A5287" s="266"/>
      <c r="B5287" s="267"/>
      <c r="C5287" s="266"/>
      <c r="D5287" s="267"/>
      <c r="E5287" s="268"/>
      <c r="F5287" s="267"/>
      <c r="G5287" s="269"/>
      <c r="H5287" s="263"/>
      <c r="I5287" s="86"/>
      <c r="J5287" s="86"/>
      <c r="K5287" s="264"/>
      <c r="M5287" s="265"/>
    </row>
    <row r="5288" ht="15.75" customHeight="1">
      <c r="A5288" s="266"/>
      <c r="B5288" s="267"/>
      <c r="C5288" s="266"/>
      <c r="D5288" s="267"/>
      <c r="E5288" s="268"/>
      <c r="F5288" s="267"/>
      <c r="G5288" s="269"/>
      <c r="H5288" s="263"/>
      <c r="I5288" s="86"/>
      <c r="J5288" s="86"/>
      <c r="K5288" s="264"/>
      <c r="M5288" s="265"/>
    </row>
    <row r="5289" ht="15.75" customHeight="1">
      <c r="A5289" s="266"/>
      <c r="B5289" s="267"/>
      <c r="C5289" s="266"/>
      <c r="D5289" s="267"/>
      <c r="E5289" s="268"/>
      <c r="F5289" s="267"/>
      <c r="G5289" s="269"/>
      <c r="H5289" s="263"/>
      <c r="I5289" s="86"/>
      <c r="J5289" s="86"/>
      <c r="K5289" s="264"/>
      <c r="M5289" s="265"/>
    </row>
    <row r="5290" ht="15.75" customHeight="1">
      <c r="A5290" s="266"/>
      <c r="B5290" s="267"/>
      <c r="C5290" s="266"/>
      <c r="D5290" s="267"/>
      <c r="E5290" s="268"/>
      <c r="F5290" s="267"/>
      <c r="G5290" s="269"/>
      <c r="H5290" s="263"/>
      <c r="I5290" s="86"/>
      <c r="J5290" s="86"/>
      <c r="K5290" s="264"/>
      <c r="M5290" s="265"/>
    </row>
    <row r="5291" ht="15.75" customHeight="1">
      <c r="A5291" s="266"/>
      <c r="B5291" s="267"/>
      <c r="C5291" s="266"/>
      <c r="D5291" s="267"/>
      <c r="E5291" s="268"/>
      <c r="F5291" s="267"/>
      <c r="G5291" s="269"/>
      <c r="H5291" s="263"/>
      <c r="I5291" s="86"/>
      <c r="J5291" s="86"/>
      <c r="K5291" s="264"/>
      <c r="M5291" s="265"/>
    </row>
    <row r="5292" ht="15.75" customHeight="1">
      <c r="A5292" s="266"/>
      <c r="B5292" s="267"/>
      <c r="C5292" s="266"/>
      <c r="D5292" s="267"/>
      <c r="E5292" s="268"/>
      <c r="F5292" s="267"/>
      <c r="G5292" s="269"/>
      <c r="H5292" s="263"/>
      <c r="I5292" s="86"/>
      <c r="J5292" s="86"/>
      <c r="K5292" s="264"/>
      <c r="M5292" s="265"/>
    </row>
    <row r="5293" ht="15.75" customHeight="1">
      <c r="A5293" s="266"/>
      <c r="B5293" s="267"/>
      <c r="C5293" s="266"/>
      <c r="D5293" s="267"/>
      <c r="E5293" s="268"/>
      <c r="F5293" s="267"/>
      <c r="G5293" s="269"/>
      <c r="H5293" s="263"/>
      <c r="I5293" s="86"/>
      <c r="J5293" s="86"/>
      <c r="K5293" s="264"/>
      <c r="M5293" s="265"/>
    </row>
    <row r="5294" ht="15.75" customHeight="1">
      <c r="A5294" s="266"/>
      <c r="B5294" s="267"/>
      <c r="C5294" s="266"/>
      <c r="D5294" s="267"/>
      <c r="E5294" s="268"/>
      <c r="F5294" s="267"/>
      <c r="G5294" s="269"/>
      <c r="H5294" s="263"/>
      <c r="I5294" s="86"/>
      <c r="J5294" s="86"/>
      <c r="K5294" s="264"/>
      <c r="M5294" s="265"/>
    </row>
    <row r="5295" ht="15.75" customHeight="1">
      <c r="A5295" s="266"/>
      <c r="B5295" s="267"/>
      <c r="C5295" s="266"/>
      <c r="D5295" s="267"/>
      <c r="E5295" s="268"/>
      <c r="F5295" s="267"/>
      <c r="G5295" s="269"/>
      <c r="H5295" s="263"/>
      <c r="I5295" s="86"/>
      <c r="J5295" s="86"/>
      <c r="K5295" s="264"/>
      <c r="M5295" s="265"/>
    </row>
    <row r="5296" ht="15.75" customHeight="1">
      <c r="A5296" s="266"/>
      <c r="B5296" s="267"/>
      <c r="C5296" s="266"/>
      <c r="D5296" s="267"/>
      <c r="E5296" s="268"/>
      <c r="F5296" s="267"/>
      <c r="G5296" s="269"/>
      <c r="H5296" s="263"/>
      <c r="I5296" s="86"/>
      <c r="J5296" s="86"/>
      <c r="K5296" s="264"/>
      <c r="M5296" s="265"/>
    </row>
    <row r="5297" ht="15.75" customHeight="1">
      <c r="A5297" s="266"/>
      <c r="B5297" s="267"/>
      <c r="C5297" s="266"/>
      <c r="D5297" s="267"/>
      <c r="E5297" s="268"/>
      <c r="F5297" s="267"/>
      <c r="G5297" s="269"/>
      <c r="H5297" s="263"/>
      <c r="I5297" s="86"/>
      <c r="J5297" s="86"/>
      <c r="K5297" s="264"/>
      <c r="M5297" s="265"/>
    </row>
    <row r="5298" ht="15.75" customHeight="1">
      <c r="A5298" s="266"/>
      <c r="B5298" s="267"/>
      <c r="C5298" s="266"/>
      <c r="D5298" s="267"/>
      <c r="E5298" s="268"/>
      <c r="F5298" s="267"/>
      <c r="G5298" s="269"/>
      <c r="H5298" s="263"/>
      <c r="I5298" s="86"/>
      <c r="J5298" s="86"/>
      <c r="K5298" s="264"/>
      <c r="M5298" s="265"/>
    </row>
    <row r="5299" ht="15.75" customHeight="1">
      <c r="A5299" s="266"/>
      <c r="B5299" s="267"/>
      <c r="C5299" s="266"/>
      <c r="D5299" s="267"/>
      <c r="E5299" s="268"/>
      <c r="F5299" s="267"/>
      <c r="G5299" s="269"/>
      <c r="H5299" s="263"/>
      <c r="I5299" s="86"/>
      <c r="J5299" s="86"/>
      <c r="K5299" s="264"/>
      <c r="M5299" s="265"/>
    </row>
    <row r="5300" ht="15.75" customHeight="1">
      <c r="A5300" s="266"/>
      <c r="B5300" s="267"/>
      <c r="C5300" s="266"/>
      <c r="D5300" s="267"/>
      <c r="E5300" s="268"/>
      <c r="F5300" s="267"/>
      <c r="G5300" s="269"/>
      <c r="H5300" s="263"/>
      <c r="I5300" s="86"/>
      <c r="J5300" s="86"/>
      <c r="K5300" s="264"/>
      <c r="M5300" s="265"/>
    </row>
    <row r="5301" ht="15.75" customHeight="1">
      <c r="A5301" s="266"/>
      <c r="B5301" s="267"/>
      <c r="C5301" s="266"/>
      <c r="D5301" s="267"/>
      <c r="E5301" s="268"/>
      <c r="F5301" s="267"/>
      <c r="G5301" s="269"/>
      <c r="H5301" s="263"/>
      <c r="I5301" s="86"/>
      <c r="J5301" s="86"/>
      <c r="K5301" s="264"/>
      <c r="M5301" s="265"/>
    </row>
    <row r="5302" ht="15.75" customHeight="1">
      <c r="A5302" s="266"/>
      <c r="B5302" s="267"/>
      <c r="C5302" s="266"/>
      <c r="D5302" s="267"/>
      <c r="E5302" s="268"/>
      <c r="F5302" s="267"/>
      <c r="G5302" s="269"/>
      <c r="H5302" s="263"/>
      <c r="I5302" s="86"/>
      <c r="J5302" s="86"/>
      <c r="K5302" s="264"/>
      <c r="M5302" s="265"/>
    </row>
    <row r="5303" ht="15.75" customHeight="1">
      <c r="A5303" s="266"/>
      <c r="B5303" s="267"/>
      <c r="C5303" s="266"/>
      <c r="D5303" s="267"/>
      <c r="E5303" s="268"/>
      <c r="F5303" s="267"/>
      <c r="G5303" s="269"/>
      <c r="H5303" s="263"/>
      <c r="I5303" s="86"/>
      <c r="J5303" s="86"/>
      <c r="K5303" s="264"/>
      <c r="M5303" s="265"/>
    </row>
    <row r="5304" ht="15.75" customHeight="1">
      <c r="A5304" s="266"/>
      <c r="B5304" s="267"/>
      <c r="C5304" s="266"/>
      <c r="D5304" s="267"/>
      <c r="E5304" s="268"/>
      <c r="F5304" s="267"/>
      <c r="G5304" s="269"/>
      <c r="H5304" s="263"/>
      <c r="I5304" s="86"/>
      <c r="J5304" s="86"/>
      <c r="K5304" s="264"/>
      <c r="M5304" s="265"/>
    </row>
    <row r="5305" ht="15.75" customHeight="1">
      <c r="A5305" s="266"/>
      <c r="B5305" s="267"/>
      <c r="C5305" s="266"/>
      <c r="D5305" s="267"/>
      <c r="E5305" s="268"/>
      <c r="F5305" s="267"/>
      <c r="G5305" s="269"/>
      <c r="H5305" s="263"/>
      <c r="I5305" s="86"/>
      <c r="J5305" s="86"/>
      <c r="K5305" s="264"/>
      <c r="M5305" s="265"/>
    </row>
    <row r="5306" ht="15.75" customHeight="1">
      <c r="A5306" s="266"/>
      <c r="B5306" s="267"/>
      <c r="C5306" s="266"/>
      <c r="D5306" s="267"/>
      <c r="E5306" s="268"/>
      <c r="F5306" s="267"/>
      <c r="G5306" s="269"/>
      <c r="H5306" s="263"/>
      <c r="I5306" s="86"/>
      <c r="J5306" s="86"/>
      <c r="K5306" s="264"/>
      <c r="M5306" s="265"/>
    </row>
    <row r="5307" ht="15.75" customHeight="1">
      <c r="A5307" s="266"/>
      <c r="B5307" s="267"/>
      <c r="C5307" s="266"/>
      <c r="D5307" s="267"/>
      <c r="E5307" s="268"/>
      <c r="F5307" s="267"/>
      <c r="G5307" s="269"/>
      <c r="H5307" s="263"/>
      <c r="I5307" s="86"/>
      <c r="J5307" s="86"/>
      <c r="K5307" s="264"/>
      <c r="M5307" s="265"/>
    </row>
    <row r="5308" ht="15.75" customHeight="1">
      <c r="A5308" s="266"/>
      <c r="B5308" s="267"/>
      <c r="C5308" s="266"/>
      <c r="D5308" s="267"/>
      <c r="E5308" s="268"/>
      <c r="F5308" s="267"/>
      <c r="G5308" s="269"/>
      <c r="H5308" s="263"/>
      <c r="I5308" s="86"/>
      <c r="J5308" s="86"/>
      <c r="K5308" s="264"/>
      <c r="M5308" s="265"/>
    </row>
    <row r="5309" ht="15.75" customHeight="1">
      <c r="A5309" s="266"/>
      <c r="B5309" s="267"/>
      <c r="C5309" s="266"/>
      <c r="D5309" s="267"/>
      <c r="E5309" s="268"/>
      <c r="F5309" s="267"/>
      <c r="G5309" s="269"/>
      <c r="H5309" s="263"/>
      <c r="I5309" s="86"/>
      <c r="J5309" s="86"/>
      <c r="K5309" s="264"/>
      <c r="M5309" s="265"/>
    </row>
    <row r="5310" ht="15.75" customHeight="1">
      <c r="A5310" s="266"/>
      <c r="B5310" s="267"/>
      <c r="C5310" s="266"/>
      <c r="D5310" s="267"/>
      <c r="E5310" s="268"/>
      <c r="F5310" s="267"/>
      <c r="G5310" s="269"/>
      <c r="H5310" s="263"/>
      <c r="I5310" s="86"/>
      <c r="J5310" s="86"/>
      <c r="K5310" s="264"/>
      <c r="M5310" s="265"/>
    </row>
    <row r="5311" ht="15.75" customHeight="1">
      <c r="A5311" s="266"/>
      <c r="B5311" s="267"/>
      <c r="C5311" s="266"/>
      <c r="D5311" s="267"/>
      <c r="E5311" s="268"/>
      <c r="F5311" s="267"/>
      <c r="G5311" s="269"/>
      <c r="H5311" s="263"/>
      <c r="I5311" s="86"/>
      <c r="J5311" s="86"/>
      <c r="K5311" s="264"/>
      <c r="M5311" s="265"/>
    </row>
    <row r="5312" ht="15.75" customHeight="1">
      <c r="A5312" s="266"/>
      <c r="B5312" s="267"/>
      <c r="C5312" s="266"/>
      <c r="D5312" s="267"/>
      <c r="E5312" s="268"/>
      <c r="F5312" s="267"/>
      <c r="G5312" s="269"/>
      <c r="H5312" s="263"/>
      <c r="I5312" s="86"/>
      <c r="J5312" s="86"/>
      <c r="K5312" s="264"/>
      <c r="M5312" s="265"/>
    </row>
    <row r="5313" ht="15.75" customHeight="1">
      <c r="A5313" s="266"/>
      <c r="B5313" s="267"/>
      <c r="C5313" s="266"/>
      <c r="D5313" s="267"/>
      <c r="E5313" s="268"/>
      <c r="F5313" s="267"/>
      <c r="G5313" s="269"/>
      <c r="H5313" s="263"/>
      <c r="I5313" s="86"/>
      <c r="J5313" s="86"/>
      <c r="K5313" s="264"/>
      <c r="M5313" s="265"/>
    </row>
    <row r="5314" ht="15.75" customHeight="1">
      <c r="A5314" s="266"/>
      <c r="B5314" s="267"/>
      <c r="C5314" s="266"/>
      <c r="D5314" s="267"/>
      <c r="E5314" s="268"/>
      <c r="F5314" s="267"/>
      <c r="G5314" s="269"/>
      <c r="H5314" s="263"/>
      <c r="I5314" s="86"/>
      <c r="J5314" s="86"/>
      <c r="K5314" s="264"/>
      <c r="M5314" s="265"/>
    </row>
    <row r="5315" ht="15.75" customHeight="1">
      <c r="A5315" s="266"/>
      <c r="B5315" s="267"/>
      <c r="C5315" s="266"/>
      <c r="D5315" s="267"/>
      <c r="E5315" s="268"/>
      <c r="F5315" s="267"/>
      <c r="G5315" s="269"/>
      <c r="H5315" s="263"/>
      <c r="I5315" s="86"/>
      <c r="J5315" s="86"/>
      <c r="K5315" s="264"/>
      <c r="M5315" s="265"/>
    </row>
    <row r="5316" ht="15.75" customHeight="1">
      <c r="A5316" s="266"/>
      <c r="B5316" s="267"/>
      <c r="C5316" s="266"/>
      <c r="D5316" s="267"/>
      <c r="E5316" s="268"/>
      <c r="F5316" s="267"/>
      <c r="G5316" s="269"/>
      <c r="H5316" s="263"/>
      <c r="I5316" s="86"/>
      <c r="J5316" s="86"/>
      <c r="K5316" s="264"/>
      <c r="M5316" s="265"/>
    </row>
    <row r="5317" ht="15.75" customHeight="1">
      <c r="A5317" s="266"/>
      <c r="B5317" s="267"/>
      <c r="C5317" s="266"/>
      <c r="D5317" s="267"/>
      <c r="E5317" s="268"/>
      <c r="F5317" s="267"/>
      <c r="G5317" s="269"/>
      <c r="H5317" s="263"/>
      <c r="I5317" s="86"/>
      <c r="J5317" s="86"/>
      <c r="K5317" s="264"/>
      <c r="M5317" s="265"/>
    </row>
    <row r="5318" ht="15.75" customHeight="1">
      <c r="A5318" s="266"/>
      <c r="B5318" s="267"/>
      <c r="C5318" s="266"/>
      <c r="D5318" s="267"/>
      <c r="E5318" s="268"/>
      <c r="F5318" s="267"/>
      <c r="G5318" s="269"/>
      <c r="H5318" s="263"/>
      <c r="I5318" s="86"/>
      <c r="J5318" s="86"/>
      <c r="K5318" s="264"/>
      <c r="M5318" s="265"/>
    </row>
    <row r="5319" ht="15.75" customHeight="1">
      <c r="A5319" s="266"/>
      <c r="B5319" s="267"/>
      <c r="C5319" s="266"/>
      <c r="D5319" s="267"/>
      <c r="E5319" s="268"/>
      <c r="F5319" s="267"/>
      <c r="G5319" s="269"/>
      <c r="H5319" s="263"/>
      <c r="I5319" s="86"/>
      <c r="J5319" s="86"/>
      <c r="K5319" s="264"/>
      <c r="M5319" s="265"/>
    </row>
    <row r="5320" ht="15.75" customHeight="1">
      <c r="A5320" s="266"/>
      <c r="B5320" s="267"/>
      <c r="C5320" s="266"/>
      <c r="D5320" s="267"/>
      <c r="E5320" s="268"/>
      <c r="F5320" s="267"/>
      <c r="G5320" s="269"/>
      <c r="H5320" s="263"/>
      <c r="I5320" s="86"/>
      <c r="J5320" s="86"/>
      <c r="K5320" s="264"/>
      <c r="M5320" s="265"/>
    </row>
    <row r="5321" ht="15.75" customHeight="1">
      <c r="A5321" s="266"/>
      <c r="B5321" s="267"/>
      <c r="C5321" s="266"/>
      <c r="D5321" s="267"/>
      <c r="E5321" s="268"/>
      <c r="F5321" s="267"/>
      <c r="G5321" s="269"/>
      <c r="H5321" s="263"/>
      <c r="I5321" s="86"/>
      <c r="J5321" s="86"/>
      <c r="K5321" s="264"/>
      <c r="M5321" s="265"/>
    </row>
    <row r="5322" ht="15.75" customHeight="1">
      <c r="A5322" s="266"/>
      <c r="B5322" s="267"/>
      <c r="C5322" s="266"/>
      <c r="D5322" s="267"/>
      <c r="E5322" s="268"/>
      <c r="F5322" s="267"/>
      <c r="G5322" s="269"/>
      <c r="H5322" s="263"/>
      <c r="I5322" s="86"/>
      <c r="J5322" s="86"/>
      <c r="K5322" s="264"/>
      <c r="M5322" s="265"/>
    </row>
    <row r="5323" ht="15.75" customHeight="1">
      <c r="A5323" s="266"/>
      <c r="B5323" s="267"/>
      <c r="C5323" s="266"/>
      <c r="D5323" s="267"/>
      <c r="E5323" s="268"/>
      <c r="F5323" s="267"/>
      <c r="G5323" s="269"/>
      <c r="H5323" s="263"/>
      <c r="I5323" s="86"/>
      <c r="J5323" s="86"/>
      <c r="K5323" s="264"/>
      <c r="M5323" s="265"/>
    </row>
    <row r="5324" ht="15.75" customHeight="1">
      <c r="A5324" s="266"/>
      <c r="B5324" s="267"/>
      <c r="C5324" s="266"/>
      <c r="D5324" s="267"/>
      <c r="E5324" s="268"/>
      <c r="F5324" s="267"/>
      <c r="G5324" s="269"/>
      <c r="H5324" s="263"/>
      <c r="I5324" s="86"/>
      <c r="J5324" s="86"/>
      <c r="K5324" s="264"/>
      <c r="M5324" s="265"/>
    </row>
    <row r="5325" ht="15.75" customHeight="1">
      <c r="A5325" s="266"/>
      <c r="B5325" s="267"/>
      <c r="C5325" s="266"/>
      <c r="D5325" s="267"/>
      <c r="E5325" s="268"/>
      <c r="F5325" s="267"/>
      <c r="G5325" s="269"/>
      <c r="H5325" s="263"/>
      <c r="I5325" s="86"/>
      <c r="J5325" s="86"/>
      <c r="K5325" s="264"/>
      <c r="M5325" s="265"/>
    </row>
    <row r="5326" ht="15.75" customHeight="1">
      <c r="A5326" s="266"/>
      <c r="B5326" s="267"/>
      <c r="C5326" s="266"/>
      <c r="D5326" s="267"/>
      <c r="E5326" s="268"/>
      <c r="F5326" s="267"/>
      <c r="G5326" s="269"/>
      <c r="H5326" s="263"/>
      <c r="I5326" s="86"/>
      <c r="J5326" s="86"/>
      <c r="K5326" s="264"/>
      <c r="M5326" s="265"/>
    </row>
    <row r="5327" ht="15.75" customHeight="1">
      <c r="A5327" s="266"/>
      <c r="B5327" s="267"/>
      <c r="C5327" s="266"/>
      <c r="D5327" s="267"/>
      <c r="E5327" s="268"/>
      <c r="F5327" s="267"/>
      <c r="G5327" s="269"/>
      <c r="H5327" s="263"/>
      <c r="I5327" s="86"/>
      <c r="J5327" s="86"/>
      <c r="K5327" s="264"/>
      <c r="M5327" s="265"/>
    </row>
    <row r="5328" ht="15.75" customHeight="1">
      <c r="A5328" s="266"/>
      <c r="B5328" s="267"/>
      <c r="C5328" s="266"/>
      <c r="D5328" s="267"/>
      <c r="E5328" s="268"/>
      <c r="F5328" s="267"/>
      <c r="G5328" s="269"/>
      <c r="H5328" s="263"/>
      <c r="I5328" s="86"/>
      <c r="J5328" s="86"/>
      <c r="K5328" s="264"/>
      <c r="M5328" s="265"/>
    </row>
    <row r="5329" ht="15.75" customHeight="1">
      <c r="A5329" s="266"/>
      <c r="B5329" s="267"/>
      <c r="C5329" s="266"/>
      <c r="D5329" s="267"/>
      <c r="E5329" s="268"/>
      <c r="F5329" s="267"/>
      <c r="G5329" s="269"/>
      <c r="H5329" s="263"/>
      <c r="I5329" s="86"/>
      <c r="J5329" s="86"/>
      <c r="K5329" s="264"/>
      <c r="M5329" s="265"/>
    </row>
    <row r="5330" ht="15.75" customHeight="1">
      <c r="A5330" s="266"/>
      <c r="B5330" s="267"/>
      <c r="C5330" s="266"/>
      <c r="D5330" s="267"/>
      <c r="E5330" s="268"/>
      <c r="F5330" s="267"/>
      <c r="G5330" s="269"/>
      <c r="H5330" s="263"/>
      <c r="I5330" s="86"/>
      <c r="J5330" s="86"/>
      <c r="K5330" s="264"/>
      <c r="M5330" s="265"/>
    </row>
    <row r="5331" ht="15.75" customHeight="1">
      <c r="A5331" s="266"/>
      <c r="B5331" s="267"/>
      <c r="C5331" s="266"/>
      <c r="D5331" s="267"/>
      <c r="E5331" s="268"/>
      <c r="F5331" s="267"/>
      <c r="G5331" s="269"/>
      <c r="H5331" s="263"/>
      <c r="I5331" s="86"/>
      <c r="J5331" s="86"/>
      <c r="K5331" s="264"/>
      <c r="M5331" s="265"/>
    </row>
    <row r="5332" ht="15.75" customHeight="1">
      <c r="A5332" s="266"/>
      <c r="B5332" s="267"/>
      <c r="C5332" s="266"/>
      <c r="D5332" s="267"/>
      <c r="E5332" s="268"/>
      <c r="F5332" s="267"/>
      <c r="G5332" s="269"/>
      <c r="H5332" s="263"/>
      <c r="I5332" s="86"/>
      <c r="J5332" s="86"/>
      <c r="K5332" s="264"/>
      <c r="M5332" s="265"/>
    </row>
    <row r="5333" ht="15.75" customHeight="1">
      <c r="A5333" s="266"/>
      <c r="B5333" s="267"/>
      <c r="C5333" s="266"/>
      <c r="D5333" s="267"/>
      <c r="E5333" s="268"/>
      <c r="F5333" s="267"/>
      <c r="G5333" s="269"/>
      <c r="H5333" s="263"/>
      <c r="I5333" s="86"/>
      <c r="J5333" s="86"/>
      <c r="K5333" s="264"/>
      <c r="M5333" s="265"/>
    </row>
    <row r="5334" ht="15.75" customHeight="1">
      <c r="A5334" s="266"/>
      <c r="B5334" s="267"/>
      <c r="C5334" s="266"/>
      <c r="D5334" s="267"/>
      <c r="E5334" s="268"/>
      <c r="F5334" s="267"/>
      <c r="G5334" s="269"/>
      <c r="H5334" s="263"/>
      <c r="I5334" s="86"/>
      <c r="J5334" s="86"/>
      <c r="K5334" s="264"/>
      <c r="M5334" s="265"/>
    </row>
    <row r="5335" ht="15.75" customHeight="1">
      <c r="A5335" s="266"/>
      <c r="B5335" s="267"/>
      <c r="C5335" s="266"/>
      <c r="D5335" s="267"/>
      <c r="E5335" s="268"/>
      <c r="F5335" s="267"/>
      <c r="G5335" s="269"/>
      <c r="H5335" s="263"/>
      <c r="I5335" s="86"/>
      <c r="J5335" s="86"/>
      <c r="K5335" s="264"/>
      <c r="M5335" s="265"/>
    </row>
    <row r="5336" ht="15.75" customHeight="1">
      <c r="A5336" s="266"/>
      <c r="B5336" s="267"/>
      <c r="C5336" s="266"/>
      <c r="D5336" s="267"/>
      <c r="E5336" s="268"/>
      <c r="F5336" s="267"/>
      <c r="G5336" s="269"/>
      <c r="H5336" s="263"/>
      <c r="I5336" s="86"/>
      <c r="J5336" s="86"/>
      <c r="K5336" s="264"/>
      <c r="M5336" s="265"/>
    </row>
    <row r="5337" ht="15.75" customHeight="1">
      <c r="A5337" s="266"/>
      <c r="B5337" s="267"/>
      <c r="C5337" s="266"/>
      <c r="D5337" s="267"/>
      <c r="E5337" s="268"/>
      <c r="F5337" s="267"/>
      <c r="G5337" s="269"/>
      <c r="H5337" s="263"/>
      <c r="I5337" s="86"/>
      <c r="J5337" s="86"/>
      <c r="K5337" s="264"/>
      <c r="M5337" s="265"/>
    </row>
    <row r="5338" ht="15.75" customHeight="1">
      <c r="A5338" s="266"/>
      <c r="B5338" s="267"/>
      <c r="C5338" s="266"/>
      <c r="D5338" s="267"/>
      <c r="E5338" s="268"/>
      <c r="F5338" s="267"/>
      <c r="G5338" s="269"/>
      <c r="H5338" s="263"/>
      <c r="I5338" s="86"/>
      <c r="J5338" s="86"/>
      <c r="K5338" s="264"/>
      <c r="M5338" s="265"/>
    </row>
    <row r="5339" ht="15.75" customHeight="1">
      <c r="A5339" s="266"/>
      <c r="B5339" s="267"/>
      <c r="C5339" s="266"/>
      <c r="D5339" s="267"/>
      <c r="E5339" s="268"/>
      <c r="F5339" s="267"/>
      <c r="G5339" s="269"/>
      <c r="H5339" s="263"/>
      <c r="I5339" s="86"/>
      <c r="J5339" s="86"/>
      <c r="K5339" s="264"/>
      <c r="M5339" s="265"/>
    </row>
    <row r="5340" ht="15.75" customHeight="1">
      <c r="A5340" s="266"/>
      <c r="B5340" s="267"/>
      <c r="C5340" s="266"/>
      <c r="D5340" s="267"/>
      <c r="E5340" s="268"/>
      <c r="F5340" s="267"/>
      <c r="G5340" s="269"/>
      <c r="H5340" s="263"/>
      <c r="I5340" s="86"/>
      <c r="J5340" s="86"/>
      <c r="K5340" s="264"/>
      <c r="M5340" s="265"/>
    </row>
    <row r="5341" ht="15.75" customHeight="1">
      <c r="A5341" s="266"/>
      <c r="B5341" s="267"/>
      <c r="C5341" s="266"/>
      <c r="D5341" s="267"/>
      <c r="E5341" s="268"/>
      <c r="F5341" s="267"/>
      <c r="G5341" s="269"/>
      <c r="H5341" s="263"/>
      <c r="I5341" s="86"/>
      <c r="J5341" s="86"/>
      <c r="K5341" s="264"/>
      <c r="M5341" s="265"/>
    </row>
    <row r="5342" ht="15.75" customHeight="1">
      <c r="A5342" s="266"/>
      <c r="B5342" s="267"/>
      <c r="C5342" s="266"/>
      <c r="D5342" s="267"/>
      <c r="E5342" s="268"/>
      <c r="F5342" s="267"/>
      <c r="G5342" s="269"/>
      <c r="H5342" s="263"/>
      <c r="I5342" s="86"/>
      <c r="J5342" s="86"/>
      <c r="K5342" s="264"/>
      <c r="M5342" s="265"/>
    </row>
    <row r="5343" ht="15.75" customHeight="1">
      <c r="A5343" s="266"/>
      <c r="B5343" s="267"/>
      <c r="C5343" s="266"/>
      <c r="D5343" s="267"/>
      <c r="E5343" s="268"/>
      <c r="F5343" s="267"/>
      <c r="G5343" s="269"/>
      <c r="H5343" s="263"/>
      <c r="I5343" s="86"/>
      <c r="J5343" s="86"/>
      <c r="K5343" s="264"/>
      <c r="M5343" s="265"/>
    </row>
    <row r="5344" ht="15.75" customHeight="1">
      <c r="A5344" s="266"/>
      <c r="B5344" s="267"/>
      <c r="C5344" s="266"/>
      <c r="D5344" s="267"/>
      <c r="E5344" s="268"/>
      <c r="F5344" s="267"/>
      <c r="G5344" s="269"/>
      <c r="H5344" s="263"/>
      <c r="I5344" s="86"/>
      <c r="J5344" s="86"/>
      <c r="K5344" s="264"/>
      <c r="M5344" s="265"/>
    </row>
    <row r="5345" ht="15.75" customHeight="1">
      <c r="A5345" s="266"/>
      <c r="B5345" s="267"/>
      <c r="C5345" s="266"/>
      <c r="D5345" s="267"/>
      <c r="E5345" s="268"/>
      <c r="F5345" s="267"/>
      <c r="G5345" s="269"/>
      <c r="H5345" s="263"/>
      <c r="I5345" s="86"/>
      <c r="J5345" s="86"/>
      <c r="K5345" s="264"/>
      <c r="M5345" s="265"/>
    </row>
    <row r="5346" ht="15.75" customHeight="1">
      <c r="A5346" s="266"/>
      <c r="B5346" s="267"/>
      <c r="C5346" s="266"/>
      <c r="D5346" s="267"/>
      <c r="E5346" s="268"/>
      <c r="F5346" s="267"/>
      <c r="G5346" s="269"/>
      <c r="H5346" s="263"/>
      <c r="I5346" s="86"/>
      <c r="J5346" s="86"/>
      <c r="K5346" s="264"/>
      <c r="M5346" s="265"/>
    </row>
    <row r="5347" ht="15.75" customHeight="1">
      <c r="A5347" s="266"/>
      <c r="B5347" s="267"/>
      <c r="C5347" s="266"/>
      <c r="D5347" s="267"/>
      <c r="E5347" s="268"/>
      <c r="F5347" s="267"/>
      <c r="G5347" s="269"/>
      <c r="H5347" s="263"/>
      <c r="I5347" s="86"/>
      <c r="J5347" s="86"/>
      <c r="K5347" s="264"/>
      <c r="M5347" s="265"/>
    </row>
    <row r="5348" ht="15.75" customHeight="1">
      <c r="A5348" s="266"/>
      <c r="B5348" s="267"/>
      <c r="C5348" s="266"/>
      <c r="D5348" s="267"/>
      <c r="E5348" s="268"/>
      <c r="F5348" s="267"/>
      <c r="G5348" s="269"/>
      <c r="H5348" s="263"/>
      <c r="I5348" s="86"/>
      <c r="J5348" s="86"/>
      <c r="K5348" s="264"/>
      <c r="M5348" s="265"/>
    </row>
    <row r="5349" ht="15.75" customHeight="1">
      <c r="A5349" s="266"/>
      <c r="B5349" s="267"/>
      <c r="C5349" s="266"/>
      <c r="D5349" s="267"/>
      <c r="E5349" s="268"/>
      <c r="F5349" s="267"/>
      <c r="G5349" s="269"/>
      <c r="H5349" s="263"/>
      <c r="I5349" s="86"/>
      <c r="J5349" s="86"/>
      <c r="K5349" s="264"/>
      <c r="M5349" s="265"/>
    </row>
    <row r="5350" ht="15.75" customHeight="1">
      <c r="A5350" s="266"/>
      <c r="B5350" s="267"/>
      <c r="C5350" s="266"/>
      <c r="D5350" s="267"/>
      <c r="E5350" s="268"/>
      <c r="F5350" s="267"/>
      <c r="G5350" s="269"/>
      <c r="H5350" s="263"/>
      <c r="I5350" s="86"/>
      <c r="J5350" s="86"/>
      <c r="K5350" s="264"/>
      <c r="M5350" s="265"/>
    </row>
    <row r="5351" ht="15.75" customHeight="1">
      <c r="A5351" s="266"/>
      <c r="B5351" s="267"/>
      <c r="C5351" s="266"/>
      <c r="D5351" s="267"/>
      <c r="E5351" s="268"/>
      <c r="F5351" s="267"/>
      <c r="G5351" s="269"/>
      <c r="H5351" s="263"/>
      <c r="I5351" s="86"/>
      <c r="J5351" s="86"/>
      <c r="K5351" s="264"/>
      <c r="M5351" s="265"/>
    </row>
    <row r="5352" ht="15.75" customHeight="1">
      <c r="A5352" s="266"/>
      <c r="B5352" s="267"/>
      <c r="C5352" s="266"/>
      <c r="D5352" s="267"/>
      <c r="E5352" s="268"/>
      <c r="F5352" s="267"/>
      <c r="G5352" s="269"/>
      <c r="H5352" s="263"/>
      <c r="I5352" s="86"/>
      <c r="J5352" s="86"/>
      <c r="K5352" s="264"/>
      <c r="M5352" s="265"/>
    </row>
    <row r="5353" ht="15.75" customHeight="1">
      <c r="A5353" s="266"/>
      <c r="B5353" s="267"/>
      <c r="C5353" s="266"/>
      <c r="D5353" s="267"/>
      <c r="E5353" s="268"/>
      <c r="F5353" s="267"/>
      <c r="G5353" s="269"/>
      <c r="H5353" s="263"/>
      <c r="I5353" s="86"/>
      <c r="J5353" s="86"/>
      <c r="K5353" s="264"/>
      <c r="M5353" s="265"/>
    </row>
    <row r="5354" ht="15.75" customHeight="1">
      <c r="A5354" s="266"/>
      <c r="B5354" s="267"/>
      <c r="C5354" s="266"/>
      <c r="D5354" s="267"/>
      <c r="E5354" s="268"/>
      <c r="F5354" s="267"/>
      <c r="G5354" s="269"/>
      <c r="H5354" s="263"/>
      <c r="I5354" s="86"/>
      <c r="J5354" s="86"/>
      <c r="K5354" s="264"/>
      <c r="M5354" s="265"/>
    </row>
    <row r="5355" ht="15.75" customHeight="1">
      <c r="A5355" s="266"/>
      <c r="B5355" s="267"/>
      <c r="C5355" s="266"/>
      <c r="D5355" s="267"/>
      <c r="E5355" s="268"/>
      <c r="F5355" s="267"/>
      <c r="G5355" s="269"/>
      <c r="H5355" s="263"/>
      <c r="I5355" s="86"/>
      <c r="J5355" s="86"/>
      <c r="K5355" s="264"/>
      <c r="M5355" s="265"/>
    </row>
    <row r="5356" ht="15.75" customHeight="1">
      <c r="A5356" s="266"/>
      <c r="B5356" s="267"/>
      <c r="C5356" s="266"/>
      <c r="D5356" s="267"/>
      <c r="E5356" s="268"/>
      <c r="F5356" s="267"/>
      <c r="G5356" s="269"/>
      <c r="H5356" s="263"/>
      <c r="I5356" s="86"/>
      <c r="J5356" s="86"/>
      <c r="K5356" s="264"/>
      <c r="M5356" s="265"/>
    </row>
    <row r="5357" ht="15.75" customHeight="1">
      <c r="A5357" s="266"/>
      <c r="B5357" s="267"/>
      <c r="C5357" s="266"/>
      <c r="D5357" s="267"/>
      <c r="E5357" s="268"/>
      <c r="F5357" s="267"/>
      <c r="G5357" s="269"/>
      <c r="H5357" s="263"/>
      <c r="I5357" s="86"/>
      <c r="J5357" s="86"/>
      <c r="K5357" s="264"/>
      <c r="M5357" s="265"/>
    </row>
    <row r="5358" ht="15.75" customHeight="1">
      <c r="A5358" s="266"/>
      <c r="B5358" s="267"/>
      <c r="C5358" s="266"/>
      <c r="D5358" s="267"/>
      <c r="E5358" s="268"/>
      <c r="F5358" s="267"/>
      <c r="G5358" s="269"/>
      <c r="H5358" s="263"/>
      <c r="I5358" s="86"/>
      <c r="J5358" s="86"/>
      <c r="K5358" s="264"/>
      <c r="M5358" s="265"/>
    </row>
    <row r="5359" ht="15.75" customHeight="1">
      <c r="A5359" s="266"/>
      <c r="B5359" s="267"/>
      <c r="C5359" s="266"/>
      <c r="D5359" s="267"/>
      <c r="E5359" s="268"/>
      <c r="F5359" s="267"/>
      <c r="G5359" s="269"/>
      <c r="H5359" s="263"/>
      <c r="I5359" s="86"/>
      <c r="J5359" s="86"/>
      <c r="K5359" s="264"/>
      <c r="M5359" s="265"/>
    </row>
    <row r="5360" ht="15.75" customHeight="1">
      <c r="A5360" s="266"/>
      <c r="B5360" s="267"/>
      <c r="C5360" s="266"/>
      <c r="D5360" s="267"/>
      <c r="E5360" s="268"/>
      <c r="F5360" s="267"/>
      <c r="G5360" s="269"/>
      <c r="H5360" s="263"/>
      <c r="I5360" s="86"/>
      <c r="J5360" s="86"/>
      <c r="K5360" s="264"/>
      <c r="M5360" s="265"/>
    </row>
    <row r="5361" ht="15.75" customHeight="1">
      <c r="A5361" s="266"/>
      <c r="B5361" s="267"/>
      <c r="C5361" s="266"/>
      <c r="D5361" s="267"/>
      <c r="E5361" s="268"/>
      <c r="F5361" s="267"/>
      <c r="G5361" s="269"/>
      <c r="H5361" s="263"/>
      <c r="I5361" s="86"/>
      <c r="J5361" s="86"/>
      <c r="K5361" s="264"/>
      <c r="M5361" s="265"/>
    </row>
    <row r="5362" ht="15.75" customHeight="1">
      <c r="A5362" s="266"/>
      <c r="B5362" s="267"/>
      <c r="C5362" s="266"/>
      <c r="D5362" s="267"/>
      <c r="E5362" s="268"/>
      <c r="F5362" s="267"/>
      <c r="G5362" s="269"/>
      <c r="H5362" s="263"/>
      <c r="I5362" s="86"/>
      <c r="J5362" s="86"/>
      <c r="K5362" s="264"/>
      <c r="M5362" s="265"/>
    </row>
    <row r="5363" ht="15.75" customHeight="1">
      <c r="A5363" s="266"/>
      <c r="B5363" s="267"/>
      <c r="C5363" s="266"/>
      <c r="D5363" s="267"/>
      <c r="E5363" s="268"/>
      <c r="F5363" s="267"/>
      <c r="G5363" s="269"/>
      <c r="H5363" s="263"/>
      <c r="I5363" s="86"/>
      <c r="J5363" s="86"/>
      <c r="K5363" s="264"/>
      <c r="M5363" s="265"/>
    </row>
    <row r="5364" ht="15.75" customHeight="1">
      <c r="A5364" s="266"/>
      <c r="B5364" s="267"/>
      <c r="C5364" s="266"/>
      <c r="D5364" s="267"/>
      <c r="E5364" s="268"/>
      <c r="F5364" s="267"/>
      <c r="G5364" s="269"/>
      <c r="H5364" s="263"/>
      <c r="I5364" s="86"/>
      <c r="J5364" s="86"/>
      <c r="K5364" s="264"/>
      <c r="M5364" s="265"/>
    </row>
    <row r="5365" ht="15.75" customHeight="1">
      <c r="A5365" s="266"/>
      <c r="B5365" s="267"/>
      <c r="C5365" s="266"/>
      <c r="D5365" s="267"/>
      <c r="E5365" s="268"/>
      <c r="F5365" s="267"/>
      <c r="G5365" s="269"/>
      <c r="H5365" s="263"/>
      <c r="I5365" s="86"/>
      <c r="J5365" s="86"/>
      <c r="K5365" s="264"/>
      <c r="M5365" s="265"/>
    </row>
    <row r="5366" ht="15.75" customHeight="1">
      <c r="A5366" s="266"/>
      <c r="B5366" s="267"/>
      <c r="C5366" s="266"/>
      <c r="D5366" s="267"/>
      <c r="E5366" s="268"/>
      <c r="F5366" s="267"/>
      <c r="G5366" s="269"/>
      <c r="H5366" s="263"/>
      <c r="I5366" s="86"/>
      <c r="J5366" s="86"/>
      <c r="K5366" s="264"/>
      <c r="M5366" s="265"/>
    </row>
    <row r="5367" ht="15.75" customHeight="1">
      <c r="A5367" s="266"/>
      <c r="B5367" s="267"/>
      <c r="C5367" s="266"/>
      <c r="D5367" s="267"/>
      <c r="E5367" s="268"/>
      <c r="F5367" s="267"/>
      <c r="G5367" s="269"/>
      <c r="H5367" s="263"/>
      <c r="I5367" s="86"/>
      <c r="J5367" s="86"/>
      <c r="K5367" s="264"/>
      <c r="M5367" s="265"/>
    </row>
    <row r="5368" ht="15.75" customHeight="1">
      <c r="A5368" s="266"/>
      <c r="B5368" s="267"/>
      <c r="C5368" s="266"/>
      <c r="D5368" s="267"/>
      <c r="E5368" s="268"/>
      <c r="F5368" s="267"/>
      <c r="G5368" s="269"/>
      <c r="H5368" s="263"/>
      <c r="I5368" s="86"/>
      <c r="J5368" s="86"/>
      <c r="K5368" s="264"/>
      <c r="M5368" s="265"/>
    </row>
    <row r="5369" ht="15.75" customHeight="1">
      <c r="A5369" s="266"/>
      <c r="B5369" s="267"/>
      <c r="C5369" s="266"/>
      <c r="D5369" s="267"/>
      <c r="E5369" s="268"/>
      <c r="F5369" s="267"/>
      <c r="G5369" s="269"/>
      <c r="H5369" s="263"/>
      <c r="I5369" s="86"/>
      <c r="J5369" s="86"/>
      <c r="K5369" s="264"/>
      <c r="M5369" s="265"/>
    </row>
    <row r="5370" ht="15.75" customHeight="1">
      <c r="A5370" s="266"/>
      <c r="B5370" s="267"/>
      <c r="C5370" s="266"/>
      <c r="D5370" s="267"/>
      <c r="E5370" s="268"/>
      <c r="F5370" s="267"/>
      <c r="G5370" s="269"/>
      <c r="H5370" s="263"/>
      <c r="I5370" s="86"/>
      <c r="J5370" s="86"/>
      <c r="K5370" s="264"/>
      <c r="M5370" s="265"/>
    </row>
    <row r="5371" ht="15.75" customHeight="1">
      <c r="A5371" s="266"/>
      <c r="B5371" s="267"/>
      <c r="C5371" s="266"/>
      <c r="D5371" s="267"/>
      <c r="E5371" s="268"/>
      <c r="F5371" s="267"/>
      <c r="G5371" s="269"/>
      <c r="H5371" s="263"/>
      <c r="I5371" s="86"/>
      <c r="J5371" s="86"/>
      <c r="K5371" s="264"/>
      <c r="M5371" s="265"/>
    </row>
    <row r="5372" ht="15.75" customHeight="1">
      <c r="A5372" s="266"/>
      <c r="B5372" s="267"/>
      <c r="C5372" s="266"/>
      <c r="D5372" s="267"/>
      <c r="E5372" s="268"/>
      <c r="F5372" s="267"/>
      <c r="G5372" s="269"/>
      <c r="H5372" s="263"/>
      <c r="I5372" s="86"/>
      <c r="J5372" s="86"/>
      <c r="K5372" s="264"/>
      <c r="M5372" s="265"/>
    </row>
    <row r="5373" ht="15.75" customHeight="1">
      <c r="A5373" s="266"/>
      <c r="B5373" s="267"/>
      <c r="C5373" s="266"/>
      <c r="D5373" s="267"/>
      <c r="E5373" s="268"/>
      <c r="F5373" s="267"/>
      <c r="G5373" s="269"/>
      <c r="H5373" s="263"/>
      <c r="I5373" s="86"/>
      <c r="J5373" s="86"/>
      <c r="K5373" s="264"/>
      <c r="M5373" s="265"/>
    </row>
    <row r="5374" ht="15.75" customHeight="1">
      <c r="A5374" s="266"/>
      <c r="B5374" s="267"/>
      <c r="C5374" s="266"/>
      <c r="D5374" s="267"/>
      <c r="E5374" s="268"/>
      <c r="F5374" s="267"/>
      <c r="G5374" s="269"/>
      <c r="H5374" s="263"/>
      <c r="I5374" s="86"/>
      <c r="J5374" s="86"/>
      <c r="K5374" s="264"/>
      <c r="M5374" s="265"/>
    </row>
    <row r="5375" ht="15.75" customHeight="1">
      <c r="A5375" s="266"/>
      <c r="B5375" s="267"/>
      <c r="C5375" s="266"/>
      <c r="D5375" s="267"/>
      <c r="E5375" s="268"/>
      <c r="F5375" s="267"/>
      <c r="G5375" s="269"/>
      <c r="H5375" s="263"/>
      <c r="I5375" s="86"/>
      <c r="J5375" s="86"/>
      <c r="K5375" s="264"/>
      <c r="M5375" s="265"/>
    </row>
    <row r="5376" ht="15.75" customHeight="1">
      <c r="A5376" s="266"/>
      <c r="B5376" s="267"/>
      <c r="C5376" s="266"/>
      <c r="D5376" s="267"/>
      <c r="E5376" s="268"/>
      <c r="F5376" s="267"/>
      <c r="G5376" s="269"/>
      <c r="H5376" s="263"/>
      <c r="I5376" s="86"/>
      <c r="J5376" s="86"/>
      <c r="K5376" s="264"/>
      <c r="M5376" s="265"/>
    </row>
    <row r="5377" ht="15.75" customHeight="1">
      <c r="A5377" s="266"/>
      <c r="B5377" s="267"/>
      <c r="C5377" s="266"/>
      <c r="D5377" s="267"/>
      <c r="E5377" s="268"/>
      <c r="F5377" s="267"/>
      <c r="G5377" s="269"/>
      <c r="H5377" s="263"/>
      <c r="I5377" s="86"/>
      <c r="J5377" s="86"/>
      <c r="K5377" s="264"/>
      <c r="M5377" s="265"/>
    </row>
    <row r="5378" ht="15.75" customHeight="1">
      <c r="A5378" s="266"/>
      <c r="B5378" s="267"/>
      <c r="C5378" s="266"/>
      <c r="D5378" s="267"/>
      <c r="E5378" s="268"/>
      <c r="F5378" s="267"/>
      <c r="G5378" s="269"/>
      <c r="H5378" s="263"/>
      <c r="I5378" s="86"/>
      <c r="J5378" s="86"/>
      <c r="K5378" s="264"/>
      <c r="M5378" s="265"/>
    </row>
    <row r="5379" ht="15.75" customHeight="1">
      <c r="A5379" s="266"/>
      <c r="B5379" s="267"/>
      <c r="C5379" s="266"/>
      <c r="D5379" s="267"/>
      <c r="E5379" s="268"/>
      <c r="F5379" s="267"/>
      <c r="G5379" s="269"/>
      <c r="H5379" s="263"/>
      <c r="I5379" s="86"/>
      <c r="J5379" s="86"/>
      <c r="K5379" s="264"/>
      <c r="M5379" s="265"/>
    </row>
    <row r="5380" ht="15.75" customHeight="1">
      <c r="A5380" s="266"/>
      <c r="B5380" s="267"/>
      <c r="C5380" s="266"/>
      <c r="D5380" s="267"/>
      <c r="E5380" s="268"/>
      <c r="F5380" s="267"/>
      <c r="G5380" s="269"/>
      <c r="H5380" s="263"/>
      <c r="I5380" s="86"/>
      <c r="J5380" s="86"/>
      <c r="K5380" s="264"/>
      <c r="M5380" s="265"/>
    </row>
    <row r="5381" ht="15.75" customHeight="1">
      <c r="A5381" s="266"/>
      <c r="B5381" s="267"/>
      <c r="C5381" s="266"/>
      <c r="D5381" s="267"/>
      <c r="E5381" s="268"/>
      <c r="F5381" s="267"/>
      <c r="G5381" s="269"/>
      <c r="H5381" s="263"/>
      <c r="I5381" s="86"/>
      <c r="J5381" s="86"/>
      <c r="K5381" s="264"/>
      <c r="M5381" s="265"/>
    </row>
    <row r="5382" ht="15.75" customHeight="1">
      <c r="A5382" s="266"/>
      <c r="B5382" s="267"/>
      <c r="C5382" s="266"/>
      <c r="D5382" s="267"/>
      <c r="E5382" s="268"/>
      <c r="F5382" s="267"/>
      <c r="G5382" s="269"/>
      <c r="H5382" s="263"/>
      <c r="I5382" s="86"/>
      <c r="J5382" s="86"/>
      <c r="K5382" s="264"/>
      <c r="M5382" s="265"/>
    </row>
    <row r="5383" ht="15.75" customHeight="1">
      <c r="A5383" s="266"/>
      <c r="B5383" s="267"/>
      <c r="C5383" s="266"/>
      <c r="D5383" s="267"/>
      <c r="E5383" s="268"/>
      <c r="F5383" s="267"/>
      <c r="G5383" s="269"/>
      <c r="H5383" s="263"/>
      <c r="I5383" s="86"/>
      <c r="J5383" s="86"/>
      <c r="K5383" s="264"/>
      <c r="M5383" s="265"/>
    </row>
    <row r="5384" ht="15.75" customHeight="1">
      <c r="A5384" s="266"/>
      <c r="B5384" s="267"/>
      <c r="C5384" s="266"/>
      <c r="D5384" s="267"/>
      <c r="E5384" s="268"/>
      <c r="F5384" s="267"/>
      <c r="G5384" s="269"/>
      <c r="H5384" s="263"/>
      <c r="I5384" s="86"/>
      <c r="J5384" s="86"/>
      <c r="K5384" s="264"/>
      <c r="M5384" s="265"/>
    </row>
    <row r="5385" ht="15.75" customHeight="1">
      <c r="A5385" s="266"/>
      <c r="B5385" s="267"/>
      <c r="C5385" s="266"/>
      <c r="D5385" s="267"/>
      <c r="E5385" s="268"/>
      <c r="F5385" s="267"/>
      <c r="G5385" s="269"/>
      <c r="H5385" s="263"/>
      <c r="I5385" s="86"/>
      <c r="J5385" s="86"/>
      <c r="K5385" s="264"/>
      <c r="M5385" s="265"/>
    </row>
    <row r="5386" ht="15.75" customHeight="1">
      <c r="A5386" s="266"/>
      <c r="B5386" s="267"/>
      <c r="C5386" s="266"/>
      <c r="D5386" s="267"/>
      <c r="E5386" s="268"/>
      <c r="F5386" s="267"/>
      <c r="G5386" s="269"/>
      <c r="H5386" s="263"/>
      <c r="I5386" s="86"/>
      <c r="J5386" s="86"/>
      <c r="K5386" s="264"/>
      <c r="M5386" s="265"/>
    </row>
    <row r="5387" ht="15.75" customHeight="1">
      <c r="A5387" s="266"/>
      <c r="B5387" s="267"/>
      <c r="C5387" s="266"/>
      <c r="D5387" s="267"/>
      <c r="E5387" s="268"/>
      <c r="F5387" s="267"/>
      <c r="G5387" s="269"/>
      <c r="H5387" s="263"/>
      <c r="I5387" s="86"/>
      <c r="J5387" s="86"/>
      <c r="K5387" s="264"/>
      <c r="M5387" s="265"/>
    </row>
    <row r="5388" ht="15.75" customHeight="1">
      <c r="A5388" s="266"/>
      <c r="B5388" s="267"/>
      <c r="C5388" s="266"/>
      <c r="D5388" s="267"/>
      <c r="E5388" s="268"/>
      <c r="F5388" s="267"/>
      <c r="G5388" s="269"/>
      <c r="H5388" s="263"/>
      <c r="I5388" s="86"/>
      <c r="J5388" s="86"/>
      <c r="K5388" s="264"/>
      <c r="M5388" s="265"/>
    </row>
    <row r="5389" ht="15.75" customHeight="1">
      <c r="A5389" s="266"/>
      <c r="B5389" s="267"/>
      <c r="C5389" s="266"/>
      <c r="D5389" s="267"/>
      <c r="E5389" s="268"/>
      <c r="F5389" s="267"/>
      <c r="G5389" s="269"/>
      <c r="H5389" s="263"/>
      <c r="I5389" s="86"/>
      <c r="J5389" s="86"/>
      <c r="K5389" s="264"/>
      <c r="M5389" s="265"/>
    </row>
    <row r="5390" ht="15.75" customHeight="1">
      <c r="A5390" s="266"/>
      <c r="B5390" s="267"/>
      <c r="C5390" s="266"/>
      <c r="D5390" s="267"/>
      <c r="E5390" s="268"/>
      <c r="F5390" s="267"/>
      <c r="G5390" s="269"/>
      <c r="H5390" s="263"/>
      <c r="I5390" s="86"/>
      <c r="J5390" s="86"/>
      <c r="K5390" s="264"/>
      <c r="M5390" s="265"/>
    </row>
    <row r="5391" ht="15.75" customHeight="1">
      <c r="A5391" s="266"/>
      <c r="B5391" s="267"/>
      <c r="C5391" s="266"/>
      <c r="D5391" s="267"/>
      <c r="E5391" s="268"/>
      <c r="F5391" s="267"/>
      <c r="G5391" s="269"/>
      <c r="H5391" s="263"/>
      <c r="I5391" s="86"/>
      <c r="J5391" s="86"/>
      <c r="K5391" s="264"/>
      <c r="M5391" s="265"/>
    </row>
    <row r="5392" ht="15.75" customHeight="1">
      <c r="A5392" s="266"/>
      <c r="B5392" s="267"/>
      <c r="C5392" s="266"/>
      <c r="D5392" s="267"/>
      <c r="E5392" s="268"/>
      <c r="F5392" s="267"/>
      <c r="G5392" s="269"/>
      <c r="H5392" s="263"/>
      <c r="I5392" s="86"/>
      <c r="J5392" s="86"/>
      <c r="K5392" s="264"/>
      <c r="M5392" s="265"/>
    </row>
    <row r="5393" ht="15.75" customHeight="1">
      <c r="A5393" s="266"/>
      <c r="B5393" s="267"/>
      <c r="C5393" s="266"/>
      <c r="D5393" s="267"/>
      <c r="E5393" s="268"/>
      <c r="F5393" s="267"/>
      <c r="G5393" s="269"/>
      <c r="H5393" s="263"/>
      <c r="I5393" s="86"/>
      <c r="J5393" s="86"/>
      <c r="K5393" s="264"/>
      <c r="M5393" s="265"/>
    </row>
    <row r="5394" ht="15.75" customHeight="1">
      <c r="A5394" s="266"/>
      <c r="B5394" s="267"/>
      <c r="C5394" s="266"/>
      <c r="D5394" s="267"/>
      <c r="E5394" s="268"/>
      <c r="F5394" s="267"/>
      <c r="G5394" s="269"/>
      <c r="H5394" s="263"/>
      <c r="I5394" s="86"/>
      <c r="J5394" s="86"/>
      <c r="K5394" s="264"/>
      <c r="M5394" s="265"/>
    </row>
    <row r="5395" ht="15.75" customHeight="1">
      <c r="A5395" s="266"/>
      <c r="B5395" s="267"/>
      <c r="C5395" s="266"/>
      <c r="D5395" s="267"/>
      <c r="E5395" s="268"/>
      <c r="F5395" s="267"/>
      <c r="G5395" s="269"/>
      <c r="H5395" s="263"/>
      <c r="I5395" s="86"/>
      <c r="J5395" s="86"/>
      <c r="K5395" s="264"/>
      <c r="M5395" s="265"/>
    </row>
    <row r="5396" ht="15.75" customHeight="1">
      <c r="A5396" s="266"/>
      <c r="B5396" s="267"/>
      <c r="C5396" s="266"/>
      <c r="D5396" s="267"/>
      <c r="E5396" s="268"/>
      <c r="F5396" s="267"/>
      <c r="G5396" s="269"/>
      <c r="H5396" s="263"/>
      <c r="I5396" s="86"/>
      <c r="J5396" s="86"/>
      <c r="K5396" s="264"/>
      <c r="M5396" s="265"/>
    </row>
    <row r="5397" ht="15.75" customHeight="1">
      <c r="A5397" s="266"/>
      <c r="B5397" s="267"/>
      <c r="C5397" s="266"/>
      <c r="D5397" s="267"/>
      <c r="E5397" s="268"/>
      <c r="F5397" s="267"/>
      <c r="G5397" s="269"/>
      <c r="H5397" s="263"/>
      <c r="I5397" s="86"/>
      <c r="J5397" s="86"/>
      <c r="K5397" s="264"/>
      <c r="M5397" s="265"/>
    </row>
    <row r="5398" ht="15.75" customHeight="1">
      <c r="A5398" s="266"/>
      <c r="B5398" s="267"/>
      <c r="C5398" s="266"/>
      <c r="D5398" s="267"/>
      <c r="E5398" s="268"/>
      <c r="F5398" s="267"/>
      <c r="G5398" s="269"/>
      <c r="H5398" s="263"/>
      <c r="I5398" s="86"/>
      <c r="J5398" s="86"/>
      <c r="K5398" s="264"/>
      <c r="M5398" s="265"/>
    </row>
    <row r="5399" ht="15.75" customHeight="1">
      <c r="A5399" s="266"/>
      <c r="B5399" s="267"/>
      <c r="C5399" s="266"/>
      <c r="D5399" s="267"/>
      <c r="E5399" s="268"/>
      <c r="F5399" s="267"/>
      <c r="G5399" s="269"/>
      <c r="H5399" s="263"/>
      <c r="I5399" s="86"/>
      <c r="J5399" s="86"/>
      <c r="K5399" s="264"/>
      <c r="M5399" s="265"/>
    </row>
    <row r="5400" ht="15.75" customHeight="1">
      <c r="A5400" s="266"/>
      <c r="B5400" s="267"/>
      <c r="C5400" s="266"/>
      <c r="D5400" s="267"/>
      <c r="E5400" s="268"/>
      <c r="F5400" s="267"/>
      <c r="G5400" s="269"/>
      <c r="H5400" s="263"/>
      <c r="I5400" s="86"/>
      <c r="J5400" s="86"/>
      <c r="K5400" s="264"/>
      <c r="M5400" s="265"/>
    </row>
    <row r="5401" ht="15.75" customHeight="1">
      <c r="A5401" s="266"/>
      <c r="B5401" s="267"/>
      <c r="C5401" s="266"/>
      <c r="D5401" s="267"/>
      <c r="E5401" s="268"/>
      <c r="F5401" s="267"/>
      <c r="G5401" s="269"/>
      <c r="H5401" s="263"/>
      <c r="I5401" s="86"/>
      <c r="J5401" s="86"/>
      <c r="K5401" s="264"/>
      <c r="M5401" s="265"/>
    </row>
    <row r="5402" ht="15.75" customHeight="1">
      <c r="A5402" s="266"/>
      <c r="B5402" s="267"/>
      <c r="C5402" s="266"/>
      <c r="D5402" s="267"/>
      <c r="E5402" s="268"/>
      <c r="F5402" s="267"/>
      <c r="G5402" s="269"/>
      <c r="H5402" s="263"/>
      <c r="I5402" s="86"/>
      <c r="J5402" s="86"/>
      <c r="K5402" s="264"/>
      <c r="M5402" s="265"/>
    </row>
    <row r="5403" ht="15.75" customHeight="1">
      <c r="A5403" s="266"/>
      <c r="B5403" s="267"/>
      <c r="C5403" s="266"/>
      <c r="D5403" s="267"/>
      <c r="E5403" s="268"/>
      <c r="F5403" s="267"/>
      <c r="G5403" s="269"/>
      <c r="H5403" s="263"/>
      <c r="I5403" s="86"/>
      <c r="J5403" s="86"/>
      <c r="K5403" s="264"/>
      <c r="M5403" s="265"/>
    </row>
    <row r="5404" ht="15.75" customHeight="1">
      <c r="A5404" s="266"/>
      <c r="B5404" s="267"/>
      <c r="C5404" s="266"/>
      <c r="D5404" s="267"/>
      <c r="E5404" s="268"/>
      <c r="F5404" s="267"/>
      <c r="G5404" s="269"/>
      <c r="H5404" s="263"/>
      <c r="I5404" s="86"/>
      <c r="J5404" s="86"/>
      <c r="K5404" s="264"/>
      <c r="M5404" s="265"/>
    </row>
    <row r="5405" ht="15.75" customHeight="1">
      <c r="A5405" s="266"/>
      <c r="B5405" s="267"/>
      <c r="C5405" s="266"/>
      <c r="D5405" s="267"/>
      <c r="E5405" s="268"/>
      <c r="F5405" s="267"/>
      <c r="G5405" s="269"/>
      <c r="H5405" s="263"/>
      <c r="I5405" s="86"/>
      <c r="J5405" s="86"/>
      <c r="K5405" s="264"/>
      <c r="M5405" s="265"/>
    </row>
    <row r="5406" ht="15.75" customHeight="1">
      <c r="A5406" s="266"/>
      <c r="B5406" s="267"/>
      <c r="C5406" s="266"/>
      <c r="D5406" s="267"/>
      <c r="E5406" s="268"/>
      <c r="F5406" s="267"/>
      <c r="G5406" s="269"/>
      <c r="H5406" s="263"/>
      <c r="I5406" s="86"/>
      <c r="J5406" s="86"/>
      <c r="K5406" s="264"/>
      <c r="M5406" s="265"/>
    </row>
    <row r="5407" ht="15.75" customHeight="1">
      <c r="A5407" s="266"/>
      <c r="B5407" s="267"/>
      <c r="C5407" s="266"/>
      <c r="D5407" s="267"/>
      <c r="E5407" s="268"/>
      <c r="F5407" s="267"/>
      <c r="G5407" s="269"/>
      <c r="H5407" s="263"/>
      <c r="I5407" s="86"/>
      <c r="J5407" s="86"/>
      <c r="K5407" s="264"/>
      <c r="M5407" s="265"/>
    </row>
    <row r="5408" ht="15.75" customHeight="1">
      <c r="A5408" s="266"/>
      <c r="B5408" s="267"/>
      <c r="C5408" s="266"/>
      <c r="D5408" s="267"/>
      <c r="E5408" s="268"/>
      <c r="F5408" s="267"/>
      <c r="G5408" s="269"/>
      <c r="H5408" s="263"/>
      <c r="I5408" s="86"/>
      <c r="J5408" s="86"/>
      <c r="K5408" s="264"/>
      <c r="M5408" s="265"/>
    </row>
    <row r="5409" ht="15.75" customHeight="1">
      <c r="A5409" s="266"/>
      <c r="B5409" s="267"/>
      <c r="C5409" s="266"/>
      <c r="D5409" s="267"/>
      <c r="E5409" s="268"/>
      <c r="F5409" s="267"/>
      <c r="G5409" s="269"/>
      <c r="H5409" s="263"/>
      <c r="I5409" s="86"/>
      <c r="J5409" s="86"/>
      <c r="K5409" s="264"/>
      <c r="M5409" s="265"/>
    </row>
    <row r="5410" ht="15.75" customHeight="1">
      <c r="A5410" s="266"/>
      <c r="B5410" s="267"/>
      <c r="C5410" s="266"/>
      <c r="D5410" s="267"/>
      <c r="E5410" s="268"/>
      <c r="F5410" s="267"/>
      <c r="G5410" s="269"/>
      <c r="H5410" s="263"/>
      <c r="I5410" s="86"/>
      <c r="J5410" s="86"/>
      <c r="K5410" s="264"/>
      <c r="M5410" s="265"/>
    </row>
    <row r="5411" ht="15.75" customHeight="1">
      <c r="A5411" s="266"/>
      <c r="B5411" s="267"/>
      <c r="C5411" s="266"/>
      <c r="D5411" s="267"/>
      <c r="E5411" s="268"/>
      <c r="F5411" s="267"/>
      <c r="G5411" s="269"/>
      <c r="H5411" s="263"/>
      <c r="I5411" s="86"/>
      <c r="J5411" s="86"/>
      <c r="K5411" s="264"/>
      <c r="M5411" s="265"/>
    </row>
    <row r="5412" ht="15.75" customHeight="1">
      <c r="A5412" s="266"/>
      <c r="B5412" s="267"/>
      <c r="C5412" s="266"/>
      <c r="D5412" s="267"/>
      <c r="E5412" s="268"/>
      <c r="F5412" s="267"/>
      <c r="G5412" s="269"/>
      <c r="H5412" s="263"/>
      <c r="I5412" s="86"/>
      <c r="J5412" s="86"/>
      <c r="K5412" s="264"/>
      <c r="M5412" s="265"/>
    </row>
    <row r="5413" ht="15.75" customHeight="1">
      <c r="A5413" s="266"/>
      <c r="B5413" s="267"/>
      <c r="C5413" s="266"/>
      <c r="D5413" s="267"/>
      <c r="E5413" s="268"/>
      <c r="F5413" s="267"/>
      <c r="G5413" s="269"/>
      <c r="H5413" s="263"/>
      <c r="I5413" s="86"/>
      <c r="J5413" s="86"/>
      <c r="K5413" s="264"/>
      <c r="M5413" s="265"/>
    </row>
    <row r="5414" ht="15.75" customHeight="1">
      <c r="A5414" s="266"/>
      <c r="B5414" s="267"/>
      <c r="C5414" s="266"/>
      <c r="D5414" s="267"/>
      <c r="E5414" s="268"/>
      <c r="F5414" s="267"/>
      <c r="G5414" s="269"/>
      <c r="H5414" s="263"/>
      <c r="I5414" s="86"/>
      <c r="J5414" s="86"/>
      <c r="K5414" s="264"/>
      <c r="M5414" s="265"/>
    </row>
    <row r="5415" ht="15.75" customHeight="1">
      <c r="A5415" s="266"/>
      <c r="B5415" s="267"/>
      <c r="C5415" s="266"/>
      <c r="D5415" s="267"/>
      <c r="E5415" s="268"/>
      <c r="F5415" s="267"/>
      <c r="G5415" s="269"/>
      <c r="H5415" s="263"/>
      <c r="I5415" s="86"/>
      <c r="J5415" s="86"/>
      <c r="K5415" s="264"/>
      <c r="M5415" s="265"/>
    </row>
    <row r="5416" ht="15.75" customHeight="1">
      <c r="A5416" s="266"/>
      <c r="B5416" s="267"/>
      <c r="C5416" s="266"/>
      <c r="D5416" s="267"/>
      <c r="E5416" s="268"/>
      <c r="F5416" s="267"/>
      <c r="G5416" s="269"/>
      <c r="H5416" s="263"/>
      <c r="I5416" s="86"/>
      <c r="J5416" s="86"/>
      <c r="K5416" s="264"/>
      <c r="M5416" s="265"/>
    </row>
    <row r="5417" ht="15.75" customHeight="1">
      <c r="A5417" s="266"/>
      <c r="B5417" s="267"/>
      <c r="C5417" s="266"/>
      <c r="D5417" s="267"/>
      <c r="E5417" s="268"/>
      <c r="F5417" s="267"/>
      <c r="G5417" s="269"/>
      <c r="H5417" s="263"/>
      <c r="I5417" s="86"/>
      <c r="J5417" s="86"/>
      <c r="K5417" s="264"/>
      <c r="M5417" s="265"/>
    </row>
    <row r="5418" ht="15.75" customHeight="1">
      <c r="A5418" s="266"/>
      <c r="B5418" s="267"/>
      <c r="C5418" s="266"/>
      <c r="D5418" s="267"/>
      <c r="E5418" s="268"/>
      <c r="F5418" s="267"/>
      <c r="G5418" s="269"/>
      <c r="H5418" s="263"/>
      <c r="I5418" s="86"/>
      <c r="J5418" s="86"/>
      <c r="K5418" s="264"/>
      <c r="M5418" s="265"/>
    </row>
    <row r="5419" ht="15.75" customHeight="1">
      <c r="A5419" s="266"/>
      <c r="B5419" s="267"/>
      <c r="C5419" s="266"/>
      <c r="D5419" s="267"/>
      <c r="E5419" s="268"/>
      <c r="F5419" s="267"/>
      <c r="G5419" s="269"/>
      <c r="H5419" s="263"/>
      <c r="I5419" s="86"/>
      <c r="J5419" s="86"/>
      <c r="K5419" s="264"/>
      <c r="M5419" s="265"/>
    </row>
    <row r="5420" ht="15.75" customHeight="1">
      <c r="A5420" s="266"/>
      <c r="B5420" s="267"/>
      <c r="C5420" s="266"/>
      <c r="D5420" s="267"/>
      <c r="E5420" s="268"/>
      <c r="F5420" s="267"/>
      <c r="G5420" s="269"/>
      <c r="H5420" s="263"/>
      <c r="I5420" s="86"/>
      <c r="J5420" s="86"/>
      <c r="K5420" s="264"/>
      <c r="M5420" s="265"/>
    </row>
    <row r="5421" ht="15.75" customHeight="1">
      <c r="A5421" s="266"/>
      <c r="B5421" s="267"/>
      <c r="C5421" s="266"/>
      <c r="D5421" s="267"/>
      <c r="E5421" s="268"/>
      <c r="F5421" s="267"/>
      <c r="G5421" s="269"/>
      <c r="H5421" s="263"/>
      <c r="I5421" s="86"/>
      <c r="J5421" s="86"/>
      <c r="K5421" s="264"/>
      <c r="M5421" s="265"/>
    </row>
    <row r="5422" ht="15.75" customHeight="1">
      <c r="A5422" s="266"/>
      <c r="B5422" s="267"/>
      <c r="C5422" s="266"/>
      <c r="D5422" s="267"/>
      <c r="E5422" s="268"/>
      <c r="F5422" s="267"/>
      <c r="G5422" s="269"/>
      <c r="H5422" s="263"/>
      <c r="I5422" s="86"/>
      <c r="J5422" s="86"/>
      <c r="K5422" s="264"/>
      <c r="M5422" s="265"/>
    </row>
    <row r="5423" ht="15.75" customHeight="1">
      <c r="A5423" s="266"/>
      <c r="B5423" s="267"/>
      <c r="C5423" s="266"/>
      <c r="D5423" s="267"/>
      <c r="E5423" s="268"/>
      <c r="F5423" s="267"/>
      <c r="G5423" s="269"/>
      <c r="H5423" s="263"/>
      <c r="I5423" s="86"/>
      <c r="J5423" s="86"/>
      <c r="K5423" s="264"/>
      <c r="M5423" s="265"/>
    </row>
    <row r="5424" ht="15.75" customHeight="1">
      <c r="A5424" s="266"/>
      <c r="B5424" s="267"/>
      <c r="C5424" s="266"/>
      <c r="D5424" s="267"/>
      <c r="E5424" s="268"/>
      <c r="F5424" s="267"/>
      <c r="G5424" s="269"/>
      <c r="H5424" s="263"/>
      <c r="I5424" s="86"/>
      <c r="J5424" s="86"/>
      <c r="K5424" s="264"/>
      <c r="M5424" s="265"/>
    </row>
    <row r="5425" ht="15.75" customHeight="1">
      <c r="A5425" s="266"/>
      <c r="B5425" s="267"/>
      <c r="C5425" s="266"/>
      <c r="D5425" s="267"/>
      <c r="E5425" s="268"/>
      <c r="F5425" s="267"/>
      <c r="G5425" s="269"/>
      <c r="H5425" s="263"/>
      <c r="I5425" s="86"/>
      <c r="J5425" s="86"/>
      <c r="K5425" s="264"/>
      <c r="M5425" s="265"/>
    </row>
    <row r="5426" ht="15.75" customHeight="1">
      <c r="A5426" s="266"/>
      <c r="B5426" s="267"/>
      <c r="C5426" s="266"/>
      <c r="D5426" s="267"/>
      <c r="E5426" s="268"/>
      <c r="F5426" s="267"/>
      <c r="G5426" s="269"/>
      <c r="H5426" s="263"/>
      <c r="I5426" s="86"/>
      <c r="J5426" s="86"/>
      <c r="K5426" s="264"/>
      <c r="M5426" s="265"/>
    </row>
    <row r="5427" ht="15.75" customHeight="1">
      <c r="A5427" s="266"/>
      <c r="B5427" s="267"/>
      <c r="C5427" s="266"/>
      <c r="D5427" s="267"/>
      <c r="E5427" s="268"/>
      <c r="F5427" s="267"/>
      <c r="G5427" s="269"/>
      <c r="H5427" s="263"/>
      <c r="I5427" s="86"/>
      <c r="J5427" s="86"/>
      <c r="K5427" s="264"/>
      <c r="M5427" s="265"/>
    </row>
    <row r="5428" ht="15.75" customHeight="1">
      <c r="A5428" s="266"/>
      <c r="B5428" s="267"/>
      <c r="C5428" s="266"/>
      <c r="D5428" s="267"/>
      <c r="E5428" s="268"/>
      <c r="F5428" s="267"/>
      <c r="G5428" s="269"/>
      <c r="H5428" s="263"/>
      <c r="I5428" s="86"/>
      <c r="J5428" s="86"/>
      <c r="K5428" s="264"/>
      <c r="M5428" s="265"/>
    </row>
    <row r="5429" ht="15.75" customHeight="1">
      <c r="A5429" s="266"/>
      <c r="B5429" s="267"/>
      <c r="C5429" s="266"/>
      <c r="D5429" s="267"/>
      <c r="E5429" s="268"/>
      <c r="F5429" s="267"/>
      <c r="G5429" s="269"/>
      <c r="H5429" s="263"/>
      <c r="I5429" s="86"/>
      <c r="J5429" s="86"/>
      <c r="K5429" s="264"/>
      <c r="M5429" s="265"/>
    </row>
    <row r="5430" ht="15.75" customHeight="1">
      <c r="A5430" s="266"/>
      <c r="B5430" s="267"/>
      <c r="C5430" s="266"/>
      <c r="D5430" s="267"/>
      <c r="E5430" s="268"/>
      <c r="F5430" s="267"/>
      <c r="G5430" s="269"/>
      <c r="H5430" s="263"/>
      <c r="I5430" s="86"/>
      <c r="J5430" s="86"/>
      <c r="K5430" s="264"/>
      <c r="M5430" s="265"/>
    </row>
    <row r="5431" ht="15.75" customHeight="1">
      <c r="A5431" s="266"/>
      <c r="B5431" s="267"/>
      <c r="C5431" s="266"/>
      <c r="D5431" s="267"/>
      <c r="E5431" s="268"/>
      <c r="F5431" s="267"/>
      <c r="G5431" s="269"/>
      <c r="H5431" s="263"/>
      <c r="I5431" s="86"/>
      <c r="J5431" s="86"/>
      <c r="K5431" s="264"/>
      <c r="M5431" s="265"/>
    </row>
    <row r="5432" ht="15.75" customHeight="1">
      <c r="A5432" s="266"/>
      <c r="B5432" s="267"/>
      <c r="C5432" s="266"/>
      <c r="D5432" s="267"/>
      <c r="E5432" s="268"/>
      <c r="F5432" s="267"/>
      <c r="G5432" s="269"/>
      <c r="H5432" s="263"/>
      <c r="I5432" s="86"/>
      <c r="J5432" s="86"/>
      <c r="K5432" s="264"/>
      <c r="M5432" s="265"/>
    </row>
    <row r="5433" ht="15.75" customHeight="1">
      <c r="A5433" s="266"/>
      <c r="B5433" s="267"/>
      <c r="C5433" s="266"/>
      <c r="D5433" s="267"/>
      <c r="E5433" s="268"/>
      <c r="F5433" s="267"/>
      <c r="G5433" s="269"/>
      <c r="H5433" s="263"/>
      <c r="I5433" s="86"/>
      <c r="J5433" s="86"/>
      <c r="K5433" s="264"/>
      <c r="M5433" s="265"/>
    </row>
    <row r="5434" ht="15.75" customHeight="1">
      <c r="A5434" s="266"/>
      <c r="B5434" s="267"/>
      <c r="C5434" s="266"/>
      <c r="D5434" s="267"/>
      <c r="E5434" s="268"/>
      <c r="F5434" s="267"/>
      <c r="G5434" s="269"/>
      <c r="H5434" s="263"/>
      <c r="I5434" s="86"/>
      <c r="J5434" s="86"/>
      <c r="K5434" s="264"/>
      <c r="M5434" s="265"/>
    </row>
    <row r="5435" ht="15.75" customHeight="1">
      <c r="A5435" s="266"/>
      <c r="B5435" s="267"/>
      <c r="C5435" s="266"/>
      <c r="D5435" s="267"/>
      <c r="E5435" s="268"/>
      <c r="F5435" s="267"/>
      <c r="G5435" s="269"/>
      <c r="H5435" s="263"/>
      <c r="I5435" s="86"/>
      <c r="J5435" s="86"/>
      <c r="K5435" s="264"/>
      <c r="M5435" s="265"/>
    </row>
    <row r="5436" ht="15.75" customHeight="1">
      <c r="A5436" s="266"/>
      <c r="B5436" s="267"/>
      <c r="C5436" s="266"/>
      <c r="D5436" s="267"/>
      <c r="E5436" s="268"/>
      <c r="F5436" s="267"/>
      <c r="G5436" s="269"/>
      <c r="H5436" s="263"/>
      <c r="I5436" s="86"/>
      <c r="J5436" s="86"/>
      <c r="K5436" s="264"/>
      <c r="M5436" s="265"/>
    </row>
    <row r="5437" ht="15.75" customHeight="1">
      <c r="A5437" s="266"/>
      <c r="B5437" s="267"/>
      <c r="C5437" s="266"/>
      <c r="D5437" s="267"/>
      <c r="E5437" s="268"/>
      <c r="F5437" s="267"/>
      <c r="G5437" s="269"/>
      <c r="H5437" s="263"/>
      <c r="I5437" s="86"/>
      <c r="J5437" s="86"/>
      <c r="K5437" s="264"/>
      <c r="M5437" s="265"/>
    </row>
    <row r="5438" ht="15.75" customHeight="1">
      <c r="A5438" s="266"/>
      <c r="B5438" s="267"/>
      <c r="C5438" s="266"/>
      <c r="D5438" s="267"/>
      <c r="E5438" s="268"/>
      <c r="F5438" s="267"/>
      <c r="G5438" s="269"/>
      <c r="H5438" s="263"/>
      <c r="I5438" s="86"/>
      <c r="J5438" s="86"/>
      <c r="K5438" s="264"/>
      <c r="M5438" s="265"/>
    </row>
    <row r="5439" ht="15.75" customHeight="1">
      <c r="A5439" s="266"/>
      <c r="B5439" s="267"/>
      <c r="C5439" s="266"/>
      <c r="D5439" s="267"/>
      <c r="E5439" s="268"/>
      <c r="F5439" s="267"/>
      <c r="G5439" s="269"/>
      <c r="H5439" s="263"/>
      <c r="I5439" s="86"/>
      <c r="J5439" s="86"/>
      <c r="K5439" s="264"/>
      <c r="M5439" s="265"/>
    </row>
    <row r="5440" ht="15.75" customHeight="1">
      <c r="A5440" s="266"/>
      <c r="B5440" s="267"/>
      <c r="C5440" s="266"/>
      <c r="D5440" s="267"/>
      <c r="E5440" s="268"/>
      <c r="F5440" s="267"/>
      <c r="G5440" s="269"/>
      <c r="H5440" s="263"/>
      <c r="I5440" s="86"/>
      <c r="J5440" s="86"/>
      <c r="K5440" s="264"/>
      <c r="M5440" s="265"/>
    </row>
    <row r="5441" ht="15.75" customHeight="1">
      <c r="A5441" s="266"/>
      <c r="B5441" s="267"/>
      <c r="C5441" s="266"/>
      <c r="D5441" s="267"/>
      <c r="E5441" s="268"/>
      <c r="F5441" s="267"/>
      <c r="G5441" s="269"/>
      <c r="H5441" s="263"/>
      <c r="I5441" s="86"/>
      <c r="J5441" s="86"/>
      <c r="K5441" s="264"/>
      <c r="M5441" s="265"/>
    </row>
    <row r="5442" ht="15.75" customHeight="1">
      <c r="A5442" s="266"/>
      <c r="B5442" s="267"/>
      <c r="C5442" s="266"/>
      <c r="D5442" s="267"/>
      <c r="E5442" s="268"/>
      <c r="F5442" s="267"/>
      <c r="G5442" s="269"/>
      <c r="H5442" s="263"/>
      <c r="I5442" s="86"/>
      <c r="J5442" s="86"/>
      <c r="K5442" s="264"/>
      <c r="M5442" s="265"/>
    </row>
    <row r="5443" ht="15.75" customHeight="1">
      <c r="A5443" s="266"/>
      <c r="B5443" s="267"/>
      <c r="C5443" s="266"/>
      <c r="D5443" s="267"/>
      <c r="E5443" s="268"/>
      <c r="F5443" s="267"/>
      <c r="G5443" s="269"/>
      <c r="H5443" s="263"/>
      <c r="I5443" s="86"/>
      <c r="J5443" s="86"/>
      <c r="K5443" s="264"/>
      <c r="M5443" s="265"/>
    </row>
    <row r="5444" ht="15.75" customHeight="1">
      <c r="A5444" s="266"/>
      <c r="B5444" s="267"/>
      <c r="C5444" s="266"/>
      <c r="D5444" s="267"/>
      <c r="E5444" s="268"/>
      <c r="F5444" s="267"/>
      <c r="G5444" s="269"/>
      <c r="H5444" s="263"/>
      <c r="I5444" s="86"/>
      <c r="J5444" s="86"/>
      <c r="K5444" s="264"/>
      <c r="M5444" s="265"/>
    </row>
    <row r="5445" ht="15.75" customHeight="1">
      <c r="A5445" s="266"/>
      <c r="B5445" s="267"/>
      <c r="C5445" s="266"/>
      <c r="D5445" s="267"/>
      <c r="E5445" s="268"/>
      <c r="F5445" s="267"/>
      <c r="G5445" s="269"/>
      <c r="H5445" s="263"/>
      <c r="I5445" s="86"/>
      <c r="J5445" s="86"/>
      <c r="K5445" s="264"/>
      <c r="M5445" s="265"/>
    </row>
    <row r="5446" ht="15.75" customHeight="1">
      <c r="A5446" s="266"/>
      <c r="B5446" s="267"/>
      <c r="C5446" s="266"/>
      <c r="D5446" s="267"/>
      <c r="E5446" s="268"/>
      <c r="F5446" s="267"/>
      <c r="G5446" s="269"/>
      <c r="H5446" s="263"/>
      <c r="I5446" s="86"/>
      <c r="J5446" s="86"/>
      <c r="K5446" s="264"/>
      <c r="M5446" s="265"/>
    </row>
    <row r="5447" ht="15.75" customHeight="1">
      <c r="A5447" s="266"/>
      <c r="B5447" s="267"/>
      <c r="C5447" s="266"/>
      <c r="D5447" s="267"/>
      <c r="E5447" s="268"/>
      <c r="F5447" s="267"/>
      <c r="G5447" s="269"/>
      <c r="H5447" s="263"/>
      <c r="I5447" s="86"/>
      <c r="J5447" s="86"/>
      <c r="K5447" s="264"/>
      <c r="M5447" s="265"/>
    </row>
    <row r="5448" ht="15.75" customHeight="1">
      <c r="A5448" s="266"/>
      <c r="B5448" s="267"/>
      <c r="C5448" s="266"/>
      <c r="D5448" s="267"/>
      <c r="E5448" s="268"/>
      <c r="F5448" s="267"/>
      <c r="G5448" s="269"/>
      <c r="H5448" s="263"/>
      <c r="I5448" s="86"/>
      <c r="J5448" s="86"/>
      <c r="K5448" s="264"/>
      <c r="M5448" s="265"/>
    </row>
    <row r="5449" ht="15.75" customHeight="1">
      <c r="A5449" s="266"/>
      <c r="B5449" s="267"/>
      <c r="C5449" s="266"/>
      <c r="D5449" s="267"/>
      <c r="E5449" s="268"/>
      <c r="F5449" s="267"/>
      <c r="G5449" s="269"/>
      <c r="H5449" s="263"/>
      <c r="I5449" s="86"/>
      <c r="J5449" s="86"/>
      <c r="K5449" s="264"/>
      <c r="M5449" s="265"/>
    </row>
    <row r="5450" ht="15.75" customHeight="1">
      <c r="A5450" s="266"/>
      <c r="B5450" s="267"/>
      <c r="C5450" s="266"/>
      <c r="D5450" s="267"/>
      <c r="E5450" s="268"/>
      <c r="F5450" s="267"/>
      <c r="G5450" s="269"/>
      <c r="H5450" s="263"/>
      <c r="I5450" s="86"/>
      <c r="J5450" s="86"/>
      <c r="K5450" s="264"/>
      <c r="M5450" s="265"/>
    </row>
    <row r="5451" ht="15.75" customHeight="1">
      <c r="A5451" s="266"/>
      <c r="B5451" s="267"/>
      <c r="C5451" s="266"/>
      <c r="D5451" s="267"/>
      <c r="E5451" s="268"/>
      <c r="F5451" s="267"/>
      <c r="G5451" s="269"/>
      <c r="H5451" s="263"/>
      <c r="I5451" s="86"/>
      <c r="J5451" s="86"/>
      <c r="K5451" s="264"/>
      <c r="M5451" s="265"/>
    </row>
    <row r="5452" ht="15.75" customHeight="1">
      <c r="A5452" s="266"/>
      <c r="B5452" s="267"/>
      <c r="C5452" s="266"/>
      <c r="D5452" s="267"/>
      <c r="E5452" s="268"/>
      <c r="F5452" s="267"/>
      <c r="G5452" s="269"/>
      <c r="H5452" s="263"/>
      <c r="I5452" s="86"/>
      <c r="J5452" s="86"/>
      <c r="K5452" s="264"/>
      <c r="M5452" s="265"/>
    </row>
    <row r="5453" ht="15.75" customHeight="1">
      <c r="A5453" s="266"/>
      <c r="B5453" s="267"/>
      <c r="C5453" s="266"/>
      <c r="D5453" s="267"/>
      <c r="E5453" s="268"/>
      <c r="F5453" s="267"/>
      <c r="G5453" s="269"/>
      <c r="H5453" s="263"/>
      <c r="I5453" s="86"/>
      <c r="J5453" s="86"/>
      <c r="K5453" s="264"/>
      <c r="M5453" s="265"/>
    </row>
    <row r="5454" ht="15.75" customHeight="1">
      <c r="A5454" s="266"/>
      <c r="B5454" s="267"/>
      <c r="C5454" s="266"/>
      <c r="D5454" s="267"/>
      <c r="E5454" s="268"/>
      <c r="F5454" s="267"/>
      <c r="G5454" s="269"/>
      <c r="H5454" s="263"/>
      <c r="I5454" s="86"/>
      <c r="J5454" s="86"/>
      <c r="K5454" s="264"/>
      <c r="M5454" s="265"/>
    </row>
    <row r="5455" ht="15.75" customHeight="1">
      <c r="A5455" s="266"/>
      <c r="B5455" s="267"/>
      <c r="C5455" s="266"/>
      <c r="D5455" s="267"/>
      <c r="E5455" s="268"/>
      <c r="F5455" s="267"/>
      <c r="G5455" s="269"/>
      <c r="H5455" s="263"/>
      <c r="I5455" s="86"/>
      <c r="J5455" s="86"/>
      <c r="K5455" s="264"/>
      <c r="M5455" s="265"/>
    </row>
    <row r="5456" ht="15.75" customHeight="1">
      <c r="A5456" s="266"/>
      <c r="B5456" s="267"/>
      <c r="C5456" s="266"/>
      <c r="D5456" s="267"/>
      <c r="E5456" s="268"/>
      <c r="F5456" s="267"/>
      <c r="G5456" s="269"/>
      <c r="H5456" s="263"/>
      <c r="I5456" s="86"/>
      <c r="J5456" s="86"/>
      <c r="K5456" s="264"/>
      <c r="M5456" s="265"/>
    </row>
    <row r="5457" ht="15.75" customHeight="1">
      <c r="A5457" s="266"/>
      <c r="B5457" s="267"/>
      <c r="C5457" s="266"/>
      <c r="D5457" s="267"/>
      <c r="E5457" s="268"/>
      <c r="F5457" s="267"/>
      <c r="G5457" s="269"/>
      <c r="H5457" s="263"/>
      <c r="I5457" s="86"/>
      <c r="J5457" s="86"/>
      <c r="K5457" s="264"/>
      <c r="M5457" s="265"/>
    </row>
    <row r="5458" ht="15.75" customHeight="1">
      <c r="A5458" s="266"/>
      <c r="B5458" s="267"/>
      <c r="C5458" s="266"/>
      <c r="D5458" s="267"/>
      <c r="E5458" s="268"/>
      <c r="F5458" s="267"/>
      <c r="G5458" s="269"/>
      <c r="H5458" s="263"/>
      <c r="I5458" s="86"/>
      <c r="J5458" s="86"/>
      <c r="K5458" s="264"/>
      <c r="M5458" s="265"/>
    </row>
    <row r="5459" ht="15.75" customHeight="1">
      <c r="A5459" s="266"/>
      <c r="B5459" s="267"/>
      <c r="C5459" s="266"/>
      <c r="D5459" s="267"/>
      <c r="E5459" s="268"/>
      <c r="F5459" s="267"/>
      <c r="G5459" s="269"/>
      <c r="H5459" s="263"/>
      <c r="I5459" s="86"/>
      <c r="J5459" s="86"/>
      <c r="K5459" s="264"/>
      <c r="M5459" s="265"/>
    </row>
    <row r="5460" ht="15.75" customHeight="1">
      <c r="A5460" s="266"/>
      <c r="B5460" s="267"/>
      <c r="C5460" s="266"/>
      <c r="D5460" s="267"/>
      <c r="E5460" s="268"/>
      <c r="F5460" s="267"/>
      <c r="G5460" s="269"/>
      <c r="H5460" s="263"/>
      <c r="I5460" s="86"/>
      <c r="J5460" s="86"/>
      <c r="K5460" s="264"/>
      <c r="M5460" s="265"/>
    </row>
    <row r="5461" ht="15.75" customHeight="1">
      <c r="A5461" s="266"/>
      <c r="B5461" s="267"/>
      <c r="C5461" s="266"/>
      <c r="D5461" s="267"/>
      <c r="E5461" s="268"/>
      <c r="F5461" s="267"/>
      <c r="G5461" s="269"/>
      <c r="H5461" s="263"/>
      <c r="I5461" s="86"/>
      <c r="J5461" s="86"/>
      <c r="K5461" s="264"/>
      <c r="M5461" s="265"/>
    </row>
    <row r="5462" ht="15.75" customHeight="1">
      <c r="A5462" s="266"/>
      <c r="B5462" s="267"/>
      <c r="C5462" s="266"/>
      <c r="D5462" s="267"/>
      <c r="E5462" s="268"/>
      <c r="F5462" s="267"/>
      <c r="G5462" s="269"/>
      <c r="H5462" s="263"/>
      <c r="I5462" s="86"/>
      <c r="J5462" s="86"/>
      <c r="K5462" s="264"/>
      <c r="M5462" s="265"/>
    </row>
    <row r="5463" ht="15.75" customHeight="1">
      <c r="A5463" s="266"/>
      <c r="B5463" s="267"/>
      <c r="C5463" s="266"/>
      <c r="D5463" s="267"/>
      <c r="E5463" s="268"/>
      <c r="F5463" s="267"/>
      <c r="G5463" s="269"/>
      <c r="H5463" s="263"/>
      <c r="I5463" s="86"/>
      <c r="J5463" s="86"/>
      <c r="K5463" s="264"/>
      <c r="M5463" s="265"/>
    </row>
    <row r="5464" ht="15.75" customHeight="1">
      <c r="A5464" s="266"/>
      <c r="B5464" s="267"/>
      <c r="C5464" s="266"/>
      <c r="D5464" s="267"/>
      <c r="E5464" s="268"/>
      <c r="F5464" s="267"/>
      <c r="G5464" s="269"/>
      <c r="H5464" s="263"/>
      <c r="I5464" s="86"/>
      <c r="J5464" s="86"/>
      <c r="K5464" s="264"/>
      <c r="M5464" s="265"/>
    </row>
    <row r="5465" ht="15.75" customHeight="1">
      <c r="A5465" s="266"/>
      <c r="B5465" s="267"/>
      <c r="C5465" s="266"/>
      <c r="D5465" s="267"/>
      <c r="E5465" s="268"/>
      <c r="F5465" s="267"/>
      <c r="G5465" s="269"/>
      <c r="H5465" s="263"/>
      <c r="I5465" s="86"/>
      <c r="J5465" s="86"/>
      <c r="K5465" s="264"/>
      <c r="M5465" s="265"/>
    </row>
    <row r="5466" ht="15.75" customHeight="1">
      <c r="A5466" s="266"/>
      <c r="B5466" s="267"/>
      <c r="C5466" s="266"/>
      <c r="D5466" s="267"/>
      <c r="E5466" s="268"/>
      <c r="F5466" s="267"/>
      <c r="G5466" s="269"/>
      <c r="H5466" s="263"/>
      <c r="I5466" s="86"/>
      <c r="J5466" s="86"/>
      <c r="K5466" s="264"/>
      <c r="M5466" s="265"/>
    </row>
    <row r="5467" ht="15.75" customHeight="1">
      <c r="A5467" s="266"/>
      <c r="B5467" s="267"/>
      <c r="C5467" s="266"/>
      <c r="D5467" s="267"/>
      <c r="E5467" s="268"/>
      <c r="F5467" s="267"/>
      <c r="G5467" s="269"/>
      <c r="H5467" s="263"/>
      <c r="I5467" s="86"/>
      <c r="J5467" s="86"/>
      <c r="K5467" s="264"/>
      <c r="M5467" s="265"/>
    </row>
    <row r="5468" ht="15.75" customHeight="1">
      <c r="A5468" s="266"/>
      <c r="B5468" s="267"/>
      <c r="C5468" s="266"/>
      <c r="D5468" s="267"/>
      <c r="E5468" s="268"/>
      <c r="F5468" s="267"/>
      <c r="G5468" s="269"/>
      <c r="H5468" s="263"/>
      <c r="I5468" s="86"/>
      <c r="J5468" s="86"/>
      <c r="K5468" s="264"/>
      <c r="M5468" s="265"/>
    </row>
    <row r="5469" ht="15.75" customHeight="1">
      <c r="A5469" s="266"/>
      <c r="B5469" s="267"/>
      <c r="C5469" s="266"/>
      <c r="D5469" s="267"/>
      <c r="E5469" s="268"/>
      <c r="F5469" s="267"/>
      <c r="G5469" s="269"/>
      <c r="H5469" s="263"/>
      <c r="I5469" s="86"/>
      <c r="J5469" s="86"/>
      <c r="K5469" s="264"/>
      <c r="M5469" s="265"/>
    </row>
    <row r="5470" ht="15.75" customHeight="1">
      <c r="A5470" s="266"/>
      <c r="B5470" s="267"/>
      <c r="C5470" s="266"/>
      <c r="D5470" s="267"/>
      <c r="E5470" s="268"/>
      <c r="F5470" s="267"/>
      <c r="G5470" s="269"/>
      <c r="H5470" s="263"/>
      <c r="I5470" s="86"/>
      <c r="J5470" s="86"/>
      <c r="K5470" s="264"/>
      <c r="M5470" s="265"/>
    </row>
    <row r="5471" ht="15.75" customHeight="1">
      <c r="A5471" s="266"/>
      <c r="B5471" s="267"/>
      <c r="C5471" s="266"/>
      <c r="D5471" s="267"/>
      <c r="E5471" s="268"/>
      <c r="F5471" s="267"/>
      <c r="G5471" s="269"/>
      <c r="H5471" s="263"/>
      <c r="I5471" s="86"/>
      <c r="J5471" s="86"/>
      <c r="K5471" s="264"/>
      <c r="M5471" s="265"/>
    </row>
    <row r="5472" ht="15.75" customHeight="1">
      <c r="A5472" s="266"/>
      <c r="B5472" s="267"/>
      <c r="C5472" s="266"/>
      <c r="D5472" s="267"/>
      <c r="E5472" s="268"/>
      <c r="F5472" s="267"/>
      <c r="G5472" s="269"/>
      <c r="H5472" s="263"/>
      <c r="I5472" s="86"/>
      <c r="J5472" s="86"/>
      <c r="K5472" s="264"/>
      <c r="M5472" s="265"/>
    </row>
    <row r="5473" ht="15.75" customHeight="1">
      <c r="A5473" s="266"/>
      <c r="B5473" s="267"/>
      <c r="C5473" s="266"/>
      <c r="D5473" s="267"/>
      <c r="E5473" s="268"/>
      <c r="F5473" s="267"/>
      <c r="G5473" s="269"/>
      <c r="H5473" s="263"/>
      <c r="I5473" s="86"/>
      <c r="J5473" s="86"/>
      <c r="K5473" s="264"/>
      <c r="M5473" s="265"/>
    </row>
    <row r="5474" ht="15.75" customHeight="1">
      <c r="A5474" s="266"/>
      <c r="B5474" s="267"/>
      <c r="C5474" s="266"/>
      <c r="D5474" s="267"/>
      <c r="E5474" s="268"/>
      <c r="F5474" s="267"/>
      <c r="G5474" s="269"/>
      <c r="H5474" s="263"/>
      <c r="I5474" s="86"/>
      <c r="J5474" s="86"/>
      <c r="K5474" s="264"/>
      <c r="M5474" s="265"/>
    </row>
    <row r="5475" ht="15.75" customHeight="1">
      <c r="A5475" s="266"/>
      <c r="B5475" s="267"/>
      <c r="C5475" s="266"/>
      <c r="D5475" s="267"/>
      <c r="E5475" s="268"/>
      <c r="F5475" s="267"/>
      <c r="G5475" s="269"/>
      <c r="H5475" s="263"/>
      <c r="I5475" s="86"/>
      <c r="J5475" s="86"/>
      <c r="K5475" s="264"/>
      <c r="M5475" s="265"/>
    </row>
    <row r="5476" ht="15.75" customHeight="1">
      <c r="A5476" s="266"/>
      <c r="B5476" s="267"/>
      <c r="C5476" s="266"/>
      <c r="D5476" s="267"/>
      <c r="E5476" s="268"/>
      <c r="F5476" s="267"/>
      <c r="G5476" s="269"/>
      <c r="H5476" s="263"/>
      <c r="I5476" s="86"/>
      <c r="J5476" s="86"/>
      <c r="K5476" s="264"/>
      <c r="M5476" s="265"/>
    </row>
    <row r="5477" ht="15.75" customHeight="1">
      <c r="A5477" s="266"/>
      <c r="B5477" s="267"/>
      <c r="C5477" s="266"/>
      <c r="D5477" s="267"/>
      <c r="E5477" s="268"/>
      <c r="F5477" s="267"/>
      <c r="G5477" s="269"/>
      <c r="H5477" s="263"/>
      <c r="I5477" s="86"/>
      <c r="J5477" s="86"/>
      <c r="K5477" s="264"/>
      <c r="M5477" s="265"/>
    </row>
    <row r="5478" ht="15.75" customHeight="1">
      <c r="A5478" s="266"/>
      <c r="B5478" s="267"/>
      <c r="C5478" s="266"/>
      <c r="D5478" s="267"/>
      <c r="E5478" s="268"/>
      <c r="F5478" s="267"/>
      <c r="G5478" s="269"/>
      <c r="H5478" s="263"/>
      <c r="I5478" s="86"/>
      <c r="J5478" s="86"/>
      <c r="K5478" s="264"/>
      <c r="M5478" s="265"/>
    </row>
    <row r="5479" ht="15.75" customHeight="1">
      <c r="A5479" s="266"/>
      <c r="B5479" s="267"/>
      <c r="C5479" s="266"/>
      <c r="D5479" s="267"/>
      <c r="E5479" s="268"/>
      <c r="F5479" s="267"/>
      <c r="G5479" s="269"/>
      <c r="H5479" s="263"/>
      <c r="I5479" s="86"/>
      <c r="J5479" s="86"/>
      <c r="K5479" s="264"/>
      <c r="M5479" s="265"/>
    </row>
    <row r="5480" ht="15.75" customHeight="1">
      <c r="A5480" s="266"/>
      <c r="B5480" s="267"/>
      <c r="C5480" s="266"/>
      <c r="D5480" s="267"/>
      <c r="E5480" s="268"/>
      <c r="F5480" s="267"/>
      <c r="G5480" s="269"/>
      <c r="H5480" s="263"/>
      <c r="I5480" s="86"/>
      <c r="J5480" s="86"/>
      <c r="K5480" s="264"/>
      <c r="M5480" s="265"/>
    </row>
    <row r="5481" ht="15.75" customHeight="1">
      <c r="A5481" s="266"/>
      <c r="B5481" s="267"/>
      <c r="C5481" s="266"/>
      <c r="D5481" s="267"/>
      <c r="E5481" s="268"/>
      <c r="F5481" s="267"/>
      <c r="G5481" s="269"/>
      <c r="H5481" s="263"/>
      <c r="I5481" s="86"/>
      <c r="J5481" s="86"/>
      <c r="K5481" s="264"/>
      <c r="M5481" s="265"/>
    </row>
    <row r="5482" ht="15.75" customHeight="1">
      <c r="A5482" s="266"/>
      <c r="B5482" s="267"/>
      <c r="C5482" s="266"/>
      <c r="D5482" s="267"/>
      <c r="E5482" s="268"/>
      <c r="F5482" s="267"/>
      <c r="G5482" s="269"/>
      <c r="H5482" s="263"/>
      <c r="I5482" s="86"/>
      <c r="J5482" s="86"/>
      <c r="K5482" s="264"/>
      <c r="M5482" s="265"/>
    </row>
    <row r="5483" ht="15.75" customHeight="1">
      <c r="A5483" s="266"/>
      <c r="B5483" s="267"/>
      <c r="C5483" s="266"/>
      <c r="D5483" s="267"/>
      <c r="E5483" s="268"/>
      <c r="F5483" s="267"/>
      <c r="G5483" s="269"/>
      <c r="H5483" s="263"/>
      <c r="I5483" s="86"/>
      <c r="J5483" s="86"/>
      <c r="K5483" s="264"/>
      <c r="M5483" s="265"/>
    </row>
    <row r="5484" ht="15.75" customHeight="1">
      <c r="A5484" s="266"/>
      <c r="B5484" s="267"/>
      <c r="C5484" s="266"/>
      <c r="D5484" s="267"/>
      <c r="E5484" s="268"/>
      <c r="F5484" s="267"/>
      <c r="G5484" s="269"/>
      <c r="H5484" s="263"/>
      <c r="I5484" s="86"/>
      <c r="J5484" s="86"/>
      <c r="K5484" s="264"/>
      <c r="M5484" s="265"/>
    </row>
    <row r="5485" ht="15.75" customHeight="1">
      <c r="A5485" s="266"/>
      <c r="B5485" s="267"/>
      <c r="C5485" s="266"/>
      <c r="D5485" s="267"/>
      <c r="E5485" s="268"/>
      <c r="F5485" s="267"/>
      <c r="G5485" s="269"/>
      <c r="H5485" s="263"/>
      <c r="I5485" s="86"/>
      <c r="J5485" s="86"/>
      <c r="K5485" s="264"/>
      <c r="M5485" s="265"/>
    </row>
    <row r="5486" ht="15.75" customHeight="1">
      <c r="A5486" s="266"/>
      <c r="B5486" s="267"/>
      <c r="C5486" s="266"/>
      <c r="D5486" s="267"/>
      <c r="E5486" s="268"/>
      <c r="F5486" s="267"/>
      <c r="G5486" s="269"/>
      <c r="H5486" s="263"/>
      <c r="I5486" s="86"/>
      <c r="J5486" s="86"/>
      <c r="K5486" s="264"/>
      <c r="M5486" s="265"/>
    </row>
    <row r="5487" ht="15.75" customHeight="1">
      <c r="A5487" s="266"/>
      <c r="B5487" s="267"/>
      <c r="C5487" s="266"/>
      <c r="D5487" s="267"/>
      <c r="E5487" s="268"/>
      <c r="F5487" s="267"/>
      <c r="G5487" s="269"/>
      <c r="H5487" s="263"/>
      <c r="I5487" s="86"/>
      <c r="J5487" s="86"/>
      <c r="K5487" s="264"/>
      <c r="M5487" s="265"/>
    </row>
    <row r="5488" ht="15.75" customHeight="1">
      <c r="A5488" s="266"/>
      <c r="B5488" s="267"/>
      <c r="C5488" s="266"/>
      <c r="D5488" s="267"/>
      <c r="E5488" s="268"/>
      <c r="F5488" s="267"/>
      <c r="G5488" s="269"/>
      <c r="H5488" s="263"/>
      <c r="I5488" s="86"/>
      <c r="J5488" s="86"/>
      <c r="K5488" s="264"/>
      <c r="M5488" s="265"/>
    </row>
    <row r="5489" ht="15.75" customHeight="1">
      <c r="A5489" s="266"/>
      <c r="B5489" s="267"/>
      <c r="C5489" s="266"/>
      <c r="D5489" s="267"/>
      <c r="E5489" s="268"/>
      <c r="F5489" s="267"/>
      <c r="G5489" s="269"/>
      <c r="H5489" s="263"/>
      <c r="I5489" s="86"/>
      <c r="J5489" s="86"/>
      <c r="K5489" s="264"/>
      <c r="M5489" s="265"/>
    </row>
    <row r="5490" ht="15.75" customHeight="1">
      <c r="A5490" s="266"/>
      <c r="B5490" s="267"/>
      <c r="C5490" s="266"/>
      <c r="D5490" s="267"/>
      <c r="E5490" s="268"/>
      <c r="F5490" s="267"/>
      <c r="G5490" s="269"/>
      <c r="H5490" s="263"/>
      <c r="I5490" s="86"/>
      <c r="J5490" s="86"/>
      <c r="K5490" s="264"/>
      <c r="M5490" s="265"/>
    </row>
    <row r="5491" ht="15.75" customHeight="1">
      <c r="A5491" s="266"/>
      <c r="B5491" s="267"/>
      <c r="C5491" s="266"/>
      <c r="D5491" s="267"/>
      <c r="E5491" s="268"/>
      <c r="F5491" s="267"/>
      <c r="G5491" s="269"/>
      <c r="H5491" s="263"/>
      <c r="I5491" s="86"/>
      <c r="J5491" s="86"/>
      <c r="K5491" s="264"/>
      <c r="M5491" s="265"/>
    </row>
    <row r="5492" ht="15.75" customHeight="1">
      <c r="A5492" s="266"/>
      <c r="B5492" s="267"/>
      <c r="C5492" s="266"/>
      <c r="D5492" s="267"/>
      <c r="E5492" s="268"/>
      <c r="F5492" s="267"/>
      <c r="G5492" s="269"/>
      <c r="H5492" s="263"/>
      <c r="I5492" s="86"/>
      <c r="J5492" s="86"/>
      <c r="K5492" s="264"/>
      <c r="M5492" s="265"/>
    </row>
    <row r="5493" ht="15.75" customHeight="1">
      <c r="A5493" s="266"/>
      <c r="B5493" s="267"/>
      <c r="C5493" s="266"/>
      <c r="D5493" s="267"/>
      <c r="E5493" s="268"/>
      <c r="F5493" s="267"/>
      <c r="G5493" s="269"/>
      <c r="H5493" s="263"/>
      <c r="I5493" s="86"/>
      <c r="J5493" s="86"/>
      <c r="K5493" s="264"/>
      <c r="M5493" s="265"/>
    </row>
    <row r="5494" ht="15.75" customHeight="1">
      <c r="A5494" s="266"/>
      <c r="B5494" s="267"/>
      <c r="C5494" s="266"/>
      <c r="D5494" s="267"/>
      <c r="E5494" s="268"/>
      <c r="F5494" s="267"/>
      <c r="G5494" s="269"/>
      <c r="H5494" s="263"/>
      <c r="I5494" s="86"/>
      <c r="J5494" s="86"/>
      <c r="K5494" s="264"/>
      <c r="M5494" s="265"/>
    </row>
    <row r="5495" ht="15.75" customHeight="1">
      <c r="A5495" s="266"/>
      <c r="B5495" s="267"/>
      <c r="C5495" s="266"/>
      <c r="D5495" s="267"/>
      <c r="E5495" s="268"/>
      <c r="F5495" s="267"/>
      <c r="G5495" s="269"/>
      <c r="H5495" s="263"/>
      <c r="I5495" s="86"/>
      <c r="J5495" s="86"/>
      <c r="K5495" s="264"/>
      <c r="M5495" s="265"/>
    </row>
    <row r="5496" ht="15.75" customHeight="1">
      <c r="A5496" s="266"/>
      <c r="B5496" s="267"/>
      <c r="C5496" s="266"/>
      <c r="D5496" s="267"/>
      <c r="E5496" s="268"/>
      <c r="F5496" s="267"/>
      <c r="G5496" s="269"/>
      <c r="H5496" s="263"/>
      <c r="I5496" s="86"/>
      <c r="J5496" s="86"/>
      <c r="K5496" s="264"/>
      <c r="M5496" s="265"/>
    </row>
    <row r="5497" ht="15.75" customHeight="1">
      <c r="A5497" s="266"/>
      <c r="B5497" s="267"/>
      <c r="C5497" s="266"/>
      <c r="D5497" s="267"/>
      <c r="E5497" s="268"/>
      <c r="F5497" s="267"/>
      <c r="G5497" s="269"/>
      <c r="H5497" s="263"/>
      <c r="I5497" s="86"/>
      <c r="J5497" s="86"/>
      <c r="K5497" s="264"/>
      <c r="M5497" s="265"/>
    </row>
    <row r="5498" ht="15.75" customHeight="1">
      <c r="A5498" s="266"/>
      <c r="B5498" s="267"/>
      <c r="C5498" s="266"/>
      <c r="D5498" s="267"/>
      <c r="E5498" s="268"/>
      <c r="F5498" s="267"/>
      <c r="G5498" s="269"/>
      <c r="H5498" s="263"/>
      <c r="I5498" s="86"/>
      <c r="J5498" s="86"/>
      <c r="K5498" s="264"/>
      <c r="M5498" s="265"/>
    </row>
    <row r="5499" ht="15.75" customHeight="1">
      <c r="A5499" s="266"/>
      <c r="B5499" s="267"/>
      <c r="C5499" s="266"/>
      <c r="D5499" s="267"/>
      <c r="E5499" s="268"/>
      <c r="F5499" s="267"/>
      <c r="G5499" s="269"/>
      <c r="H5499" s="263"/>
      <c r="I5499" s="86"/>
      <c r="J5499" s="86"/>
      <c r="K5499" s="264"/>
      <c r="M5499" s="265"/>
    </row>
    <row r="5500" ht="15.75" customHeight="1">
      <c r="A5500" s="266"/>
      <c r="B5500" s="267"/>
      <c r="C5500" s="266"/>
      <c r="D5500" s="267"/>
      <c r="E5500" s="268"/>
      <c r="F5500" s="267"/>
      <c r="G5500" s="269"/>
      <c r="H5500" s="263"/>
      <c r="I5500" s="86"/>
      <c r="J5500" s="86"/>
      <c r="K5500" s="264"/>
      <c r="M5500" s="265"/>
    </row>
    <row r="5501" ht="15.75" customHeight="1">
      <c r="A5501" s="266"/>
      <c r="B5501" s="267"/>
      <c r="C5501" s="266"/>
      <c r="D5501" s="267"/>
      <c r="E5501" s="268"/>
      <c r="F5501" s="267"/>
      <c r="G5501" s="269"/>
      <c r="H5501" s="263"/>
      <c r="I5501" s="86"/>
      <c r="J5501" s="86"/>
      <c r="K5501" s="264"/>
      <c r="M5501" s="265"/>
    </row>
    <row r="5502" ht="15.75" customHeight="1">
      <c r="A5502" s="266"/>
      <c r="B5502" s="267"/>
      <c r="C5502" s="266"/>
      <c r="D5502" s="267"/>
      <c r="E5502" s="268"/>
      <c r="F5502" s="267"/>
      <c r="G5502" s="269"/>
      <c r="H5502" s="263"/>
      <c r="I5502" s="86"/>
      <c r="J5502" s="86"/>
      <c r="K5502" s="264"/>
      <c r="M5502" s="265"/>
    </row>
    <row r="5503" ht="15.75" customHeight="1">
      <c r="A5503" s="266"/>
      <c r="B5503" s="267"/>
      <c r="C5503" s="266"/>
      <c r="D5503" s="267"/>
      <c r="E5503" s="268"/>
      <c r="F5503" s="267"/>
      <c r="G5503" s="269"/>
      <c r="H5503" s="263"/>
      <c r="I5503" s="86"/>
      <c r="J5503" s="86"/>
      <c r="K5503" s="264"/>
      <c r="M5503" s="265"/>
    </row>
    <row r="5504" ht="15.75" customHeight="1">
      <c r="A5504" s="266"/>
      <c r="B5504" s="267"/>
      <c r="C5504" s="266"/>
      <c r="D5504" s="267"/>
      <c r="E5504" s="268"/>
      <c r="F5504" s="267"/>
      <c r="G5504" s="269"/>
      <c r="H5504" s="263"/>
      <c r="I5504" s="86"/>
      <c r="J5504" s="86"/>
      <c r="K5504" s="264"/>
      <c r="M5504" s="265"/>
    </row>
    <row r="5505" ht="15.75" customHeight="1">
      <c r="A5505" s="266"/>
      <c r="B5505" s="267"/>
      <c r="C5505" s="266"/>
      <c r="D5505" s="267"/>
      <c r="E5505" s="268"/>
      <c r="F5505" s="267"/>
      <c r="G5505" s="269"/>
      <c r="H5505" s="263"/>
      <c r="I5505" s="86"/>
      <c r="J5505" s="86"/>
      <c r="K5505" s="264"/>
      <c r="M5505" s="265"/>
    </row>
    <row r="5506" ht="15.75" customHeight="1">
      <c r="A5506" s="266"/>
      <c r="B5506" s="267"/>
      <c r="C5506" s="266"/>
      <c r="D5506" s="267"/>
      <c r="E5506" s="268"/>
      <c r="F5506" s="267"/>
      <c r="G5506" s="269"/>
      <c r="H5506" s="263"/>
      <c r="I5506" s="86"/>
      <c r="J5506" s="86"/>
      <c r="K5506" s="264"/>
      <c r="M5506" s="265"/>
    </row>
    <row r="5507" ht="15.75" customHeight="1">
      <c r="A5507" s="266"/>
      <c r="B5507" s="267"/>
      <c r="C5507" s="266"/>
      <c r="D5507" s="267"/>
      <c r="E5507" s="268"/>
      <c r="F5507" s="267"/>
      <c r="G5507" s="269"/>
      <c r="H5507" s="263"/>
      <c r="I5507" s="86"/>
      <c r="J5507" s="86"/>
      <c r="K5507" s="264"/>
      <c r="M5507" s="265"/>
    </row>
    <row r="5508" ht="15.75" customHeight="1">
      <c r="A5508" s="266"/>
      <c r="B5508" s="267"/>
      <c r="C5508" s="266"/>
      <c r="D5508" s="267"/>
      <c r="E5508" s="268"/>
      <c r="F5508" s="267"/>
      <c r="G5508" s="269"/>
      <c r="H5508" s="263"/>
      <c r="I5508" s="86"/>
      <c r="J5508" s="86"/>
      <c r="K5508" s="264"/>
      <c r="M5508" s="265"/>
    </row>
    <row r="5509" ht="15.75" customHeight="1">
      <c r="A5509" s="266"/>
      <c r="B5509" s="267"/>
      <c r="C5509" s="266"/>
      <c r="D5509" s="267"/>
      <c r="E5509" s="268"/>
      <c r="F5509" s="267"/>
      <c r="G5509" s="269"/>
      <c r="H5509" s="263"/>
      <c r="I5509" s="86"/>
      <c r="J5509" s="86"/>
      <c r="K5509" s="264"/>
      <c r="M5509" s="265"/>
    </row>
    <row r="5510" ht="15.75" customHeight="1">
      <c r="A5510" s="266"/>
      <c r="B5510" s="267"/>
      <c r="C5510" s="266"/>
      <c r="D5510" s="267"/>
      <c r="E5510" s="268"/>
      <c r="F5510" s="267"/>
      <c r="G5510" s="269"/>
      <c r="H5510" s="263"/>
      <c r="I5510" s="86"/>
      <c r="J5510" s="86"/>
      <c r="K5510" s="264"/>
      <c r="M5510" s="265"/>
    </row>
    <row r="5511" ht="15.75" customHeight="1">
      <c r="A5511" s="266"/>
      <c r="B5511" s="267"/>
      <c r="C5511" s="266"/>
      <c r="D5511" s="267"/>
      <c r="E5511" s="268"/>
      <c r="F5511" s="267"/>
      <c r="G5511" s="269"/>
      <c r="H5511" s="263"/>
      <c r="I5511" s="86"/>
      <c r="J5511" s="86"/>
      <c r="K5511" s="264"/>
      <c r="M5511" s="265"/>
    </row>
    <row r="5512" ht="15.75" customHeight="1">
      <c r="A5512" s="266"/>
      <c r="B5512" s="267"/>
      <c r="C5512" s="266"/>
      <c r="D5512" s="267"/>
      <c r="E5512" s="268"/>
      <c r="F5512" s="267"/>
      <c r="G5512" s="269"/>
      <c r="H5512" s="263"/>
      <c r="I5512" s="86"/>
      <c r="J5512" s="86"/>
      <c r="K5512" s="264"/>
      <c r="M5512" s="265"/>
    </row>
    <row r="5513" ht="15.75" customHeight="1">
      <c r="A5513" s="266"/>
      <c r="B5513" s="267"/>
      <c r="C5513" s="266"/>
      <c r="D5513" s="267"/>
      <c r="E5513" s="268"/>
      <c r="F5513" s="267"/>
      <c r="G5513" s="269"/>
      <c r="H5513" s="263"/>
      <c r="I5513" s="86"/>
      <c r="J5513" s="86"/>
      <c r="K5513" s="264"/>
      <c r="M5513" s="265"/>
    </row>
    <row r="5514" ht="15.75" customHeight="1">
      <c r="A5514" s="266"/>
      <c r="B5514" s="267"/>
      <c r="C5514" s="266"/>
      <c r="D5514" s="267"/>
      <c r="E5514" s="268"/>
      <c r="F5514" s="267"/>
      <c r="G5514" s="269"/>
      <c r="H5514" s="263"/>
      <c r="I5514" s="86"/>
      <c r="J5514" s="86"/>
      <c r="K5514" s="264"/>
      <c r="M5514" s="265"/>
    </row>
    <row r="5515" ht="15.75" customHeight="1">
      <c r="A5515" s="266"/>
      <c r="B5515" s="267"/>
      <c r="C5515" s="266"/>
      <c r="D5515" s="267"/>
      <c r="E5515" s="268"/>
      <c r="F5515" s="267"/>
      <c r="G5515" s="269"/>
      <c r="H5515" s="263"/>
      <c r="I5515" s="86"/>
      <c r="J5515" s="86"/>
      <c r="K5515" s="264"/>
      <c r="M5515" s="265"/>
    </row>
    <row r="5516" ht="15.75" customHeight="1">
      <c r="A5516" s="266"/>
      <c r="B5516" s="267"/>
      <c r="C5516" s="266"/>
      <c r="D5516" s="267"/>
      <c r="E5516" s="268"/>
      <c r="F5516" s="267"/>
      <c r="G5516" s="269"/>
      <c r="H5516" s="263"/>
      <c r="I5516" s="86"/>
      <c r="J5516" s="86"/>
      <c r="K5516" s="264"/>
      <c r="M5516" s="265"/>
    </row>
    <row r="5517" ht="15.75" customHeight="1">
      <c r="A5517" s="266"/>
      <c r="B5517" s="267"/>
      <c r="C5517" s="266"/>
      <c r="D5517" s="267"/>
      <c r="E5517" s="268"/>
      <c r="F5517" s="267"/>
      <c r="G5517" s="269"/>
      <c r="H5517" s="263"/>
      <c r="I5517" s="86"/>
      <c r="J5517" s="86"/>
      <c r="K5517" s="264"/>
      <c r="M5517" s="265"/>
    </row>
    <row r="5518" ht="15.75" customHeight="1">
      <c r="A5518" s="266"/>
      <c r="B5518" s="267"/>
      <c r="C5518" s="266"/>
      <c r="D5518" s="267"/>
      <c r="E5518" s="268"/>
      <c r="F5518" s="267"/>
      <c r="G5518" s="269"/>
      <c r="H5518" s="263"/>
      <c r="I5518" s="86"/>
      <c r="J5518" s="86"/>
      <c r="K5518" s="264"/>
      <c r="M5518" s="265"/>
    </row>
    <row r="5519" ht="15.75" customHeight="1">
      <c r="A5519" s="266"/>
      <c r="B5519" s="267"/>
      <c r="C5519" s="266"/>
      <c r="D5519" s="267"/>
      <c r="E5519" s="268"/>
      <c r="F5519" s="267"/>
      <c r="G5519" s="269"/>
      <c r="H5519" s="263"/>
      <c r="I5519" s="86"/>
      <c r="J5519" s="86"/>
      <c r="K5519" s="264"/>
      <c r="M5519" s="265"/>
    </row>
    <row r="5520" ht="15.75" customHeight="1">
      <c r="A5520" s="266"/>
      <c r="B5520" s="267"/>
      <c r="C5520" s="266"/>
      <c r="D5520" s="267"/>
      <c r="E5520" s="268"/>
      <c r="F5520" s="267"/>
      <c r="G5520" s="269"/>
      <c r="H5520" s="263"/>
      <c r="I5520" s="86"/>
      <c r="J5520" s="86"/>
      <c r="K5520" s="264"/>
      <c r="M5520" s="265"/>
    </row>
    <row r="5521" ht="15.75" customHeight="1">
      <c r="A5521" s="266"/>
      <c r="B5521" s="267"/>
      <c r="C5521" s="266"/>
      <c r="D5521" s="267"/>
      <c r="E5521" s="268"/>
      <c r="F5521" s="267"/>
      <c r="G5521" s="269"/>
      <c r="H5521" s="263"/>
      <c r="I5521" s="86"/>
      <c r="J5521" s="86"/>
      <c r="K5521" s="264"/>
      <c r="M5521" s="265"/>
    </row>
    <row r="5522" ht="15.75" customHeight="1">
      <c r="A5522" s="266"/>
      <c r="B5522" s="267"/>
      <c r="C5522" s="266"/>
      <c r="D5522" s="267"/>
      <c r="E5522" s="268"/>
      <c r="F5522" s="267"/>
      <c r="G5522" s="269"/>
      <c r="H5522" s="263"/>
      <c r="I5522" s="86"/>
      <c r="J5522" s="86"/>
      <c r="K5522" s="264"/>
      <c r="M5522" s="265"/>
    </row>
    <row r="5523" ht="15.75" customHeight="1">
      <c r="A5523" s="266"/>
      <c r="B5523" s="267"/>
      <c r="C5523" s="266"/>
      <c r="D5523" s="267"/>
      <c r="E5523" s="268"/>
      <c r="F5523" s="267"/>
      <c r="G5523" s="269"/>
      <c r="H5523" s="263"/>
      <c r="I5523" s="86"/>
      <c r="J5523" s="86"/>
      <c r="K5523" s="264"/>
      <c r="M5523" s="265"/>
    </row>
    <row r="5524" ht="15.75" customHeight="1">
      <c r="A5524" s="266"/>
      <c r="B5524" s="267"/>
      <c r="C5524" s="266"/>
      <c r="D5524" s="267"/>
      <c r="E5524" s="268"/>
      <c r="F5524" s="267"/>
      <c r="G5524" s="269"/>
      <c r="H5524" s="263"/>
      <c r="I5524" s="86"/>
      <c r="J5524" s="86"/>
      <c r="K5524" s="264"/>
      <c r="M5524" s="265"/>
    </row>
    <row r="5525" ht="15.75" customHeight="1">
      <c r="A5525" s="266"/>
      <c r="B5525" s="267"/>
      <c r="C5525" s="266"/>
      <c r="D5525" s="267"/>
      <c r="E5525" s="268"/>
      <c r="F5525" s="267"/>
      <c r="G5525" s="269"/>
      <c r="H5525" s="263"/>
      <c r="I5525" s="86"/>
      <c r="J5525" s="86"/>
      <c r="K5525" s="264"/>
      <c r="M5525" s="265"/>
    </row>
    <row r="5526" ht="15.75" customHeight="1">
      <c r="A5526" s="266"/>
      <c r="B5526" s="267"/>
      <c r="C5526" s="266"/>
      <c r="D5526" s="267"/>
      <c r="E5526" s="268"/>
      <c r="F5526" s="267"/>
      <c r="G5526" s="269"/>
      <c r="H5526" s="263"/>
      <c r="I5526" s="86"/>
      <c r="J5526" s="86"/>
      <c r="K5526" s="264"/>
      <c r="M5526" s="265"/>
    </row>
    <row r="5527" ht="15.75" customHeight="1">
      <c r="A5527" s="266"/>
      <c r="B5527" s="267"/>
      <c r="C5527" s="266"/>
      <c r="D5527" s="267"/>
      <c r="E5527" s="268"/>
      <c r="F5527" s="267"/>
      <c r="G5527" s="269"/>
      <c r="H5527" s="263"/>
      <c r="I5527" s="86"/>
      <c r="J5527" s="86"/>
      <c r="K5527" s="264"/>
      <c r="M5527" s="265"/>
    </row>
    <row r="5528" ht="15.75" customHeight="1">
      <c r="A5528" s="266"/>
      <c r="B5528" s="267"/>
      <c r="C5528" s="266"/>
      <c r="D5528" s="267"/>
      <c r="E5528" s="268"/>
      <c r="F5528" s="267"/>
      <c r="G5528" s="269"/>
      <c r="H5528" s="263"/>
      <c r="I5528" s="86"/>
      <c r="J5528" s="86"/>
      <c r="K5528" s="264"/>
      <c r="M5528" s="265"/>
    </row>
    <row r="5529" ht="15.75" customHeight="1">
      <c r="A5529" s="266"/>
      <c r="B5529" s="267"/>
      <c r="C5529" s="266"/>
      <c r="D5529" s="267"/>
      <c r="E5529" s="268"/>
      <c r="F5529" s="267"/>
      <c r="G5529" s="269"/>
      <c r="H5529" s="263"/>
      <c r="I5529" s="86"/>
      <c r="J5529" s="86"/>
      <c r="K5529" s="264"/>
      <c r="M5529" s="265"/>
    </row>
    <row r="5530" ht="15.75" customHeight="1">
      <c r="A5530" s="266"/>
      <c r="B5530" s="267"/>
      <c r="C5530" s="266"/>
      <c r="D5530" s="267"/>
      <c r="E5530" s="268"/>
      <c r="F5530" s="267"/>
      <c r="G5530" s="269"/>
      <c r="H5530" s="263"/>
      <c r="I5530" s="86"/>
      <c r="J5530" s="86"/>
      <c r="K5530" s="264"/>
      <c r="M5530" s="265"/>
    </row>
    <row r="5531" ht="15.75" customHeight="1">
      <c r="A5531" s="266"/>
      <c r="B5531" s="267"/>
      <c r="C5531" s="266"/>
      <c r="D5531" s="267"/>
      <c r="E5531" s="268"/>
      <c r="F5531" s="267"/>
      <c r="G5531" s="269"/>
      <c r="H5531" s="263"/>
      <c r="I5531" s="86"/>
      <c r="J5531" s="86"/>
      <c r="K5531" s="264"/>
      <c r="M5531" s="265"/>
    </row>
    <row r="5532" ht="15.75" customHeight="1">
      <c r="A5532" s="266"/>
      <c r="B5532" s="267"/>
      <c r="C5532" s="266"/>
      <c r="D5532" s="267"/>
      <c r="E5532" s="268"/>
      <c r="F5532" s="267"/>
      <c r="G5532" s="269"/>
      <c r="H5532" s="263"/>
      <c r="I5532" s="86"/>
      <c r="J5532" s="86"/>
      <c r="K5532" s="264"/>
      <c r="M5532" s="265"/>
    </row>
    <row r="5533" ht="15.75" customHeight="1">
      <c r="A5533" s="266"/>
      <c r="B5533" s="267"/>
      <c r="C5533" s="266"/>
      <c r="D5533" s="267"/>
      <c r="E5533" s="268"/>
      <c r="F5533" s="267"/>
      <c r="G5533" s="269"/>
      <c r="H5533" s="263"/>
      <c r="I5533" s="86"/>
      <c r="J5533" s="86"/>
      <c r="K5533" s="264"/>
      <c r="M5533" s="265"/>
    </row>
    <row r="5534" ht="15.75" customHeight="1">
      <c r="A5534" s="266"/>
      <c r="B5534" s="267"/>
      <c r="C5534" s="266"/>
      <c r="D5534" s="267"/>
      <c r="E5534" s="268"/>
      <c r="F5534" s="267"/>
      <c r="G5534" s="269"/>
      <c r="H5534" s="263"/>
      <c r="I5534" s="86"/>
      <c r="J5534" s="86"/>
      <c r="K5534" s="264"/>
      <c r="M5534" s="265"/>
    </row>
    <row r="5535" ht="15.75" customHeight="1">
      <c r="A5535" s="266"/>
      <c r="B5535" s="267"/>
      <c r="C5535" s="266"/>
      <c r="D5535" s="267"/>
      <c r="E5535" s="268"/>
      <c r="F5535" s="267"/>
      <c r="G5535" s="269"/>
      <c r="H5535" s="263"/>
      <c r="I5535" s="86"/>
      <c r="J5535" s="86"/>
      <c r="K5535" s="264"/>
      <c r="M5535" s="265"/>
    </row>
    <row r="5536" ht="15.75" customHeight="1">
      <c r="A5536" s="266"/>
      <c r="B5536" s="267"/>
      <c r="C5536" s="266"/>
      <c r="D5536" s="267"/>
      <c r="E5536" s="268"/>
      <c r="F5536" s="267"/>
      <c r="G5536" s="269"/>
      <c r="H5536" s="263"/>
      <c r="I5536" s="86"/>
      <c r="J5536" s="86"/>
      <c r="K5536" s="264"/>
      <c r="M5536" s="265"/>
    </row>
    <row r="5537" ht="15.75" customHeight="1">
      <c r="A5537" s="266"/>
      <c r="B5537" s="267"/>
      <c r="C5537" s="266"/>
      <c r="D5537" s="267"/>
      <c r="E5537" s="268"/>
      <c r="F5537" s="267"/>
      <c r="G5537" s="269"/>
      <c r="H5537" s="263"/>
      <c r="I5537" s="86"/>
      <c r="J5537" s="86"/>
      <c r="K5537" s="264"/>
      <c r="M5537" s="265"/>
    </row>
    <row r="5538" ht="15.75" customHeight="1">
      <c r="A5538" s="266"/>
      <c r="B5538" s="267"/>
      <c r="C5538" s="266"/>
      <c r="D5538" s="267"/>
      <c r="E5538" s="268"/>
      <c r="F5538" s="267"/>
      <c r="G5538" s="269"/>
      <c r="H5538" s="263"/>
      <c r="I5538" s="86"/>
      <c r="J5538" s="86"/>
      <c r="K5538" s="264"/>
      <c r="M5538" s="265"/>
    </row>
    <row r="5539" ht="15.75" customHeight="1">
      <c r="A5539" s="266"/>
      <c r="B5539" s="267"/>
      <c r="C5539" s="266"/>
      <c r="D5539" s="267"/>
      <c r="E5539" s="268"/>
      <c r="F5539" s="267"/>
      <c r="G5539" s="269"/>
      <c r="H5539" s="263"/>
      <c r="I5539" s="86"/>
      <c r="J5539" s="86"/>
      <c r="K5539" s="264"/>
      <c r="M5539" s="265"/>
    </row>
    <row r="5540" ht="15.75" customHeight="1">
      <c r="A5540" s="266"/>
      <c r="B5540" s="267"/>
      <c r="C5540" s="266"/>
      <c r="D5540" s="267"/>
      <c r="E5540" s="268"/>
      <c r="F5540" s="267"/>
      <c r="G5540" s="269"/>
      <c r="H5540" s="263"/>
      <c r="I5540" s="86"/>
      <c r="J5540" s="86"/>
      <c r="K5540" s="264"/>
      <c r="M5540" s="265"/>
    </row>
    <row r="5541" ht="15.75" customHeight="1">
      <c r="A5541" s="266"/>
      <c r="B5541" s="267"/>
      <c r="C5541" s="266"/>
      <c r="D5541" s="267"/>
      <c r="E5541" s="268"/>
      <c r="F5541" s="267"/>
      <c r="G5541" s="269"/>
      <c r="H5541" s="263"/>
      <c r="I5541" s="86"/>
      <c r="J5541" s="86"/>
      <c r="K5541" s="264"/>
      <c r="M5541" s="265"/>
    </row>
    <row r="5542" ht="15.75" customHeight="1">
      <c r="A5542" s="266"/>
      <c r="B5542" s="267"/>
      <c r="C5542" s="266"/>
      <c r="D5542" s="267"/>
      <c r="E5542" s="268"/>
      <c r="F5542" s="267"/>
      <c r="G5542" s="269"/>
      <c r="H5542" s="263"/>
      <c r="I5542" s="86"/>
      <c r="J5542" s="86"/>
      <c r="K5542" s="264"/>
      <c r="M5542" s="265"/>
    </row>
    <row r="5543" ht="15.75" customHeight="1">
      <c r="A5543" s="266"/>
      <c r="B5543" s="267"/>
      <c r="C5543" s="266"/>
      <c r="D5543" s="267"/>
      <c r="E5543" s="268"/>
      <c r="F5543" s="267"/>
      <c r="G5543" s="269"/>
      <c r="H5543" s="263"/>
      <c r="I5543" s="86"/>
      <c r="J5543" s="86"/>
      <c r="K5543" s="264"/>
      <c r="M5543" s="265"/>
    </row>
    <row r="5544" ht="15.75" customHeight="1">
      <c r="A5544" s="266"/>
      <c r="B5544" s="267"/>
      <c r="C5544" s="266"/>
      <c r="D5544" s="267"/>
      <c r="E5544" s="268"/>
      <c r="F5544" s="267"/>
      <c r="G5544" s="269"/>
      <c r="H5544" s="263"/>
      <c r="I5544" s="86"/>
      <c r="J5544" s="86"/>
      <c r="K5544" s="264"/>
      <c r="M5544" s="265"/>
    </row>
    <row r="5545" ht="15.75" customHeight="1">
      <c r="A5545" s="266"/>
      <c r="B5545" s="267"/>
      <c r="C5545" s="266"/>
      <c r="D5545" s="267"/>
      <c r="E5545" s="268"/>
      <c r="F5545" s="267"/>
      <c r="G5545" s="269"/>
      <c r="H5545" s="263"/>
      <c r="I5545" s="86"/>
      <c r="J5545" s="86"/>
      <c r="K5545" s="264"/>
      <c r="M5545" s="265"/>
    </row>
    <row r="5546" ht="15.75" customHeight="1">
      <c r="A5546" s="266"/>
      <c r="B5546" s="267"/>
      <c r="C5546" s="266"/>
      <c r="D5546" s="267"/>
      <c r="E5546" s="268"/>
      <c r="F5546" s="267"/>
      <c r="G5546" s="269"/>
      <c r="H5546" s="263"/>
      <c r="I5546" s="86"/>
      <c r="J5546" s="86"/>
      <c r="K5546" s="264"/>
      <c r="M5546" s="265"/>
    </row>
    <row r="5547" ht="15.75" customHeight="1">
      <c r="A5547" s="266"/>
      <c r="B5547" s="267"/>
      <c r="C5547" s="266"/>
      <c r="D5547" s="267"/>
      <c r="E5547" s="268"/>
      <c r="F5547" s="267"/>
      <c r="G5547" s="269"/>
      <c r="H5547" s="263"/>
      <c r="I5547" s="86"/>
      <c r="J5547" s="86"/>
      <c r="K5547" s="264"/>
      <c r="M5547" s="265"/>
    </row>
    <row r="5548" ht="15.75" customHeight="1">
      <c r="A5548" s="266"/>
      <c r="B5548" s="267"/>
      <c r="C5548" s="266"/>
      <c r="D5548" s="267"/>
      <c r="E5548" s="268"/>
      <c r="F5548" s="267"/>
      <c r="G5548" s="269"/>
      <c r="H5548" s="263"/>
      <c r="I5548" s="86"/>
      <c r="J5548" s="86"/>
      <c r="K5548" s="264"/>
      <c r="M5548" s="265"/>
    </row>
    <row r="5549" ht="15.75" customHeight="1">
      <c r="A5549" s="266"/>
      <c r="B5549" s="267"/>
      <c r="C5549" s="266"/>
      <c r="D5549" s="267"/>
      <c r="E5549" s="268"/>
      <c r="F5549" s="267"/>
      <c r="G5549" s="269"/>
      <c r="H5549" s="263"/>
      <c r="I5549" s="86"/>
      <c r="J5549" s="86"/>
      <c r="K5549" s="264"/>
      <c r="M5549" s="265"/>
    </row>
    <row r="5550" ht="15.75" customHeight="1">
      <c r="A5550" s="266"/>
      <c r="B5550" s="267"/>
      <c r="C5550" s="266"/>
      <c r="D5550" s="267"/>
      <c r="E5550" s="268"/>
      <c r="F5550" s="267"/>
      <c r="G5550" s="269"/>
      <c r="H5550" s="263"/>
      <c r="I5550" s="86"/>
      <c r="J5550" s="86"/>
      <c r="K5550" s="264"/>
      <c r="M5550" s="265"/>
    </row>
    <row r="5551" ht="15.75" customHeight="1">
      <c r="A5551" s="266"/>
      <c r="B5551" s="267"/>
      <c r="C5551" s="266"/>
      <c r="D5551" s="267"/>
      <c r="E5551" s="268"/>
      <c r="F5551" s="267"/>
      <c r="G5551" s="269"/>
      <c r="H5551" s="263"/>
      <c r="I5551" s="86"/>
      <c r="J5551" s="86"/>
      <c r="K5551" s="264"/>
      <c r="M5551" s="265"/>
    </row>
    <row r="5552" ht="15.75" customHeight="1">
      <c r="A5552" s="266"/>
      <c r="B5552" s="267"/>
      <c r="C5552" s="266"/>
      <c r="D5552" s="267"/>
      <c r="E5552" s="268"/>
      <c r="F5552" s="267"/>
      <c r="G5552" s="269"/>
      <c r="H5552" s="263"/>
      <c r="I5552" s="86"/>
      <c r="J5552" s="86"/>
      <c r="K5552" s="264"/>
      <c r="M5552" s="265"/>
    </row>
    <row r="5553" ht="15.75" customHeight="1">
      <c r="A5553" s="266"/>
      <c r="B5553" s="267"/>
      <c r="C5553" s="266"/>
      <c r="D5553" s="267"/>
      <c r="E5553" s="268"/>
      <c r="F5553" s="267"/>
      <c r="G5553" s="269"/>
      <c r="H5553" s="263"/>
      <c r="I5553" s="86"/>
      <c r="J5553" s="86"/>
      <c r="K5553" s="264"/>
      <c r="M5553" s="265"/>
    </row>
    <row r="5554" ht="15.75" customHeight="1">
      <c r="A5554" s="266"/>
      <c r="B5554" s="267"/>
      <c r="C5554" s="266"/>
      <c r="D5554" s="267"/>
      <c r="E5554" s="268"/>
      <c r="F5554" s="267"/>
      <c r="G5554" s="269"/>
      <c r="H5554" s="263"/>
      <c r="I5554" s="86"/>
      <c r="J5554" s="86"/>
      <c r="K5554" s="264"/>
      <c r="M5554" s="265"/>
    </row>
    <row r="5555" ht="15.75" customHeight="1">
      <c r="A5555" s="266"/>
      <c r="B5555" s="267"/>
      <c r="C5555" s="266"/>
      <c r="D5555" s="267"/>
      <c r="E5555" s="268"/>
      <c r="F5555" s="267"/>
      <c r="G5555" s="269"/>
      <c r="H5555" s="263"/>
      <c r="I5555" s="86"/>
      <c r="J5555" s="86"/>
      <c r="K5555" s="264"/>
      <c r="M5555" s="265"/>
    </row>
    <row r="5556" ht="15.75" customHeight="1">
      <c r="A5556" s="266"/>
      <c r="B5556" s="267"/>
      <c r="C5556" s="266"/>
      <c r="D5556" s="267"/>
      <c r="E5556" s="268"/>
      <c r="F5556" s="267"/>
      <c r="G5556" s="269"/>
      <c r="H5556" s="263"/>
      <c r="I5556" s="86"/>
      <c r="J5556" s="86"/>
      <c r="K5556" s="264"/>
      <c r="M5556" s="265"/>
    </row>
    <row r="5557" ht="15.75" customHeight="1">
      <c r="A5557" s="266"/>
      <c r="B5557" s="267"/>
      <c r="C5557" s="266"/>
      <c r="D5557" s="267"/>
      <c r="E5557" s="268"/>
      <c r="F5557" s="267"/>
      <c r="G5557" s="269"/>
      <c r="H5557" s="263"/>
      <c r="I5557" s="86"/>
      <c r="J5557" s="86"/>
      <c r="K5557" s="264"/>
      <c r="M5557" s="265"/>
    </row>
    <row r="5558" ht="15.75" customHeight="1">
      <c r="A5558" s="266"/>
      <c r="B5558" s="267"/>
      <c r="C5558" s="266"/>
      <c r="D5558" s="267"/>
      <c r="E5558" s="268"/>
      <c r="F5558" s="267"/>
      <c r="G5558" s="269"/>
      <c r="H5558" s="263"/>
      <c r="I5558" s="86"/>
      <c r="J5558" s="86"/>
      <c r="K5558" s="264"/>
      <c r="M5558" s="265"/>
    </row>
    <row r="5559" ht="15.75" customHeight="1">
      <c r="A5559" s="266"/>
      <c r="B5559" s="267"/>
      <c r="C5559" s="266"/>
      <c r="D5559" s="267"/>
      <c r="E5559" s="268"/>
      <c r="F5559" s="267"/>
      <c r="G5559" s="269"/>
      <c r="H5559" s="263"/>
      <c r="I5559" s="86"/>
      <c r="J5559" s="86"/>
      <c r="K5559" s="264"/>
      <c r="M5559" s="265"/>
    </row>
    <row r="5560" ht="15.75" customHeight="1">
      <c r="A5560" s="266"/>
      <c r="B5560" s="267"/>
      <c r="C5560" s="266"/>
      <c r="D5560" s="267"/>
      <c r="E5560" s="268"/>
      <c r="F5560" s="267"/>
      <c r="G5560" s="269"/>
      <c r="H5560" s="263"/>
      <c r="I5560" s="86"/>
      <c r="J5560" s="86"/>
      <c r="K5560" s="264"/>
      <c r="M5560" s="265"/>
    </row>
    <row r="5561" ht="15.75" customHeight="1">
      <c r="A5561" s="266"/>
      <c r="B5561" s="267"/>
      <c r="C5561" s="266"/>
      <c r="D5561" s="267"/>
      <c r="E5561" s="268"/>
      <c r="F5561" s="267"/>
      <c r="G5561" s="269"/>
      <c r="H5561" s="263"/>
      <c r="I5561" s="86"/>
      <c r="J5561" s="86"/>
      <c r="K5561" s="264"/>
      <c r="M5561" s="265"/>
    </row>
    <row r="5562" ht="15.75" customHeight="1">
      <c r="A5562" s="266"/>
      <c r="B5562" s="267"/>
      <c r="C5562" s="266"/>
      <c r="D5562" s="267"/>
      <c r="E5562" s="268"/>
      <c r="F5562" s="267"/>
      <c r="G5562" s="269"/>
      <c r="H5562" s="263"/>
      <c r="I5562" s="86"/>
      <c r="J5562" s="86"/>
      <c r="K5562" s="264"/>
      <c r="M5562" s="265"/>
    </row>
    <row r="5563" ht="15.75" customHeight="1">
      <c r="A5563" s="266"/>
      <c r="B5563" s="267"/>
      <c r="C5563" s="266"/>
      <c r="D5563" s="267"/>
      <c r="E5563" s="268"/>
      <c r="F5563" s="267"/>
      <c r="G5563" s="269"/>
      <c r="H5563" s="263"/>
      <c r="I5563" s="86"/>
      <c r="J5563" s="86"/>
      <c r="K5563" s="264"/>
      <c r="M5563" s="265"/>
    </row>
    <row r="5564" ht="15.75" customHeight="1">
      <c r="A5564" s="266"/>
      <c r="B5564" s="267"/>
      <c r="C5564" s="266"/>
      <c r="D5564" s="267"/>
      <c r="E5564" s="268"/>
      <c r="F5564" s="267"/>
      <c r="G5564" s="269"/>
      <c r="H5564" s="263"/>
      <c r="I5564" s="86"/>
      <c r="J5564" s="86"/>
      <c r="K5564" s="264"/>
      <c r="M5564" s="265"/>
    </row>
    <row r="5565" ht="15.75" customHeight="1">
      <c r="A5565" s="266"/>
      <c r="B5565" s="267"/>
      <c r="C5565" s="266"/>
      <c r="D5565" s="267"/>
      <c r="E5565" s="268"/>
      <c r="F5565" s="267"/>
      <c r="G5565" s="269"/>
      <c r="H5565" s="263"/>
      <c r="I5565" s="86"/>
      <c r="J5565" s="86"/>
      <c r="K5565" s="264"/>
      <c r="M5565" s="265"/>
    </row>
    <row r="5566" ht="15.75" customHeight="1">
      <c r="A5566" s="266"/>
      <c r="B5566" s="267"/>
      <c r="C5566" s="266"/>
      <c r="D5566" s="267"/>
      <c r="E5566" s="268"/>
      <c r="F5566" s="267"/>
      <c r="G5566" s="269"/>
      <c r="H5566" s="263"/>
      <c r="I5566" s="86"/>
      <c r="J5566" s="86"/>
      <c r="K5566" s="264"/>
      <c r="M5566" s="265"/>
    </row>
    <row r="5567" ht="15.75" customHeight="1">
      <c r="A5567" s="266"/>
      <c r="B5567" s="267"/>
      <c r="C5567" s="266"/>
      <c r="D5567" s="267"/>
      <c r="E5567" s="268"/>
      <c r="F5567" s="267"/>
      <c r="G5567" s="269"/>
      <c r="H5567" s="263"/>
      <c r="I5567" s="86"/>
      <c r="J5567" s="86"/>
      <c r="K5567" s="264"/>
      <c r="M5567" s="265"/>
    </row>
    <row r="5568" ht="15.75" customHeight="1">
      <c r="A5568" s="266"/>
      <c r="B5568" s="267"/>
      <c r="C5568" s="266"/>
      <c r="D5568" s="267"/>
      <c r="E5568" s="268"/>
      <c r="F5568" s="267"/>
      <c r="G5568" s="269"/>
      <c r="H5568" s="263"/>
      <c r="I5568" s="86"/>
      <c r="J5568" s="86"/>
      <c r="K5568" s="264"/>
      <c r="M5568" s="265"/>
    </row>
    <row r="5569" ht="15.75" customHeight="1">
      <c r="A5569" s="266"/>
      <c r="B5569" s="267"/>
      <c r="C5569" s="266"/>
      <c r="D5569" s="267"/>
      <c r="E5569" s="268"/>
      <c r="F5569" s="267"/>
      <c r="G5569" s="269"/>
      <c r="H5569" s="263"/>
      <c r="I5569" s="86"/>
      <c r="J5569" s="86"/>
      <c r="K5569" s="264"/>
      <c r="M5569" s="265"/>
    </row>
    <row r="5570" ht="15.75" customHeight="1">
      <c r="A5570" s="266"/>
      <c r="B5570" s="267"/>
      <c r="C5570" s="266"/>
      <c r="D5570" s="267"/>
      <c r="E5570" s="268"/>
      <c r="F5570" s="267"/>
      <c r="G5570" s="269"/>
      <c r="H5570" s="263"/>
      <c r="I5570" s="86"/>
      <c r="J5570" s="86"/>
      <c r="K5570" s="264"/>
      <c r="M5570" s="265"/>
    </row>
    <row r="5571" ht="15.75" customHeight="1">
      <c r="A5571" s="266"/>
      <c r="B5571" s="267"/>
      <c r="C5571" s="266"/>
      <c r="D5571" s="267"/>
      <c r="E5571" s="268"/>
      <c r="F5571" s="267"/>
      <c r="G5571" s="269"/>
      <c r="H5571" s="263"/>
      <c r="I5571" s="86"/>
      <c r="J5571" s="86"/>
      <c r="K5571" s="264"/>
      <c r="M5571" s="265"/>
    </row>
    <row r="5572" ht="15.75" customHeight="1">
      <c r="A5572" s="266"/>
      <c r="B5572" s="267"/>
      <c r="C5572" s="266"/>
      <c r="D5572" s="267"/>
      <c r="E5572" s="268"/>
      <c r="F5572" s="267"/>
      <c r="G5572" s="269"/>
      <c r="H5572" s="263"/>
      <c r="I5572" s="86"/>
      <c r="J5572" s="86"/>
      <c r="K5572" s="264"/>
      <c r="M5572" s="265"/>
    </row>
    <row r="5573" ht="15.75" customHeight="1">
      <c r="A5573" s="266"/>
      <c r="B5573" s="267"/>
      <c r="C5573" s="266"/>
      <c r="D5573" s="267"/>
      <c r="E5573" s="268"/>
      <c r="F5573" s="267"/>
      <c r="G5573" s="269"/>
      <c r="H5573" s="263"/>
      <c r="I5573" s="86"/>
      <c r="J5573" s="86"/>
      <c r="K5573" s="264"/>
      <c r="M5573" s="265"/>
    </row>
    <row r="5574" ht="15.75" customHeight="1">
      <c r="A5574" s="266"/>
      <c r="B5574" s="267"/>
      <c r="C5574" s="266"/>
      <c r="D5574" s="267"/>
      <c r="E5574" s="268"/>
      <c r="F5574" s="267"/>
      <c r="G5574" s="269"/>
      <c r="H5574" s="263"/>
      <c r="I5574" s="86"/>
      <c r="J5574" s="86"/>
      <c r="K5574" s="264"/>
      <c r="M5574" s="265"/>
    </row>
    <row r="5575" ht="15.75" customHeight="1">
      <c r="A5575" s="266"/>
      <c r="B5575" s="267"/>
      <c r="C5575" s="266"/>
      <c r="D5575" s="267"/>
      <c r="E5575" s="268"/>
      <c r="F5575" s="267"/>
      <c r="G5575" s="269"/>
      <c r="H5575" s="263"/>
      <c r="I5575" s="86"/>
      <c r="J5575" s="86"/>
      <c r="K5575" s="264"/>
      <c r="M5575" s="265"/>
    </row>
    <row r="5576" ht="15.75" customHeight="1">
      <c r="A5576" s="266"/>
      <c r="B5576" s="267"/>
      <c r="C5576" s="266"/>
      <c r="D5576" s="267"/>
      <c r="E5576" s="268"/>
      <c r="F5576" s="267"/>
      <c r="G5576" s="269"/>
      <c r="H5576" s="263"/>
      <c r="I5576" s="86"/>
      <c r="J5576" s="86"/>
      <c r="K5576" s="264"/>
      <c r="M5576" s="265"/>
    </row>
    <row r="5577" ht="15.75" customHeight="1">
      <c r="A5577" s="266"/>
      <c r="B5577" s="267"/>
      <c r="C5577" s="266"/>
      <c r="D5577" s="267"/>
      <c r="E5577" s="268"/>
      <c r="F5577" s="267"/>
      <c r="G5577" s="269"/>
      <c r="H5577" s="263"/>
      <c r="I5577" s="86"/>
      <c r="J5577" s="86"/>
      <c r="K5577" s="264"/>
      <c r="M5577" s="265"/>
    </row>
    <row r="5578" ht="15.75" customHeight="1">
      <c r="A5578" s="266"/>
      <c r="B5578" s="267"/>
      <c r="C5578" s="266"/>
      <c r="D5578" s="267"/>
      <c r="E5578" s="268"/>
      <c r="F5578" s="267"/>
      <c r="G5578" s="269"/>
      <c r="H5578" s="263"/>
      <c r="I5578" s="86"/>
      <c r="J5578" s="86"/>
      <c r="K5578" s="264"/>
      <c r="M5578" s="265"/>
    </row>
    <row r="5579" ht="15.75" customHeight="1">
      <c r="A5579" s="266"/>
      <c r="B5579" s="267"/>
      <c r="C5579" s="266"/>
      <c r="D5579" s="267"/>
      <c r="E5579" s="268"/>
      <c r="F5579" s="267"/>
      <c r="G5579" s="269"/>
      <c r="H5579" s="263"/>
      <c r="I5579" s="86"/>
      <c r="J5579" s="86"/>
      <c r="K5579" s="264"/>
      <c r="M5579" s="265"/>
    </row>
    <row r="5580" ht="15.75" customHeight="1">
      <c r="A5580" s="266"/>
      <c r="B5580" s="267"/>
      <c r="C5580" s="266"/>
      <c r="D5580" s="267"/>
      <c r="E5580" s="268"/>
      <c r="F5580" s="267"/>
      <c r="G5580" s="269"/>
      <c r="H5580" s="263"/>
      <c r="I5580" s="86"/>
      <c r="J5580" s="86"/>
      <c r="K5580" s="264"/>
      <c r="M5580" s="265"/>
    </row>
    <row r="5581" ht="15.75" customHeight="1">
      <c r="A5581" s="266"/>
      <c r="B5581" s="267"/>
      <c r="C5581" s="266"/>
      <c r="D5581" s="267"/>
      <c r="E5581" s="268"/>
      <c r="F5581" s="267"/>
      <c r="G5581" s="269"/>
      <c r="H5581" s="263"/>
      <c r="I5581" s="86"/>
      <c r="J5581" s="86"/>
      <c r="K5581" s="264"/>
      <c r="M5581" s="265"/>
    </row>
    <row r="5582" ht="15.75" customHeight="1">
      <c r="A5582" s="266"/>
      <c r="B5582" s="267"/>
      <c r="C5582" s="266"/>
      <c r="D5582" s="267"/>
      <c r="E5582" s="268"/>
      <c r="F5582" s="267"/>
      <c r="G5582" s="269"/>
      <c r="H5582" s="263"/>
      <c r="I5582" s="86"/>
      <c r="J5582" s="86"/>
      <c r="K5582" s="264"/>
      <c r="M5582" s="265"/>
    </row>
    <row r="5583" ht="15.75" customHeight="1">
      <c r="A5583" s="266"/>
      <c r="B5583" s="267"/>
      <c r="C5583" s="266"/>
      <c r="D5583" s="267"/>
      <c r="E5583" s="268"/>
      <c r="F5583" s="267"/>
      <c r="G5583" s="269"/>
      <c r="H5583" s="263"/>
      <c r="I5583" s="86"/>
      <c r="J5583" s="86"/>
      <c r="K5583" s="264"/>
      <c r="M5583" s="265"/>
    </row>
    <row r="5584" ht="15.75" customHeight="1">
      <c r="A5584" s="266"/>
      <c r="B5584" s="267"/>
      <c r="C5584" s="266"/>
      <c r="D5584" s="267"/>
      <c r="E5584" s="268"/>
      <c r="F5584" s="267"/>
      <c r="G5584" s="269"/>
      <c r="H5584" s="263"/>
      <c r="I5584" s="86"/>
      <c r="J5584" s="86"/>
      <c r="K5584" s="264"/>
      <c r="M5584" s="265"/>
    </row>
    <row r="5585" ht="15.75" customHeight="1">
      <c r="A5585" s="266"/>
      <c r="B5585" s="267"/>
      <c r="C5585" s="266"/>
      <c r="D5585" s="267"/>
      <c r="E5585" s="268"/>
      <c r="F5585" s="267"/>
      <c r="G5585" s="269"/>
      <c r="H5585" s="263"/>
      <c r="I5585" s="86"/>
      <c r="J5585" s="86"/>
      <c r="K5585" s="264"/>
      <c r="M5585" s="265"/>
    </row>
    <row r="5586" ht="15.75" customHeight="1">
      <c r="A5586" s="266"/>
      <c r="B5586" s="267"/>
      <c r="C5586" s="266"/>
      <c r="D5586" s="267"/>
      <c r="E5586" s="268"/>
      <c r="F5586" s="267"/>
      <c r="G5586" s="269"/>
      <c r="H5586" s="263"/>
      <c r="I5586" s="86"/>
      <c r="J5586" s="86"/>
      <c r="K5586" s="264"/>
      <c r="M5586" s="265"/>
    </row>
    <row r="5587" ht="15.75" customHeight="1">
      <c r="A5587" s="266"/>
      <c r="B5587" s="267"/>
      <c r="C5587" s="266"/>
      <c r="D5587" s="267"/>
      <c r="E5587" s="268"/>
      <c r="F5587" s="267"/>
      <c r="G5587" s="269"/>
      <c r="H5587" s="263"/>
      <c r="I5587" s="86"/>
      <c r="J5587" s="86"/>
      <c r="K5587" s="264"/>
      <c r="M5587" s="265"/>
    </row>
    <row r="5588" ht="15.75" customHeight="1">
      <c r="A5588" s="266"/>
      <c r="B5588" s="267"/>
      <c r="C5588" s="266"/>
      <c r="D5588" s="267"/>
      <c r="E5588" s="268"/>
      <c r="F5588" s="267"/>
      <c r="G5588" s="269"/>
      <c r="H5588" s="263"/>
      <c r="I5588" s="86"/>
      <c r="J5588" s="86"/>
      <c r="K5588" s="264"/>
      <c r="M5588" s="265"/>
    </row>
    <row r="5589" ht="15.75" customHeight="1">
      <c r="A5589" s="266"/>
      <c r="B5589" s="267"/>
      <c r="C5589" s="266"/>
      <c r="D5589" s="267"/>
      <c r="E5589" s="268"/>
      <c r="F5589" s="267"/>
      <c r="G5589" s="269"/>
      <c r="H5589" s="263"/>
      <c r="I5589" s="86"/>
      <c r="J5589" s="86"/>
      <c r="K5589" s="264"/>
      <c r="M5589" s="265"/>
    </row>
    <row r="5590" ht="15.75" customHeight="1">
      <c r="A5590" s="266"/>
      <c r="B5590" s="267"/>
      <c r="C5590" s="266"/>
      <c r="D5590" s="267"/>
      <c r="E5590" s="268"/>
      <c r="F5590" s="267"/>
      <c r="G5590" s="269"/>
      <c r="H5590" s="263"/>
      <c r="I5590" s="86"/>
      <c r="J5590" s="86"/>
      <c r="K5590" s="264"/>
      <c r="M5590" s="265"/>
    </row>
    <row r="5591" ht="15.75" customHeight="1">
      <c r="A5591" s="266"/>
      <c r="B5591" s="267"/>
      <c r="C5591" s="266"/>
      <c r="D5591" s="267"/>
      <c r="E5591" s="268"/>
      <c r="F5591" s="267"/>
      <c r="G5591" s="269"/>
      <c r="H5591" s="263"/>
      <c r="I5591" s="86"/>
      <c r="J5591" s="86"/>
      <c r="K5591" s="264"/>
      <c r="M5591" s="265"/>
    </row>
    <row r="5592" ht="15.75" customHeight="1">
      <c r="A5592" s="266"/>
      <c r="B5592" s="267"/>
      <c r="C5592" s="266"/>
      <c r="D5592" s="267"/>
      <c r="E5592" s="268"/>
      <c r="F5592" s="267"/>
      <c r="G5592" s="269"/>
      <c r="H5592" s="263"/>
      <c r="I5592" s="86"/>
      <c r="J5592" s="86"/>
      <c r="K5592" s="264"/>
      <c r="M5592" s="265"/>
    </row>
    <row r="5593" ht="15.75" customHeight="1">
      <c r="A5593" s="266"/>
      <c r="B5593" s="267"/>
      <c r="C5593" s="266"/>
      <c r="D5593" s="267"/>
      <c r="E5593" s="268"/>
      <c r="F5593" s="267"/>
      <c r="G5593" s="269"/>
      <c r="H5593" s="263"/>
      <c r="I5593" s="86"/>
      <c r="J5593" s="86"/>
      <c r="K5593" s="264"/>
      <c r="M5593" s="265"/>
    </row>
    <row r="5594" ht="15.75" customHeight="1">
      <c r="A5594" s="266"/>
      <c r="B5594" s="267"/>
      <c r="C5594" s="266"/>
      <c r="D5594" s="267"/>
      <c r="E5594" s="268"/>
      <c r="F5594" s="267"/>
      <c r="G5594" s="269"/>
      <c r="H5594" s="263"/>
      <c r="I5594" s="86"/>
      <c r="J5594" s="86"/>
      <c r="K5594" s="264"/>
      <c r="M5594" s="265"/>
    </row>
    <row r="5595" ht="15.75" customHeight="1">
      <c r="A5595" s="266"/>
      <c r="B5595" s="267"/>
      <c r="C5595" s="266"/>
      <c r="D5595" s="267"/>
      <c r="E5595" s="268"/>
      <c r="F5595" s="267"/>
      <c r="G5595" s="269"/>
      <c r="H5595" s="263"/>
      <c r="I5595" s="86"/>
      <c r="J5595" s="86"/>
      <c r="K5595" s="264"/>
      <c r="M5595" s="265"/>
    </row>
    <row r="5596" ht="15.75" customHeight="1">
      <c r="A5596" s="266"/>
      <c r="B5596" s="267"/>
      <c r="C5596" s="266"/>
      <c r="D5596" s="267"/>
      <c r="E5596" s="268"/>
      <c r="F5596" s="267"/>
      <c r="G5596" s="269"/>
      <c r="H5596" s="263"/>
      <c r="I5596" s="86"/>
      <c r="J5596" s="86"/>
      <c r="K5596" s="264"/>
      <c r="M5596" s="265"/>
    </row>
    <row r="5597" ht="15.75" customHeight="1">
      <c r="A5597" s="266"/>
      <c r="B5597" s="267"/>
      <c r="C5597" s="266"/>
      <c r="D5597" s="267"/>
      <c r="E5597" s="268"/>
      <c r="F5597" s="267"/>
      <c r="G5597" s="269"/>
      <c r="H5597" s="263"/>
      <c r="I5597" s="86"/>
      <c r="J5597" s="86"/>
      <c r="K5597" s="264"/>
      <c r="M5597" s="265"/>
    </row>
    <row r="5598" ht="15.75" customHeight="1">
      <c r="A5598" s="266"/>
      <c r="B5598" s="267"/>
      <c r="C5598" s="266"/>
      <c r="D5598" s="267"/>
      <c r="E5598" s="268"/>
      <c r="F5598" s="267"/>
      <c r="G5598" s="269"/>
      <c r="H5598" s="263"/>
      <c r="I5598" s="86"/>
      <c r="J5598" s="86"/>
      <c r="K5598" s="264"/>
      <c r="M5598" s="265"/>
    </row>
    <row r="5599" ht="15.75" customHeight="1">
      <c r="A5599" s="266"/>
      <c r="B5599" s="267"/>
      <c r="C5599" s="266"/>
      <c r="D5599" s="267"/>
      <c r="E5599" s="268"/>
      <c r="F5599" s="267"/>
      <c r="G5599" s="269"/>
      <c r="H5599" s="263"/>
      <c r="I5599" s="86"/>
      <c r="J5599" s="86"/>
      <c r="K5599" s="264"/>
      <c r="M5599" s="265"/>
    </row>
    <row r="5600" ht="15.75" customHeight="1">
      <c r="A5600" s="266"/>
      <c r="B5600" s="267"/>
      <c r="C5600" s="266"/>
      <c r="D5600" s="267"/>
      <c r="E5600" s="268"/>
      <c r="F5600" s="267"/>
      <c r="G5600" s="269"/>
      <c r="H5600" s="263"/>
      <c r="I5600" s="86"/>
      <c r="J5600" s="86"/>
      <c r="K5600" s="264"/>
      <c r="M5600" s="265"/>
    </row>
    <row r="5601" ht="15.75" customHeight="1">
      <c r="A5601" s="266"/>
      <c r="B5601" s="267"/>
      <c r="C5601" s="266"/>
      <c r="D5601" s="267"/>
      <c r="E5601" s="268"/>
      <c r="F5601" s="267"/>
      <c r="G5601" s="269"/>
      <c r="H5601" s="263"/>
      <c r="I5601" s="86"/>
      <c r="J5601" s="86"/>
      <c r="K5601" s="264"/>
      <c r="M5601" s="265"/>
    </row>
    <row r="5602" ht="15.75" customHeight="1">
      <c r="A5602" s="266"/>
      <c r="B5602" s="267"/>
      <c r="C5602" s="266"/>
      <c r="D5602" s="267"/>
      <c r="E5602" s="268"/>
      <c r="F5602" s="267"/>
      <c r="G5602" s="269"/>
      <c r="H5602" s="263"/>
      <c r="I5602" s="86"/>
      <c r="J5602" s="86"/>
      <c r="K5602" s="264"/>
      <c r="M5602" s="265"/>
    </row>
    <row r="5603" ht="15.75" customHeight="1">
      <c r="A5603" s="266"/>
      <c r="B5603" s="267"/>
      <c r="C5603" s="266"/>
      <c r="D5603" s="267"/>
      <c r="E5603" s="268"/>
      <c r="F5603" s="267"/>
      <c r="G5603" s="269"/>
      <c r="H5603" s="263"/>
      <c r="I5603" s="86"/>
      <c r="J5603" s="86"/>
      <c r="K5603" s="264"/>
      <c r="M5603" s="265"/>
    </row>
    <row r="5604" ht="15.75" customHeight="1">
      <c r="A5604" s="266"/>
      <c r="B5604" s="267"/>
      <c r="C5604" s="266"/>
      <c r="D5604" s="267"/>
      <c r="E5604" s="268"/>
      <c r="F5604" s="267"/>
      <c r="G5604" s="269"/>
      <c r="H5604" s="263"/>
      <c r="I5604" s="86"/>
      <c r="J5604" s="86"/>
      <c r="K5604" s="264"/>
      <c r="M5604" s="265"/>
    </row>
    <row r="5605" ht="15.75" customHeight="1">
      <c r="A5605" s="266"/>
      <c r="B5605" s="267"/>
      <c r="C5605" s="266"/>
      <c r="D5605" s="267"/>
      <c r="E5605" s="268"/>
      <c r="F5605" s="267"/>
      <c r="G5605" s="269"/>
      <c r="H5605" s="263"/>
      <c r="I5605" s="86"/>
      <c r="J5605" s="86"/>
      <c r="K5605" s="264"/>
      <c r="M5605" s="265"/>
    </row>
    <row r="5606" ht="15.75" customHeight="1">
      <c r="A5606" s="266"/>
      <c r="B5606" s="267"/>
      <c r="C5606" s="266"/>
      <c r="D5606" s="267"/>
      <c r="E5606" s="268"/>
      <c r="F5606" s="267"/>
      <c r="G5606" s="269"/>
      <c r="H5606" s="263"/>
      <c r="I5606" s="86"/>
      <c r="J5606" s="86"/>
      <c r="K5606" s="264"/>
      <c r="M5606" s="265"/>
    </row>
    <row r="5607" ht="15.75" customHeight="1">
      <c r="A5607" s="266"/>
      <c r="B5607" s="267"/>
      <c r="C5607" s="266"/>
      <c r="D5607" s="267"/>
      <c r="E5607" s="268"/>
      <c r="F5607" s="267"/>
      <c r="G5607" s="269"/>
      <c r="H5607" s="263"/>
      <c r="I5607" s="86"/>
      <c r="J5607" s="86"/>
      <c r="K5607" s="264"/>
      <c r="M5607" s="265"/>
    </row>
    <row r="5608" ht="15.75" customHeight="1">
      <c r="A5608" s="266"/>
      <c r="B5608" s="267"/>
      <c r="C5608" s="266"/>
      <c r="D5608" s="267"/>
      <c r="E5608" s="268"/>
      <c r="F5608" s="267"/>
      <c r="G5608" s="269"/>
      <c r="H5608" s="263"/>
      <c r="I5608" s="86"/>
      <c r="J5608" s="86"/>
      <c r="K5608" s="264"/>
      <c r="M5608" s="265"/>
    </row>
    <row r="5609" ht="15.75" customHeight="1">
      <c r="A5609" s="266"/>
      <c r="B5609" s="267"/>
      <c r="C5609" s="266"/>
      <c r="D5609" s="267"/>
      <c r="E5609" s="268"/>
      <c r="F5609" s="267"/>
      <c r="G5609" s="269"/>
      <c r="H5609" s="263"/>
      <c r="I5609" s="86"/>
      <c r="J5609" s="86"/>
      <c r="K5609" s="264"/>
      <c r="M5609" s="265"/>
    </row>
    <row r="5610" ht="15.75" customHeight="1">
      <c r="A5610" s="266"/>
      <c r="B5610" s="267"/>
      <c r="C5610" s="266"/>
      <c r="D5610" s="267"/>
      <c r="E5610" s="268"/>
      <c r="F5610" s="267"/>
      <c r="G5610" s="269"/>
      <c r="H5610" s="263"/>
      <c r="I5610" s="86"/>
      <c r="J5610" s="86"/>
      <c r="K5610" s="264"/>
      <c r="M5610" s="265"/>
    </row>
    <row r="5611" ht="15.75" customHeight="1">
      <c r="A5611" s="266"/>
      <c r="B5611" s="267"/>
      <c r="C5611" s="266"/>
      <c r="D5611" s="267"/>
      <c r="E5611" s="268"/>
      <c r="F5611" s="267"/>
      <c r="G5611" s="269"/>
      <c r="H5611" s="263"/>
      <c r="I5611" s="86"/>
      <c r="J5611" s="86"/>
      <c r="K5611" s="264"/>
      <c r="M5611" s="265"/>
    </row>
    <row r="5612" ht="15.75" customHeight="1">
      <c r="A5612" s="266"/>
      <c r="B5612" s="267"/>
      <c r="C5612" s="266"/>
      <c r="D5612" s="267"/>
      <c r="E5612" s="268"/>
      <c r="F5612" s="267"/>
      <c r="G5612" s="269"/>
      <c r="H5612" s="263"/>
      <c r="I5612" s="86"/>
      <c r="J5612" s="86"/>
      <c r="K5612" s="264"/>
      <c r="M5612" s="265"/>
    </row>
    <row r="5613" ht="15.75" customHeight="1">
      <c r="A5613" s="266"/>
      <c r="B5613" s="267"/>
      <c r="C5613" s="266"/>
      <c r="D5613" s="267"/>
      <c r="E5613" s="268"/>
      <c r="F5613" s="267"/>
      <c r="G5613" s="269"/>
      <c r="H5613" s="263"/>
      <c r="I5613" s="86"/>
      <c r="J5613" s="86"/>
      <c r="K5613" s="264"/>
      <c r="M5613" s="265"/>
    </row>
    <row r="5614" ht="15.75" customHeight="1">
      <c r="A5614" s="266"/>
      <c r="B5614" s="267"/>
      <c r="C5614" s="266"/>
      <c r="D5614" s="267"/>
      <c r="E5614" s="268"/>
      <c r="F5614" s="267"/>
      <c r="G5614" s="269"/>
      <c r="H5614" s="263"/>
      <c r="I5614" s="86"/>
      <c r="J5614" s="86"/>
      <c r="K5614" s="264"/>
      <c r="M5614" s="265"/>
    </row>
    <row r="5615" ht="15.75" customHeight="1">
      <c r="A5615" s="266"/>
      <c r="B5615" s="267"/>
      <c r="C5615" s="266"/>
      <c r="D5615" s="267"/>
      <c r="E5615" s="268"/>
      <c r="F5615" s="267"/>
      <c r="G5615" s="269"/>
      <c r="H5615" s="263"/>
      <c r="I5615" s="86"/>
      <c r="J5615" s="86"/>
      <c r="K5615" s="264"/>
      <c r="M5615" s="265"/>
    </row>
    <row r="5616" ht="15.75" customHeight="1">
      <c r="A5616" s="266"/>
      <c r="B5616" s="267"/>
      <c r="C5616" s="266"/>
      <c r="D5616" s="267"/>
      <c r="E5616" s="268"/>
      <c r="F5616" s="267"/>
      <c r="G5616" s="269"/>
      <c r="H5616" s="263"/>
      <c r="I5616" s="86"/>
      <c r="J5616" s="86"/>
      <c r="K5616" s="264"/>
      <c r="M5616" s="265"/>
    </row>
    <row r="5617" ht="15.75" customHeight="1">
      <c r="A5617" s="266"/>
      <c r="B5617" s="267"/>
      <c r="C5617" s="266"/>
      <c r="D5617" s="267"/>
      <c r="E5617" s="268"/>
      <c r="F5617" s="267"/>
      <c r="G5617" s="269"/>
      <c r="H5617" s="263"/>
      <c r="I5617" s="86"/>
      <c r="J5617" s="86"/>
      <c r="K5617" s="264"/>
      <c r="M5617" s="265"/>
    </row>
    <row r="5618" ht="15.75" customHeight="1">
      <c r="A5618" s="266"/>
      <c r="B5618" s="267"/>
      <c r="C5618" s="266"/>
      <c r="D5618" s="267"/>
      <c r="E5618" s="268"/>
      <c r="F5618" s="267"/>
      <c r="G5618" s="269"/>
      <c r="H5618" s="263"/>
      <c r="I5618" s="86"/>
      <c r="J5618" s="86"/>
      <c r="K5618" s="264"/>
      <c r="M5618" s="265"/>
    </row>
    <row r="5619" ht="15.75" customHeight="1">
      <c r="A5619" s="266"/>
      <c r="B5619" s="267"/>
      <c r="C5619" s="266"/>
      <c r="D5619" s="267"/>
      <c r="E5619" s="268"/>
      <c r="F5619" s="267"/>
      <c r="G5619" s="269"/>
      <c r="H5619" s="263"/>
      <c r="I5619" s="86"/>
      <c r="J5619" s="86"/>
      <c r="K5619" s="264"/>
      <c r="M5619" s="265"/>
    </row>
    <row r="5620" ht="15.75" customHeight="1">
      <c r="A5620" s="266"/>
      <c r="B5620" s="267"/>
      <c r="C5620" s="266"/>
      <c r="D5620" s="267"/>
      <c r="E5620" s="268"/>
      <c r="F5620" s="267"/>
      <c r="G5620" s="269"/>
      <c r="H5620" s="263"/>
      <c r="I5620" s="86"/>
      <c r="J5620" s="86"/>
      <c r="K5620" s="264"/>
      <c r="M5620" s="265"/>
    </row>
    <row r="5621" ht="15.75" customHeight="1">
      <c r="A5621" s="266"/>
      <c r="B5621" s="267"/>
      <c r="C5621" s="266"/>
      <c r="D5621" s="267"/>
      <c r="E5621" s="268"/>
      <c r="F5621" s="267"/>
      <c r="G5621" s="269"/>
      <c r="H5621" s="263"/>
      <c r="I5621" s="86"/>
      <c r="J5621" s="86"/>
      <c r="K5621" s="264"/>
      <c r="M5621" s="265"/>
    </row>
    <row r="5622" ht="15.75" customHeight="1">
      <c r="A5622" s="266"/>
      <c r="B5622" s="267"/>
      <c r="C5622" s="266"/>
      <c r="D5622" s="267"/>
      <c r="E5622" s="268"/>
      <c r="F5622" s="267"/>
      <c r="G5622" s="269"/>
      <c r="H5622" s="263"/>
      <c r="I5622" s="86"/>
      <c r="J5622" s="86"/>
      <c r="K5622" s="264"/>
      <c r="M5622" s="265"/>
    </row>
    <row r="5623" ht="15.75" customHeight="1">
      <c r="A5623" s="266"/>
      <c r="B5623" s="267"/>
      <c r="C5623" s="266"/>
      <c r="D5623" s="267"/>
      <c r="E5623" s="268"/>
      <c r="F5623" s="267"/>
      <c r="G5623" s="269"/>
      <c r="H5623" s="263"/>
      <c r="I5623" s="86"/>
      <c r="J5623" s="86"/>
      <c r="K5623" s="264"/>
      <c r="M5623" s="265"/>
    </row>
    <row r="5624" ht="15.75" customHeight="1">
      <c r="A5624" s="266"/>
      <c r="B5624" s="267"/>
      <c r="C5624" s="266"/>
      <c r="D5624" s="267"/>
      <c r="E5624" s="268"/>
      <c r="F5624" s="267"/>
      <c r="G5624" s="269"/>
      <c r="H5624" s="263"/>
      <c r="I5624" s="86"/>
      <c r="J5624" s="86"/>
      <c r="K5624" s="264"/>
      <c r="M5624" s="265"/>
    </row>
    <row r="5625" ht="15.75" customHeight="1">
      <c r="A5625" s="266"/>
      <c r="B5625" s="267"/>
      <c r="C5625" s="266"/>
      <c r="D5625" s="267"/>
      <c r="E5625" s="268"/>
      <c r="F5625" s="267"/>
      <c r="G5625" s="269"/>
      <c r="H5625" s="263"/>
      <c r="I5625" s="86"/>
      <c r="J5625" s="86"/>
      <c r="K5625" s="264"/>
      <c r="M5625" s="265"/>
    </row>
    <row r="5626" ht="15.75" customHeight="1">
      <c r="A5626" s="266"/>
      <c r="B5626" s="267"/>
      <c r="C5626" s="266"/>
      <c r="D5626" s="267"/>
      <c r="E5626" s="268"/>
      <c r="F5626" s="267"/>
      <c r="G5626" s="269"/>
      <c r="H5626" s="263"/>
      <c r="I5626" s="86"/>
      <c r="J5626" s="86"/>
      <c r="K5626" s="264"/>
      <c r="M5626" s="265"/>
    </row>
    <row r="5627" ht="15.75" customHeight="1">
      <c r="A5627" s="266"/>
      <c r="B5627" s="267"/>
      <c r="C5627" s="266"/>
      <c r="D5627" s="267"/>
      <c r="E5627" s="268"/>
      <c r="F5627" s="267"/>
      <c r="G5627" s="269"/>
      <c r="H5627" s="263"/>
      <c r="I5627" s="86"/>
      <c r="J5627" s="86"/>
      <c r="K5627" s="264"/>
      <c r="M5627" s="265"/>
    </row>
    <row r="5628" ht="15.75" customHeight="1">
      <c r="A5628" s="266"/>
      <c r="B5628" s="267"/>
      <c r="C5628" s="266"/>
      <c r="D5628" s="267"/>
      <c r="E5628" s="268"/>
      <c r="F5628" s="267"/>
      <c r="G5628" s="269"/>
      <c r="H5628" s="263"/>
      <c r="I5628" s="86"/>
      <c r="J5628" s="86"/>
      <c r="K5628" s="264"/>
      <c r="M5628" s="265"/>
    </row>
    <row r="5629" ht="15.75" customHeight="1">
      <c r="A5629" s="266"/>
      <c r="B5629" s="267"/>
      <c r="C5629" s="266"/>
      <c r="D5629" s="267"/>
      <c r="E5629" s="268"/>
      <c r="F5629" s="267"/>
      <c r="G5629" s="269"/>
      <c r="H5629" s="263"/>
      <c r="I5629" s="86"/>
      <c r="J5629" s="86"/>
      <c r="K5629" s="264"/>
      <c r="M5629" s="265"/>
    </row>
    <row r="5630" ht="15.75" customHeight="1">
      <c r="A5630" s="266"/>
      <c r="B5630" s="267"/>
      <c r="C5630" s="266"/>
      <c r="D5630" s="267"/>
      <c r="E5630" s="268"/>
      <c r="F5630" s="267"/>
      <c r="G5630" s="269"/>
      <c r="H5630" s="263"/>
      <c r="I5630" s="86"/>
      <c r="J5630" s="86"/>
      <c r="K5630" s="264"/>
      <c r="M5630" s="265"/>
    </row>
    <row r="5631" ht="15.75" customHeight="1">
      <c r="A5631" s="266"/>
      <c r="B5631" s="267"/>
      <c r="C5631" s="266"/>
      <c r="D5631" s="267"/>
      <c r="E5631" s="268"/>
      <c r="F5631" s="267"/>
      <c r="G5631" s="269"/>
      <c r="H5631" s="263"/>
      <c r="I5631" s="86"/>
      <c r="J5631" s="86"/>
      <c r="K5631" s="264"/>
      <c r="M5631" s="265"/>
    </row>
    <row r="5632" ht="15.75" customHeight="1">
      <c r="A5632" s="266"/>
      <c r="B5632" s="267"/>
      <c r="C5632" s="266"/>
      <c r="D5632" s="267"/>
      <c r="E5632" s="268"/>
      <c r="F5632" s="267"/>
      <c r="G5632" s="269"/>
      <c r="H5632" s="263"/>
      <c r="I5632" s="86"/>
      <c r="J5632" s="86"/>
      <c r="K5632" s="264"/>
      <c r="M5632" s="265"/>
    </row>
    <row r="5633" ht="15.75" customHeight="1">
      <c r="A5633" s="266"/>
      <c r="B5633" s="267"/>
      <c r="C5633" s="266"/>
      <c r="D5633" s="267"/>
      <c r="E5633" s="268"/>
      <c r="F5633" s="267"/>
      <c r="G5633" s="269"/>
      <c r="H5633" s="263"/>
      <c r="I5633" s="86"/>
      <c r="J5633" s="86"/>
      <c r="K5633" s="264"/>
      <c r="M5633" s="265"/>
    </row>
    <row r="5634" ht="15.75" customHeight="1">
      <c r="A5634" s="266"/>
      <c r="B5634" s="267"/>
      <c r="C5634" s="266"/>
      <c r="D5634" s="267"/>
      <c r="E5634" s="268"/>
      <c r="F5634" s="267"/>
      <c r="G5634" s="269"/>
      <c r="H5634" s="263"/>
      <c r="I5634" s="86"/>
      <c r="J5634" s="86"/>
      <c r="K5634" s="264"/>
      <c r="M5634" s="265"/>
    </row>
    <row r="5635" ht="15.75" customHeight="1">
      <c r="A5635" s="266"/>
      <c r="B5635" s="267"/>
      <c r="C5635" s="266"/>
      <c r="D5635" s="267"/>
      <c r="E5635" s="268"/>
      <c r="F5635" s="267"/>
      <c r="G5635" s="269"/>
      <c r="H5635" s="263"/>
      <c r="I5635" s="86"/>
      <c r="J5635" s="86"/>
      <c r="K5635" s="264"/>
      <c r="M5635" s="265"/>
    </row>
    <row r="5636" ht="15.75" customHeight="1">
      <c r="A5636" s="266"/>
      <c r="B5636" s="267"/>
      <c r="C5636" s="266"/>
      <c r="D5636" s="267"/>
      <c r="E5636" s="268"/>
      <c r="F5636" s="267"/>
      <c r="G5636" s="269"/>
      <c r="H5636" s="263"/>
      <c r="I5636" s="86"/>
      <c r="J5636" s="86"/>
      <c r="K5636" s="264"/>
      <c r="M5636" s="265"/>
    </row>
    <row r="5637" ht="15.75" customHeight="1">
      <c r="A5637" s="266"/>
      <c r="B5637" s="267"/>
      <c r="C5637" s="266"/>
      <c r="D5637" s="267"/>
      <c r="E5637" s="268"/>
      <c r="F5637" s="267"/>
      <c r="G5637" s="269"/>
      <c r="H5637" s="263"/>
      <c r="I5637" s="86"/>
      <c r="J5637" s="86"/>
      <c r="K5637" s="264"/>
      <c r="M5637" s="265"/>
    </row>
    <row r="5638" ht="15.75" customHeight="1">
      <c r="A5638" s="266"/>
      <c r="B5638" s="267"/>
      <c r="C5638" s="266"/>
      <c r="D5638" s="267"/>
      <c r="E5638" s="268"/>
      <c r="F5638" s="267"/>
      <c r="G5638" s="269"/>
      <c r="H5638" s="263"/>
      <c r="I5638" s="86"/>
      <c r="J5638" s="86"/>
      <c r="K5638" s="264"/>
      <c r="M5638" s="265"/>
    </row>
    <row r="5639" ht="15.75" customHeight="1">
      <c r="A5639" s="266"/>
      <c r="B5639" s="267"/>
      <c r="C5639" s="266"/>
      <c r="D5639" s="267"/>
      <c r="E5639" s="268"/>
      <c r="F5639" s="267"/>
      <c r="G5639" s="269"/>
      <c r="H5639" s="263"/>
      <c r="I5639" s="86"/>
      <c r="J5639" s="86"/>
      <c r="K5639" s="264"/>
      <c r="M5639" s="265"/>
    </row>
    <row r="5640" ht="15.75" customHeight="1">
      <c r="A5640" s="266"/>
      <c r="B5640" s="267"/>
      <c r="C5640" s="266"/>
      <c r="D5640" s="267"/>
      <c r="E5640" s="268"/>
      <c r="F5640" s="267"/>
      <c r="G5640" s="269"/>
      <c r="H5640" s="263"/>
      <c r="I5640" s="86"/>
      <c r="J5640" s="86"/>
      <c r="K5640" s="264"/>
      <c r="M5640" s="265"/>
    </row>
    <row r="5641" ht="15.75" customHeight="1">
      <c r="A5641" s="266"/>
      <c r="B5641" s="267"/>
      <c r="C5641" s="266"/>
      <c r="D5641" s="267"/>
      <c r="E5641" s="268"/>
      <c r="F5641" s="267"/>
      <c r="G5641" s="269"/>
      <c r="H5641" s="263"/>
      <c r="I5641" s="86"/>
      <c r="J5641" s="86"/>
      <c r="K5641" s="264"/>
      <c r="M5641" s="265"/>
    </row>
    <row r="5642" ht="15.75" customHeight="1">
      <c r="A5642" s="266"/>
      <c r="B5642" s="267"/>
      <c r="C5642" s="266"/>
      <c r="D5642" s="267"/>
      <c r="E5642" s="268"/>
      <c r="F5642" s="267"/>
      <c r="G5642" s="269"/>
      <c r="H5642" s="263"/>
      <c r="I5642" s="86"/>
      <c r="J5642" s="86"/>
      <c r="K5642" s="264"/>
      <c r="M5642" s="265"/>
    </row>
    <row r="5643" ht="15.75" customHeight="1">
      <c r="A5643" s="266"/>
      <c r="B5643" s="267"/>
      <c r="C5643" s="266"/>
      <c r="D5643" s="267"/>
      <c r="E5643" s="268"/>
      <c r="F5643" s="267"/>
      <c r="G5643" s="269"/>
      <c r="H5643" s="263"/>
      <c r="I5643" s="86"/>
      <c r="J5643" s="86"/>
      <c r="K5643" s="264"/>
      <c r="M5643" s="265"/>
    </row>
    <row r="5644" ht="15.75" customHeight="1">
      <c r="A5644" s="266"/>
      <c r="B5644" s="267"/>
      <c r="C5644" s="266"/>
      <c r="D5644" s="267"/>
      <c r="E5644" s="268"/>
      <c r="F5644" s="267"/>
      <c r="G5644" s="269"/>
      <c r="H5644" s="263"/>
      <c r="I5644" s="86"/>
      <c r="J5644" s="86"/>
      <c r="K5644" s="264"/>
      <c r="M5644" s="265"/>
    </row>
    <row r="5645" ht="15.75" customHeight="1">
      <c r="A5645" s="266"/>
      <c r="B5645" s="267"/>
      <c r="C5645" s="266"/>
      <c r="D5645" s="267"/>
      <c r="E5645" s="268"/>
      <c r="F5645" s="267"/>
      <c r="G5645" s="269"/>
      <c r="H5645" s="263"/>
      <c r="I5645" s="86"/>
      <c r="J5645" s="86"/>
      <c r="K5645" s="264"/>
      <c r="M5645" s="265"/>
    </row>
    <row r="5646" ht="15.75" customHeight="1">
      <c r="A5646" s="266"/>
      <c r="B5646" s="267"/>
      <c r="C5646" s="266"/>
      <c r="D5646" s="267"/>
      <c r="E5646" s="268"/>
      <c r="F5646" s="267"/>
      <c r="G5646" s="269"/>
      <c r="H5646" s="263"/>
      <c r="I5646" s="86"/>
      <c r="J5646" s="86"/>
      <c r="K5646" s="264"/>
      <c r="M5646" s="265"/>
    </row>
    <row r="5647" ht="15.75" customHeight="1">
      <c r="A5647" s="266"/>
      <c r="B5647" s="267"/>
      <c r="C5647" s="266"/>
      <c r="D5647" s="267"/>
      <c r="E5647" s="268"/>
      <c r="F5647" s="267"/>
      <c r="G5647" s="269"/>
      <c r="H5647" s="263"/>
      <c r="I5647" s="86"/>
      <c r="J5647" s="86"/>
      <c r="K5647" s="264"/>
      <c r="M5647" s="265"/>
    </row>
    <row r="5648" ht="15.75" customHeight="1">
      <c r="A5648" s="266"/>
      <c r="B5648" s="267"/>
      <c r="C5648" s="266"/>
      <c r="D5648" s="267"/>
      <c r="E5648" s="268"/>
      <c r="F5648" s="267"/>
      <c r="G5648" s="269"/>
      <c r="H5648" s="263"/>
      <c r="I5648" s="86"/>
      <c r="J5648" s="86"/>
      <c r="K5648" s="264"/>
      <c r="M5648" s="265"/>
    </row>
    <row r="5649" ht="15.75" customHeight="1">
      <c r="A5649" s="266"/>
      <c r="B5649" s="267"/>
      <c r="C5649" s="266"/>
      <c r="D5649" s="267"/>
      <c r="E5649" s="268"/>
      <c r="F5649" s="267"/>
      <c r="G5649" s="269"/>
      <c r="H5649" s="263"/>
      <c r="I5649" s="86"/>
      <c r="J5649" s="86"/>
      <c r="K5649" s="264"/>
      <c r="M5649" s="265"/>
    </row>
    <row r="5650" ht="15.75" customHeight="1">
      <c r="A5650" s="266"/>
      <c r="B5650" s="267"/>
      <c r="C5650" s="266"/>
      <c r="D5650" s="267"/>
      <c r="E5650" s="268"/>
      <c r="F5650" s="267"/>
      <c r="G5650" s="269"/>
      <c r="H5650" s="263"/>
      <c r="I5650" s="86"/>
      <c r="J5650" s="86"/>
      <c r="K5650" s="264"/>
      <c r="M5650" s="265"/>
    </row>
    <row r="5651" ht="15.75" customHeight="1">
      <c r="A5651" s="266"/>
      <c r="B5651" s="267"/>
      <c r="C5651" s="266"/>
      <c r="D5651" s="267"/>
      <c r="E5651" s="268"/>
      <c r="F5651" s="267"/>
      <c r="G5651" s="269"/>
      <c r="H5651" s="263"/>
      <c r="I5651" s="86"/>
      <c r="J5651" s="86"/>
      <c r="K5651" s="264"/>
      <c r="M5651" s="265"/>
    </row>
    <row r="5652" ht="15.75" customHeight="1">
      <c r="A5652" s="266"/>
      <c r="B5652" s="267"/>
      <c r="C5652" s="266"/>
      <c r="D5652" s="267"/>
      <c r="E5652" s="268"/>
      <c r="F5652" s="267"/>
      <c r="G5652" s="269"/>
      <c r="H5652" s="263"/>
      <c r="I5652" s="86"/>
      <c r="J5652" s="86"/>
      <c r="K5652" s="264"/>
      <c r="M5652" s="265"/>
    </row>
    <row r="5653" ht="15.75" customHeight="1">
      <c r="A5653" s="266"/>
      <c r="B5653" s="267"/>
      <c r="C5653" s="266"/>
      <c r="D5653" s="267"/>
      <c r="E5653" s="268"/>
      <c r="F5653" s="267"/>
      <c r="G5653" s="269"/>
      <c r="H5653" s="263"/>
      <c r="I5653" s="86"/>
      <c r="J5653" s="86"/>
      <c r="K5653" s="264"/>
      <c r="M5653" s="265"/>
    </row>
    <row r="5654" ht="15.75" customHeight="1">
      <c r="A5654" s="266"/>
      <c r="B5654" s="267"/>
      <c r="C5654" s="266"/>
      <c r="D5654" s="267"/>
      <c r="E5654" s="268"/>
      <c r="F5654" s="267"/>
      <c r="G5654" s="269"/>
      <c r="H5654" s="263"/>
      <c r="I5654" s="86"/>
      <c r="J5654" s="86"/>
      <c r="K5654" s="264"/>
      <c r="M5654" s="265"/>
    </row>
    <row r="5655" ht="15.75" customHeight="1">
      <c r="A5655" s="266"/>
      <c r="B5655" s="267"/>
      <c r="C5655" s="266"/>
      <c r="D5655" s="267"/>
      <c r="E5655" s="268"/>
      <c r="F5655" s="267"/>
      <c r="G5655" s="269"/>
      <c r="H5655" s="263"/>
      <c r="I5655" s="86"/>
      <c r="J5655" s="86"/>
      <c r="K5655" s="264"/>
      <c r="M5655" s="265"/>
    </row>
    <row r="5656" ht="15.75" customHeight="1">
      <c r="A5656" s="266"/>
      <c r="B5656" s="267"/>
      <c r="C5656" s="266"/>
      <c r="D5656" s="267"/>
      <c r="E5656" s="268"/>
      <c r="F5656" s="267"/>
      <c r="G5656" s="269"/>
      <c r="H5656" s="263"/>
      <c r="I5656" s="86"/>
      <c r="J5656" s="86"/>
      <c r="K5656" s="264"/>
      <c r="M5656" s="265"/>
    </row>
    <row r="5657" ht="15.75" customHeight="1">
      <c r="A5657" s="266"/>
      <c r="B5657" s="267"/>
      <c r="C5657" s="266"/>
      <c r="D5657" s="267"/>
      <c r="E5657" s="268"/>
      <c r="F5657" s="267"/>
      <c r="G5657" s="269"/>
      <c r="H5657" s="263"/>
      <c r="I5657" s="86"/>
      <c r="J5657" s="86"/>
      <c r="K5657" s="264"/>
      <c r="M5657" s="265"/>
    </row>
    <row r="5658" ht="15.75" customHeight="1">
      <c r="A5658" s="266"/>
      <c r="B5658" s="267"/>
      <c r="C5658" s="266"/>
      <c r="D5658" s="267"/>
      <c r="E5658" s="268"/>
      <c r="F5658" s="267"/>
      <c r="G5658" s="269"/>
      <c r="H5658" s="263"/>
      <c r="I5658" s="86"/>
      <c r="J5658" s="86"/>
      <c r="K5658" s="264"/>
      <c r="M5658" s="265"/>
    </row>
    <row r="5659" ht="15.75" customHeight="1">
      <c r="A5659" s="266"/>
      <c r="B5659" s="267"/>
      <c r="C5659" s="266"/>
      <c r="D5659" s="267"/>
      <c r="E5659" s="268"/>
      <c r="F5659" s="267"/>
      <c r="G5659" s="269"/>
      <c r="H5659" s="263"/>
      <c r="I5659" s="86"/>
      <c r="J5659" s="86"/>
      <c r="K5659" s="264"/>
      <c r="M5659" s="265"/>
    </row>
    <row r="5660" ht="15.75" customHeight="1">
      <c r="A5660" s="266"/>
      <c r="B5660" s="267"/>
      <c r="C5660" s="266"/>
      <c r="D5660" s="267"/>
      <c r="E5660" s="268"/>
      <c r="F5660" s="267"/>
      <c r="G5660" s="269"/>
      <c r="H5660" s="263"/>
      <c r="I5660" s="86"/>
      <c r="J5660" s="86"/>
      <c r="K5660" s="264"/>
      <c r="M5660" s="265"/>
    </row>
    <row r="5661" ht="15.75" customHeight="1">
      <c r="A5661" s="266"/>
      <c r="B5661" s="267"/>
      <c r="C5661" s="266"/>
      <c r="D5661" s="267"/>
      <c r="E5661" s="268"/>
      <c r="F5661" s="267"/>
      <c r="G5661" s="269"/>
      <c r="H5661" s="263"/>
      <c r="I5661" s="86"/>
      <c r="J5661" s="86"/>
      <c r="K5661" s="264"/>
      <c r="M5661" s="265"/>
    </row>
    <row r="5662" ht="15.75" customHeight="1">
      <c r="A5662" s="266"/>
      <c r="B5662" s="267"/>
      <c r="C5662" s="266"/>
      <c r="D5662" s="267"/>
      <c r="E5662" s="268"/>
      <c r="F5662" s="267"/>
      <c r="G5662" s="269"/>
      <c r="H5662" s="263"/>
      <c r="I5662" s="86"/>
      <c r="J5662" s="86"/>
      <c r="K5662" s="264"/>
      <c r="M5662" s="265"/>
    </row>
    <row r="5663" ht="15.75" customHeight="1">
      <c r="A5663" s="266"/>
      <c r="B5663" s="267"/>
      <c r="C5663" s="266"/>
      <c r="D5663" s="267"/>
      <c r="E5663" s="268"/>
      <c r="F5663" s="267"/>
      <c r="G5663" s="269"/>
      <c r="H5663" s="263"/>
      <c r="I5663" s="86"/>
      <c r="J5663" s="86"/>
      <c r="K5663" s="264"/>
      <c r="M5663" s="265"/>
    </row>
    <row r="5664" ht="15.75" customHeight="1">
      <c r="A5664" s="266"/>
      <c r="B5664" s="267"/>
      <c r="C5664" s="266"/>
      <c r="D5664" s="267"/>
      <c r="E5664" s="268"/>
      <c r="F5664" s="267"/>
      <c r="G5664" s="269"/>
      <c r="H5664" s="263"/>
      <c r="I5664" s="86"/>
      <c r="J5664" s="86"/>
      <c r="K5664" s="264"/>
      <c r="M5664" s="265"/>
    </row>
    <row r="5665" ht="15.75" customHeight="1">
      <c r="A5665" s="266"/>
      <c r="B5665" s="267"/>
      <c r="C5665" s="266"/>
      <c r="D5665" s="267"/>
      <c r="E5665" s="268"/>
      <c r="F5665" s="267"/>
      <c r="G5665" s="269"/>
      <c r="H5665" s="263"/>
      <c r="I5665" s="86"/>
      <c r="J5665" s="86"/>
      <c r="K5665" s="264"/>
      <c r="M5665" s="265"/>
    </row>
    <row r="5666" ht="15.75" customHeight="1">
      <c r="A5666" s="266"/>
      <c r="B5666" s="267"/>
      <c r="C5666" s="266"/>
      <c r="D5666" s="267"/>
      <c r="E5666" s="268"/>
      <c r="F5666" s="267"/>
      <c r="G5666" s="269"/>
      <c r="H5666" s="263"/>
      <c r="I5666" s="86"/>
      <c r="J5666" s="86"/>
      <c r="K5666" s="264"/>
      <c r="M5666" s="265"/>
    </row>
    <row r="5667" ht="15.75" customHeight="1">
      <c r="A5667" s="266"/>
      <c r="B5667" s="267"/>
      <c r="C5667" s="266"/>
      <c r="D5667" s="267"/>
      <c r="E5667" s="268"/>
      <c r="F5667" s="267"/>
      <c r="G5667" s="269"/>
      <c r="H5667" s="263"/>
      <c r="I5667" s="86"/>
      <c r="J5667" s="86"/>
      <c r="K5667" s="264"/>
      <c r="M5667" s="265"/>
    </row>
    <row r="5668" ht="15.75" customHeight="1">
      <c r="A5668" s="266"/>
      <c r="B5668" s="267"/>
      <c r="C5668" s="266"/>
      <c r="D5668" s="267"/>
      <c r="E5668" s="268"/>
      <c r="F5668" s="267"/>
      <c r="G5668" s="269"/>
      <c r="H5668" s="263"/>
      <c r="I5668" s="86"/>
      <c r="J5668" s="86"/>
      <c r="K5668" s="264"/>
      <c r="M5668" s="265"/>
    </row>
    <row r="5669" ht="15.75" customHeight="1">
      <c r="A5669" s="266"/>
      <c r="B5669" s="267"/>
      <c r="C5669" s="266"/>
      <c r="D5669" s="267"/>
      <c r="E5669" s="268"/>
      <c r="F5669" s="267"/>
      <c r="G5669" s="269"/>
      <c r="H5669" s="263"/>
      <c r="I5669" s="86"/>
      <c r="J5669" s="86"/>
      <c r="K5669" s="264"/>
      <c r="M5669" s="265"/>
    </row>
    <row r="5670" ht="15.75" customHeight="1">
      <c r="A5670" s="266"/>
      <c r="B5670" s="267"/>
      <c r="C5670" s="266"/>
      <c r="D5670" s="267"/>
      <c r="E5670" s="268"/>
      <c r="F5670" s="267"/>
      <c r="G5670" s="269"/>
      <c r="H5670" s="263"/>
      <c r="I5670" s="86"/>
      <c r="J5670" s="86"/>
      <c r="K5670" s="264"/>
      <c r="M5670" s="265"/>
    </row>
    <row r="5671" ht="15.75" customHeight="1">
      <c r="A5671" s="266"/>
      <c r="B5671" s="267"/>
      <c r="C5671" s="266"/>
      <c r="D5671" s="267"/>
      <c r="E5671" s="268"/>
      <c r="F5671" s="267"/>
      <c r="G5671" s="269"/>
      <c r="H5671" s="263"/>
      <c r="I5671" s="86"/>
      <c r="J5671" s="86"/>
      <c r="K5671" s="264"/>
      <c r="M5671" s="265"/>
    </row>
    <row r="5672" ht="15.75" customHeight="1">
      <c r="A5672" s="266"/>
      <c r="B5672" s="267"/>
      <c r="C5672" s="266"/>
      <c r="D5672" s="267"/>
      <c r="E5672" s="268"/>
      <c r="F5672" s="267"/>
      <c r="G5672" s="269"/>
      <c r="H5672" s="263"/>
      <c r="I5672" s="86"/>
      <c r="J5672" s="86"/>
      <c r="K5672" s="264"/>
      <c r="M5672" s="265"/>
    </row>
    <row r="5673" ht="15.75" customHeight="1">
      <c r="A5673" s="266"/>
      <c r="B5673" s="267"/>
      <c r="C5673" s="266"/>
      <c r="D5673" s="267"/>
      <c r="E5673" s="268"/>
      <c r="F5673" s="267"/>
      <c r="G5673" s="269"/>
      <c r="H5673" s="263"/>
      <c r="I5673" s="86"/>
      <c r="J5673" s="86"/>
      <c r="K5673" s="264"/>
      <c r="M5673" s="265"/>
    </row>
    <row r="5674" ht="15.75" customHeight="1">
      <c r="A5674" s="266"/>
      <c r="B5674" s="267"/>
      <c r="C5674" s="266"/>
      <c r="D5674" s="267"/>
      <c r="E5674" s="268"/>
      <c r="F5674" s="267"/>
      <c r="G5674" s="269"/>
      <c r="H5674" s="263"/>
      <c r="I5674" s="86"/>
      <c r="J5674" s="86"/>
      <c r="K5674" s="264"/>
      <c r="M5674" s="265"/>
    </row>
    <row r="5675" ht="15.75" customHeight="1">
      <c r="A5675" s="266"/>
      <c r="B5675" s="267"/>
      <c r="C5675" s="266"/>
      <c r="D5675" s="267"/>
      <c r="E5675" s="268"/>
      <c r="F5675" s="267"/>
      <c r="G5675" s="269"/>
      <c r="H5675" s="263"/>
      <c r="I5675" s="86"/>
      <c r="J5675" s="86"/>
      <c r="K5675" s="264"/>
      <c r="M5675" s="265"/>
    </row>
    <row r="5676" ht="15.75" customHeight="1">
      <c r="A5676" s="266"/>
      <c r="B5676" s="267"/>
      <c r="C5676" s="266"/>
      <c r="D5676" s="267"/>
      <c r="E5676" s="268"/>
      <c r="F5676" s="267"/>
      <c r="G5676" s="269"/>
      <c r="H5676" s="263"/>
      <c r="I5676" s="86"/>
      <c r="J5676" s="86"/>
      <c r="K5676" s="264"/>
      <c r="M5676" s="265"/>
    </row>
    <row r="5677" ht="15.75" customHeight="1">
      <c r="A5677" s="266"/>
      <c r="B5677" s="267"/>
      <c r="C5677" s="266"/>
      <c r="D5677" s="267"/>
      <c r="E5677" s="268"/>
      <c r="F5677" s="267"/>
      <c r="G5677" s="269"/>
      <c r="H5677" s="263"/>
      <c r="I5677" s="86"/>
      <c r="J5677" s="86"/>
      <c r="K5677" s="264"/>
      <c r="M5677" s="265"/>
    </row>
    <row r="5678" ht="15.75" customHeight="1">
      <c r="A5678" s="266"/>
      <c r="B5678" s="267"/>
      <c r="C5678" s="266"/>
      <c r="D5678" s="267"/>
      <c r="E5678" s="268"/>
      <c r="F5678" s="267"/>
      <c r="G5678" s="269"/>
      <c r="H5678" s="263"/>
      <c r="I5678" s="86"/>
      <c r="J5678" s="86"/>
      <c r="K5678" s="264"/>
      <c r="M5678" s="265"/>
    </row>
    <row r="5679" ht="15.75" customHeight="1">
      <c r="A5679" s="266"/>
      <c r="B5679" s="267"/>
      <c r="C5679" s="266"/>
      <c r="D5679" s="267"/>
      <c r="E5679" s="268"/>
      <c r="F5679" s="267"/>
      <c r="G5679" s="269"/>
      <c r="H5679" s="263"/>
      <c r="I5679" s="86"/>
      <c r="J5679" s="86"/>
      <c r="K5679" s="264"/>
      <c r="M5679" s="265"/>
    </row>
    <row r="5680" ht="15.75" customHeight="1">
      <c r="A5680" s="266"/>
      <c r="B5680" s="267"/>
      <c r="C5680" s="266"/>
      <c r="D5680" s="267"/>
      <c r="E5680" s="268"/>
      <c r="F5680" s="267"/>
      <c r="G5680" s="269"/>
      <c r="H5680" s="263"/>
      <c r="I5680" s="86"/>
      <c r="J5680" s="86"/>
      <c r="K5680" s="264"/>
      <c r="M5680" s="265"/>
    </row>
    <row r="5681" ht="15.75" customHeight="1">
      <c r="A5681" s="266"/>
      <c r="B5681" s="267"/>
      <c r="C5681" s="266"/>
      <c r="D5681" s="267"/>
      <c r="E5681" s="268"/>
      <c r="F5681" s="267"/>
      <c r="G5681" s="269"/>
      <c r="H5681" s="263"/>
      <c r="I5681" s="86"/>
      <c r="J5681" s="86"/>
      <c r="K5681" s="264"/>
      <c r="M5681" s="265"/>
    </row>
    <row r="5682" ht="15.75" customHeight="1">
      <c r="A5682" s="266"/>
      <c r="B5682" s="267"/>
      <c r="C5682" s="266"/>
      <c r="D5682" s="267"/>
      <c r="E5682" s="268"/>
      <c r="F5682" s="267"/>
      <c r="G5682" s="269"/>
      <c r="H5682" s="263"/>
      <c r="I5682" s="86"/>
      <c r="J5682" s="86"/>
      <c r="K5682" s="264"/>
      <c r="M5682" s="265"/>
    </row>
    <row r="5683" ht="15.75" customHeight="1">
      <c r="A5683" s="266"/>
      <c r="B5683" s="267"/>
      <c r="C5683" s="266"/>
      <c r="D5683" s="267"/>
      <c r="E5683" s="268"/>
      <c r="F5683" s="267"/>
      <c r="G5683" s="269"/>
      <c r="H5683" s="263"/>
      <c r="I5683" s="86"/>
      <c r="J5683" s="86"/>
      <c r="K5683" s="264"/>
      <c r="M5683" s="265"/>
    </row>
    <row r="5684" ht="15.75" customHeight="1">
      <c r="A5684" s="266"/>
      <c r="B5684" s="267"/>
      <c r="C5684" s="266"/>
      <c r="D5684" s="267"/>
      <c r="E5684" s="268"/>
      <c r="F5684" s="267"/>
      <c r="G5684" s="269"/>
      <c r="H5684" s="263"/>
      <c r="I5684" s="86"/>
      <c r="J5684" s="86"/>
      <c r="K5684" s="264"/>
      <c r="M5684" s="265"/>
    </row>
    <row r="5685" ht="15.75" customHeight="1">
      <c r="A5685" s="266"/>
      <c r="B5685" s="267"/>
      <c r="C5685" s="266"/>
      <c r="D5685" s="267"/>
      <c r="E5685" s="268"/>
      <c r="F5685" s="267"/>
      <c r="G5685" s="269"/>
      <c r="H5685" s="263"/>
      <c r="I5685" s="86"/>
      <c r="J5685" s="86"/>
      <c r="K5685" s="264"/>
      <c r="M5685" s="265"/>
    </row>
    <row r="5686" ht="15.75" customHeight="1">
      <c r="A5686" s="266"/>
      <c r="B5686" s="267"/>
      <c r="C5686" s="266"/>
      <c r="D5686" s="267"/>
      <c r="E5686" s="268"/>
      <c r="F5686" s="267"/>
      <c r="G5686" s="269"/>
      <c r="H5686" s="263"/>
      <c r="I5686" s="86"/>
      <c r="J5686" s="86"/>
      <c r="K5686" s="264"/>
      <c r="M5686" s="265"/>
    </row>
    <row r="5687" ht="15.75" customHeight="1">
      <c r="A5687" s="266"/>
      <c r="B5687" s="267"/>
      <c r="C5687" s="266"/>
      <c r="D5687" s="267"/>
      <c r="E5687" s="268"/>
      <c r="F5687" s="267"/>
      <c r="G5687" s="269"/>
      <c r="H5687" s="263"/>
      <c r="I5687" s="86"/>
      <c r="J5687" s="86"/>
      <c r="K5687" s="264"/>
      <c r="M5687" s="265"/>
    </row>
    <row r="5688" ht="15.75" customHeight="1">
      <c r="A5688" s="266"/>
      <c r="B5688" s="267"/>
      <c r="C5688" s="266"/>
      <c r="D5688" s="267"/>
      <c r="E5688" s="268"/>
      <c r="F5688" s="267"/>
      <c r="G5688" s="269"/>
      <c r="H5688" s="263"/>
      <c r="I5688" s="86"/>
      <c r="J5688" s="86"/>
      <c r="K5688" s="264"/>
      <c r="M5688" s="265"/>
    </row>
    <row r="5689" ht="15.75" customHeight="1">
      <c r="A5689" s="266"/>
      <c r="B5689" s="267"/>
      <c r="C5689" s="266"/>
      <c r="D5689" s="267"/>
      <c r="E5689" s="268"/>
      <c r="F5689" s="267"/>
      <c r="G5689" s="269"/>
      <c r="H5689" s="263"/>
      <c r="I5689" s="86"/>
      <c r="J5689" s="86"/>
      <c r="K5689" s="264"/>
      <c r="M5689" s="265"/>
    </row>
    <row r="5690" ht="15.75" customHeight="1">
      <c r="A5690" s="266"/>
      <c r="B5690" s="267"/>
      <c r="C5690" s="266"/>
      <c r="D5690" s="267"/>
      <c r="E5690" s="268"/>
      <c r="F5690" s="267"/>
      <c r="G5690" s="269"/>
      <c r="H5690" s="263"/>
      <c r="I5690" s="86"/>
      <c r="J5690" s="86"/>
      <c r="K5690" s="264"/>
      <c r="M5690" s="265"/>
    </row>
    <row r="5691" ht="15.75" customHeight="1">
      <c r="A5691" s="266"/>
      <c r="B5691" s="267"/>
      <c r="C5691" s="266"/>
      <c r="D5691" s="267"/>
      <c r="E5691" s="268"/>
      <c r="F5691" s="267"/>
      <c r="G5691" s="269"/>
      <c r="H5691" s="263"/>
      <c r="I5691" s="86"/>
      <c r="J5691" s="86"/>
      <c r="K5691" s="264"/>
      <c r="M5691" s="265"/>
    </row>
    <row r="5692" ht="15.75" customHeight="1">
      <c r="A5692" s="266"/>
      <c r="B5692" s="267"/>
      <c r="C5692" s="266"/>
      <c r="D5692" s="267"/>
      <c r="E5692" s="268"/>
      <c r="F5692" s="267"/>
      <c r="G5692" s="269"/>
      <c r="H5692" s="263"/>
      <c r="I5692" s="86"/>
      <c r="J5692" s="86"/>
      <c r="K5692" s="264"/>
      <c r="M5692" s="265"/>
    </row>
    <row r="5693" ht="15.75" customHeight="1">
      <c r="A5693" s="266"/>
      <c r="B5693" s="267"/>
      <c r="C5693" s="266"/>
      <c r="D5693" s="267"/>
      <c r="E5693" s="268"/>
      <c r="F5693" s="267"/>
      <c r="G5693" s="269"/>
      <c r="H5693" s="263"/>
      <c r="I5693" s="86"/>
      <c r="J5693" s="86"/>
      <c r="K5693" s="264"/>
      <c r="M5693" s="265"/>
    </row>
    <row r="5694" ht="15.75" customHeight="1">
      <c r="A5694" s="266"/>
      <c r="B5694" s="267"/>
      <c r="C5694" s="266"/>
      <c r="D5694" s="267"/>
      <c r="E5694" s="268"/>
      <c r="F5694" s="267"/>
      <c r="G5694" s="269"/>
      <c r="H5694" s="263"/>
      <c r="I5694" s="86"/>
      <c r="J5694" s="86"/>
      <c r="K5694" s="264"/>
      <c r="M5694" s="265"/>
    </row>
    <row r="5695" ht="15.75" customHeight="1">
      <c r="A5695" s="266"/>
      <c r="B5695" s="267"/>
      <c r="C5695" s="266"/>
      <c r="D5695" s="267"/>
      <c r="E5695" s="268"/>
      <c r="F5695" s="267"/>
      <c r="G5695" s="269"/>
      <c r="H5695" s="263"/>
      <c r="I5695" s="86"/>
      <c r="J5695" s="86"/>
      <c r="K5695" s="264"/>
      <c r="M5695" s="265"/>
    </row>
    <row r="5696" ht="15.75" customHeight="1">
      <c r="A5696" s="266"/>
      <c r="B5696" s="267"/>
      <c r="C5696" s="266"/>
      <c r="D5696" s="267"/>
      <c r="E5696" s="268"/>
      <c r="F5696" s="267"/>
      <c r="G5696" s="269"/>
      <c r="H5696" s="263"/>
      <c r="I5696" s="86"/>
      <c r="J5696" s="86"/>
      <c r="K5696" s="264"/>
      <c r="M5696" s="265"/>
    </row>
    <row r="5697" ht="15.75" customHeight="1">
      <c r="A5697" s="266"/>
      <c r="B5697" s="267"/>
      <c r="C5697" s="266"/>
      <c r="D5697" s="267"/>
      <c r="E5697" s="268"/>
      <c r="F5697" s="267"/>
      <c r="G5697" s="269"/>
      <c r="H5697" s="263"/>
      <c r="I5697" s="86"/>
      <c r="J5697" s="86"/>
      <c r="K5697" s="264"/>
      <c r="M5697" s="265"/>
    </row>
    <row r="5698" ht="15.75" customHeight="1">
      <c r="A5698" s="266"/>
      <c r="B5698" s="267"/>
      <c r="C5698" s="266"/>
      <c r="D5698" s="267"/>
      <c r="E5698" s="268"/>
      <c r="F5698" s="267"/>
      <c r="G5698" s="269"/>
      <c r="H5698" s="263"/>
      <c r="I5698" s="86"/>
      <c r="J5698" s="86"/>
      <c r="K5698" s="264"/>
      <c r="M5698" s="265"/>
    </row>
    <row r="5699" ht="15.75" customHeight="1">
      <c r="A5699" s="266"/>
      <c r="B5699" s="267"/>
      <c r="C5699" s="266"/>
      <c r="D5699" s="267"/>
      <c r="E5699" s="268"/>
      <c r="F5699" s="267"/>
      <c r="G5699" s="269"/>
      <c r="H5699" s="263"/>
      <c r="I5699" s="86"/>
      <c r="J5699" s="86"/>
      <c r="K5699" s="264"/>
      <c r="M5699" s="265"/>
    </row>
    <row r="5700" ht="15.75" customHeight="1">
      <c r="A5700" s="266"/>
      <c r="B5700" s="267"/>
      <c r="C5700" s="266"/>
      <c r="D5700" s="267"/>
      <c r="E5700" s="268"/>
      <c r="F5700" s="267"/>
      <c r="G5700" s="269"/>
      <c r="H5700" s="263"/>
      <c r="I5700" s="86"/>
      <c r="J5700" s="86"/>
      <c r="K5700" s="264"/>
      <c r="M5700" s="265"/>
    </row>
    <row r="5701" ht="15.75" customHeight="1">
      <c r="A5701" s="266"/>
      <c r="B5701" s="267"/>
      <c r="C5701" s="266"/>
      <c r="D5701" s="267"/>
      <c r="E5701" s="268"/>
      <c r="F5701" s="267"/>
      <c r="G5701" s="269"/>
      <c r="H5701" s="263"/>
      <c r="I5701" s="86"/>
      <c r="J5701" s="86"/>
      <c r="K5701" s="264"/>
      <c r="M5701" s="265"/>
    </row>
    <row r="5702" ht="15.75" customHeight="1">
      <c r="A5702" s="266"/>
      <c r="B5702" s="267"/>
      <c r="C5702" s="266"/>
      <c r="D5702" s="267"/>
      <c r="E5702" s="268"/>
      <c r="F5702" s="267"/>
      <c r="G5702" s="269"/>
      <c r="H5702" s="263"/>
      <c r="I5702" s="86"/>
      <c r="J5702" s="86"/>
      <c r="K5702" s="264"/>
      <c r="M5702" s="265"/>
    </row>
    <row r="5703" ht="15.75" customHeight="1">
      <c r="A5703" s="266"/>
      <c r="B5703" s="267"/>
      <c r="C5703" s="266"/>
      <c r="D5703" s="267"/>
      <c r="E5703" s="268"/>
      <c r="F5703" s="267"/>
      <c r="G5703" s="269"/>
      <c r="H5703" s="263"/>
      <c r="I5703" s="86"/>
      <c r="J5703" s="86"/>
      <c r="K5703" s="264"/>
      <c r="M5703" s="265"/>
    </row>
    <row r="5704" ht="15.75" customHeight="1">
      <c r="A5704" s="266"/>
      <c r="B5704" s="267"/>
      <c r="C5704" s="266"/>
      <c r="D5704" s="267"/>
      <c r="E5704" s="268"/>
      <c r="F5704" s="267"/>
      <c r="G5704" s="269"/>
      <c r="H5704" s="263"/>
      <c r="I5704" s="86"/>
      <c r="J5704" s="86"/>
      <c r="K5704" s="264"/>
      <c r="M5704" s="265"/>
    </row>
    <row r="5705" ht="15.75" customHeight="1">
      <c r="A5705" s="266"/>
      <c r="B5705" s="267"/>
      <c r="C5705" s="266"/>
      <c r="D5705" s="267"/>
      <c r="E5705" s="268"/>
      <c r="F5705" s="267"/>
      <c r="G5705" s="269"/>
      <c r="H5705" s="263"/>
      <c r="I5705" s="86"/>
      <c r="J5705" s="86"/>
      <c r="K5705" s="264"/>
      <c r="M5705" s="265"/>
    </row>
    <row r="5706" ht="15.75" customHeight="1">
      <c r="A5706" s="266"/>
      <c r="B5706" s="267"/>
      <c r="C5706" s="266"/>
      <c r="D5706" s="267"/>
      <c r="E5706" s="268"/>
      <c r="F5706" s="267"/>
      <c r="G5706" s="269"/>
      <c r="H5706" s="263"/>
      <c r="I5706" s="86"/>
      <c r="J5706" s="86"/>
      <c r="K5706" s="264"/>
      <c r="M5706" s="265"/>
    </row>
    <row r="5707" ht="15.75" customHeight="1">
      <c r="A5707" s="266"/>
      <c r="B5707" s="267"/>
      <c r="C5707" s="266"/>
      <c r="D5707" s="267"/>
      <c r="E5707" s="268"/>
      <c r="F5707" s="267"/>
      <c r="G5707" s="269"/>
      <c r="H5707" s="263"/>
      <c r="I5707" s="86"/>
      <c r="J5707" s="86"/>
      <c r="K5707" s="264"/>
      <c r="M5707" s="265"/>
    </row>
    <row r="5708" ht="15.75" customHeight="1">
      <c r="A5708" s="266"/>
      <c r="B5708" s="267"/>
      <c r="C5708" s="266"/>
      <c r="D5708" s="267"/>
      <c r="E5708" s="268"/>
      <c r="F5708" s="267"/>
      <c r="G5708" s="269"/>
      <c r="H5708" s="263"/>
      <c r="I5708" s="86"/>
      <c r="J5708" s="86"/>
      <c r="K5708" s="264"/>
      <c r="M5708" s="265"/>
    </row>
    <row r="5709" ht="15.75" customHeight="1">
      <c r="A5709" s="266"/>
      <c r="B5709" s="267"/>
      <c r="C5709" s="266"/>
      <c r="D5709" s="267"/>
      <c r="E5709" s="268"/>
      <c r="F5709" s="267"/>
      <c r="G5709" s="269"/>
      <c r="H5709" s="263"/>
      <c r="I5709" s="86"/>
      <c r="J5709" s="86"/>
      <c r="K5709" s="264"/>
      <c r="M5709" s="265"/>
    </row>
    <row r="5710" ht="15.75" customHeight="1">
      <c r="A5710" s="266"/>
      <c r="B5710" s="267"/>
      <c r="C5710" s="266"/>
      <c r="D5710" s="267"/>
      <c r="E5710" s="268"/>
      <c r="F5710" s="267"/>
      <c r="G5710" s="269"/>
      <c r="H5710" s="263"/>
      <c r="I5710" s="86"/>
      <c r="J5710" s="86"/>
      <c r="K5710" s="264"/>
      <c r="M5710" s="265"/>
    </row>
    <row r="5711" ht="15.75" customHeight="1">
      <c r="A5711" s="266"/>
      <c r="B5711" s="267"/>
      <c r="C5711" s="266"/>
      <c r="D5711" s="267"/>
      <c r="E5711" s="268"/>
      <c r="F5711" s="267"/>
      <c r="G5711" s="269"/>
      <c r="H5711" s="263"/>
      <c r="I5711" s="86"/>
      <c r="J5711" s="86"/>
      <c r="K5711" s="264"/>
      <c r="M5711" s="265"/>
    </row>
    <row r="5712" ht="15.75" customHeight="1">
      <c r="A5712" s="266"/>
      <c r="B5712" s="267"/>
      <c r="C5712" s="266"/>
      <c r="D5712" s="267"/>
      <c r="E5712" s="268"/>
      <c r="F5712" s="267"/>
      <c r="G5712" s="269"/>
      <c r="H5712" s="263"/>
      <c r="I5712" s="86"/>
      <c r="J5712" s="86"/>
      <c r="K5712" s="264"/>
      <c r="M5712" s="265"/>
    </row>
    <row r="5713" ht="15.75" customHeight="1">
      <c r="A5713" s="266"/>
      <c r="B5713" s="267"/>
      <c r="C5713" s="266"/>
      <c r="D5713" s="267"/>
      <c r="E5713" s="268"/>
      <c r="F5713" s="267"/>
      <c r="G5713" s="269"/>
      <c r="H5713" s="263"/>
      <c r="I5713" s="86"/>
      <c r="J5713" s="86"/>
      <c r="K5713" s="264"/>
      <c r="M5713" s="265"/>
    </row>
    <row r="5714" ht="15.75" customHeight="1">
      <c r="A5714" s="266"/>
      <c r="B5714" s="267"/>
      <c r="C5714" s="266"/>
      <c r="D5714" s="267"/>
      <c r="E5714" s="268"/>
      <c r="F5714" s="267"/>
      <c r="G5714" s="269"/>
      <c r="H5714" s="263"/>
      <c r="I5714" s="86"/>
      <c r="J5714" s="86"/>
      <c r="K5714" s="264"/>
      <c r="M5714" s="265"/>
    </row>
    <row r="5715" ht="15.75" customHeight="1">
      <c r="A5715" s="266"/>
      <c r="B5715" s="267"/>
      <c r="C5715" s="266"/>
      <c r="D5715" s="267"/>
      <c r="E5715" s="268"/>
      <c r="F5715" s="267"/>
      <c r="G5715" s="269"/>
      <c r="H5715" s="263"/>
      <c r="I5715" s="86"/>
      <c r="J5715" s="86"/>
      <c r="K5715" s="264"/>
      <c r="M5715" s="265"/>
    </row>
    <row r="5716" ht="15.75" customHeight="1">
      <c r="A5716" s="266"/>
      <c r="B5716" s="267"/>
      <c r="C5716" s="266"/>
      <c r="D5716" s="267"/>
      <c r="E5716" s="268"/>
      <c r="F5716" s="267"/>
      <c r="G5716" s="269"/>
      <c r="H5716" s="263"/>
      <c r="I5716" s="86"/>
      <c r="J5716" s="86"/>
      <c r="K5716" s="264"/>
      <c r="M5716" s="265"/>
    </row>
    <row r="5717" ht="15.75" customHeight="1">
      <c r="A5717" s="266"/>
      <c r="B5717" s="267"/>
      <c r="C5717" s="266"/>
      <c r="D5717" s="267"/>
      <c r="E5717" s="268"/>
      <c r="F5717" s="267"/>
      <c r="G5717" s="269"/>
      <c r="H5717" s="263"/>
      <c r="I5717" s="86"/>
      <c r="J5717" s="86"/>
      <c r="K5717" s="264"/>
      <c r="M5717" s="265"/>
    </row>
    <row r="5718" ht="15.75" customHeight="1">
      <c r="A5718" s="266"/>
      <c r="B5718" s="267"/>
      <c r="C5718" s="266"/>
      <c r="D5718" s="267"/>
      <c r="E5718" s="268"/>
      <c r="F5718" s="267"/>
      <c r="G5718" s="269"/>
      <c r="H5718" s="263"/>
      <c r="I5718" s="86"/>
      <c r="J5718" s="86"/>
      <c r="K5718" s="264"/>
      <c r="M5718" s="265"/>
    </row>
    <row r="5719" ht="15.75" customHeight="1">
      <c r="A5719" s="266"/>
      <c r="B5719" s="267"/>
      <c r="C5719" s="266"/>
      <c r="D5719" s="267"/>
      <c r="E5719" s="268"/>
      <c r="F5719" s="267"/>
      <c r="G5719" s="269"/>
      <c r="H5719" s="263"/>
      <c r="I5719" s="86"/>
      <c r="J5719" s="86"/>
      <c r="K5719" s="264"/>
      <c r="M5719" s="265"/>
    </row>
    <row r="5720" ht="15.75" customHeight="1">
      <c r="A5720" s="266"/>
      <c r="B5720" s="267"/>
      <c r="C5720" s="266"/>
      <c r="D5720" s="267"/>
      <c r="E5720" s="268"/>
      <c r="F5720" s="267"/>
      <c r="G5720" s="269"/>
      <c r="H5720" s="263"/>
      <c r="I5720" s="86"/>
      <c r="J5720" s="86"/>
      <c r="K5720" s="264"/>
      <c r="M5720" s="265"/>
    </row>
    <row r="5721" ht="15.75" customHeight="1">
      <c r="A5721" s="266"/>
      <c r="B5721" s="267"/>
      <c r="C5721" s="266"/>
      <c r="D5721" s="267"/>
      <c r="E5721" s="268"/>
      <c r="F5721" s="267"/>
      <c r="G5721" s="269"/>
      <c r="H5721" s="263"/>
      <c r="I5721" s="86"/>
      <c r="J5721" s="86"/>
      <c r="K5721" s="264"/>
      <c r="M5721" s="265"/>
    </row>
    <row r="5722" ht="15.75" customHeight="1">
      <c r="A5722" s="266"/>
      <c r="B5722" s="267"/>
      <c r="C5722" s="266"/>
      <c r="D5722" s="267"/>
      <c r="E5722" s="268"/>
      <c r="F5722" s="267"/>
      <c r="G5722" s="269"/>
      <c r="H5722" s="263"/>
      <c r="I5722" s="86"/>
      <c r="J5722" s="86"/>
      <c r="K5722" s="264"/>
      <c r="M5722" s="265"/>
    </row>
    <row r="5723" ht="15.75" customHeight="1">
      <c r="A5723" s="266"/>
      <c r="B5723" s="267"/>
      <c r="C5723" s="266"/>
      <c r="D5723" s="267"/>
      <c r="E5723" s="268"/>
      <c r="F5723" s="267"/>
      <c r="G5723" s="269"/>
      <c r="H5723" s="263"/>
      <c r="I5723" s="86"/>
      <c r="J5723" s="86"/>
      <c r="K5723" s="264"/>
      <c r="M5723" s="265"/>
    </row>
    <row r="5724" ht="15.75" customHeight="1">
      <c r="A5724" s="266"/>
      <c r="B5724" s="267"/>
      <c r="C5724" s="266"/>
      <c r="D5724" s="267"/>
      <c r="E5724" s="268"/>
      <c r="F5724" s="267"/>
      <c r="G5724" s="269"/>
      <c r="H5724" s="263"/>
      <c r="I5724" s="86"/>
      <c r="J5724" s="86"/>
      <c r="K5724" s="264"/>
      <c r="M5724" s="265"/>
    </row>
    <row r="5725" ht="15.75" customHeight="1">
      <c r="A5725" s="266"/>
      <c r="B5725" s="267"/>
      <c r="C5725" s="266"/>
      <c r="D5725" s="267"/>
      <c r="E5725" s="268"/>
      <c r="F5725" s="267"/>
      <c r="G5725" s="269"/>
      <c r="H5725" s="263"/>
      <c r="I5725" s="86"/>
      <c r="J5725" s="86"/>
      <c r="K5725" s="264"/>
      <c r="M5725" s="265"/>
    </row>
    <row r="5726" ht="15.75" customHeight="1">
      <c r="A5726" s="266"/>
      <c r="B5726" s="267"/>
      <c r="C5726" s="266"/>
      <c r="D5726" s="267"/>
      <c r="E5726" s="268"/>
      <c r="F5726" s="267"/>
      <c r="G5726" s="269"/>
      <c r="H5726" s="263"/>
      <c r="I5726" s="86"/>
      <c r="J5726" s="86"/>
      <c r="K5726" s="264"/>
      <c r="M5726" s="265"/>
    </row>
    <row r="5727" ht="15.75" customHeight="1">
      <c r="A5727" s="266"/>
      <c r="B5727" s="267"/>
      <c r="C5727" s="266"/>
      <c r="D5727" s="267"/>
      <c r="E5727" s="268"/>
      <c r="F5727" s="267"/>
      <c r="G5727" s="269"/>
      <c r="H5727" s="263"/>
      <c r="I5727" s="86"/>
      <c r="J5727" s="86"/>
      <c r="K5727" s="264"/>
      <c r="M5727" s="265"/>
    </row>
    <row r="5728" ht="15.75" customHeight="1">
      <c r="A5728" s="266"/>
      <c r="B5728" s="267"/>
      <c r="C5728" s="266"/>
      <c r="D5728" s="267"/>
      <c r="E5728" s="268"/>
      <c r="F5728" s="267"/>
      <c r="G5728" s="269"/>
      <c r="H5728" s="263"/>
      <c r="I5728" s="86"/>
      <c r="J5728" s="86"/>
      <c r="K5728" s="264"/>
      <c r="M5728" s="265"/>
    </row>
    <row r="5729" ht="15.75" customHeight="1">
      <c r="A5729" s="266"/>
      <c r="B5729" s="267"/>
      <c r="C5729" s="266"/>
      <c r="D5729" s="267"/>
      <c r="E5729" s="268"/>
      <c r="F5729" s="267"/>
      <c r="G5729" s="269"/>
      <c r="H5729" s="263"/>
      <c r="I5729" s="86"/>
      <c r="J5729" s="86"/>
      <c r="K5729" s="264"/>
      <c r="M5729" s="265"/>
    </row>
    <row r="5730" ht="15.75" customHeight="1">
      <c r="A5730" s="266"/>
      <c r="B5730" s="267"/>
      <c r="C5730" s="266"/>
      <c r="D5730" s="267"/>
      <c r="E5730" s="268"/>
      <c r="F5730" s="267"/>
      <c r="G5730" s="269"/>
      <c r="H5730" s="263"/>
      <c r="I5730" s="86"/>
      <c r="J5730" s="86"/>
      <c r="K5730" s="264"/>
      <c r="M5730" s="265"/>
    </row>
    <row r="5731" ht="15.75" customHeight="1">
      <c r="A5731" s="266"/>
      <c r="B5731" s="267"/>
      <c r="C5731" s="266"/>
      <c r="D5731" s="267"/>
      <c r="E5731" s="268"/>
      <c r="F5731" s="267"/>
      <c r="G5731" s="269"/>
      <c r="H5731" s="263"/>
      <c r="I5731" s="86"/>
      <c r="J5731" s="86"/>
      <c r="K5731" s="264"/>
      <c r="M5731" s="265"/>
    </row>
    <row r="5732" ht="15.75" customHeight="1">
      <c r="A5732" s="266"/>
      <c r="B5732" s="267"/>
      <c r="C5732" s="266"/>
      <c r="D5732" s="267"/>
      <c r="E5732" s="268"/>
      <c r="F5732" s="267"/>
      <c r="G5732" s="269"/>
      <c r="H5732" s="263"/>
      <c r="I5732" s="86"/>
      <c r="J5732" s="86"/>
      <c r="K5732" s="264"/>
      <c r="M5732" s="265"/>
    </row>
    <row r="5733" ht="15.75" customHeight="1">
      <c r="A5733" s="266"/>
      <c r="B5733" s="267"/>
      <c r="C5733" s="266"/>
      <c r="D5733" s="267"/>
      <c r="E5733" s="268"/>
      <c r="F5733" s="267"/>
      <c r="G5733" s="269"/>
      <c r="H5733" s="263"/>
      <c r="I5733" s="86"/>
      <c r="J5733" s="86"/>
      <c r="K5733" s="264"/>
      <c r="M5733" s="265"/>
    </row>
    <row r="5734" ht="15.75" customHeight="1">
      <c r="A5734" s="266"/>
      <c r="B5734" s="267"/>
      <c r="C5734" s="266"/>
      <c r="D5734" s="267"/>
      <c r="E5734" s="268"/>
      <c r="F5734" s="267"/>
      <c r="G5734" s="269"/>
      <c r="H5734" s="263"/>
      <c r="I5734" s="86"/>
      <c r="J5734" s="86"/>
      <c r="K5734" s="264"/>
      <c r="M5734" s="265"/>
    </row>
    <row r="5735" ht="15.75" customHeight="1">
      <c r="A5735" s="266"/>
      <c r="B5735" s="267"/>
      <c r="C5735" s="266"/>
      <c r="D5735" s="267"/>
      <c r="E5735" s="268"/>
      <c r="F5735" s="267"/>
      <c r="G5735" s="269"/>
      <c r="H5735" s="263"/>
      <c r="I5735" s="86"/>
      <c r="J5735" s="86"/>
      <c r="K5735" s="264"/>
      <c r="M5735" s="265"/>
    </row>
    <row r="5736" ht="15.75" customHeight="1">
      <c r="A5736" s="266"/>
      <c r="B5736" s="267"/>
      <c r="C5736" s="266"/>
      <c r="D5736" s="267"/>
      <c r="E5736" s="268"/>
      <c r="F5736" s="267"/>
      <c r="G5736" s="269"/>
      <c r="H5736" s="263"/>
      <c r="I5736" s="86"/>
      <c r="J5736" s="86"/>
      <c r="K5736" s="264"/>
      <c r="M5736" s="265"/>
    </row>
    <row r="5737" ht="15.75" customHeight="1">
      <c r="A5737" s="266"/>
      <c r="B5737" s="267"/>
      <c r="C5737" s="266"/>
      <c r="D5737" s="267"/>
      <c r="E5737" s="268"/>
      <c r="F5737" s="267"/>
      <c r="G5737" s="269"/>
      <c r="H5737" s="263"/>
      <c r="I5737" s="86"/>
      <c r="J5737" s="86"/>
      <c r="K5737" s="264"/>
      <c r="M5737" s="265"/>
    </row>
    <row r="5738" ht="15.75" customHeight="1">
      <c r="A5738" s="266"/>
      <c r="B5738" s="267"/>
      <c r="C5738" s="266"/>
      <c r="D5738" s="267"/>
      <c r="E5738" s="268"/>
      <c r="F5738" s="267"/>
      <c r="G5738" s="269"/>
      <c r="H5738" s="263"/>
      <c r="I5738" s="86"/>
      <c r="J5738" s="86"/>
      <c r="K5738" s="264"/>
      <c r="M5738" s="265"/>
    </row>
    <row r="5739" ht="15.75" customHeight="1">
      <c r="A5739" s="266"/>
      <c r="B5739" s="267"/>
      <c r="C5739" s="266"/>
      <c r="D5739" s="267"/>
      <c r="E5739" s="268"/>
      <c r="F5739" s="267"/>
      <c r="G5739" s="269"/>
      <c r="H5739" s="263"/>
      <c r="I5739" s="86"/>
      <c r="J5739" s="86"/>
      <c r="K5739" s="264"/>
      <c r="M5739" s="265"/>
    </row>
    <row r="5740" ht="15.75" customHeight="1">
      <c r="A5740" s="266"/>
      <c r="B5740" s="267"/>
      <c r="C5740" s="266"/>
      <c r="D5740" s="267"/>
      <c r="E5740" s="268"/>
      <c r="F5740" s="267"/>
      <c r="G5740" s="269"/>
      <c r="H5740" s="263"/>
      <c r="I5740" s="86"/>
      <c r="J5740" s="86"/>
      <c r="K5740" s="264"/>
      <c r="M5740" s="265"/>
    </row>
    <row r="5741" ht="15.75" customHeight="1">
      <c r="A5741" s="266"/>
      <c r="B5741" s="267"/>
      <c r="C5741" s="266"/>
      <c r="D5741" s="267"/>
      <c r="E5741" s="268"/>
      <c r="F5741" s="267"/>
      <c r="G5741" s="269"/>
      <c r="H5741" s="263"/>
      <c r="I5741" s="86"/>
      <c r="J5741" s="86"/>
      <c r="K5741" s="264"/>
      <c r="M5741" s="265"/>
    </row>
    <row r="5742" ht="15.75" customHeight="1">
      <c r="A5742" s="266"/>
      <c r="B5742" s="267"/>
      <c r="C5742" s="266"/>
      <c r="D5742" s="267"/>
      <c r="E5742" s="268"/>
      <c r="F5742" s="267"/>
      <c r="G5742" s="269"/>
      <c r="H5742" s="263"/>
      <c r="I5742" s="86"/>
      <c r="J5742" s="86"/>
      <c r="K5742" s="264"/>
      <c r="M5742" s="265"/>
    </row>
    <row r="5743" ht="15.75" customHeight="1">
      <c r="A5743" s="266"/>
      <c r="B5743" s="267"/>
      <c r="C5743" s="266"/>
      <c r="D5743" s="267"/>
      <c r="E5743" s="268"/>
      <c r="F5743" s="267"/>
      <c r="G5743" s="269"/>
      <c r="H5743" s="263"/>
      <c r="I5743" s="86"/>
      <c r="J5743" s="86"/>
      <c r="K5743" s="264"/>
      <c r="M5743" s="265"/>
    </row>
    <row r="5744" ht="15.75" customHeight="1">
      <c r="A5744" s="266"/>
      <c r="B5744" s="267"/>
      <c r="C5744" s="266"/>
      <c r="D5744" s="267"/>
      <c r="E5744" s="268"/>
      <c r="F5744" s="267"/>
      <c r="G5744" s="269"/>
      <c r="H5744" s="263"/>
      <c r="I5744" s="86"/>
      <c r="J5744" s="86"/>
      <c r="K5744" s="264"/>
      <c r="M5744" s="265"/>
    </row>
    <row r="5745" ht="15.75" customHeight="1">
      <c r="A5745" s="266"/>
      <c r="B5745" s="267"/>
      <c r="C5745" s="266"/>
      <c r="D5745" s="267"/>
      <c r="E5745" s="268"/>
      <c r="F5745" s="267"/>
      <c r="G5745" s="269"/>
      <c r="H5745" s="263"/>
      <c r="I5745" s="86"/>
      <c r="J5745" s="86"/>
      <c r="K5745" s="264"/>
      <c r="M5745" s="265"/>
    </row>
    <row r="5746" ht="15.75" customHeight="1">
      <c r="A5746" s="266"/>
      <c r="B5746" s="267"/>
      <c r="C5746" s="266"/>
      <c r="D5746" s="267"/>
      <c r="E5746" s="268"/>
      <c r="F5746" s="267"/>
      <c r="G5746" s="269"/>
      <c r="H5746" s="263"/>
      <c r="I5746" s="86"/>
      <c r="J5746" s="86"/>
      <c r="K5746" s="264"/>
      <c r="M5746" s="265"/>
    </row>
    <row r="5747" ht="15.75" customHeight="1">
      <c r="A5747" s="266"/>
      <c r="B5747" s="267"/>
      <c r="C5747" s="266"/>
      <c r="D5747" s="267"/>
      <c r="E5747" s="268"/>
      <c r="F5747" s="267"/>
      <c r="G5747" s="269"/>
      <c r="H5747" s="263"/>
      <c r="I5747" s="86"/>
      <c r="J5747" s="86"/>
      <c r="K5747" s="264"/>
      <c r="M5747" s="265"/>
    </row>
    <row r="5748" ht="15.75" customHeight="1">
      <c r="A5748" s="266"/>
      <c r="B5748" s="267"/>
      <c r="C5748" s="266"/>
      <c r="D5748" s="267"/>
      <c r="E5748" s="268"/>
      <c r="F5748" s="267"/>
      <c r="G5748" s="269"/>
      <c r="H5748" s="263"/>
      <c r="I5748" s="86"/>
      <c r="J5748" s="86"/>
      <c r="K5748" s="264"/>
      <c r="M5748" s="265"/>
    </row>
    <row r="5749" ht="15.75" customHeight="1">
      <c r="A5749" s="266"/>
      <c r="B5749" s="267"/>
      <c r="C5749" s="266"/>
      <c r="D5749" s="267"/>
      <c r="E5749" s="268"/>
      <c r="F5749" s="267"/>
      <c r="G5749" s="269"/>
      <c r="H5749" s="263"/>
      <c r="I5749" s="86"/>
      <c r="J5749" s="86"/>
      <c r="K5749" s="264"/>
      <c r="M5749" s="265"/>
    </row>
    <row r="5750" ht="15.75" customHeight="1">
      <c r="A5750" s="266"/>
      <c r="B5750" s="267"/>
      <c r="C5750" s="266"/>
      <c r="D5750" s="267"/>
      <c r="E5750" s="268"/>
      <c r="F5750" s="267"/>
      <c r="G5750" s="269"/>
      <c r="H5750" s="263"/>
      <c r="I5750" s="86"/>
      <c r="J5750" s="86"/>
      <c r="K5750" s="264"/>
      <c r="M5750" s="265"/>
    </row>
    <row r="5751" ht="15.75" customHeight="1">
      <c r="A5751" s="266"/>
      <c r="B5751" s="267"/>
      <c r="C5751" s="266"/>
      <c r="D5751" s="267"/>
      <c r="E5751" s="268"/>
      <c r="F5751" s="267"/>
      <c r="G5751" s="269"/>
      <c r="H5751" s="263"/>
      <c r="I5751" s="86"/>
      <c r="J5751" s="86"/>
      <c r="K5751" s="264"/>
      <c r="M5751" s="265"/>
    </row>
    <row r="5752" ht="15.75" customHeight="1">
      <c r="A5752" s="266"/>
      <c r="B5752" s="267"/>
      <c r="C5752" s="266"/>
      <c r="D5752" s="267"/>
      <c r="E5752" s="268"/>
      <c r="F5752" s="267"/>
      <c r="G5752" s="269"/>
      <c r="H5752" s="263"/>
      <c r="I5752" s="86"/>
      <c r="J5752" s="86"/>
      <c r="K5752" s="264"/>
      <c r="M5752" s="265"/>
    </row>
    <row r="5753" ht="15.75" customHeight="1">
      <c r="A5753" s="266"/>
      <c r="B5753" s="267"/>
      <c r="C5753" s="266"/>
      <c r="D5753" s="267"/>
      <c r="E5753" s="268"/>
      <c r="F5753" s="267"/>
      <c r="G5753" s="269"/>
      <c r="H5753" s="263"/>
      <c r="I5753" s="86"/>
      <c r="J5753" s="86"/>
      <c r="K5753" s="264"/>
      <c r="M5753" s="265"/>
    </row>
    <row r="5754" ht="15.75" customHeight="1">
      <c r="A5754" s="266"/>
      <c r="B5754" s="267"/>
      <c r="C5754" s="266"/>
      <c r="D5754" s="267"/>
      <c r="E5754" s="268"/>
      <c r="F5754" s="267"/>
      <c r="G5754" s="269"/>
      <c r="H5754" s="263"/>
      <c r="I5754" s="86"/>
      <c r="J5754" s="86"/>
      <c r="K5754" s="264"/>
      <c r="M5754" s="265"/>
    </row>
    <row r="5755" ht="15.75" customHeight="1">
      <c r="A5755" s="266"/>
      <c r="B5755" s="267"/>
      <c r="C5755" s="266"/>
      <c r="D5755" s="267"/>
      <c r="E5755" s="268"/>
      <c r="F5755" s="267"/>
      <c r="G5755" s="269"/>
      <c r="H5755" s="263"/>
      <c r="I5755" s="86"/>
      <c r="J5755" s="86"/>
      <c r="K5755" s="264"/>
      <c r="M5755" s="265"/>
    </row>
    <row r="5756" ht="15.75" customHeight="1">
      <c r="A5756" s="266"/>
      <c r="B5756" s="267"/>
      <c r="C5756" s="266"/>
      <c r="D5756" s="267"/>
      <c r="E5756" s="268"/>
      <c r="F5756" s="267"/>
      <c r="G5756" s="269"/>
      <c r="H5756" s="263"/>
      <c r="I5756" s="86"/>
      <c r="J5756" s="86"/>
      <c r="K5756" s="264"/>
      <c r="M5756" s="265"/>
    </row>
    <row r="5757" ht="15.75" customHeight="1">
      <c r="A5757" s="266"/>
      <c r="B5757" s="267"/>
      <c r="C5757" s="266"/>
      <c r="D5757" s="267"/>
      <c r="E5757" s="268"/>
      <c r="F5757" s="267"/>
      <c r="G5757" s="269"/>
      <c r="H5757" s="263"/>
      <c r="I5757" s="86"/>
      <c r="J5757" s="86"/>
      <c r="K5757" s="264"/>
      <c r="M5757" s="265"/>
    </row>
    <row r="5758" ht="15.75" customHeight="1">
      <c r="A5758" s="266"/>
      <c r="B5758" s="267"/>
      <c r="C5758" s="266"/>
      <c r="D5758" s="267"/>
      <c r="E5758" s="268"/>
      <c r="F5758" s="267"/>
      <c r="G5758" s="269"/>
      <c r="H5758" s="263"/>
      <c r="I5758" s="86"/>
      <c r="J5758" s="86"/>
      <c r="K5758" s="264"/>
      <c r="M5758" s="265"/>
    </row>
    <row r="5759" ht="15.75" customHeight="1">
      <c r="A5759" s="266"/>
      <c r="B5759" s="267"/>
      <c r="C5759" s="266"/>
      <c r="D5759" s="267"/>
      <c r="E5759" s="268"/>
      <c r="F5759" s="267"/>
      <c r="G5759" s="269"/>
      <c r="H5759" s="263"/>
      <c r="I5759" s="86"/>
      <c r="J5759" s="86"/>
      <c r="K5759" s="264"/>
      <c r="M5759" s="265"/>
    </row>
    <row r="5760" ht="15.75" customHeight="1">
      <c r="A5760" s="266"/>
      <c r="B5760" s="267"/>
      <c r="C5760" s="266"/>
      <c r="D5760" s="267"/>
      <c r="E5760" s="268"/>
      <c r="F5760" s="267"/>
      <c r="G5760" s="269"/>
      <c r="H5760" s="263"/>
      <c r="I5760" s="86"/>
      <c r="J5760" s="86"/>
      <c r="K5760" s="264"/>
      <c r="M5760" s="265"/>
    </row>
    <row r="5761" ht="15.75" customHeight="1">
      <c r="A5761" s="266"/>
      <c r="B5761" s="267"/>
      <c r="C5761" s="266"/>
      <c r="D5761" s="267"/>
      <c r="E5761" s="268"/>
      <c r="F5761" s="267"/>
      <c r="G5761" s="269"/>
      <c r="H5761" s="263"/>
      <c r="I5761" s="86"/>
      <c r="J5761" s="86"/>
      <c r="K5761" s="264"/>
      <c r="M5761" s="265"/>
    </row>
    <row r="5762" ht="15.75" customHeight="1">
      <c r="A5762" s="266"/>
      <c r="B5762" s="267"/>
      <c r="C5762" s="266"/>
      <c r="D5762" s="267"/>
      <c r="E5762" s="268"/>
      <c r="F5762" s="267"/>
      <c r="G5762" s="269"/>
      <c r="H5762" s="263"/>
      <c r="I5762" s="86"/>
      <c r="J5762" s="86"/>
      <c r="K5762" s="264"/>
      <c r="M5762" s="265"/>
    </row>
    <row r="5763" ht="15.75" customHeight="1">
      <c r="A5763" s="266"/>
      <c r="B5763" s="267"/>
      <c r="C5763" s="266"/>
      <c r="D5763" s="267"/>
      <c r="E5763" s="268"/>
      <c r="F5763" s="267"/>
      <c r="G5763" s="269"/>
      <c r="H5763" s="263"/>
      <c r="I5763" s="86"/>
      <c r="J5763" s="86"/>
      <c r="K5763" s="264"/>
      <c r="M5763" s="265"/>
    </row>
    <row r="5764" ht="15.75" customHeight="1">
      <c r="A5764" s="266"/>
      <c r="B5764" s="267"/>
      <c r="C5764" s="266"/>
      <c r="D5764" s="267"/>
      <c r="E5764" s="268"/>
      <c r="F5764" s="267"/>
      <c r="G5764" s="269"/>
      <c r="H5764" s="263"/>
      <c r="I5764" s="86"/>
      <c r="J5764" s="86"/>
      <c r="K5764" s="264"/>
      <c r="M5764" s="265"/>
    </row>
    <row r="5765" ht="15.75" customHeight="1">
      <c r="A5765" s="266"/>
      <c r="B5765" s="267"/>
      <c r="C5765" s="266"/>
      <c r="D5765" s="267"/>
      <c r="E5765" s="268"/>
      <c r="F5765" s="267"/>
      <c r="G5765" s="269"/>
      <c r="H5765" s="263"/>
      <c r="I5765" s="86"/>
      <c r="J5765" s="86"/>
      <c r="K5765" s="264"/>
      <c r="M5765" s="265"/>
    </row>
    <row r="5766" ht="15.75" customHeight="1">
      <c r="A5766" s="266"/>
      <c r="B5766" s="267"/>
      <c r="C5766" s="266"/>
      <c r="D5766" s="267"/>
      <c r="E5766" s="268"/>
      <c r="F5766" s="267"/>
      <c r="G5766" s="269"/>
      <c r="H5766" s="263"/>
      <c r="I5766" s="86"/>
      <c r="J5766" s="86"/>
      <c r="K5766" s="264"/>
      <c r="M5766" s="265"/>
    </row>
    <row r="5767" ht="15.75" customHeight="1">
      <c r="A5767" s="266"/>
      <c r="B5767" s="267"/>
      <c r="C5767" s="266"/>
      <c r="D5767" s="267"/>
      <c r="E5767" s="268"/>
      <c r="F5767" s="267"/>
      <c r="G5767" s="269"/>
      <c r="H5767" s="263"/>
      <c r="I5767" s="86"/>
      <c r="J5767" s="86"/>
      <c r="K5767" s="264"/>
      <c r="M5767" s="265"/>
    </row>
    <row r="5768" ht="15.75" customHeight="1">
      <c r="A5768" s="266"/>
      <c r="B5768" s="267"/>
      <c r="C5768" s="266"/>
      <c r="D5768" s="267"/>
      <c r="E5768" s="268"/>
      <c r="F5768" s="267"/>
      <c r="G5768" s="269"/>
      <c r="H5768" s="263"/>
      <c r="I5768" s="86"/>
      <c r="J5768" s="86"/>
      <c r="K5768" s="264"/>
      <c r="M5768" s="265"/>
    </row>
    <row r="5769" ht="15.75" customHeight="1">
      <c r="A5769" s="266"/>
      <c r="B5769" s="267"/>
      <c r="C5769" s="266"/>
      <c r="D5769" s="267"/>
      <c r="E5769" s="268"/>
      <c r="F5769" s="267"/>
      <c r="G5769" s="269"/>
      <c r="H5769" s="263"/>
      <c r="I5769" s="86"/>
      <c r="J5769" s="86"/>
      <c r="K5769" s="264"/>
      <c r="M5769" s="265"/>
    </row>
    <row r="5770" ht="15.75" customHeight="1">
      <c r="A5770" s="266"/>
      <c r="B5770" s="267"/>
      <c r="C5770" s="266"/>
      <c r="D5770" s="267"/>
      <c r="E5770" s="268"/>
      <c r="F5770" s="267"/>
      <c r="G5770" s="269"/>
      <c r="H5770" s="263"/>
      <c r="I5770" s="86"/>
      <c r="J5770" s="86"/>
      <c r="K5770" s="264"/>
      <c r="M5770" s="265"/>
    </row>
    <row r="5771" ht="15.75" customHeight="1">
      <c r="A5771" s="266"/>
      <c r="B5771" s="267"/>
      <c r="C5771" s="266"/>
      <c r="D5771" s="267"/>
      <c r="E5771" s="268"/>
      <c r="F5771" s="267"/>
      <c r="G5771" s="269"/>
      <c r="H5771" s="263"/>
      <c r="I5771" s="86"/>
      <c r="J5771" s="86"/>
      <c r="K5771" s="264"/>
      <c r="M5771" s="265"/>
    </row>
    <row r="5772" ht="15.75" customHeight="1">
      <c r="A5772" s="266"/>
      <c r="B5772" s="267"/>
      <c r="C5772" s="266"/>
      <c r="D5772" s="267"/>
      <c r="E5772" s="268"/>
      <c r="F5772" s="267"/>
      <c r="G5772" s="269"/>
      <c r="H5772" s="263"/>
      <c r="I5772" s="86"/>
      <c r="J5772" s="86"/>
      <c r="K5772" s="264"/>
      <c r="M5772" s="265"/>
    </row>
    <row r="5773" ht="15.75" customHeight="1">
      <c r="A5773" s="266"/>
      <c r="B5773" s="267"/>
      <c r="C5773" s="266"/>
      <c r="D5773" s="267"/>
      <c r="E5773" s="268"/>
      <c r="F5773" s="267"/>
      <c r="G5773" s="269"/>
      <c r="H5773" s="263"/>
      <c r="I5773" s="86"/>
      <c r="J5773" s="86"/>
      <c r="K5773" s="264"/>
      <c r="M5773" s="265"/>
    </row>
    <row r="5774" ht="15.75" customHeight="1">
      <c r="A5774" s="266"/>
      <c r="B5774" s="267"/>
      <c r="C5774" s="266"/>
      <c r="D5774" s="267"/>
      <c r="E5774" s="268"/>
      <c r="F5774" s="267"/>
      <c r="G5774" s="269"/>
      <c r="H5774" s="263"/>
      <c r="I5774" s="86"/>
      <c r="J5774" s="86"/>
      <c r="K5774" s="264"/>
      <c r="M5774" s="265"/>
    </row>
    <row r="5775" ht="15.75" customHeight="1">
      <c r="A5775" s="266"/>
      <c r="B5775" s="267"/>
      <c r="C5775" s="266"/>
      <c r="D5775" s="267"/>
      <c r="E5775" s="268"/>
      <c r="F5775" s="267"/>
      <c r="G5775" s="269"/>
      <c r="H5775" s="263"/>
      <c r="I5775" s="86"/>
      <c r="J5775" s="86"/>
      <c r="K5775" s="264"/>
      <c r="M5775" s="265"/>
    </row>
    <row r="5776" ht="15.75" customHeight="1">
      <c r="A5776" s="266"/>
      <c r="B5776" s="267"/>
      <c r="C5776" s="266"/>
      <c r="D5776" s="267"/>
      <c r="E5776" s="268"/>
      <c r="F5776" s="267"/>
      <c r="G5776" s="269"/>
      <c r="H5776" s="263"/>
      <c r="I5776" s="86"/>
      <c r="J5776" s="86"/>
      <c r="K5776" s="264"/>
      <c r="M5776" s="265"/>
    </row>
    <row r="5777" ht="15.75" customHeight="1">
      <c r="A5777" s="266"/>
      <c r="B5777" s="267"/>
      <c r="C5777" s="266"/>
      <c r="D5777" s="267"/>
      <c r="E5777" s="268"/>
      <c r="F5777" s="267"/>
      <c r="G5777" s="269"/>
      <c r="H5777" s="263"/>
      <c r="I5777" s="86"/>
      <c r="J5777" s="86"/>
      <c r="K5777" s="264"/>
      <c r="M5777" s="265"/>
    </row>
    <row r="5778" ht="15.75" customHeight="1">
      <c r="A5778" s="266"/>
      <c r="B5778" s="267"/>
      <c r="C5778" s="266"/>
      <c r="D5778" s="267"/>
      <c r="E5778" s="268"/>
      <c r="F5778" s="267"/>
      <c r="G5778" s="269"/>
      <c r="H5778" s="263"/>
      <c r="I5778" s="86"/>
      <c r="J5778" s="86"/>
      <c r="K5778" s="264"/>
      <c r="M5778" s="265"/>
    </row>
    <row r="5779" ht="15.75" customHeight="1">
      <c r="A5779" s="266"/>
      <c r="B5779" s="267"/>
      <c r="C5779" s="266"/>
      <c r="D5779" s="267"/>
      <c r="E5779" s="268"/>
      <c r="F5779" s="267"/>
      <c r="G5779" s="269"/>
      <c r="H5779" s="263"/>
      <c r="I5779" s="86"/>
      <c r="J5779" s="86"/>
      <c r="K5779" s="264"/>
      <c r="M5779" s="265"/>
    </row>
    <row r="5780" ht="15.75" customHeight="1">
      <c r="A5780" s="266"/>
      <c r="B5780" s="267"/>
      <c r="C5780" s="266"/>
      <c r="D5780" s="267"/>
      <c r="E5780" s="268"/>
      <c r="F5780" s="267"/>
      <c r="G5780" s="269"/>
      <c r="H5780" s="263"/>
      <c r="I5780" s="86"/>
      <c r="J5780" s="86"/>
      <c r="K5780" s="264"/>
      <c r="M5780" s="265"/>
    </row>
    <row r="5781" ht="15.75" customHeight="1">
      <c r="A5781" s="266"/>
      <c r="B5781" s="267"/>
      <c r="C5781" s="266"/>
      <c r="D5781" s="267"/>
      <c r="E5781" s="268"/>
      <c r="F5781" s="267"/>
      <c r="G5781" s="269"/>
      <c r="H5781" s="263"/>
      <c r="I5781" s="86"/>
      <c r="J5781" s="86"/>
      <c r="K5781" s="264"/>
      <c r="M5781" s="265"/>
    </row>
    <row r="5782" ht="15.75" customHeight="1">
      <c r="A5782" s="266"/>
      <c r="B5782" s="267"/>
      <c r="C5782" s="266"/>
      <c r="D5782" s="267"/>
      <c r="E5782" s="268"/>
      <c r="F5782" s="267"/>
      <c r="G5782" s="269"/>
      <c r="H5782" s="263"/>
      <c r="I5782" s="86"/>
      <c r="J5782" s="86"/>
      <c r="K5782" s="264"/>
      <c r="M5782" s="265"/>
    </row>
    <row r="5783" ht="15.75" customHeight="1">
      <c r="A5783" s="266"/>
      <c r="B5783" s="267"/>
      <c r="C5783" s="266"/>
      <c r="D5783" s="267"/>
      <c r="E5783" s="268"/>
      <c r="F5783" s="267"/>
      <c r="G5783" s="269"/>
      <c r="H5783" s="263"/>
      <c r="I5783" s="86"/>
      <c r="J5783" s="86"/>
      <c r="K5783" s="264"/>
      <c r="M5783" s="265"/>
    </row>
    <row r="5784" ht="15.75" customHeight="1">
      <c r="A5784" s="266"/>
      <c r="B5784" s="267"/>
      <c r="C5784" s="266"/>
      <c r="D5784" s="267"/>
      <c r="E5784" s="268"/>
      <c r="F5784" s="267"/>
      <c r="G5784" s="269"/>
      <c r="H5784" s="263"/>
      <c r="I5784" s="86"/>
      <c r="J5784" s="86"/>
      <c r="K5784" s="264"/>
      <c r="M5784" s="265"/>
    </row>
    <row r="5785" ht="15.75" customHeight="1">
      <c r="A5785" s="266"/>
      <c r="B5785" s="267"/>
      <c r="C5785" s="266"/>
      <c r="D5785" s="267"/>
      <c r="E5785" s="268"/>
      <c r="F5785" s="267"/>
      <c r="G5785" s="269"/>
      <c r="H5785" s="263"/>
      <c r="I5785" s="86"/>
      <c r="J5785" s="86"/>
      <c r="K5785" s="264"/>
      <c r="M5785" s="265"/>
    </row>
    <row r="5786" ht="15.75" customHeight="1">
      <c r="A5786" s="266"/>
      <c r="B5786" s="267"/>
      <c r="C5786" s="266"/>
      <c r="D5786" s="267"/>
      <c r="E5786" s="268"/>
      <c r="F5786" s="267"/>
      <c r="G5786" s="269"/>
      <c r="H5786" s="263"/>
      <c r="I5786" s="86"/>
      <c r="J5786" s="86"/>
      <c r="K5786" s="264"/>
      <c r="M5786" s="265"/>
    </row>
    <row r="5787" ht="15.75" customHeight="1">
      <c r="A5787" s="266"/>
      <c r="B5787" s="267"/>
      <c r="C5787" s="266"/>
      <c r="D5787" s="267"/>
      <c r="E5787" s="268"/>
      <c r="F5787" s="267"/>
      <c r="G5787" s="269"/>
      <c r="H5787" s="263"/>
      <c r="I5787" s="86"/>
      <c r="J5787" s="86"/>
      <c r="K5787" s="264"/>
      <c r="M5787" s="265"/>
    </row>
    <row r="5788" ht="15.75" customHeight="1">
      <c r="A5788" s="266"/>
      <c r="B5788" s="267"/>
      <c r="C5788" s="266"/>
      <c r="D5788" s="267"/>
      <c r="E5788" s="268"/>
      <c r="F5788" s="267"/>
      <c r="G5788" s="269"/>
      <c r="H5788" s="263"/>
      <c r="I5788" s="86"/>
      <c r="J5788" s="86"/>
      <c r="K5788" s="264"/>
      <c r="M5788" s="265"/>
    </row>
    <row r="5789" ht="15.75" customHeight="1">
      <c r="A5789" s="266"/>
      <c r="B5789" s="267"/>
      <c r="C5789" s="266"/>
      <c r="D5789" s="267"/>
      <c r="E5789" s="268"/>
      <c r="F5789" s="267"/>
      <c r="G5789" s="269"/>
      <c r="H5789" s="263"/>
      <c r="I5789" s="86"/>
      <c r="J5789" s="86"/>
      <c r="K5789" s="264"/>
      <c r="M5789" s="265"/>
    </row>
    <row r="5790" ht="15.75" customHeight="1">
      <c r="A5790" s="266"/>
      <c r="B5790" s="267"/>
      <c r="C5790" s="266"/>
      <c r="D5790" s="267"/>
      <c r="E5790" s="268"/>
      <c r="F5790" s="267"/>
      <c r="G5790" s="269"/>
      <c r="H5790" s="263"/>
      <c r="I5790" s="86"/>
      <c r="J5790" s="86"/>
      <c r="K5790" s="264"/>
      <c r="M5790" s="265"/>
    </row>
    <row r="5791" ht="15.75" customHeight="1">
      <c r="A5791" s="266"/>
      <c r="B5791" s="267"/>
      <c r="C5791" s="266"/>
      <c r="D5791" s="267"/>
      <c r="E5791" s="268"/>
      <c r="F5791" s="267"/>
      <c r="G5791" s="269"/>
      <c r="H5791" s="263"/>
      <c r="I5791" s="86"/>
      <c r="J5791" s="86"/>
      <c r="K5791" s="264"/>
      <c r="M5791" s="265"/>
    </row>
    <row r="5792" ht="15.75" customHeight="1">
      <c r="A5792" s="266"/>
      <c r="B5792" s="267"/>
      <c r="C5792" s="266"/>
      <c r="D5792" s="267"/>
      <c r="E5792" s="268"/>
      <c r="F5792" s="267"/>
      <c r="G5792" s="269"/>
      <c r="H5792" s="263"/>
      <c r="I5792" s="86"/>
      <c r="J5792" s="86"/>
      <c r="K5792" s="264"/>
      <c r="M5792" s="265"/>
    </row>
    <row r="5793" ht="15.75" customHeight="1">
      <c r="A5793" s="266"/>
      <c r="B5793" s="267"/>
      <c r="C5793" s="266"/>
      <c r="D5793" s="267"/>
      <c r="E5793" s="268"/>
      <c r="F5793" s="267"/>
      <c r="G5793" s="269"/>
      <c r="H5793" s="263"/>
      <c r="I5793" s="86"/>
      <c r="J5793" s="86"/>
      <c r="K5793" s="264"/>
      <c r="M5793" s="265"/>
    </row>
    <row r="5794" ht="15.75" customHeight="1">
      <c r="A5794" s="266"/>
      <c r="B5794" s="267"/>
      <c r="C5794" s="266"/>
      <c r="D5794" s="267"/>
      <c r="E5794" s="268"/>
      <c r="F5794" s="267"/>
      <c r="G5794" s="269"/>
      <c r="H5794" s="263"/>
      <c r="I5794" s="86"/>
      <c r="J5794" s="86"/>
      <c r="K5794" s="264"/>
      <c r="M5794" s="265"/>
    </row>
    <row r="5795" ht="15.75" customHeight="1">
      <c r="A5795" s="266"/>
      <c r="B5795" s="267"/>
      <c r="C5795" s="266"/>
      <c r="D5795" s="267"/>
      <c r="E5795" s="268"/>
      <c r="F5795" s="267"/>
      <c r="G5795" s="269"/>
      <c r="H5795" s="263"/>
      <c r="I5795" s="86"/>
      <c r="J5795" s="86"/>
      <c r="K5795" s="264"/>
      <c r="M5795" s="265"/>
    </row>
    <row r="5796" ht="15.75" customHeight="1">
      <c r="A5796" s="266"/>
      <c r="B5796" s="267"/>
      <c r="C5796" s="266"/>
      <c r="D5796" s="267"/>
      <c r="E5796" s="268"/>
      <c r="F5796" s="267"/>
      <c r="G5796" s="269"/>
      <c r="H5796" s="263"/>
      <c r="I5796" s="86"/>
      <c r="J5796" s="86"/>
      <c r="K5796" s="264"/>
      <c r="M5796" s="265"/>
    </row>
    <row r="5797" ht="15.75" customHeight="1">
      <c r="A5797" s="266"/>
      <c r="B5797" s="267"/>
      <c r="C5797" s="266"/>
      <c r="D5797" s="267"/>
      <c r="E5797" s="268"/>
      <c r="F5797" s="267"/>
      <c r="G5797" s="269"/>
      <c r="H5797" s="263"/>
      <c r="I5797" s="86"/>
      <c r="J5797" s="86"/>
      <c r="K5797" s="264"/>
      <c r="M5797" s="265"/>
    </row>
    <row r="5798" ht="15.75" customHeight="1">
      <c r="A5798" s="266"/>
      <c r="B5798" s="267"/>
      <c r="C5798" s="266"/>
      <c r="D5798" s="267"/>
      <c r="E5798" s="268"/>
      <c r="F5798" s="267"/>
      <c r="G5798" s="269"/>
      <c r="H5798" s="263"/>
      <c r="I5798" s="86"/>
      <c r="J5798" s="86"/>
      <c r="K5798" s="264"/>
      <c r="M5798" s="265"/>
    </row>
    <row r="5799" ht="15.75" customHeight="1">
      <c r="A5799" s="266"/>
      <c r="B5799" s="267"/>
      <c r="C5799" s="266"/>
      <c r="D5799" s="267"/>
      <c r="E5799" s="268"/>
      <c r="F5799" s="267"/>
      <c r="G5799" s="269"/>
      <c r="H5799" s="263"/>
      <c r="I5799" s="86"/>
      <c r="J5799" s="86"/>
      <c r="K5799" s="264"/>
      <c r="M5799" s="265"/>
    </row>
    <row r="5800" ht="15.75" customHeight="1">
      <c r="A5800" s="266"/>
      <c r="B5800" s="267"/>
      <c r="C5800" s="266"/>
      <c r="D5800" s="267"/>
      <c r="E5800" s="268"/>
      <c r="F5800" s="267"/>
      <c r="G5800" s="269"/>
      <c r="H5800" s="263"/>
      <c r="I5800" s="86"/>
      <c r="J5800" s="86"/>
      <c r="K5800" s="264"/>
      <c r="M5800" s="265"/>
    </row>
    <row r="5801" ht="15.75" customHeight="1">
      <c r="A5801" s="266"/>
      <c r="B5801" s="267"/>
      <c r="C5801" s="266"/>
      <c r="D5801" s="267"/>
      <c r="E5801" s="268"/>
      <c r="F5801" s="267"/>
      <c r="G5801" s="269"/>
      <c r="H5801" s="263"/>
      <c r="I5801" s="86"/>
      <c r="J5801" s="86"/>
      <c r="K5801" s="264"/>
      <c r="M5801" s="265"/>
    </row>
    <row r="5802" ht="15.75" customHeight="1">
      <c r="A5802" s="266"/>
      <c r="B5802" s="267"/>
      <c r="C5802" s="266"/>
      <c r="D5802" s="267"/>
      <c r="E5802" s="268"/>
      <c r="F5802" s="267"/>
      <c r="G5802" s="269"/>
      <c r="H5802" s="263"/>
      <c r="I5802" s="86"/>
      <c r="J5802" s="86"/>
      <c r="K5802" s="264"/>
      <c r="M5802" s="265"/>
    </row>
    <row r="5803" ht="15.75" customHeight="1">
      <c r="A5803" s="266"/>
      <c r="B5803" s="267"/>
      <c r="C5803" s="266"/>
      <c r="D5803" s="267"/>
      <c r="E5803" s="268"/>
      <c r="F5803" s="267"/>
      <c r="G5803" s="269"/>
      <c r="H5803" s="263"/>
      <c r="I5803" s="86"/>
      <c r="J5803" s="86"/>
      <c r="K5803" s="264"/>
      <c r="M5803" s="265"/>
    </row>
    <row r="5804" ht="15.75" customHeight="1">
      <c r="A5804" s="266"/>
      <c r="B5804" s="267"/>
      <c r="C5804" s="266"/>
      <c r="D5804" s="267"/>
      <c r="E5804" s="268"/>
      <c r="F5804" s="267"/>
      <c r="G5804" s="269"/>
      <c r="H5804" s="263"/>
      <c r="I5804" s="86"/>
      <c r="J5804" s="86"/>
      <c r="K5804" s="264"/>
      <c r="M5804" s="265"/>
    </row>
    <row r="5805" ht="15.75" customHeight="1">
      <c r="A5805" s="266"/>
      <c r="B5805" s="267"/>
      <c r="C5805" s="266"/>
      <c r="D5805" s="267"/>
      <c r="E5805" s="268"/>
      <c r="F5805" s="267"/>
      <c r="G5805" s="269"/>
      <c r="H5805" s="263"/>
      <c r="I5805" s="86"/>
      <c r="J5805" s="86"/>
      <c r="K5805" s="264"/>
      <c r="M5805" s="265"/>
    </row>
    <row r="5806" ht="15.75" customHeight="1">
      <c r="A5806" s="266"/>
      <c r="B5806" s="267"/>
      <c r="C5806" s="266"/>
      <c r="D5806" s="267"/>
      <c r="E5806" s="268"/>
      <c r="F5806" s="267"/>
      <c r="G5806" s="269"/>
      <c r="H5806" s="263"/>
      <c r="I5806" s="86"/>
      <c r="J5806" s="86"/>
      <c r="K5806" s="264"/>
      <c r="M5806" s="265"/>
    </row>
    <row r="5807" ht="15.75" customHeight="1">
      <c r="A5807" s="266"/>
      <c r="B5807" s="267"/>
      <c r="C5807" s="266"/>
      <c r="D5807" s="267"/>
      <c r="E5807" s="268"/>
      <c r="F5807" s="267"/>
      <c r="G5807" s="269"/>
      <c r="H5807" s="263"/>
      <c r="I5807" s="86"/>
      <c r="J5807" s="86"/>
      <c r="K5807" s="264"/>
      <c r="M5807" s="265"/>
    </row>
    <row r="5808" ht="15.75" customHeight="1">
      <c r="A5808" s="266"/>
      <c r="B5808" s="267"/>
      <c r="C5808" s="266"/>
      <c r="D5808" s="267"/>
      <c r="E5808" s="268"/>
      <c r="F5808" s="267"/>
      <c r="G5808" s="269"/>
      <c r="H5808" s="263"/>
      <c r="I5808" s="86"/>
      <c r="J5808" s="86"/>
      <c r="K5808" s="264"/>
      <c r="M5808" s="265"/>
    </row>
    <row r="5809" ht="15.75" customHeight="1">
      <c r="A5809" s="266"/>
      <c r="B5809" s="267"/>
      <c r="C5809" s="266"/>
      <c r="D5809" s="267"/>
      <c r="E5809" s="268"/>
      <c r="F5809" s="267"/>
      <c r="G5809" s="269"/>
      <c r="H5809" s="263"/>
      <c r="I5809" s="86"/>
      <c r="J5809" s="86"/>
      <c r="K5809" s="264"/>
      <c r="M5809" s="265"/>
    </row>
    <row r="5810" ht="15.75" customHeight="1">
      <c r="A5810" s="266"/>
      <c r="B5810" s="267"/>
      <c r="C5810" s="266"/>
      <c r="D5810" s="267"/>
      <c r="E5810" s="268"/>
      <c r="F5810" s="267"/>
      <c r="G5810" s="269"/>
      <c r="H5810" s="263"/>
      <c r="I5810" s="86"/>
      <c r="J5810" s="86"/>
      <c r="K5810" s="264"/>
      <c r="M5810" s="265"/>
    </row>
    <row r="5811" ht="15.75" customHeight="1">
      <c r="A5811" s="266"/>
      <c r="B5811" s="267"/>
      <c r="C5811" s="266"/>
      <c r="D5811" s="267"/>
      <c r="E5811" s="268"/>
      <c r="F5811" s="267"/>
      <c r="G5811" s="269"/>
      <c r="H5811" s="263"/>
      <c r="I5811" s="86"/>
      <c r="J5811" s="86"/>
      <c r="K5811" s="264"/>
      <c r="M5811" s="265"/>
    </row>
    <row r="5812" ht="15.75" customHeight="1">
      <c r="A5812" s="266"/>
      <c r="B5812" s="267"/>
      <c r="C5812" s="266"/>
      <c r="D5812" s="267"/>
      <c r="E5812" s="268"/>
      <c r="F5812" s="267"/>
      <c r="G5812" s="269"/>
      <c r="H5812" s="263"/>
      <c r="I5812" s="86"/>
      <c r="J5812" s="86"/>
      <c r="K5812" s="264"/>
      <c r="M5812" s="265"/>
    </row>
    <row r="5813" ht="15.75" customHeight="1">
      <c r="A5813" s="266"/>
      <c r="B5813" s="267"/>
      <c r="C5813" s="266"/>
      <c r="D5813" s="267"/>
      <c r="E5813" s="268"/>
      <c r="F5813" s="267"/>
      <c r="G5813" s="269"/>
      <c r="H5813" s="263"/>
      <c r="I5813" s="86"/>
      <c r="J5813" s="86"/>
      <c r="K5813" s="264"/>
      <c r="M5813" s="265"/>
    </row>
    <row r="5814" ht="15.75" customHeight="1">
      <c r="A5814" s="266"/>
      <c r="B5814" s="267"/>
      <c r="C5814" s="266"/>
      <c r="D5814" s="267"/>
      <c r="E5814" s="268"/>
      <c r="F5814" s="267"/>
      <c r="G5814" s="269"/>
      <c r="H5814" s="263"/>
      <c r="I5814" s="86"/>
      <c r="J5814" s="86"/>
      <c r="K5814" s="264"/>
      <c r="M5814" s="265"/>
    </row>
    <row r="5815" ht="15.75" customHeight="1">
      <c r="A5815" s="266"/>
      <c r="B5815" s="267"/>
      <c r="C5815" s="266"/>
      <c r="D5815" s="267"/>
      <c r="E5815" s="268"/>
      <c r="F5815" s="267"/>
      <c r="G5815" s="269"/>
      <c r="H5815" s="263"/>
      <c r="I5815" s="86"/>
      <c r="J5815" s="86"/>
      <c r="K5815" s="264"/>
      <c r="M5815" s="265"/>
    </row>
    <row r="5816" ht="15.75" customHeight="1">
      <c r="A5816" s="266"/>
      <c r="B5816" s="267"/>
      <c r="C5816" s="266"/>
      <c r="D5816" s="267"/>
      <c r="E5816" s="268"/>
      <c r="F5816" s="267"/>
      <c r="G5816" s="269"/>
      <c r="H5816" s="263"/>
      <c r="I5816" s="86"/>
      <c r="J5816" s="86"/>
      <c r="K5816" s="264"/>
      <c r="M5816" s="265"/>
    </row>
    <row r="5817" ht="15.75" customHeight="1">
      <c r="A5817" s="266"/>
      <c r="B5817" s="267"/>
      <c r="C5817" s="266"/>
      <c r="D5817" s="267"/>
      <c r="E5817" s="268"/>
      <c r="F5817" s="267"/>
      <c r="G5817" s="269"/>
      <c r="H5817" s="263"/>
      <c r="I5817" s="86"/>
      <c r="J5817" s="86"/>
      <c r="K5817" s="264"/>
      <c r="M5817" s="265"/>
    </row>
    <row r="5818" ht="15.75" customHeight="1">
      <c r="A5818" s="266"/>
      <c r="B5818" s="267"/>
      <c r="C5818" s="266"/>
      <c r="D5818" s="267"/>
      <c r="E5818" s="268"/>
      <c r="F5818" s="267"/>
      <c r="G5818" s="269"/>
      <c r="H5818" s="263"/>
      <c r="I5818" s="86"/>
      <c r="J5818" s="86"/>
      <c r="K5818" s="264"/>
      <c r="M5818" s="265"/>
    </row>
    <row r="5819" ht="15.75" customHeight="1">
      <c r="A5819" s="266"/>
      <c r="B5819" s="267"/>
      <c r="C5819" s="266"/>
      <c r="D5819" s="267"/>
      <c r="E5819" s="268"/>
      <c r="F5819" s="267"/>
      <c r="G5819" s="269"/>
      <c r="H5819" s="263"/>
      <c r="I5819" s="86"/>
      <c r="J5819" s="86"/>
      <c r="K5819" s="264"/>
      <c r="M5819" s="265"/>
    </row>
    <row r="5820" ht="15.75" customHeight="1">
      <c r="A5820" s="266"/>
      <c r="B5820" s="267"/>
      <c r="C5820" s="266"/>
      <c r="D5820" s="267"/>
      <c r="E5820" s="268"/>
      <c r="F5820" s="267"/>
      <c r="G5820" s="269"/>
      <c r="H5820" s="263"/>
      <c r="I5820" s="86"/>
      <c r="J5820" s="86"/>
      <c r="K5820" s="264"/>
      <c r="M5820" s="265"/>
    </row>
    <row r="5821" ht="15.75" customHeight="1">
      <c r="A5821" s="266"/>
      <c r="B5821" s="267"/>
      <c r="C5821" s="266"/>
      <c r="D5821" s="267"/>
      <c r="E5821" s="268"/>
      <c r="F5821" s="267"/>
      <c r="G5821" s="269"/>
      <c r="H5821" s="263"/>
      <c r="I5821" s="86"/>
      <c r="J5821" s="86"/>
      <c r="K5821" s="264"/>
      <c r="M5821" s="265"/>
    </row>
    <row r="5822" ht="15.75" customHeight="1">
      <c r="A5822" s="266"/>
      <c r="B5822" s="267"/>
      <c r="C5822" s="266"/>
      <c r="D5822" s="267"/>
      <c r="E5822" s="268"/>
      <c r="F5822" s="267"/>
      <c r="G5822" s="269"/>
      <c r="H5822" s="263"/>
      <c r="I5822" s="86"/>
      <c r="J5822" s="86"/>
      <c r="K5822" s="264"/>
      <c r="M5822" s="265"/>
    </row>
    <row r="5823" ht="15.75" customHeight="1">
      <c r="A5823" s="266"/>
      <c r="B5823" s="267"/>
      <c r="C5823" s="266"/>
      <c r="D5823" s="267"/>
      <c r="E5823" s="268"/>
      <c r="F5823" s="267"/>
      <c r="G5823" s="269"/>
      <c r="H5823" s="263"/>
      <c r="I5823" s="86"/>
      <c r="J5823" s="86"/>
      <c r="K5823" s="264"/>
      <c r="M5823" s="265"/>
    </row>
    <row r="5824" ht="15.75" customHeight="1">
      <c r="A5824" s="266"/>
      <c r="B5824" s="267"/>
      <c r="C5824" s="266"/>
      <c r="D5824" s="267"/>
      <c r="E5824" s="268"/>
      <c r="F5824" s="267"/>
      <c r="G5824" s="269"/>
      <c r="H5824" s="263"/>
      <c r="I5824" s="86"/>
      <c r="J5824" s="86"/>
      <c r="K5824" s="264"/>
      <c r="M5824" s="265"/>
    </row>
    <row r="5825" ht="15.75" customHeight="1">
      <c r="A5825" s="266"/>
      <c r="B5825" s="267"/>
      <c r="C5825" s="266"/>
      <c r="D5825" s="267"/>
      <c r="E5825" s="268"/>
      <c r="F5825" s="267"/>
      <c r="G5825" s="269"/>
      <c r="H5825" s="263"/>
      <c r="I5825" s="86"/>
      <c r="J5825" s="86"/>
      <c r="K5825" s="264"/>
      <c r="M5825" s="265"/>
    </row>
    <row r="5826" ht="15.75" customHeight="1">
      <c r="A5826" s="266"/>
      <c r="B5826" s="267"/>
      <c r="C5826" s="266"/>
      <c r="D5826" s="267"/>
      <c r="E5826" s="268"/>
      <c r="F5826" s="267"/>
      <c r="G5826" s="269"/>
      <c r="H5826" s="263"/>
      <c r="I5826" s="86"/>
      <c r="J5826" s="86"/>
      <c r="K5826" s="264"/>
      <c r="M5826" s="265"/>
    </row>
    <row r="5827" ht="15.75" customHeight="1">
      <c r="A5827" s="266"/>
      <c r="B5827" s="267"/>
      <c r="C5827" s="266"/>
      <c r="D5827" s="267"/>
      <c r="E5827" s="268"/>
      <c r="F5827" s="267"/>
      <c r="G5827" s="269"/>
      <c r="H5827" s="263"/>
      <c r="I5827" s="86"/>
      <c r="J5827" s="86"/>
      <c r="K5827" s="264"/>
      <c r="M5827" s="265"/>
    </row>
    <row r="5828" ht="15.75" customHeight="1">
      <c r="A5828" s="266"/>
      <c r="B5828" s="267"/>
      <c r="C5828" s="266"/>
      <c r="D5828" s="267"/>
      <c r="E5828" s="268"/>
      <c r="F5828" s="267"/>
      <c r="G5828" s="269"/>
      <c r="H5828" s="263"/>
      <c r="I5828" s="86"/>
      <c r="J5828" s="86"/>
      <c r="K5828" s="264"/>
      <c r="M5828" s="265"/>
    </row>
    <row r="5829" ht="15.75" customHeight="1">
      <c r="A5829" s="266"/>
      <c r="B5829" s="267"/>
      <c r="C5829" s="266"/>
      <c r="D5829" s="267"/>
      <c r="E5829" s="268"/>
      <c r="F5829" s="267"/>
      <c r="G5829" s="269"/>
      <c r="H5829" s="263"/>
      <c r="I5829" s="86"/>
      <c r="J5829" s="86"/>
      <c r="K5829" s="264"/>
      <c r="M5829" s="265"/>
    </row>
    <row r="5830" ht="15.75" customHeight="1">
      <c r="A5830" s="266"/>
      <c r="B5830" s="267"/>
      <c r="C5830" s="266"/>
      <c r="D5830" s="267"/>
      <c r="E5830" s="268"/>
      <c r="F5830" s="267"/>
      <c r="G5830" s="269"/>
      <c r="H5830" s="263"/>
      <c r="I5830" s="86"/>
      <c r="J5830" s="86"/>
      <c r="K5830" s="264"/>
      <c r="M5830" s="265"/>
    </row>
    <row r="5831" ht="15.75" customHeight="1">
      <c r="A5831" s="266"/>
      <c r="B5831" s="267"/>
      <c r="C5831" s="266"/>
      <c r="D5831" s="267"/>
      <c r="E5831" s="268"/>
      <c r="F5831" s="267"/>
      <c r="G5831" s="269"/>
      <c r="H5831" s="263"/>
      <c r="I5831" s="86"/>
      <c r="J5831" s="86"/>
      <c r="K5831" s="264"/>
      <c r="M5831" s="265"/>
    </row>
    <row r="5832" ht="15.75" customHeight="1">
      <c r="A5832" s="266"/>
      <c r="B5832" s="267"/>
      <c r="C5832" s="266"/>
      <c r="D5832" s="267"/>
      <c r="E5832" s="268"/>
      <c r="F5832" s="267"/>
      <c r="G5832" s="269"/>
      <c r="H5832" s="263"/>
      <c r="I5832" s="86"/>
      <c r="J5832" s="86"/>
      <c r="K5832" s="264"/>
      <c r="M5832" s="265"/>
    </row>
    <row r="5833" ht="15.75" customHeight="1">
      <c r="A5833" s="266"/>
      <c r="B5833" s="267"/>
      <c r="C5833" s="266"/>
      <c r="D5833" s="267"/>
      <c r="E5833" s="268"/>
      <c r="F5833" s="267"/>
      <c r="G5833" s="269"/>
      <c r="H5833" s="263"/>
      <c r="I5833" s="86"/>
      <c r="J5833" s="86"/>
      <c r="K5833" s="264"/>
      <c r="M5833" s="265"/>
    </row>
    <row r="5834" ht="15.75" customHeight="1">
      <c r="A5834" s="266"/>
      <c r="B5834" s="267"/>
      <c r="C5834" s="266"/>
      <c r="D5834" s="267"/>
      <c r="E5834" s="268"/>
      <c r="F5834" s="267"/>
      <c r="G5834" s="269"/>
      <c r="H5834" s="263"/>
      <c r="I5834" s="86"/>
      <c r="J5834" s="86"/>
      <c r="K5834" s="264"/>
      <c r="M5834" s="265"/>
    </row>
    <row r="5835" ht="15.75" customHeight="1">
      <c r="A5835" s="266"/>
      <c r="B5835" s="267"/>
      <c r="C5835" s="266"/>
      <c r="D5835" s="267"/>
      <c r="E5835" s="268"/>
      <c r="F5835" s="267"/>
      <c r="G5835" s="269"/>
      <c r="H5835" s="263"/>
      <c r="I5835" s="86"/>
      <c r="J5835" s="86"/>
      <c r="K5835" s="264"/>
      <c r="M5835" s="265"/>
    </row>
    <row r="5836" ht="15.75" customHeight="1">
      <c r="A5836" s="266"/>
      <c r="B5836" s="267"/>
      <c r="C5836" s="266"/>
      <c r="D5836" s="267"/>
      <c r="E5836" s="268"/>
      <c r="F5836" s="267"/>
      <c r="G5836" s="269"/>
      <c r="H5836" s="263"/>
      <c r="I5836" s="86"/>
      <c r="J5836" s="86"/>
      <c r="K5836" s="264"/>
      <c r="M5836" s="265"/>
    </row>
    <row r="5837" ht="15.75" customHeight="1">
      <c r="A5837" s="266"/>
      <c r="B5837" s="267"/>
      <c r="C5837" s="266"/>
      <c r="D5837" s="267"/>
      <c r="E5837" s="268"/>
      <c r="F5837" s="267"/>
      <c r="G5837" s="269"/>
      <c r="H5837" s="263"/>
      <c r="I5837" s="86"/>
      <c r="J5837" s="86"/>
      <c r="K5837" s="264"/>
      <c r="M5837" s="265"/>
    </row>
    <row r="5838" ht="15.75" customHeight="1">
      <c r="A5838" s="266"/>
      <c r="B5838" s="267"/>
      <c r="C5838" s="266"/>
      <c r="D5838" s="267"/>
      <c r="E5838" s="268"/>
      <c r="F5838" s="267"/>
      <c r="G5838" s="269"/>
      <c r="H5838" s="263"/>
      <c r="I5838" s="86"/>
      <c r="J5838" s="86"/>
      <c r="K5838" s="264"/>
      <c r="M5838" s="265"/>
    </row>
    <row r="5839" ht="15.75" customHeight="1">
      <c r="A5839" s="266"/>
      <c r="B5839" s="267"/>
      <c r="C5839" s="266"/>
      <c r="D5839" s="267"/>
      <c r="E5839" s="268"/>
      <c r="F5839" s="267"/>
      <c r="G5839" s="269"/>
      <c r="H5839" s="263"/>
      <c r="I5839" s="86"/>
      <c r="J5839" s="86"/>
      <c r="K5839" s="264"/>
      <c r="M5839" s="265"/>
    </row>
    <row r="5840" ht="15.75" customHeight="1">
      <c r="A5840" s="266"/>
      <c r="B5840" s="267"/>
      <c r="C5840" s="266"/>
      <c r="D5840" s="267"/>
      <c r="E5840" s="268"/>
      <c r="F5840" s="267"/>
      <c r="G5840" s="269"/>
      <c r="H5840" s="263"/>
      <c r="I5840" s="86"/>
      <c r="J5840" s="86"/>
      <c r="K5840" s="264"/>
      <c r="M5840" s="265"/>
    </row>
    <row r="5841" ht="15.75" customHeight="1">
      <c r="A5841" s="266"/>
      <c r="B5841" s="267"/>
      <c r="C5841" s="266"/>
      <c r="D5841" s="267"/>
      <c r="E5841" s="268"/>
      <c r="F5841" s="267"/>
      <c r="G5841" s="269"/>
      <c r="H5841" s="263"/>
      <c r="I5841" s="86"/>
      <c r="J5841" s="86"/>
      <c r="K5841" s="264"/>
      <c r="M5841" s="265"/>
    </row>
    <row r="5842" ht="15.75" customHeight="1">
      <c r="A5842" s="266"/>
      <c r="B5842" s="267"/>
      <c r="C5842" s="266"/>
      <c r="D5842" s="267"/>
      <c r="E5842" s="268"/>
      <c r="F5842" s="267"/>
      <c r="G5842" s="269"/>
      <c r="H5842" s="263"/>
      <c r="I5842" s="86"/>
      <c r="J5842" s="86"/>
      <c r="K5842" s="264"/>
      <c r="M5842" s="265"/>
    </row>
    <row r="5843" ht="15.75" customHeight="1">
      <c r="A5843" s="266"/>
      <c r="B5843" s="267"/>
      <c r="C5843" s="266"/>
      <c r="D5843" s="267"/>
      <c r="E5843" s="268"/>
      <c r="F5843" s="267"/>
      <c r="G5843" s="269"/>
      <c r="H5843" s="263"/>
      <c r="I5843" s="86"/>
      <c r="J5843" s="86"/>
      <c r="K5843" s="264"/>
      <c r="M5843" s="265"/>
    </row>
    <row r="5844" ht="15.75" customHeight="1">
      <c r="A5844" s="266"/>
      <c r="B5844" s="267"/>
      <c r="C5844" s="266"/>
      <c r="D5844" s="267"/>
      <c r="E5844" s="268"/>
      <c r="F5844" s="267"/>
      <c r="G5844" s="269"/>
      <c r="H5844" s="263"/>
      <c r="I5844" s="86"/>
      <c r="J5844" s="86"/>
      <c r="K5844" s="264"/>
      <c r="M5844" s="265"/>
    </row>
    <row r="5845" ht="15.75" customHeight="1">
      <c r="A5845" s="266"/>
      <c r="B5845" s="267"/>
      <c r="C5845" s="266"/>
      <c r="D5845" s="267"/>
      <c r="E5845" s="268"/>
      <c r="F5845" s="267"/>
      <c r="G5845" s="269"/>
      <c r="H5845" s="263"/>
      <c r="I5845" s="86"/>
      <c r="J5845" s="86"/>
      <c r="K5845" s="264"/>
      <c r="M5845" s="265"/>
    </row>
    <row r="5846" ht="15.75" customHeight="1">
      <c r="A5846" s="266"/>
      <c r="B5846" s="267"/>
      <c r="C5846" s="266"/>
      <c r="D5846" s="267"/>
      <c r="E5846" s="268"/>
      <c r="F5846" s="267"/>
      <c r="G5846" s="269"/>
      <c r="H5846" s="263"/>
      <c r="I5846" s="86"/>
      <c r="J5846" s="86"/>
      <c r="K5846" s="264"/>
      <c r="M5846" s="265"/>
    </row>
    <row r="5847" ht="15.75" customHeight="1">
      <c r="A5847" s="266"/>
      <c r="B5847" s="267"/>
      <c r="C5847" s="266"/>
      <c r="D5847" s="267"/>
      <c r="E5847" s="268"/>
      <c r="F5847" s="267"/>
      <c r="G5847" s="269"/>
      <c r="H5847" s="263"/>
      <c r="I5847" s="86"/>
      <c r="J5847" s="86"/>
      <c r="K5847" s="264"/>
      <c r="M5847" s="265"/>
    </row>
    <row r="5848" ht="15.75" customHeight="1">
      <c r="A5848" s="266"/>
      <c r="B5848" s="267"/>
      <c r="C5848" s="266"/>
      <c r="D5848" s="267"/>
      <c r="E5848" s="268"/>
      <c r="F5848" s="267"/>
      <c r="G5848" s="269"/>
      <c r="H5848" s="263"/>
      <c r="I5848" s="86"/>
      <c r="J5848" s="86"/>
      <c r="K5848" s="264"/>
      <c r="M5848" s="265"/>
    </row>
    <row r="5849" ht="15.75" customHeight="1">
      <c r="A5849" s="266"/>
      <c r="B5849" s="267"/>
      <c r="C5849" s="266"/>
      <c r="D5849" s="267"/>
      <c r="E5849" s="268"/>
      <c r="F5849" s="267"/>
      <c r="G5849" s="269"/>
      <c r="H5849" s="263"/>
      <c r="I5849" s="86"/>
      <c r="J5849" s="86"/>
      <c r="K5849" s="264"/>
      <c r="M5849" s="265"/>
    </row>
    <row r="5850" ht="15.75" customHeight="1">
      <c r="A5850" s="266"/>
      <c r="B5850" s="267"/>
      <c r="C5850" s="266"/>
      <c r="D5850" s="267"/>
      <c r="E5850" s="268"/>
      <c r="F5850" s="267"/>
      <c r="G5850" s="269"/>
      <c r="H5850" s="263"/>
      <c r="I5850" s="86"/>
      <c r="J5850" s="86"/>
      <c r="K5850" s="264"/>
      <c r="M5850" s="265"/>
    </row>
    <row r="5851" ht="15.75" customHeight="1">
      <c r="A5851" s="266"/>
      <c r="B5851" s="267"/>
      <c r="C5851" s="266"/>
      <c r="D5851" s="267"/>
      <c r="E5851" s="268"/>
      <c r="F5851" s="267"/>
      <c r="G5851" s="269"/>
      <c r="H5851" s="263"/>
      <c r="I5851" s="86"/>
      <c r="J5851" s="86"/>
      <c r="K5851" s="264"/>
      <c r="M5851" s="265"/>
    </row>
    <row r="5852" ht="15.75" customHeight="1">
      <c r="A5852" s="266"/>
      <c r="B5852" s="267"/>
      <c r="C5852" s="266"/>
      <c r="D5852" s="267"/>
      <c r="E5852" s="268"/>
      <c r="F5852" s="267"/>
      <c r="G5852" s="269"/>
      <c r="H5852" s="263"/>
      <c r="I5852" s="86"/>
      <c r="J5852" s="86"/>
      <c r="K5852" s="264"/>
      <c r="M5852" s="265"/>
    </row>
    <row r="5853" ht="15.75" customHeight="1">
      <c r="A5853" s="266"/>
      <c r="B5853" s="267"/>
      <c r="C5853" s="266"/>
      <c r="D5853" s="267"/>
      <c r="E5853" s="268"/>
      <c r="F5853" s="267"/>
      <c r="G5853" s="269"/>
      <c r="H5853" s="263"/>
      <c r="I5853" s="86"/>
      <c r="J5853" s="86"/>
      <c r="K5853" s="264"/>
      <c r="M5853" s="265"/>
    </row>
    <row r="5854" ht="15.75" customHeight="1">
      <c r="A5854" s="266"/>
      <c r="B5854" s="267"/>
      <c r="C5854" s="266"/>
      <c r="D5854" s="267"/>
      <c r="E5854" s="268"/>
      <c r="F5854" s="267"/>
      <c r="G5854" s="269"/>
      <c r="H5854" s="263"/>
      <c r="I5854" s="86"/>
      <c r="J5854" s="86"/>
      <c r="K5854" s="264"/>
      <c r="M5854" s="265"/>
    </row>
    <row r="5855" ht="15.75" customHeight="1">
      <c r="A5855" s="266"/>
      <c r="B5855" s="267"/>
      <c r="C5855" s="266"/>
      <c r="D5855" s="267"/>
      <c r="E5855" s="268"/>
      <c r="F5855" s="267"/>
      <c r="G5855" s="269"/>
      <c r="H5855" s="263"/>
      <c r="I5855" s="86"/>
      <c r="J5855" s="86"/>
      <c r="K5855" s="264"/>
      <c r="M5855" s="265"/>
    </row>
    <row r="5856" ht="15.75" customHeight="1">
      <c r="A5856" s="266"/>
      <c r="B5856" s="267"/>
      <c r="C5856" s="266"/>
      <c r="D5856" s="267"/>
      <c r="E5856" s="268"/>
      <c r="F5856" s="267"/>
      <c r="G5856" s="269"/>
      <c r="H5856" s="263"/>
      <c r="I5856" s="86"/>
      <c r="J5856" s="86"/>
      <c r="K5856" s="264"/>
      <c r="M5856" s="265"/>
    </row>
    <row r="5857" ht="15.75" customHeight="1">
      <c r="A5857" s="266"/>
      <c r="B5857" s="267"/>
      <c r="C5857" s="266"/>
      <c r="D5857" s="267"/>
      <c r="E5857" s="268"/>
      <c r="F5857" s="267"/>
      <c r="G5857" s="269"/>
      <c r="H5857" s="263"/>
      <c r="I5857" s="86"/>
      <c r="J5857" s="86"/>
      <c r="K5857" s="264"/>
      <c r="M5857" s="265"/>
    </row>
    <row r="5858" ht="15.75" customHeight="1">
      <c r="A5858" s="266"/>
      <c r="B5858" s="267"/>
      <c r="C5858" s="266"/>
      <c r="D5858" s="267"/>
      <c r="E5858" s="268"/>
      <c r="F5858" s="267"/>
      <c r="G5858" s="269"/>
      <c r="H5858" s="263"/>
      <c r="I5858" s="86"/>
      <c r="J5858" s="86"/>
      <c r="K5858" s="264"/>
      <c r="M5858" s="265"/>
    </row>
    <row r="5859" ht="15.75" customHeight="1">
      <c r="A5859" s="266"/>
      <c r="B5859" s="267"/>
      <c r="C5859" s="266"/>
      <c r="D5859" s="267"/>
      <c r="E5859" s="268"/>
      <c r="F5859" s="267"/>
      <c r="G5859" s="269"/>
      <c r="H5859" s="263"/>
      <c r="I5859" s="86"/>
      <c r="J5859" s="86"/>
      <c r="K5859" s="264"/>
      <c r="M5859" s="265"/>
    </row>
    <row r="5860" ht="15.75" customHeight="1">
      <c r="A5860" s="266"/>
      <c r="B5860" s="267"/>
      <c r="C5860" s="266"/>
      <c r="D5860" s="267"/>
      <c r="E5860" s="268"/>
      <c r="F5860" s="267"/>
      <c r="G5860" s="269"/>
      <c r="H5860" s="263"/>
      <c r="I5860" s="86"/>
      <c r="J5860" s="86"/>
      <c r="K5860" s="264"/>
      <c r="M5860" s="265"/>
    </row>
    <row r="5861" ht="15.75" customHeight="1">
      <c r="A5861" s="266"/>
      <c r="B5861" s="267"/>
      <c r="C5861" s="266"/>
      <c r="D5861" s="267"/>
      <c r="E5861" s="268"/>
      <c r="F5861" s="267"/>
      <c r="G5861" s="269"/>
      <c r="H5861" s="263"/>
      <c r="I5861" s="86"/>
      <c r="J5861" s="86"/>
      <c r="K5861" s="264"/>
      <c r="M5861" s="265"/>
    </row>
    <row r="5862" ht="15.75" customHeight="1">
      <c r="A5862" s="266"/>
      <c r="B5862" s="267"/>
      <c r="C5862" s="266"/>
      <c r="D5862" s="267"/>
      <c r="E5862" s="268"/>
      <c r="F5862" s="267"/>
      <c r="G5862" s="269"/>
      <c r="H5862" s="263"/>
      <c r="I5862" s="86"/>
      <c r="J5862" s="86"/>
      <c r="K5862" s="264"/>
      <c r="M5862" s="265"/>
    </row>
    <row r="5863" ht="15.75" customHeight="1">
      <c r="A5863" s="266"/>
      <c r="B5863" s="267"/>
      <c r="C5863" s="266"/>
      <c r="D5863" s="267"/>
      <c r="E5863" s="268"/>
      <c r="F5863" s="267"/>
      <c r="G5863" s="269"/>
      <c r="H5863" s="263"/>
      <c r="I5863" s="86"/>
      <c r="J5863" s="86"/>
      <c r="K5863" s="264"/>
      <c r="M5863" s="265"/>
    </row>
    <row r="5864" ht="15.75" customHeight="1">
      <c r="A5864" s="266"/>
      <c r="B5864" s="267"/>
      <c r="C5864" s="266"/>
      <c r="D5864" s="267"/>
      <c r="E5864" s="268"/>
      <c r="F5864" s="267"/>
      <c r="G5864" s="269"/>
      <c r="H5864" s="263"/>
      <c r="I5864" s="86"/>
      <c r="J5864" s="86"/>
      <c r="K5864" s="264"/>
      <c r="M5864" s="265"/>
    </row>
    <row r="5865" ht="15.75" customHeight="1">
      <c r="A5865" s="266"/>
      <c r="B5865" s="267"/>
      <c r="C5865" s="266"/>
      <c r="D5865" s="267"/>
      <c r="E5865" s="268"/>
      <c r="F5865" s="267"/>
      <c r="G5865" s="269"/>
      <c r="H5865" s="263"/>
      <c r="I5865" s="86"/>
      <c r="J5865" s="86"/>
      <c r="K5865" s="264"/>
      <c r="M5865" s="265"/>
    </row>
    <row r="5866" ht="15.75" customHeight="1">
      <c r="A5866" s="266"/>
      <c r="B5866" s="267"/>
      <c r="C5866" s="266"/>
      <c r="D5866" s="267"/>
      <c r="E5866" s="268"/>
      <c r="F5866" s="267"/>
      <c r="G5866" s="269"/>
      <c r="H5866" s="263"/>
      <c r="I5866" s="86"/>
      <c r="J5866" s="86"/>
      <c r="K5866" s="264"/>
      <c r="M5866" s="265"/>
    </row>
    <row r="5867" ht="15.75" customHeight="1">
      <c r="A5867" s="266"/>
      <c r="B5867" s="267"/>
      <c r="C5867" s="266"/>
      <c r="D5867" s="267"/>
      <c r="E5867" s="268"/>
      <c r="F5867" s="267"/>
      <c r="G5867" s="269"/>
      <c r="H5867" s="263"/>
      <c r="I5867" s="86"/>
      <c r="J5867" s="86"/>
      <c r="K5867" s="264"/>
      <c r="M5867" s="265"/>
    </row>
    <row r="5868" ht="15.75" customHeight="1">
      <c r="A5868" s="266"/>
      <c r="B5868" s="267"/>
      <c r="C5868" s="266"/>
      <c r="D5868" s="267"/>
      <c r="E5868" s="268"/>
      <c r="F5868" s="267"/>
      <c r="G5868" s="269"/>
      <c r="H5868" s="263"/>
      <c r="I5868" s="86"/>
      <c r="J5868" s="86"/>
      <c r="K5868" s="264"/>
      <c r="M5868" s="265"/>
    </row>
    <row r="5869" ht="15.75" customHeight="1">
      <c r="A5869" s="266"/>
      <c r="B5869" s="267"/>
      <c r="C5869" s="266"/>
      <c r="D5869" s="267"/>
      <c r="E5869" s="268"/>
      <c r="F5869" s="267"/>
      <c r="G5869" s="269"/>
      <c r="H5869" s="263"/>
      <c r="I5869" s="86"/>
      <c r="J5869" s="86"/>
      <c r="K5869" s="264"/>
      <c r="M5869" s="265"/>
    </row>
    <row r="5870" ht="15.75" customHeight="1">
      <c r="A5870" s="266"/>
      <c r="B5870" s="267"/>
      <c r="C5870" s="266"/>
      <c r="D5870" s="267"/>
      <c r="E5870" s="268"/>
      <c r="F5870" s="267"/>
      <c r="G5870" s="269"/>
      <c r="H5870" s="263"/>
      <c r="I5870" s="86"/>
      <c r="J5870" s="86"/>
      <c r="K5870" s="264"/>
      <c r="M5870" s="265"/>
    </row>
    <row r="5871" ht="15.75" customHeight="1">
      <c r="A5871" s="266"/>
      <c r="B5871" s="267"/>
      <c r="C5871" s="266"/>
      <c r="D5871" s="267"/>
      <c r="E5871" s="268"/>
      <c r="F5871" s="267"/>
      <c r="G5871" s="269"/>
      <c r="H5871" s="263"/>
      <c r="I5871" s="86"/>
      <c r="J5871" s="86"/>
      <c r="K5871" s="264"/>
      <c r="M5871" s="265"/>
    </row>
    <row r="5872" ht="15.75" customHeight="1">
      <c r="A5872" s="266"/>
      <c r="B5872" s="267"/>
      <c r="C5872" s="266"/>
      <c r="D5872" s="267"/>
      <c r="E5872" s="268"/>
      <c r="F5872" s="267"/>
      <c r="G5872" s="269"/>
      <c r="H5872" s="263"/>
      <c r="I5872" s="86"/>
      <c r="J5872" s="86"/>
      <c r="K5872" s="264"/>
      <c r="M5872" s="265"/>
    </row>
    <row r="5873" ht="15.75" customHeight="1">
      <c r="A5873" s="266"/>
      <c r="B5873" s="267"/>
      <c r="C5873" s="266"/>
      <c r="D5873" s="267"/>
      <c r="E5873" s="268"/>
      <c r="F5873" s="267"/>
      <c r="G5873" s="269"/>
      <c r="H5873" s="263"/>
      <c r="I5873" s="86"/>
      <c r="J5873" s="86"/>
      <c r="K5873" s="264"/>
      <c r="M5873" s="265"/>
    </row>
    <row r="5874" ht="15.75" customHeight="1">
      <c r="A5874" s="266"/>
      <c r="B5874" s="267"/>
      <c r="C5874" s="266"/>
      <c r="D5874" s="267"/>
      <c r="E5874" s="268"/>
      <c r="F5874" s="267"/>
      <c r="G5874" s="269"/>
      <c r="H5874" s="263"/>
      <c r="I5874" s="86"/>
      <c r="J5874" s="86"/>
      <c r="K5874" s="264"/>
      <c r="M5874" s="265"/>
    </row>
    <row r="5875" ht="15.75" customHeight="1">
      <c r="A5875" s="266"/>
      <c r="B5875" s="267"/>
      <c r="C5875" s="266"/>
      <c r="D5875" s="267"/>
      <c r="E5875" s="268"/>
      <c r="F5875" s="267"/>
      <c r="G5875" s="269"/>
      <c r="H5875" s="263"/>
      <c r="I5875" s="86"/>
      <c r="J5875" s="86"/>
      <c r="K5875" s="264"/>
      <c r="M5875" s="265"/>
    </row>
    <row r="5876" ht="15.75" customHeight="1">
      <c r="A5876" s="266"/>
      <c r="B5876" s="267"/>
      <c r="C5876" s="266"/>
      <c r="D5876" s="267"/>
      <c r="E5876" s="268"/>
      <c r="F5876" s="267"/>
      <c r="G5876" s="269"/>
      <c r="H5876" s="263"/>
      <c r="I5876" s="86"/>
      <c r="J5876" s="86"/>
      <c r="K5876" s="264"/>
      <c r="M5876" s="265"/>
    </row>
    <row r="5877" ht="15.75" customHeight="1">
      <c r="A5877" s="266"/>
      <c r="B5877" s="267"/>
      <c r="C5877" s="266"/>
      <c r="D5877" s="267"/>
      <c r="E5877" s="268"/>
      <c r="F5877" s="267"/>
      <c r="G5877" s="269"/>
      <c r="H5877" s="263"/>
      <c r="I5877" s="86"/>
      <c r="J5877" s="86"/>
      <c r="K5877" s="264"/>
      <c r="M5877" s="265"/>
    </row>
    <row r="5878" ht="15.75" customHeight="1">
      <c r="A5878" s="266"/>
      <c r="B5878" s="267"/>
      <c r="C5878" s="266"/>
      <c r="D5878" s="267"/>
      <c r="E5878" s="268"/>
      <c r="F5878" s="267"/>
      <c r="G5878" s="269"/>
      <c r="H5878" s="263"/>
      <c r="I5878" s="86"/>
      <c r="J5878" s="86"/>
      <c r="K5878" s="264"/>
      <c r="M5878" s="265"/>
    </row>
    <row r="5879" ht="15.75" customHeight="1">
      <c r="A5879" s="266"/>
      <c r="B5879" s="267"/>
      <c r="C5879" s="266"/>
      <c r="D5879" s="267"/>
      <c r="E5879" s="268"/>
      <c r="F5879" s="267"/>
      <c r="G5879" s="269"/>
      <c r="H5879" s="263"/>
      <c r="I5879" s="86"/>
      <c r="J5879" s="86"/>
      <c r="K5879" s="264"/>
      <c r="M5879" s="265"/>
    </row>
    <row r="5880" ht="15.75" customHeight="1">
      <c r="A5880" s="266"/>
      <c r="B5880" s="267"/>
      <c r="C5880" s="266"/>
      <c r="D5880" s="267"/>
      <c r="E5880" s="268"/>
      <c r="F5880" s="267"/>
      <c r="G5880" s="269"/>
      <c r="H5880" s="263"/>
      <c r="I5880" s="86"/>
      <c r="J5880" s="86"/>
      <c r="K5880" s="264"/>
      <c r="M5880" s="265"/>
    </row>
    <row r="5881" ht="15.75" customHeight="1">
      <c r="A5881" s="266"/>
      <c r="B5881" s="267"/>
      <c r="C5881" s="266"/>
      <c r="D5881" s="267"/>
      <c r="E5881" s="268"/>
      <c r="F5881" s="267"/>
      <c r="G5881" s="269"/>
      <c r="H5881" s="263"/>
      <c r="I5881" s="86"/>
      <c r="J5881" s="86"/>
      <c r="K5881" s="264"/>
      <c r="M5881" s="265"/>
    </row>
    <row r="5882" ht="15.75" customHeight="1">
      <c r="A5882" s="266"/>
      <c r="B5882" s="267"/>
      <c r="C5882" s="266"/>
      <c r="D5882" s="267"/>
      <c r="E5882" s="268"/>
      <c r="F5882" s="267"/>
      <c r="G5882" s="269"/>
      <c r="H5882" s="263"/>
      <c r="I5882" s="86"/>
      <c r="J5882" s="86"/>
      <c r="K5882" s="264"/>
      <c r="M5882" s="265"/>
    </row>
    <row r="5883" ht="15.75" customHeight="1">
      <c r="A5883" s="266"/>
      <c r="B5883" s="267"/>
      <c r="C5883" s="266"/>
      <c r="D5883" s="267"/>
      <c r="E5883" s="268"/>
      <c r="F5883" s="267"/>
      <c r="G5883" s="269"/>
      <c r="H5883" s="263"/>
      <c r="I5883" s="86"/>
      <c r="J5883" s="86"/>
      <c r="K5883" s="264"/>
      <c r="M5883" s="265"/>
    </row>
    <row r="5884" ht="15.75" customHeight="1">
      <c r="A5884" s="266"/>
      <c r="B5884" s="267"/>
      <c r="C5884" s="266"/>
      <c r="D5884" s="267"/>
      <c r="E5884" s="268"/>
      <c r="F5884" s="267"/>
      <c r="G5884" s="269"/>
      <c r="H5884" s="263"/>
      <c r="I5884" s="86"/>
      <c r="J5884" s="86"/>
      <c r="K5884" s="264"/>
      <c r="M5884" s="265"/>
    </row>
    <row r="5885" ht="15.75" customHeight="1">
      <c r="A5885" s="266"/>
      <c r="B5885" s="267"/>
      <c r="C5885" s="266"/>
      <c r="D5885" s="267"/>
      <c r="E5885" s="268"/>
      <c r="F5885" s="267"/>
      <c r="G5885" s="269"/>
      <c r="H5885" s="263"/>
      <c r="I5885" s="86"/>
      <c r="J5885" s="86"/>
      <c r="K5885" s="264"/>
      <c r="M5885" s="265"/>
    </row>
    <row r="5886" ht="15.75" customHeight="1">
      <c r="A5886" s="266"/>
      <c r="B5886" s="267"/>
      <c r="C5886" s="266"/>
      <c r="D5886" s="267"/>
      <c r="E5886" s="268"/>
      <c r="F5886" s="267"/>
      <c r="G5886" s="269"/>
      <c r="H5886" s="263"/>
      <c r="I5886" s="86"/>
      <c r="J5886" s="86"/>
      <c r="K5886" s="264"/>
      <c r="M5886" s="265"/>
    </row>
    <row r="5887" ht="15.75" customHeight="1">
      <c r="A5887" s="266"/>
      <c r="B5887" s="267"/>
      <c r="C5887" s="266"/>
      <c r="D5887" s="267"/>
      <c r="E5887" s="268"/>
      <c r="F5887" s="267"/>
      <c r="G5887" s="269"/>
      <c r="H5887" s="263"/>
      <c r="I5887" s="86"/>
      <c r="J5887" s="86"/>
      <c r="K5887" s="264"/>
      <c r="M5887" s="265"/>
    </row>
    <row r="5888" ht="15.75" customHeight="1">
      <c r="A5888" s="266"/>
      <c r="B5888" s="267"/>
      <c r="C5888" s="266"/>
      <c r="D5888" s="267"/>
      <c r="E5888" s="268"/>
      <c r="F5888" s="267"/>
      <c r="G5888" s="269"/>
      <c r="H5888" s="263"/>
      <c r="I5888" s="86"/>
      <c r="J5888" s="86"/>
      <c r="K5888" s="264"/>
      <c r="M5888" s="265"/>
    </row>
    <row r="5889" ht="15.75" customHeight="1">
      <c r="A5889" s="266"/>
      <c r="B5889" s="267"/>
      <c r="C5889" s="266"/>
      <c r="D5889" s="267"/>
      <c r="E5889" s="268"/>
      <c r="F5889" s="267"/>
      <c r="G5889" s="269"/>
      <c r="H5889" s="263"/>
      <c r="I5889" s="86"/>
      <c r="J5889" s="86"/>
      <c r="K5889" s="264"/>
      <c r="M5889" s="265"/>
    </row>
    <row r="5890" ht="15.75" customHeight="1">
      <c r="A5890" s="266"/>
      <c r="B5890" s="267"/>
      <c r="C5890" s="266"/>
      <c r="D5890" s="267"/>
      <c r="E5890" s="268"/>
      <c r="F5890" s="267"/>
      <c r="G5890" s="269"/>
      <c r="H5890" s="263"/>
      <c r="I5890" s="86"/>
      <c r="J5890" s="86"/>
      <c r="K5890" s="264"/>
      <c r="M5890" s="265"/>
    </row>
    <row r="5891" ht="15.75" customHeight="1">
      <c r="A5891" s="266"/>
      <c r="B5891" s="267"/>
      <c r="C5891" s="266"/>
      <c r="D5891" s="267"/>
      <c r="E5891" s="268"/>
      <c r="F5891" s="267"/>
      <c r="G5891" s="269"/>
      <c r="H5891" s="263"/>
      <c r="I5891" s="86"/>
      <c r="J5891" s="86"/>
      <c r="K5891" s="264"/>
      <c r="M5891" s="265"/>
    </row>
    <row r="5892" ht="15.75" customHeight="1">
      <c r="A5892" s="266"/>
      <c r="B5892" s="267"/>
      <c r="C5892" s="266"/>
      <c r="D5892" s="267"/>
      <c r="E5892" s="268"/>
      <c r="F5892" s="267"/>
      <c r="G5892" s="269"/>
      <c r="H5892" s="263"/>
      <c r="I5892" s="86"/>
      <c r="J5892" s="86"/>
      <c r="K5892" s="264"/>
      <c r="M5892" s="265"/>
    </row>
    <row r="5893" ht="15.75" customHeight="1">
      <c r="A5893" s="266"/>
      <c r="B5893" s="267"/>
      <c r="C5893" s="266"/>
      <c r="D5893" s="267"/>
      <c r="E5893" s="268"/>
      <c r="F5893" s="267"/>
      <c r="G5893" s="269"/>
      <c r="H5893" s="263"/>
      <c r="I5893" s="86"/>
      <c r="J5893" s="86"/>
      <c r="K5893" s="264"/>
      <c r="M5893" s="265"/>
    </row>
    <row r="5894" ht="15.75" customHeight="1">
      <c r="A5894" s="266"/>
      <c r="B5894" s="267"/>
      <c r="C5894" s="266"/>
      <c r="D5894" s="267"/>
      <c r="E5894" s="268"/>
      <c r="F5894" s="267"/>
      <c r="G5894" s="269"/>
      <c r="H5894" s="263"/>
      <c r="I5894" s="86"/>
      <c r="J5894" s="86"/>
      <c r="K5894" s="264"/>
      <c r="M5894" s="265"/>
    </row>
    <row r="5895" ht="15.75" customHeight="1">
      <c r="A5895" s="266"/>
      <c r="B5895" s="267"/>
      <c r="C5895" s="266"/>
      <c r="D5895" s="267"/>
      <c r="E5895" s="268"/>
      <c r="F5895" s="267"/>
      <c r="G5895" s="269"/>
      <c r="H5895" s="263"/>
      <c r="I5895" s="86"/>
      <c r="J5895" s="86"/>
      <c r="K5895" s="264"/>
      <c r="M5895" s="265"/>
    </row>
    <row r="5896" ht="15.75" customHeight="1">
      <c r="A5896" s="266"/>
      <c r="B5896" s="267"/>
      <c r="C5896" s="266"/>
      <c r="D5896" s="267"/>
      <c r="E5896" s="268"/>
      <c r="F5896" s="267"/>
      <c r="G5896" s="269"/>
      <c r="H5896" s="263"/>
      <c r="I5896" s="86"/>
      <c r="J5896" s="86"/>
      <c r="K5896" s="264"/>
      <c r="M5896" s="265"/>
    </row>
    <row r="5897" ht="15.75" customHeight="1">
      <c r="A5897" s="266"/>
      <c r="B5897" s="267"/>
      <c r="C5897" s="266"/>
      <c r="D5897" s="267"/>
      <c r="E5897" s="268"/>
      <c r="F5897" s="267"/>
      <c r="G5897" s="269"/>
      <c r="H5897" s="263"/>
      <c r="I5897" s="86"/>
      <c r="J5897" s="86"/>
      <c r="K5897" s="264"/>
      <c r="M5897" s="265"/>
    </row>
    <row r="5898" ht="15.75" customHeight="1">
      <c r="A5898" s="266"/>
      <c r="B5898" s="267"/>
      <c r="C5898" s="266"/>
      <c r="D5898" s="267"/>
      <c r="E5898" s="268"/>
      <c r="F5898" s="267"/>
      <c r="G5898" s="269"/>
      <c r="H5898" s="263"/>
      <c r="I5898" s="86"/>
      <c r="J5898" s="86"/>
      <c r="K5898" s="264"/>
      <c r="M5898" s="265"/>
    </row>
    <row r="5899" ht="15.75" customHeight="1">
      <c r="A5899" s="266"/>
      <c r="B5899" s="267"/>
      <c r="C5899" s="266"/>
      <c r="D5899" s="267"/>
      <c r="E5899" s="268"/>
      <c r="F5899" s="267"/>
      <c r="G5899" s="269"/>
      <c r="H5899" s="263"/>
      <c r="I5899" s="86"/>
      <c r="J5899" s="86"/>
      <c r="K5899" s="264"/>
      <c r="M5899" s="265"/>
    </row>
    <row r="5900" ht="15.75" customHeight="1">
      <c r="A5900" s="266"/>
      <c r="B5900" s="267"/>
      <c r="C5900" s="266"/>
      <c r="D5900" s="267"/>
      <c r="E5900" s="268"/>
      <c r="F5900" s="267"/>
      <c r="G5900" s="269"/>
      <c r="H5900" s="263"/>
      <c r="I5900" s="86"/>
      <c r="J5900" s="86"/>
      <c r="K5900" s="264"/>
      <c r="M5900" s="265"/>
    </row>
    <row r="5901" ht="15.75" customHeight="1">
      <c r="A5901" s="266"/>
      <c r="B5901" s="267"/>
      <c r="C5901" s="266"/>
      <c r="D5901" s="267"/>
      <c r="E5901" s="268"/>
      <c r="F5901" s="267"/>
      <c r="G5901" s="269"/>
      <c r="H5901" s="263"/>
      <c r="I5901" s="86"/>
      <c r="J5901" s="86"/>
      <c r="K5901" s="264"/>
      <c r="M5901" s="265"/>
    </row>
    <row r="5902" ht="15.75" customHeight="1">
      <c r="A5902" s="266"/>
      <c r="B5902" s="267"/>
      <c r="C5902" s="266"/>
      <c r="D5902" s="267"/>
      <c r="E5902" s="268"/>
      <c r="F5902" s="267"/>
      <c r="G5902" s="269"/>
      <c r="H5902" s="263"/>
      <c r="I5902" s="86"/>
      <c r="J5902" s="86"/>
      <c r="K5902" s="264"/>
      <c r="M5902" s="265"/>
    </row>
    <row r="5903" ht="15.75" customHeight="1">
      <c r="A5903" s="266"/>
      <c r="B5903" s="267"/>
      <c r="C5903" s="266"/>
      <c r="D5903" s="267"/>
      <c r="E5903" s="268"/>
      <c r="F5903" s="267"/>
      <c r="G5903" s="269"/>
      <c r="H5903" s="263"/>
      <c r="I5903" s="86"/>
      <c r="J5903" s="86"/>
      <c r="K5903" s="264"/>
      <c r="M5903" s="265"/>
    </row>
    <row r="5904" ht="15.75" customHeight="1">
      <c r="A5904" s="266"/>
      <c r="B5904" s="267"/>
      <c r="C5904" s="266"/>
      <c r="D5904" s="267"/>
      <c r="E5904" s="268"/>
      <c r="F5904" s="267"/>
      <c r="G5904" s="269"/>
      <c r="H5904" s="263"/>
      <c r="I5904" s="86"/>
      <c r="J5904" s="86"/>
      <c r="K5904" s="264"/>
      <c r="M5904" s="265"/>
    </row>
    <row r="5905" ht="15.75" customHeight="1">
      <c r="A5905" s="266"/>
      <c r="B5905" s="267"/>
      <c r="C5905" s="266"/>
      <c r="D5905" s="267"/>
      <c r="E5905" s="268"/>
      <c r="F5905" s="267"/>
      <c r="G5905" s="269"/>
      <c r="H5905" s="263"/>
      <c r="I5905" s="86"/>
      <c r="J5905" s="86"/>
      <c r="K5905" s="264"/>
      <c r="M5905" s="265"/>
    </row>
    <row r="5906" ht="15.75" customHeight="1">
      <c r="A5906" s="266"/>
      <c r="B5906" s="267"/>
      <c r="C5906" s="266"/>
      <c r="D5906" s="267"/>
      <c r="E5906" s="268"/>
      <c r="F5906" s="267"/>
      <c r="G5906" s="269"/>
      <c r="H5906" s="263"/>
      <c r="I5906" s="86"/>
      <c r="J5906" s="86"/>
      <c r="K5906" s="264"/>
      <c r="M5906" s="265"/>
    </row>
    <row r="5907" ht="15.75" customHeight="1">
      <c r="A5907" s="266"/>
      <c r="B5907" s="267"/>
      <c r="C5907" s="266"/>
      <c r="D5907" s="267"/>
      <c r="E5907" s="268"/>
      <c r="F5907" s="267"/>
      <c r="G5907" s="269"/>
      <c r="H5907" s="263"/>
      <c r="I5907" s="86"/>
      <c r="J5907" s="86"/>
      <c r="K5907" s="264"/>
      <c r="M5907" s="26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2025-01-14T17:21:51Z</dcterms:created>
  <dc:creator>mariano echt</dc:creator>
</cp:coreProperties>
</file>