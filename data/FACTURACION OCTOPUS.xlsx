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VTXKNDhbV5ku9LgoPUgdVJJaaGPAXGzjDqw82MeaI5g="/>
    </ext>
  </extLst>
</workbook>
</file>

<file path=xl/sharedStrings.xml><?xml version="1.0" encoding="utf-8"?>
<sst xmlns="http://schemas.openxmlformats.org/spreadsheetml/2006/main" count="15090" uniqueCount="4996">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</sst>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2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0" fontId="5" numFmtId="165" xfId="0" applyAlignment="1" applyBorder="1" applyFont="1" applyNumberFormat="1">
      <alignment horizontal="center" readingOrder="0"/>
    </xf>
    <xf borderId="2" fillId="0" fontId="3" numFmtId="0" xfId="0" applyBorder="1" applyFont="1"/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4" numFmtId="0" xfId="0" applyAlignment="1" applyBorder="1" applyFont="1">
      <alignment horizontal="center"/>
    </xf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46">
        <v>45750.0</v>
      </c>
      <c r="B40" s="47"/>
      <c r="C40" s="40" t="s">
        <v>64</v>
      </c>
      <c r="D40" s="41" t="s">
        <v>15</v>
      </c>
      <c r="E40" s="42" t="s">
        <v>65</v>
      </c>
      <c r="F40" s="48">
        <v>45772.0</v>
      </c>
      <c r="G40" s="44">
        <v>1.101731071E7</v>
      </c>
      <c r="H40" s="9">
        <f t="shared" si="1"/>
        <v>2313635.249</v>
      </c>
      <c r="I40" s="49"/>
      <c r="J40" s="49"/>
      <c r="K40" s="10">
        <f t="shared" si="2"/>
        <v>13330945.96</v>
      </c>
      <c r="L40" s="47"/>
      <c r="M40" s="50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51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52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53">
        <v>45688.0</v>
      </c>
      <c r="G47" s="54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53">
        <v>45682.0</v>
      </c>
      <c r="G48" s="54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51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51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5"/>
      <c r="C51" s="34" t="s">
        <v>66</v>
      </c>
      <c r="D51" s="35" t="s">
        <v>15</v>
      </c>
      <c r="E51" s="31" t="s">
        <v>83</v>
      </c>
      <c r="F51" s="51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5"/>
      <c r="C53" s="34" t="s">
        <v>66</v>
      </c>
      <c r="D53" s="35" t="s">
        <v>15</v>
      </c>
      <c r="E53" s="31" t="s">
        <v>86</v>
      </c>
      <c r="F53" s="51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52">
        <v>45713.0</v>
      </c>
      <c r="G54" s="56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7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5"/>
      <c r="C57" s="34" t="s">
        <v>66</v>
      </c>
      <c r="D57" s="35" t="s">
        <v>15</v>
      </c>
      <c r="E57" s="31" t="s">
        <v>92</v>
      </c>
      <c r="F57" s="51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5"/>
      <c r="C58" s="31" t="s">
        <v>93</v>
      </c>
      <c r="D58" s="35" t="s">
        <v>15</v>
      </c>
      <c r="E58" s="31" t="s">
        <v>94</v>
      </c>
      <c r="F58" s="51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5"/>
      <c r="C59" s="31" t="s">
        <v>93</v>
      </c>
      <c r="D59" s="35" t="s">
        <v>15</v>
      </c>
      <c r="E59" s="31" t="s">
        <v>95</v>
      </c>
      <c r="F59" s="51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5"/>
      <c r="C60" s="31" t="s">
        <v>93</v>
      </c>
      <c r="D60" s="35" t="s">
        <v>15</v>
      </c>
      <c r="E60" s="31" t="s">
        <v>96</v>
      </c>
      <c r="F60" s="51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5"/>
      <c r="C61" s="31" t="s">
        <v>93</v>
      </c>
      <c r="D61" s="35" t="s">
        <v>15</v>
      </c>
      <c r="E61" s="31" t="s">
        <v>97</v>
      </c>
      <c r="F61" s="51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8">
        <v>9884064.92</v>
      </c>
      <c r="H62" s="14">
        <f t="shared" si="1"/>
        <v>2075653.633</v>
      </c>
      <c r="I62" s="59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8">
        <v>6886905.14</v>
      </c>
      <c r="H63" s="14">
        <f t="shared" si="1"/>
        <v>1446250.079</v>
      </c>
      <c r="I63" s="59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8">
        <v>9954820.19</v>
      </c>
      <c r="H64" s="14">
        <f t="shared" si="1"/>
        <v>2090512.24</v>
      </c>
      <c r="I64" s="59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5"/>
      <c r="C68" s="31" t="s">
        <v>93</v>
      </c>
      <c r="D68" s="35" t="s">
        <v>15</v>
      </c>
      <c r="E68" s="31" t="s">
        <v>106</v>
      </c>
      <c r="F68" s="51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5"/>
      <c r="C69" s="31" t="s">
        <v>93</v>
      </c>
      <c r="D69" s="35" t="s">
        <v>15</v>
      </c>
      <c r="E69" s="31" t="s">
        <v>107</v>
      </c>
      <c r="F69" s="51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5"/>
      <c r="C70" s="31" t="s">
        <v>108</v>
      </c>
      <c r="D70" s="35" t="s">
        <v>15</v>
      </c>
      <c r="E70" s="31" t="s">
        <v>109</v>
      </c>
      <c r="F70" s="51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5"/>
      <c r="C71" s="31" t="s">
        <v>108</v>
      </c>
      <c r="D71" s="35" t="s">
        <v>15</v>
      </c>
      <c r="E71" s="31" t="s">
        <v>110</v>
      </c>
      <c r="F71" s="51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5"/>
      <c r="C74" s="31" t="s">
        <v>108</v>
      </c>
      <c r="D74" s="35" t="s">
        <v>15</v>
      </c>
      <c r="E74" s="31" t="s">
        <v>114</v>
      </c>
      <c r="F74" s="51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5"/>
      <c r="C75" s="31" t="s">
        <v>108</v>
      </c>
      <c r="D75" s="35" t="s">
        <v>15</v>
      </c>
      <c r="E75" s="31" t="s">
        <v>115</v>
      </c>
      <c r="F75" s="51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5"/>
      <c r="C76" s="31" t="s">
        <v>108</v>
      </c>
      <c r="D76" s="35" t="s">
        <v>15</v>
      </c>
      <c r="E76" s="31" t="s">
        <v>116</v>
      </c>
      <c r="F76" s="51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5"/>
      <c r="C77" s="31" t="s">
        <v>108</v>
      </c>
      <c r="D77" s="35" t="s">
        <v>15</v>
      </c>
      <c r="E77" s="31" t="s">
        <v>117</v>
      </c>
      <c r="F77" s="51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46">
        <v>45763.0</v>
      </c>
      <c r="B78" s="60"/>
      <c r="C78" s="61" t="s">
        <v>118</v>
      </c>
      <c r="D78" s="62" t="s">
        <v>15</v>
      </c>
      <c r="E78" s="62" t="s">
        <v>119</v>
      </c>
      <c r="F78" s="48">
        <v>45772.0</v>
      </c>
      <c r="G78" s="44">
        <v>1.200583012E7</v>
      </c>
      <c r="H78" s="9">
        <f t="shared" si="1"/>
        <v>2521224.325</v>
      </c>
      <c r="I78" s="44">
        <v>360174.9</v>
      </c>
      <c r="J78" s="49"/>
      <c r="K78" s="10">
        <f t="shared" si="2"/>
        <v>14887229.35</v>
      </c>
      <c r="L78" s="47"/>
      <c r="M78" s="50"/>
    </row>
    <row r="79" ht="15.75" customHeight="1">
      <c r="A79" s="46">
        <v>45770.0</v>
      </c>
      <c r="B79" s="60"/>
      <c r="C79" s="61" t="s">
        <v>120</v>
      </c>
      <c r="D79" s="62" t="s">
        <v>15</v>
      </c>
      <c r="E79" s="61" t="s">
        <v>121</v>
      </c>
      <c r="F79" s="48">
        <v>45772.0</v>
      </c>
      <c r="G79" s="44">
        <v>5730800.81</v>
      </c>
      <c r="H79" s="9">
        <f t="shared" si="1"/>
        <v>1203468.17</v>
      </c>
      <c r="I79" s="49"/>
      <c r="J79" s="44">
        <v>91692.81</v>
      </c>
      <c r="K79" s="10">
        <f t="shared" si="2"/>
        <v>7025961.79</v>
      </c>
      <c r="L79" s="47"/>
      <c r="M79" s="50"/>
    </row>
    <row r="80" ht="15.75" customHeight="1">
      <c r="A80" s="46">
        <v>45770.0</v>
      </c>
      <c r="B80" s="60"/>
      <c r="C80" s="62" t="s">
        <v>122</v>
      </c>
      <c r="D80" s="62" t="s">
        <v>15</v>
      </c>
      <c r="E80" s="61" t="s">
        <v>123</v>
      </c>
      <c r="F80" s="48">
        <v>45772.0</v>
      </c>
      <c r="G80" s="44">
        <v>4956582.56</v>
      </c>
      <c r="H80" s="9">
        <f t="shared" si="1"/>
        <v>1040882.338</v>
      </c>
      <c r="I80" s="49"/>
      <c r="J80" s="49"/>
      <c r="K80" s="10">
        <f t="shared" si="2"/>
        <v>5997464.898</v>
      </c>
      <c r="L80" s="47"/>
      <c r="M80" s="50"/>
      <c r="N80" s="12"/>
    </row>
    <row r="81" ht="15.75" customHeight="1">
      <c r="A81" s="46">
        <v>45771.0</v>
      </c>
      <c r="B81" s="60"/>
      <c r="C81" s="61" t="s">
        <v>124</v>
      </c>
      <c r="D81" s="62" t="s">
        <v>15</v>
      </c>
      <c r="E81" s="61" t="s">
        <v>125</v>
      </c>
      <c r="F81" s="48">
        <v>45772.0</v>
      </c>
      <c r="G81" s="44">
        <v>1498920.56</v>
      </c>
      <c r="H81" s="9">
        <f t="shared" si="1"/>
        <v>314773.3176</v>
      </c>
      <c r="I81" s="49"/>
      <c r="J81" s="49"/>
      <c r="K81" s="10">
        <f t="shared" si="2"/>
        <v>1813693.878</v>
      </c>
      <c r="L81" s="47"/>
      <c r="M81" s="50"/>
    </row>
    <row r="82" ht="15.75" customHeight="1">
      <c r="A82" s="46">
        <v>45771.0</v>
      </c>
      <c r="B82" s="60"/>
      <c r="C82" s="61" t="s">
        <v>124</v>
      </c>
      <c r="D82" s="62" t="s">
        <v>15</v>
      </c>
      <c r="E82" s="61" t="s">
        <v>126</v>
      </c>
      <c r="F82" s="48">
        <v>45772.0</v>
      </c>
      <c r="G82" s="44">
        <v>2010770.03</v>
      </c>
      <c r="H82" s="9">
        <f t="shared" si="1"/>
        <v>422261.7063</v>
      </c>
      <c r="I82" s="49"/>
      <c r="J82" s="44">
        <v>60323.1</v>
      </c>
      <c r="K82" s="10">
        <f t="shared" si="2"/>
        <v>2493354.836</v>
      </c>
      <c r="L82" s="47"/>
      <c r="M82" s="50"/>
    </row>
    <row r="83" ht="15.75" customHeight="1">
      <c r="A83" s="46">
        <v>45775.0</v>
      </c>
      <c r="B83" s="60"/>
      <c r="C83" s="61" t="s">
        <v>127</v>
      </c>
      <c r="D83" s="62" t="s">
        <v>15</v>
      </c>
      <c r="E83" s="61" t="s">
        <v>128</v>
      </c>
      <c r="F83" s="48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47"/>
      <c r="M83" s="50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46">
        <v>45775.0</v>
      </c>
      <c r="B89" s="60"/>
      <c r="C89" s="61" t="s">
        <v>127</v>
      </c>
      <c r="D89" s="62" t="s">
        <v>15</v>
      </c>
      <c r="E89" s="61" t="s">
        <v>136</v>
      </c>
      <c r="F89" s="48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47"/>
      <c r="M89" s="50"/>
    </row>
    <row r="90" ht="15.75" customHeight="1">
      <c r="A90" s="63">
        <v>45888.0</v>
      </c>
      <c r="B90" s="64"/>
      <c r="C90" s="61" t="s">
        <v>137</v>
      </c>
      <c r="D90" s="62" t="s">
        <v>99</v>
      </c>
      <c r="E90" s="62" t="s">
        <v>138</v>
      </c>
      <c r="F90" s="62" t="s">
        <v>139</v>
      </c>
      <c r="G90" s="65">
        <v>8530470.52</v>
      </c>
      <c r="H90" s="9">
        <f t="shared" si="1"/>
        <v>1791398.809</v>
      </c>
      <c r="I90" s="60"/>
      <c r="J90" s="44">
        <v>170609.41</v>
      </c>
      <c r="K90" s="10">
        <f t="shared" si="2"/>
        <v>10492478.74</v>
      </c>
      <c r="L90" s="47"/>
      <c r="M90" s="50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5"/>
      <c r="C95" s="31" t="s">
        <v>146</v>
      </c>
      <c r="D95" s="32" t="s">
        <v>15</v>
      </c>
      <c r="E95" s="31" t="s">
        <v>147</v>
      </c>
      <c r="F95" s="51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46">
        <v>45777.0</v>
      </c>
      <c r="B99" s="60"/>
      <c r="C99" s="61" t="s">
        <v>84</v>
      </c>
      <c r="D99" s="62" t="s">
        <v>15</v>
      </c>
      <c r="E99" s="61" t="s">
        <v>153</v>
      </c>
      <c r="F99" s="48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47"/>
      <c r="M99" s="50"/>
    </row>
    <row r="100" ht="15.75" customHeight="1">
      <c r="A100" s="46">
        <v>45777.0</v>
      </c>
      <c r="B100" s="60"/>
      <c r="C100" s="61" t="s">
        <v>127</v>
      </c>
      <c r="D100" s="62" t="s">
        <v>15</v>
      </c>
      <c r="E100" s="62" t="s">
        <v>154</v>
      </c>
      <c r="F100" s="48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47"/>
      <c r="M100" s="50"/>
    </row>
    <row r="101" ht="15.75" customHeight="1">
      <c r="A101" s="46">
        <v>45777.0</v>
      </c>
      <c r="B101" s="60"/>
      <c r="C101" s="61" t="s">
        <v>127</v>
      </c>
      <c r="D101" s="62" t="s">
        <v>15</v>
      </c>
      <c r="E101" s="61" t="s">
        <v>155</v>
      </c>
      <c r="F101" s="48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47"/>
      <c r="M101" s="50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51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61" t="s">
        <v>137</v>
      </c>
      <c r="D112" s="62" t="s">
        <v>15</v>
      </c>
      <c r="E112" s="61" t="s">
        <v>170</v>
      </c>
      <c r="F112" s="62" t="s">
        <v>139</v>
      </c>
      <c r="G112" s="65">
        <v>1.159032036E7</v>
      </c>
      <c r="H112" s="9">
        <f t="shared" si="1"/>
        <v>2433967.276</v>
      </c>
      <c r="I112" s="60"/>
      <c r="J112" s="44">
        <v>231806.41</v>
      </c>
      <c r="K112" s="10">
        <f t="shared" si="2"/>
        <v>14256094.05</v>
      </c>
      <c r="L112" s="47"/>
      <c r="M112" s="50"/>
    </row>
    <row r="113" ht="15.75" customHeight="1">
      <c r="A113" s="78">
        <v>45797.0</v>
      </c>
      <c r="B113" s="55"/>
      <c r="C113" s="31" t="s">
        <v>171</v>
      </c>
      <c r="D113" s="32" t="s">
        <v>15</v>
      </c>
      <c r="E113" s="31" t="s">
        <v>172</v>
      </c>
      <c r="F113" s="51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5"/>
      <c r="C114" s="31" t="s">
        <v>171</v>
      </c>
      <c r="D114" s="32" t="s">
        <v>15</v>
      </c>
      <c r="E114" s="31" t="s">
        <v>173</v>
      </c>
      <c r="F114" s="51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51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51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51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51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51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51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51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51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51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51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51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51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51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51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51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51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51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51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5"/>
      <c r="C136" s="31" t="s">
        <v>171</v>
      </c>
      <c r="D136" s="32" t="s">
        <v>15</v>
      </c>
      <c r="E136" s="31" t="s">
        <v>195</v>
      </c>
      <c r="F136" s="51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5"/>
      <c r="C137" s="31" t="s">
        <v>196</v>
      </c>
      <c r="D137" s="32" t="s">
        <v>15</v>
      </c>
      <c r="E137" s="31" t="s">
        <v>197</v>
      </c>
      <c r="F137" s="51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5"/>
      <c r="C138" s="31" t="s">
        <v>196</v>
      </c>
      <c r="D138" s="32" t="s">
        <v>15</v>
      </c>
      <c r="E138" s="31" t="s">
        <v>198</v>
      </c>
      <c r="F138" s="51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5"/>
      <c r="C140" s="31" t="s">
        <v>171</v>
      </c>
      <c r="D140" s="32" t="s">
        <v>15</v>
      </c>
      <c r="E140" s="31" t="s">
        <v>199</v>
      </c>
      <c r="F140" s="51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5"/>
      <c r="C145" s="31" t="s">
        <v>171</v>
      </c>
      <c r="D145" s="32" t="s">
        <v>15</v>
      </c>
      <c r="E145" s="31" t="s">
        <v>201</v>
      </c>
      <c r="F145" s="51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5"/>
      <c r="C146" s="31" t="s">
        <v>171</v>
      </c>
      <c r="D146" s="32" t="s">
        <v>15</v>
      </c>
      <c r="E146" s="31" t="s">
        <v>202</v>
      </c>
      <c r="F146" s="51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60"/>
      <c r="C147" s="61" t="s">
        <v>203</v>
      </c>
      <c r="D147" s="62" t="s">
        <v>15</v>
      </c>
      <c r="E147" s="61" t="s">
        <v>204</v>
      </c>
      <c r="F147" s="48">
        <v>45802.0</v>
      </c>
      <c r="G147" s="86">
        <v>3125020.41</v>
      </c>
      <c r="H147" s="9">
        <f t="shared" si="1"/>
        <v>656254.2861</v>
      </c>
      <c r="I147" s="49"/>
      <c r="J147" s="49"/>
      <c r="K147" s="10">
        <f t="shared" si="2"/>
        <v>3781274.696</v>
      </c>
      <c r="L147" s="47"/>
      <c r="M147" s="50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5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5"/>
      <c r="C157" s="31" t="s">
        <v>22</v>
      </c>
      <c r="D157" s="32" t="s">
        <v>15</v>
      </c>
      <c r="E157" s="91" t="s">
        <v>212</v>
      </c>
      <c r="F157" s="51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5"/>
      <c r="C158" s="31" t="s">
        <v>22</v>
      </c>
      <c r="D158" s="32" t="s">
        <v>15</v>
      </c>
      <c r="E158" s="92" t="s">
        <v>213</v>
      </c>
      <c r="F158" s="51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5"/>
      <c r="C159" s="31" t="s">
        <v>22</v>
      </c>
      <c r="D159" s="32" t="s">
        <v>15</v>
      </c>
      <c r="E159" s="92" t="s">
        <v>214</v>
      </c>
      <c r="F159" s="51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5"/>
      <c r="C160" s="31" t="s">
        <v>22</v>
      </c>
      <c r="D160" s="32" t="s">
        <v>15</v>
      </c>
      <c r="E160" s="31" t="s">
        <v>215</v>
      </c>
      <c r="F160" s="51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5"/>
      <c r="C161" s="31" t="s">
        <v>216</v>
      </c>
      <c r="D161" s="32" t="s">
        <v>15</v>
      </c>
      <c r="E161" s="32" t="s">
        <v>217</v>
      </c>
      <c r="F161" s="51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5"/>
      <c r="C162" s="31" t="s">
        <v>216</v>
      </c>
      <c r="D162" s="32" t="s">
        <v>15</v>
      </c>
      <c r="E162" s="31" t="s">
        <v>218</v>
      </c>
      <c r="F162" s="51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5"/>
      <c r="C163" s="31" t="s">
        <v>216</v>
      </c>
      <c r="D163" s="32" t="s">
        <v>15</v>
      </c>
      <c r="E163" s="31" t="s">
        <v>219</v>
      </c>
      <c r="F163" s="51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5"/>
      <c r="C164" s="31" t="s">
        <v>216</v>
      </c>
      <c r="D164" s="32" t="s">
        <v>15</v>
      </c>
      <c r="E164" s="31" t="s">
        <v>220</v>
      </c>
      <c r="F164" s="51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5"/>
      <c r="C165" s="31" t="s">
        <v>221</v>
      </c>
      <c r="D165" s="32" t="s">
        <v>15</v>
      </c>
      <c r="E165" s="31" t="s">
        <v>222</v>
      </c>
      <c r="F165" s="51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5"/>
      <c r="C166" s="34" t="s">
        <v>221</v>
      </c>
      <c r="D166" s="32" t="s">
        <v>15</v>
      </c>
      <c r="E166" s="31" t="s">
        <v>223</v>
      </c>
      <c r="F166" s="51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5"/>
      <c r="C167" s="34" t="s">
        <v>221</v>
      </c>
      <c r="D167" s="32" t="s">
        <v>15</v>
      </c>
      <c r="E167" s="31" t="s">
        <v>224</v>
      </c>
      <c r="F167" s="51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5"/>
      <c r="C168" s="31" t="s">
        <v>221</v>
      </c>
      <c r="D168" s="32" t="s">
        <v>15</v>
      </c>
      <c r="E168" s="32" t="s">
        <v>225</v>
      </c>
      <c r="F168" s="51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5"/>
      <c r="C169" s="92" t="s">
        <v>159</v>
      </c>
      <c r="D169" s="32" t="s">
        <v>15</v>
      </c>
      <c r="E169" s="31" t="s">
        <v>226</v>
      </c>
      <c r="F169" s="51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5"/>
      <c r="C170" s="92" t="s">
        <v>111</v>
      </c>
      <c r="D170" s="32" t="s">
        <v>15</v>
      </c>
      <c r="E170" s="31" t="s">
        <v>227</v>
      </c>
      <c r="F170" s="51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5"/>
      <c r="C171" s="92" t="s">
        <v>111</v>
      </c>
      <c r="D171" s="32" t="s">
        <v>15</v>
      </c>
      <c r="E171" s="31" t="s">
        <v>228</v>
      </c>
      <c r="F171" s="51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5"/>
      <c r="C172" s="92" t="s">
        <v>84</v>
      </c>
      <c r="D172" s="32" t="s">
        <v>15</v>
      </c>
      <c r="E172" s="31" t="s">
        <v>229</v>
      </c>
      <c r="F172" s="51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5"/>
      <c r="C173" s="92" t="s">
        <v>84</v>
      </c>
      <c r="D173" s="32" t="s">
        <v>15</v>
      </c>
      <c r="E173" s="31" t="s">
        <v>230</v>
      </c>
      <c r="F173" s="51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5"/>
      <c r="C174" s="92" t="s">
        <v>231</v>
      </c>
      <c r="D174" s="32" t="s">
        <v>15</v>
      </c>
      <c r="E174" s="31" t="s">
        <v>232</v>
      </c>
      <c r="F174" s="51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5"/>
      <c r="C175" s="31" t="s">
        <v>231</v>
      </c>
      <c r="D175" s="32" t="s">
        <v>15</v>
      </c>
      <c r="E175" s="31" t="s">
        <v>233</v>
      </c>
      <c r="F175" s="51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8">
        <v>1.442223374E7</v>
      </c>
      <c r="H176" s="14">
        <f t="shared" si="1"/>
        <v>3028669.085</v>
      </c>
      <c r="I176" s="55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8">
        <v>1.432382362E7</v>
      </c>
      <c r="H177" s="14">
        <f t="shared" si="1"/>
        <v>3008002.96</v>
      </c>
      <c r="I177" s="55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60"/>
      <c r="C186" s="61" t="s">
        <v>45</v>
      </c>
      <c r="D186" s="62" t="s">
        <v>15</v>
      </c>
      <c r="E186" s="61" t="s">
        <v>238</v>
      </c>
      <c r="F186" s="48">
        <v>45802.0</v>
      </c>
      <c r="G186" s="44">
        <v>5022880.57</v>
      </c>
      <c r="H186" s="9">
        <f t="shared" si="1"/>
        <v>1054804.92</v>
      </c>
      <c r="I186" s="49"/>
      <c r="J186" s="49"/>
      <c r="K186" s="10">
        <f t="shared" si="2"/>
        <v>6077685.49</v>
      </c>
      <c r="L186" s="47"/>
      <c r="M186" s="50"/>
    </row>
    <row r="187" ht="15.75" customHeight="1">
      <c r="A187" s="78">
        <v>45805.0</v>
      </c>
      <c r="B187" s="55"/>
      <c r="C187" s="31" t="s">
        <v>239</v>
      </c>
      <c r="D187" s="32" t="s">
        <v>15</v>
      </c>
      <c r="E187" s="31" t="s">
        <v>240</v>
      </c>
      <c r="F187" s="51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8">
        <v>9338222.54</v>
      </c>
      <c r="H188" s="14">
        <f t="shared" si="1"/>
        <v>1961026.733</v>
      </c>
      <c r="I188" s="55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5"/>
      <c r="C192" s="31" t="s">
        <v>242</v>
      </c>
      <c r="D192" s="32" t="s">
        <v>15</v>
      </c>
      <c r="E192" s="31" t="s">
        <v>243</v>
      </c>
      <c r="F192" s="51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5"/>
      <c r="C193" s="31" t="s">
        <v>242</v>
      </c>
      <c r="D193" s="32" t="s">
        <v>15</v>
      </c>
      <c r="E193" s="31" t="s">
        <v>244</v>
      </c>
      <c r="F193" s="51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5"/>
      <c r="C194" s="31" t="s">
        <v>242</v>
      </c>
      <c r="D194" s="32" t="s">
        <v>15</v>
      </c>
      <c r="E194" s="31" t="s">
        <v>245</v>
      </c>
      <c r="F194" s="51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5"/>
      <c r="C195" s="31" t="s">
        <v>55</v>
      </c>
      <c r="D195" s="32" t="s">
        <v>15</v>
      </c>
      <c r="E195" s="31" t="s">
        <v>246</v>
      </c>
      <c r="F195" s="51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5"/>
      <c r="C196" s="31" t="s">
        <v>247</v>
      </c>
      <c r="D196" s="32" t="s">
        <v>15</v>
      </c>
      <c r="E196" s="31" t="s">
        <v>248</v>
      </c>
      <c r="F196" s="51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5"/>
      <c r="C197" s="31" t="s">
        <v>247</v>
      </c>
      <c r="D197" s="32" t="s">
        <v>15</v>
      </c>
      <c r="E197" s="31" t="s">
        <v>249</v>
      </c>
      <c r="F197" s="51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5"/>
      <c r="C198" s="31" t="s">
        <v>247</v>
      </c>
      <c r="D198" s="32" t="s">
        <v>15</v>
      </c>
      <c r="E198" s="31" t="s">
        <v>250</v>
      </c>
      <c r="F198" s="51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5"/>
      <c r="C199" s="31" t="s">
        <v>247</v>
      </c>
      <c r="D199" s="32" t="s">
        <v>15</v>
      </c>
      <c r="E199" s="31" t="s">
        <v>251</v>
      </c>
      <c r="F199" s="51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5"/>
      <c r="C200" s="31" t="s">
        <v>247</v>
      </c>
      <c r="D200" s="32" t="s">
        <v>15</v>
      </c>
      <c r="E200" s="31" t="s">
        <v>252</v>
      </c>
      <c r="F200" s="51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5"/>
      <c r="C201" s="31" t="s">
        <v>247</v>
      </c>
      <c r="D201" s="32" t="s">
        <v>15</v>
      </c>
      <c r="E201" s="31" t="s">
        <v>253</v>
      </c>
      <c r="F201" s="51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5"/>
      <c r="C202" s="31" t="s">
        <v>22</v>
      </c>
      <c r="D202" s="32" t="s">
        <v>15</v>
      </c>
      <c r="E202" s="31" t="s">
        <v>254</v>
      </c>
      <c r="F202" s="51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5"/>
      <c r="C203" s="31" t="s">
        <v>22</v>
      </c>
      <c r="D203" s="32" t="s">
        <v>15</v>
      </c>
      <c r="E203" s="31" t="s">
        <v>255</v>
      </c>
      <c r="F203" s="51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5"/>
      <c r="C204" s="31" t="s">
        <v>216</v>
      </c>
      <c r="D204" s="32" t="s">
        <v>15</v>
      </c>
      <c r="E204" s="31" t="s">
        <v>256</v>
      </c>
      <c r="F204" s="51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5"/>
      <c r="C205" s="31" t="s">
        <v>216</v>
      </c>
      <c r="D205" s="32" t="s">
        <v>15</v>
      </c>
      <c r="E205" s="31" t="s">
        <v>257</v>
      </c>
      <c r="F205" s="51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5"/>
      <c r="C206" s="31" t="s">
        <v>221</v>
      </c>
      <c r="D206" s="32" t="s">
        <v>15</v>
      </c>
      <c r="E206" s="31" t="s">
        <v>258</v>
      </c>
      <c r="F206" s="51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5"/>
      <c r="C207" s="31" t="s">
        <v>221</v>
      </c>
      <c r="D207" s="32" t="s">
        <v>15</v>
      </c>
      <c r="E207" s="31" t="s">
        <v>259</v>
      </c>
      <c r="F207" s="51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5"/>
      <c r="C208" s="31" t="s">
        <v>260</v>
      </c>
      <c r="D208" s="32" t="s">
        <v>15</v>
      </c>
      <c r="E208" s="31" t="s">
        <v>261</v>
      </c>
      <c r="F208" s="51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5"/>
      <c r="C214" s="31" t="s">
        <v>260</v>
      </c>
      <c r="D214" s="32" t="s">
        <v>15</v>
      </c>
      <c r="E214" s="31" t="s">
        <v>267</v>
      </c>
      <c r="F214" s="51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5"/>
      <c r="C215" s="31" t="s">
        <v>268</v>
      </c>
      <c r="D215" s="32" t="s">
        <v>15</v>
      </c>
      <c r="E215" s="31" t="s">
        <v>269</v>
      </c>
      <c r="F215" s="51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5"/>
      <c r="C217" s="31" t="s">
        <v>268</v>
      </c>
      <c r="D217" s="32" t="s">
        <v>15</v>
      </c>
      <c r="E217" s="31" t="s">
        <v>271</v>
      </c>
      <c r="F217" s="51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5"/>
      <c r="C218" s="31" t="s">
        <v>268</v>
      </c>
      <c r="D218" s="32" t="s">
        <v>15</v>
      </c>
      <c r="E218" s="31" t="s">
        <v>272</v>
      </c>
      <c r="F218" s="51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5"/>
      <c r="C219" s="31" t="s">
        <v>268</v>
      </c>
      <c r="D219" s="32" t="s">
        <v>15</v>
      </c>
      <c r="E219" s="31" t="s">
        <v>273</v>
      </c>
      <c r="F219" s="51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5"/>
      <c r="C221" s="31" t="s">
        <v>268</v>
      </c>
      <c r="D221" s="32" t="s">
        <v>15</v>
      </c>
      <c r="E221" s="31" t="s">
        <v>275</v>
      </c>
      <c r="F221" s="51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5"/>
      <c r="C222" s="31" t="s">
        <v>268</v>
      </c>
      <c r="D222" s="32" t="s">
        <v>15</v>
      </c>
      <c r="E222" s="31" t="s">
        <v>276</v>
      </c>
      <c r="F222" s="51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5"/>
      <c r="C223" s="31" t="s">
        <v>74</v>
      </c>
      <c r="D223" s="32" t="s">
        <v>15</v>
      </c>
      <c r="E223" s="31" t="s">
        <v>277</v>
      </c>
      <c r="F223" s="51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5"/>
      <c r="C224" s="31" t="s">
        <v>278</v>
      </c>
      <c r="D224" s="32" t="s">
        <v>15</v>
      </c>
      <c r="E224" s="32" t="s">
        <v>279</v>
      </c>
      <c r="F224" s="51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8">
        <v>9918272.32</v>
      </c>
      <c r="H234" s="14">
        <f t="shared" si="1"/>
        <v>2082837.187</v>
      </c>
      <c r="I234" s="55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8">
        <v>1.298272307E7</v>
      </c>
      <c r="H235" s="14">
        <f t="shared" si="1"/>
        <v>2726371.845</v>
      </c>
      <c r="I235" s="55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8">
        <v>1.536326228E7</v>
      </c>
      <c r="H236" s="14">
        <f t="shared" si="1"/>
        <v>3226285.079</v>
      </c>
      <c r="I236" s="55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7">
        <v>8048612.35</v>
      </c>
      <c r="H238" s="15">
        <f t="shared" si="1"/>
        <v>1690208.594</v>
      </c>
      <c r="I238" s="57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8">
        <v>1.199282738E7</v>
      </c>
      <c r="H290" s="14">
        <f t="shared" si="1"/>
        <v>2518493.75</v>
      </c>
      <c r="I290" s="55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8">
        <v>1.082727213E7</v>
      </c>
      <c r="H309" s="14">
        <f t="shared" si="3"/>
        <v>2273727.147</v>
      </c>
      <c r="I309" s="55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8">
        <v>1.000292134E7</v>
      </c>
      <c r="H310" s="14">
        <f t="shared" si="3"/>
        <v>2100613.481</v>
      </c>
      <c r="I310" s="55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8">
        <v>1.022213729E7</v>
      </c>
      <c r="H311" s="14">
        <f t="shared" si="3"/>
        <v>2146648.831</v>
      </c>
      <c r="I311" s="55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8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46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46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46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46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46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5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5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5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5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5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8">
        <v>1.222727318E7</v>
      </c>
      <c r="H352" s="14">
        <f t="shared" si="3"/>
        <v>2567727.368</v>
      </c>
      <c r="I352" s="55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8">
        <v>1.833636218E7</v>
      </c>
      <c r="H353" s="14">
        <f t="shared" si="3"/>
        <v>3850636.058</v>
      </c>
      <c r="I353" s="55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51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51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51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9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9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8">
        <v>1.322283319E7</v>
      </c>
      <c r="H391" s="14">
        <f t="shared" si="3"/>
        <v>2776794.97</v>
      </c>
      <c r="I391" s="55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9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5"/>
      <c r="C401" s="31" t="s">
        <v>74</v>
      </c>
      <c r="D401" s="32" t="s">
        <v>99</v>
      </c>
      <c r="E401" s="31" t="s">
        <v>449</v>
      </c>
      <c r="F401" s="51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5"/>
      <c r="C402" s="31" t="s">
        <v>450</v>
      </c>
      <c r="D402" s="32" t="s">
        <v>99</v>
      </c>
      <c r="E402" s="31" t="s">
        <v>451</v>
      </c>
      <c r="F402" s="51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46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46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8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5"/>
      <c r="C411" s="31" t="s">
        <v>171</v>
      </c>
      <c r="D411" s="32" t="s">
        <v>15</v>
      </c>
      <c r="E411" s="31" t="s">
        <v>460</v>
      </c>
      <c r="F411" s="51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46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7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7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7">
        <v>1.296357374E7</v>
      </c>
      <c r="H416" s="15">
        <f t="shared" si="3"/>
        <v>2722350.485</v>
      </c>
      <c r="I416" s="57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7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46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46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46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46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5"/>
      <c r="C429" s="31" t="s">
        <v>171</v>
      </c>
      <c r="D429" s="32" t="s">
        <v>15</v>
      </c>
      <c r="E429" s="31" t="s">
        <v>479</v>
      </c>
      <c r="F429" s="51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5"/>
      <c r="C430" s="31" t="s">
        <v>171</v>
      </c>
      <c r="D430" s="32" t="s">
        <v>15</v>
      </c>
      <c r="E430" s="31" t="s">
        <v>480</v>
      </c>
      <c r="F430" s="51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46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47"/>
      <c r="M438" s="50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46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46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46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46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46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47"/>
      <c r="M447" s="50"/>
    </row>
    <row r="448" ht="15.75" customHeight="1">
      <c r="A448" s="46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47"/>
      <c r="M448" s="50"/>
    </row>
    <row r="449" ht="15.75" customHeight="1">
      <c r="A449" s="46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8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5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5"/>
      <c r="M454" s="24">
        <v>45715.0</v>
      </c>
    </row>
    <row r="455" ht="15.75" customHeight="1">
      <c r="A455" s="39">
        <v>45713.0</v>
      </c>
      <c r="B455" s="55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5"/>
      <c r="M455" s="24">
        <v>45717.0</v>
      </c>
    </row>
    <row r="456" ht="15.75" customHeight="1">
      <c r="A456" s="39">
        <v>45713.0</v>
      </c>
      <c r="B456" s="55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5"/>
      <c r="M456" s="24">
        <v>45717.0</v>
      </c>
    </row>
    <row r="457" ht="15.75" customHeight="1">
      <c r="A457" s="39">
        <v>45713.0</v>
      </c>
      <c r="B457" s="55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5"/>
      <c r="M457" s="24">
        <v>45721.0</v>
      </c>
    </row>
    <row r="458" ht="15.75" customHeight="1">
      <c r="A458" s="39">
        <v>45713.0</v>
      </c>
      <c r="B458" s="55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5"/>
      <c r="M458" s="24">
        <v>45721.0</v>
      </c>
    </row>
    <row r="459" ht="15.75" customHeight="1">
      <c r="A459" s="39">
        <v>45713.0</v>
      </c>
      <c r="B459" s="55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5"/>
      <c r="M459" s="24">
        <v>45713.0</v>
      </c>
    </row>
    <row r="460" ht="15.75" customHeight="1">
      <c r="A460" s="115">
        <v>45714.0</v>
      </c>
      <c r="B460" s="55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5"/>
      <c r="M460" s="24">
        <v>45716.0</v>
      </c>
    </row>
    <row r="461" ht="15.75" customHeight="1">
      <c r="A461" s="115">
        <v>45714.0</v>
      </c>
      <c r="B461" s="55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5"/>
      <c r="M461" s="24">
        <v>45714.0</v>
      </c>
    </row>
    <row r="462" ht="15.75" customHeight="1">
      <c r="A462" s="115">
        <v>45714.0</v>
      </c>
      <c r="B462" s="55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5"/>
      <c r="M462" s="24">
        <v>45714.0</v>
      </c>
    </row>
    <row r="463" ht="15.75" customHeight="1">
      <c r="A463" s="115">
        <v>45714.0</v>
      </c>
      <c r="B463" s="55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5"/>
      <c r="M463" s="24">
        <v>45710.0</v>
      </c>
    </row>
    <row r="464" ht="15.75" customHeight="1">
      <c r="A464" s="115">
        <v>45714.0</v>
      </c>
      <c r="B464" s="55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5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5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5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5"/>
      <c r="M467" s="6"/>
    </row>
    <row r="468" ht="15.75" customHeight="1">
      <c r="A468" s="115">
        <v>45714.0</v>
      </c>
      <c r="B468" s="55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5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5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5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5"/>
      <c r="M472" s="24">
        <v>45721.0</v>
      </c>
    </row>
    <row r="473" ht="15.75" customHeight="1">
      <c r="A473" s="115">
        <v>45715.0</v>
      </c>
      <c r="B473" s="55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5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5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46">
        <v>45741.0</v>
      </c>
      <c r="B477" s="47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47"/>
      <c r="M477" s="50"/>
    </row>
    <row r="478" ht="15.75" customHeight="1">
      <c r="A478" s="46">
        <v>45741.0</v>
      </c>
      <c r="B478" s="47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47"/>
      <c r="M478" s="50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5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5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5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5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5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5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5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5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5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5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5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5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5"/>
      <c r="M501" s="24">
        <v>45730.0</v>
      </c>
    </row>
    <row r="502" ht="15.75" customHeight="1">
      <c r="A502" s="46">
        <v>45721.0</v>
      </c>
      <c r="B502" s="47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47"/>
      <c r="M502" s="50"/>
    </row>
    <row r="503" ht="15.75" customHeight="1">
      <c r="A503" s="46">
        <v>45721.0</v>
      </c>
      <c r="B503" s="47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47"/>
      <c r="M503" s="50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46">
        <v>45742.0</v>
      </c>
      <c r="B509" s="47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47"/>
      <c r="M509" s="50"/>
    </row>
    <row r="510" ht="15.75" customHeight="1">
      <c r="A510" s="46">
        <v>45742.0</v>
      </c>
      <c r="B510" s="47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47"/>
      <c r="M510" s="50"/>
    </row>
    <row r="511" ht="15.75" customHeight="1">
      <c r="A511" s="46">
        <v>45742.0</v>
      </c>
      <c r="B511" s="47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47"/>
      <c r="M511" s="50"/>
    </row>
    <row r="512" ht="15.75" customHeight="1">
      <c r="A512" s="46">
        <v>45742.0</v>
      </c>
      <c r="B512" s="47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47"/>
      <c r="M512" s="50"/>
    </row>
    <row r="513" ht="15.75" customHeight="1">
      <c r="A513" s="46">
        <v>45743.0</v>
      </c>
      <c r="B513" s="47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47"/>
      <c r="M513" s="50"/>
    </row>
    <row r="514" ht="15.75" customHeight="1">
      <c r="A514" s="46">
        <v>45743.0</v>
      </c>
      <c r="B514" s="47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47"/>
      <c r="M514" s="50"/>
    </row>
    <row r="515" ht="15.75" customHeight="1">
      <c r="A515" s="46">
        <v>45743.0</v>
      </c>
      <c r="B515" s="47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47"/>
      <c r="M515" s="50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46">
        <v>45721.0</v>
      </c>
      <c r="B517" s="47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47"/>
      <c r="M517" s="50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8">
        <v>8267490.82</v>
      </c>
      <c r="H524" s="14">
        <f t="shared" si="5"/>
        <v>1736173.072</v>
      </c>
      <c r="I524" s="59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46">
        <v>45744.0</v>
      </c>
      <c r="B529" s="47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47"/>
      <c r="M529" s="50"/>
    </row>
    <row r="530" ht="15.75" customHeight="1">
      <c r="A530" s="46">
        <v>45744.0</v>
      </c>
      <c r="B530" s="47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47"/>
      <c r="M530" s="50"/>
    </row>
    <row r="531" ht="15.75" customHeight="1">
      <c r="A531" s="46">
        <v>45744.0</v>
      </c>
      <c r="B531" s="47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47"/>
      <c r="M531" s="50"/>
    </row>
    <row r="532" ht="15.75" customHeight="1">
      <c r="A532" s="46">
        <v>45744.0</v>
      </c>
      <c r="B532" s="47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47"/>
      <c r="M532" s="50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8">
        <v>3508990.42</v>
      </c>
      <c r="H533" s="14">
        <f t="shared" si="5"/>
        <v>736887.9882</v>
      </c>
      <c r="I533" s="59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8">
        <v>4008930.18</v>
      </c>
      <c r="H534" s="14">
        <f t="shared" si="5"/>
        <v>841875.3378</v>
      </c>
      <c r="I534" s="59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8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46">
        <v>45744.0</v>
      </c>
      <c r="B538" s="47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47"/>
      <c r="M538" s="50"/>
    </row>
    <row r="539" ht="15.75" customHeight="1">
      <c r="A539" s="46">
        <v>45744.0</v>
      </c>
      <c r="B539" s="47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47"/>
      <c r="M539" s="50"/>
    </row>
    <row r="540" ht="15.75" customHeight="1">
      <c r="A540" s="46">
        <v>45744.0</v>
      </c>
      <c r="B540" s="47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47"/>
      <c r="M540" s="50"/>
    </row>
    <row r="541" ht="15.75" customHeight="1">
      <c r="A541" s="46">
        <v>45747.0</v>
      </c>
      <c r="B541" s="47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47"/>
      <c r="M541" s="50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8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9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46">
        <v>45748.0</v>
      </c>
      <c r="B549" s="47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47"/>
      <c r="M549" s="50"/>
    </row>
    <row r="550" ht="15.75" customHeight="1">
      <c r="A550" s="46">
        <v>45748.0</v>
      </c>
      <c r="B550" s="47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47"/>
      <c r="M550" s="50"/>
    </row>
    <row r="551" ht="15.75" customHeight="1">
      <c r="A551" s="46">
        <v>45748.0</v>
      </c>
      <c r="B551" s="47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47"/>
      <c r="M551" s="50"/>
    </row>
    <row r="552" ht="15.75" customHeight="1">
      <c r="A552" s="46">
        <v>45748.0</v>
      </c>
      <c r="B552" s="47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47"/>
      <c r="M552" s="50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9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46">
        <v>45748.0</v>
      </c>
      <c r="B555" s="47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47"/>
      <c r="M555" s="50"/>
    </row>
    <row r="556" ht="15.75" customHeight="1">
      <c r="A556" s="46">
        <v>45748.0</v>
      </c>
      <c r="B556" s="47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47"/>
      <c r="M556" s="50"/>
    </row>
    <row r="557" ht="15.75" customHeight="1">
      <c r="A557" s="46">
        <v>45748.0</v>
      </c>
      <c r="B557" s="47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47"/>
      <c r="M557" s="50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9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9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5"/>
      <c r="C560" s="31" t="s">
        <v>118</v>
      </c>
      <c r="D560" s="32" t="s">
        <v>15</v>
      </c>
      <c r="E560" s="31" t="s">
        <v>119</v>
      </c>
      <c r="F560" s="51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5"/>
      <c r="C561" s="31" t="s">
        <v>74</v>
      </c>
      <c r="D561" s="32" t="s">
        <v>15</v>
      </c>
      <c r="E561" s="31" t="s">
        <v>621</v>
      </c>
      <c r="F561" s="51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46">
        <v>45748.0</v>
      </c>
      <c r="B562" s="47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47"/>
      <c r="M562" s="50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9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51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51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51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51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9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51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51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9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51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51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51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51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51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9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46">
        <v>45733.0</v>
      </c>
      <c r="B582" s="47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47"/>
      <c r="M582" s="50"/>
    </row>
    <row r="583" ht="15.75" customHeight="1">
      <c r="A583" s="46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9">
        <v>420578.43</v>
      </c>
      <c r="J583" s="15"/>
      <c r="K583" s="15">
        <f t="shared" si="4"/>
        <v>17383908.59</v>
      </c>
      <c r="L583" s="47"/>
      <c r="M583" s="50"/>
    </row>
    <row r="584" ht="15.75" customHeight="1">
      <c r="A584" s="46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9">
        <v>297818.13</v>
      </c>
      <c r="J584" s="15"/>
      <c r="K584" s="15">
        <f t="shared" si="4"/>
        <v>12309816.21</v>
      </c>
      <c r="L584" s="47"/>
      <c r="M584" s="50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9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9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9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46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47"/>
      <c r="M597" s="50"/>
    </row>
    <row r="598" ht="15.75" customHeight="1">
      <c r="A598" s="46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47"/>
      <c r="M598" s="50"/>
    </row>
    <row r="599" ht="15.75" customHeight="1">
      <c r="A599" s="46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47"/>
      <c r="M599" s="50"/>
    </row>
    <row r="600" ht="15.75" customHeight="1">
      <c r="A600" s="46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47"/>
      <c r="M600" s="50"/>
    </row>
    <row r="601" ht="15.75" customHeight="1">
      <c r="A601" s="39">
        <v>45754.0</v>
      </c>
      <c r="B601" s="55"/>
      <c r="C601" s="31" t="s">
        <v>665</v>
      </c>
      <c r="D601" s="32" t="s">
        <v>99</v>
      </c>
      <c r="E601" s="31" t="s">
        <v>666</v>
      </c>
      <c r="F601" s="51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5"/>
      <c r="C602" s="31" t="s">
        <v>506</v>
      </c>
      <c r="D602" s="32" t="s">
        <v>99</v>
      </c>
      <c r="E602" s="31" t="s">
        <v>667</v>
      </c>
      <c r="F602" s="51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5"/>
      <c r="C603" s="31" t="s">
        <v>506</v>
      </c>
      <c r="D603" s="32" t="s">
        <v>99</v>
      </c>
      <c r="E603" s="31" t="s">
        <v>668</v>
      </c>
      <c r="F603" s="51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5"/>
      <c r="C604" s="31" t="s">
        <v>506</v>
      </c>
      <c r="D604" s="32" t="s">
        <v>99</v>
      </c>
      <c r="E604" s="31" t="s">
        <v>669</v>
      </c>
      <c r="F604" s="51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5"/>
      <c r="C605" s="31" t="s">
        <v>410</v>
      </c>
      <c r="D605" s="32" t="s">
        <v>99</v>
      </c>
      <c r="E605" s="31" t="s">
        <v>670</v>
      </c>
      <c r="F605" s="51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46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47"/>
      <c r="M606" s="50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46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47"/>
      <c r="M609" s="50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5"/>
      <c r="C616" s="31" t="s">
        <v>546</v>
      </c>
      <c r="D616" s="32" t="s">
        <v>99</v>
      </c>
      <c r="E616" s="31" t="s">
        <v>681</v>
      </c>
      <c r="F616" s="51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5"/>
      <c r="C617" s="31" t="s">
        <v>546</v>
      </c>
      <c r="D617" s="32" t="s">
        <v>99</v>
      </c>
      <c r="E617" s="31" t="s">
        <v>682</v>
      </c>
      <c r="F617" s="51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5"/>
      <c r="C618" s="31" t="s">
        <v>546</v>
      </c>
      <c r="D618" s="32" t="s">
        <v>99</v>
      </c>
      <c r="E618" s="31" t="s">
        <v>683</v>
      </c>
      <c r="F618" s="51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46">
        <v>45741.0</v>
      </c>
      <c r="B620" s="47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47"/>
      <c r="M620" s="50"/>
    </row>
    <row r="621" ht="15.75" customHeight="1">
      <c r="A621" s="39">
        <v>45757.0</v>
      </c>
      <c r="B621" s="55"/>
      <c r="C621" s="31" t="s">
        <v>332</v>
      </c>
      <c r="D621" s="32" t="s">
        <v>99</v>
      </c>
      <c r="E621" s="31" t="s">
        <v>686</v>
      </c>
      <c r="F621" s="51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5"/>
      <c r="C622" s="31" t="s">
        <v>332</v>
      </c>
      <c r="D622" s="32" t="s">
        <v>99</v>
      </c>
      <c r="E622" s="31" t="s">
        <v>687</v>
      </c>
      <c r="F622" s="51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5"/>
      <c r="C623" s="31" t="s">
        <v>332</v>
      </c>
      <c r="D623" s="32" t="s">
        <v>99</v>
      </c>
      <c r="E623" s="31" t="s">
        <v>688</v>
      </c>
      <c r="F623" s="51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5"/>
      <c r="C624" s="31" t="s">
        <v>332</v>
      </c>
      <c r="D624" s="32" t="s">
        <v>99</v>
      </c>
      <c r="E624" s="31" t="s">
        <v>689</v>
      </c>
      <c r="F624" s="51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5"/>
      <c r="C625" s="31" t="s">
        <v>332</v>
      </c>
      <c r="D625" s="32" t="s">
        <v>99</v>
      </c>
      <c r="E625" s="31" t="s">
        <v>690</v>
      </c>
      <c r="F625" s="51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5"/>
      <c r="C626" s="31" t="s">
        <v>332</v>
      </c>
      <c r="D626" s="32" t="s">
        <v>99</v>
      </c>
      <c r="E626" s="31" t="s">
        <v>691</v>
      </c>
      <c r="F626" s="51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5"/>
      <c r="C627" s="31" t="s">
        <v>332</v>
      </c>
      <c r="D627" s="32" t="s">
        <v>99</v>
      </c>
      <c r="E627" s="31" t="s">
        <v>692</v>
      </c>
      <c r="F627" s="51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5"/>
      <c r="C628" s="31" t="s">
        <v>211</v>
      </c>
      <c r="D628" s="32" t="s">
        <v>99</v>
      </c>
      <c r="E628" s="31" t="s">
        <v>693</v>
      </c>
      <c r="F628" s="51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46">
        <v>45741.0</v>
      </c>
      <c r="B629" s="47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47"/>
      <c r="M629" s="50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46">
        <v>45741.0</v>
      </c>
      <c r="B632" s="47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47"/>
      <c r="M632" s="50"/>
    </row>
    <row r="633" ht="15.75" customHeight="1">
      <c r="A633" s="46">
        <v>45741.0</v>
      </c>
      <c r="B633" s="47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47"/>
      <c r="M633" s="50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5"/>
      <c r="C649" s="31" t="s">
        <v>74</v>
      </c>
      <c r="D649" s="32" t="s">
        <v>99</v>
      </c>
      <c r="E649" s="31" t="s">
        <v>714</v>
      </c>
      <c r="F649" s="51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5"/>
      <c r="C650" s="31" t="s">
        <v>74</v>
      </c>
      <c r="D650" s="32" t="s">
        <v>99</v>
      </c>
      <c r="E650" s="31" t="s">
        <v>715</v>
      </c>
      <c r="F650" s="51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5"/>
      <c r="C651" s="31" t="s">
        <v>140</v>
      </c>
      <c r="D651" s="32" t="s">
        <v>99</v>
      </c>
      <c r="E651" s="31" t="s">
        <v>716</v>
      </c>
      <c r="F651" s="51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5"/>
      <c r="C652" s="31" t="s">
        <v>140</v>
      </c>
      <c r="D652" s="32" t="s">
        <v>99</v>
      </c>
      <c r="E652" s="31" t="s">
        <v>717</v>
      </c>
      <c r="F652" s="51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5"/>
      <c r="C653" s="31" t="s">
        <v>718</v>
      </c>
      <c r="D653" s="32" t="s">
        <v>99</v>
      </c>
      <c r="E653" s="31" t="s">
        <v>719</v>
      </c>
      <c r="F653" s="51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5"/>
      <c r="C654" s="31" t="s">
        <v>417</v>
      </c>
      <c r="D654" s="32" t="s">
        <v>99</v>
      </c>
      <c r="E654" s="31" t="s">
        <v>720</v>
      </c>
      <c r="F654" s="51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5"/>
      <c r="C655" s="31" t="s">
        <v>417</v>
      </c>
      <c r="D655" s="32" t="s">
        <v>99</v>
      </c>
      <c r="E655" s="31" t="s">
        <v>721</v>
      </c>
      <c r="F655" s="51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5"/>
      <c r="C656" s="31" t="s">
        <v>143</v>
      </c>
      <c r="D656" s="32" t="s">
        <v>99</v>
      </c>
      <c r="E656" s="32" t="s">
        <v>722</v>
      </c>
      <c r="F656" s="51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46">
        <v>45763.0</v>
      </c>
      <c r="B659" s="60"/>
      <c r="C659" s="61" t="s">
        <v>74</v>
      </c>
      <c r="D659" s="62" t="s">
        <v>99</v>
      </c>
      <c r="E659" s="62" t="s">
        <v>449</v>
      </c>
      <c r="F659" s="48">
        <v>45772.0</v>
      </c>
      <c r="G659" s="44">
        <v>1.004484018E7</v>
      </c>
      <c r="H659" s="9">
        <f t="shared" si="5"/>
        <v>2109416.438</v>
      </c>
      <c r="I659" s="49"/>
      <c r="J659" s="44">
        <v>160717.44</v>
      </c>
      <c r="K659" s="10">
        <f t="shared" si="4"/>
        <v>12314974.06</v>
      </c>
      <c r="L659" s="47"/>
      <c r="M659" s="50"/>
    </row>
    <row r="660" ht="15.75" customHeight="1">
      <c r="A660" s="46">
        <v>45763.0</v>
      </c>
      <c r="B660" s="60"/>
      <c r="C660" s="61" t="s">
        <v>450</v>
      </c>
      <c r="D660" s="62" t="s">
        <v>99</v>
      </c>
      <c r="E660" s="119" t="s">
        <v>451</v>
      </c>
      <c r="F660" s="48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49"/>
      <c r="K660" s="10">
        <f t="shared" si="4"/>
        <v>18613503.83</v>
      </c>
      <c r="L660" s="47"/>
      <c r="M660" s="50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51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46">
        <v>45770.0</v>
      </c>
      <c r="B673" s="60"/>
      <c r="C673" s="61" t="s">
        <v>120</v>
      </c>
      <c r="D673" s="62" t="s">
        <v>99</v>
      </c>
      <c r="E673" s="61" t="s">
        <v>737</v>
      </c>
      <c r="F673" s="48">
        <v>45772.0</v>
      </c>
      <c r="G673" s="44">
        <v>6140804.36</v>
      </c>
      <c r="H673" s="9">
        <f t="shared" si="5"/>
        <v>1289568.916</v>
      </c>
      <c r="I673" s="49"/>
      <c r="J673" s="44">
        <v>98252.87</v>
      </c>
      <c r="K673" s="10">
        <f t="shared" si="4"/>
        <v>7528626.146</v>
      </c>
      <c r="L673" s="47"/>
      <c r="M673" s="50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5"/>
      <c r="C677" s="31" t="s">
        <v>741</v>
      </c>
      <c r="D677" s="32" t="s">
        <v>99</v>
      </c>
      <c r="E677" s="31" t="s">
        <v>742</v>
      </c>
      <c r="F677" s="51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5"/>
      <c r="C678" s="31" t="s">
        <v>561</v>
      </c>
      <c r="D678" s="32" t="s">
        <v>99</v>
      </c>
      <c r="E678" s="31" t="s">
        <v>743</v>
      </c>
      <c r="F678" s="51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5"/>
      <c r="C679" s="31" t="s">
        <v>561</v>
      </c>
      <c r="D679" s="32" t="s">
        <v>99</v>
      </c>
      <c r="E679" s="31" t="s">
        <v>744</v>
      </c>
      <c r="F679" s="51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5"/>
      <c r="C680" s="31" t="s">
        <v>561</v>
      </c>
      <c r="D680" s="32" t="s">
        <v>99</v>
      </c>
      <c r="E680" s="31" t="s">
        <v>745</v>
      </c>
      <c r="F680" s="51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5"/>
      <c r="C681" s="31" t="s">
        <v>561</v>
      </c>
      <c r="D681" s="32" t="s">
        <v>99</v>
      </c>
      <c r="E681" s="31" t="s">
        <v>746</v>
      </c>
      <c r="F681" s="51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5"/>
      <c r="C682" s="31" t="s">
        <v>561</v>
      </c>
      <c r="D682" s="32" t="s">
        <v>99</v>
      </c>
      <c r="E682" s="31" t="s">
        <v>747</v>
      </c>
      <c r="F682" s="51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46">
        <v>45771.0</v>
      </c>
      <c r="B683" s="60"/>
      <c r="C683" s="61" t="s">
        <v>194</v>
      </c>
      <c r="D683" s="62" t="s">
        <v>99</v>
      </c>
      <c r="E683" s="61" t="s">
        <v>748</v>
      </c>
      <c r="F683" s="48">
        <v>45772.0</v>
      </c>
      <c r="G683" s="44">
        <v>6011640.23</v>
      </c>
      <c r="H683" s="9">
        <f t="shared" si="5"/>
        <v>1262444.448</v>
      </c>
      <c r="I683" s="49"/>
      <c r="J683" s="44">
        <v>30058.2</v>
      </c>
      <c r="K683" s="10">
        <f t="shared" si="4"/>
        <v>7304142.878</v>
      </c>
      <c r="L683" s="47"/>
      <c r="M683" s="50"/>
    </row>
    <row r="684" ht="15.75" customHeight="1">
      <c r="A684" s="46">
        <v>45771.0</v>
      </c>
      <c r="B684" s="60"/>
      <c r="C684" s="61" t="s">
        <v>194</v>
      </c>
      <c r="D684" s="62" t="s">
        <v>99</v>
      </c>
      <c r="E684" s="61" t="s">
        <v>749</v>
      </c>
      <c r="F684" s="48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47"/>
      <c r="M684" s="50"/>
    </row>
    <row r="685" ht="15.75" customHeight="1">
      <c r="A685" s="46">
        <v>45771.0</v>
      </c>
      <c r="B685" s="60"/>
      <c r="C685" s="61" t="s">
        <v>124</v>
      </c>
      <c r="D685" s="62" t="s">
        <v>99</v>
      </c>
      <c r="E685" s="61" t="s">
        <v>750</v>
      </c>
      <c r="F685" s="48">
        <v>45772.0</v>
      </c>
      <c r="G685" s="44">
        <v>2003940.74</v>
      </c>
      <c r="H685" s="9">
        <f t="shared" si="5"/>
        <v>420827.5554</v>
      </c>
      <c r="I685" s="44">
        <v>60118.22</v>
      </c>
      <c r="J685" s="49"/>
      <c r="K685" s="10">
        <f t="shared" si="4"/>
        <v>2484886.515</v>
      </c>
      <c r="L685" s="47"/>
      <c r="M685" s="50"/>
    </row>
    <row r="686" ht="15.75" customHeight="1">
      <c r="A686" s="46">
        <v>45771.0</v>
      </c>
      <c r="B686" s="60"/>
      <c r="C686" s="61" t="s">
        <v>124</v>
      </c>
      <c r="D686" s="62" t="s">
        <v>99</v>
      </c>
      <c r="E686" s="61" t="s">
        <v>751</v>
      </c>
      <c r="F686" s="48">
        <v>45772.0</v>
      </c>
      <c r="G686" s="44">
        <v>1003240.53</v>
      </c>
      <c r="H686" s="9">
        <f t="shared" si="5"/>
        <v>210680.5113</v>
      </c>
      <c r="I686" s="49"/>
      <c r="J686" s="49"/>
      <c r="K686" s="10">
        <f t="shared" si="4"/>
        <v>1213921.041</v>
      </c>
      <c r="L686" s="47"/>
      <c r="M686" s="50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46">
        <v>45743.0</v>
      </c>
      <c r="B690" s="47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47"/>
      <c r="M690" s="50"/>
    </row>
    <row r="691" ht="15.75" customHeight="1">
      <c r="A691" s="46">
        <v>45743.0</v>
      </c>
      <c r="B691" s="47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47"/>
      <c r="M691" s="50"/>
    </row>
    <row r="692" ht="15.75" customHeight="1">
      <c r="A692" s="39">
        <v>45771.0</v>
      </c>
      <c r="B692" s="55"/>
      <c r="C692" s="31" t="s">
        <v>757</v>
      </c>
      <c r="D692" s="32" t="s">
        <v>99</v>
      </c>
      <c r="E692" s="31" t="s">
        <v>758</v>
      </c>
      <c r="F692" s="51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5"/>
      <c r="C693" s="31" t="s">
        <v>757</v>
      </c>
      <c r="D693" s="32" t="s">
        <v>99</v>
      </c>
      <c r="E693" s="31" t="s">
        <v>759</v>
      </c>
      <c r="F693" s="51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5"/>
      <c r="C694" s="31" t="s">
        <v>757</v>
      </c>
      <c r="D694" s="32" t="s">
        <v>99</v>
      </c>
      <c r="E694" s="31" t="s">
        <v>760</v>
      </c>
      <c r="F694" s="51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5"/>
      <c r="C695" s="31" t="s">
        <v>757</v>
      </c>
      <c r="D695" s="32" t="s">
        <v>99</v>
      </c>
      <c r="E695" s="31" t="s">
        <v>761</v>
      </c>
      <c r="F695" s="51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5"/>
      <c r="C696" s="31" t="s">
        <v>757</v>
      </c>
      <c r="D696" s="32" t="s">
        <v>99</v>
      </c>
      <c r="E696" s="31" t="s">
        <v>762</v>
      </c>
      <c r="F696" s="51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46">
        <v>45772.0</v>
      </c>
      <c r="B697" s="60"/>
      <c r="C697" s="61" t="s">
        <v>120</v>
      </c>
      <c r="D697" s="62" t="s">
        <v>99</v>
      </c>
      <c r="E697" s="61" t="s">
        <v>763</v>
      </c>
      <c r="F697" s="48">
        <v>45772.0</v>
      </c>
      <c r="G697" s="44">
        <v>1.815090824E7</v>
      </c>
      <c r="H697" s="9">
        <f t="shared" si="5"/>
        <v>3811690.73</v>
      </c>
      <c r="I697" s="49"/>
      <c r="J697" s="44">
        <v>290414.53</v>
      </c>
      <c r="K697" s="10">
        <f t="shared" si="4"/>
        <v>22253013.5</v>
      </c>
      <c r="L697" s="47"/>
      <c r="M697" s="50"/>
    </row>
    <row r="698" ht="15.75" customHeight="1">
      <c r="A698" s="39">
        <v>45772.0</v>
      </c>
      <c r="B698" s="55"/>
      <c r="C698" s="31" t="s">
        <v>757</v>
      </c>
      <c r="D698" s="32" t="s">
        <v>99</v>
      </c>
      <c r="E698" s="31" t="s">
        <v>764</v>
      </c>
      <c r="F698" s="51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5"/>
      <c r="C699" s="31" t="s">
        <v>757</v>
      </c>
      <c r="D699" s="32" t="s">
        <v>99</v>
      </c>
      <c r="E699" s="31" t="s">
        <v>765</v>
      </c>
      <c r="F699" s="51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46">
        <v>45772.0</v>
      </c>
      <c r="B700" s="120" t="s">
        <v>766</v>
      </c>
      <c r="C700" s="61" t="s">
        <v>767</v>
      </c>
      <c r="D700" s="61" t="s">
        <v>77</v>
      </c>
      <c r="E700" s="61" t="s">
        <v>768</v>
      </c>
      <c r="F700" s="48">
        <v>45772.0</v>
      </c>
      <c r="G700" s="44">
        <v>1.941953E7</v>
      </c>
      <c r="H700" s="9">
        <f t="shared" si="5"/>
        <v>4078101.3</v>
      </c>
      <c r="I700" s="49"/>
      <c r="J700" s="49"/>
      <c r="K700" s="10">
        <f t="shared" si="4"/>
        <v>23497631.3</v>
      </c>
      <c r="L700" s="47"/>
      <c r="M700" s="50"/>
    </row>
    <row r="701" ht="15.75" customHeight="1">
      <c r="A701" s="46">
        <v>45772.0</v>
      </c>
      <c r="B701" s="120" t="s">
        <v>766</v>
      </c>
      <c r="C701" s="61" t="s">
        <v>767</v>
      </c>
      <c r="D701" s="61" t="s">
        <v>769</v>
      </c>
      <c r="E701" s="62">
        <v>1.00250748E8</v>
      </c>
      <c r="F701" s="48">
        <v>45772.0</v>
      </c>
      <c r="G701" s="44">
        <v>1.210297E7</v>
      </c>
      <c r="H701" s="9">
        <f t="shared" si="5"/>
        <v>2541623.7</v>
      </c>
      <c r="I701" s="49"/>
      <c r="J701" s="49"/>
      <c r="K701" s="10">
        <f t="shared" si="4"/>
        <v>14644593.7</v>
      </c>
      <c r="L701" s="47"/>
      <c r="M701" s="50"/>
    </row>
    <row r="702" ht="15.75" customHeight="1">
      <c r="A702" s="46">
        <v>45772.0</v>
      </c>
      <c r="B702" s="120" t="s">
        <v>766</v>
      </c>
      <c r="C702" s="61" t="s">
        <v>767</v>
      </c>
      <c r="D702" s="61" t="s">
        <v>769</v>
      </c>
      <c r="E702" s="62">
        <v>1.00250747E8</v>
      </c>
      <c r="F702" s="48">
        <v>45772.0</v>
      </c>
      <c r="G702" s="121">
        <v>1.293254E7</v>
      </c>
      <c r="H702" s="9">
        <f t="shared" si="5"/>
        <v>2715833.4</v>
      </c>
      <c r="I702" s="49"/>
      <c r="J702" s="49"/>
      <c r="K702" s="10">
        <f t="shared" si="4"/>
        <v>15648373.4</v>
      </c>
      <c r="L702" s="47"/>
      <c r="M702" s="50"/>
    </row>
    <row r="703" ht="15.75" customHeight="1">
      <c r="A703" s="46">
        <v>45772.0</v>
      </c>
      <c r="B703" s="120" t="s">
        <v>766</v>
      </c>
      <c r="C703" s="61" t="s">
        <v>767</v>
      </c>
      <c r="D703" s="61" t="s">
        <v>77</v>
      </c>
      <c r="E703" s="61" t="s">
        <v>770</v>
      </c>
      <c r="F703" s="48">
        <v>45772.0</v>
      </c>
      <c r="G703" s="44">
        <v>1.946293E7</v>
      </c>
      <c r="H703" s="9">
        <f t="shared" si="5"/>
        <v>4087215.3</v>
      </c>
      <c r="I703" s="49"/>
      <c r="J703" s="49"/>
      <c r="K703" s="10">
        <f t="shared" si="4"/>
        <v>23550145.3</v>
      </c>
      <c r="L703" s="47"/>
      <c r="M703" s="50"/>
    </row>
    <row r="704" ht="15.75" customHeight="1">
      <c r="A704" s="46">
        <v>45772.0</v>
      </c>
      <c r="B704" s="120" t="s">
        <v>766</v>
      </c>
      <c r="C704" s="61" t="s">
        <v>767</v>
      </c>
      <c r="D704" s="61" t="s">
        <v>77</v>
      </c>
      <c r="E704" s="61" t="s">
        <v>771</v>
      </c>
      <c r="F704" s="48">
        <v>45772.0</v>
      </c>
      <c r="G704" s="44">
        <v>1.735475E7</v>
      </c>
      <c r="H704" s="9">
        <f t="shared" si="5"/>
        <v>3644497.5</v>
      </c>
      <c r="I704" s="49"/>
      <c r="J704" s="49"/>
      <c r="K704" s="10">
        <f t="shared" si="4"/>
        <v>20999247.5</v>
      </c>
      <c r="L704" s="47"/>
      <c r="M704" s="50"/>
    </row>
    <row r="705" ht="15.75" customHeight="1">
      <c r="A705" s="46">
        <v>45772.0</v>
      </c>
      <c r="B705" s="120" t="s">
        <v>766</v>
      </c>
      <c r="C705" s="61" t="s">
        <v>767</v>
      </c>
      <c r="D705" s="61" t="s">
        <v>77</v>
      </c>
      <c r="E705" s="61" t="s">
        <v>772</v>
      </c>
      <c r="F705" s="48">
        <v>45772.0</v>
      </c>
      <c r="G705" s="44">
        <v>1.838828E7</v>
      </c>
      <c r="H705" s="9">
        <f t="shared" si="5"/>
        <v>3861538.8</v>
      </c>
      <c r="I705" s="49"/>
      <c r="J705" s="49"/>
      <c r="K705" s="10">
        <f t="shared" si="4"/>
        <v>22249818.8</v>
      </c>
      <c r="L705" s="47"/>
      <c r="M705" s="50"/>
    </row>
    <row r="706" ht="15.75" customHeight="1">
      <c r="A706" s="46">
        <v>45772.0</v>
      </c>
      <c r="B706" s="120" t="s">
        <v>766</v>
      </c>
      <c r="C706" s="61" t="s">
        <v>767</v>
      </c>
      <c r="D706" s="61" t="s">
        <v>77</v>
      </c>
      <c r="E706" s="61" t="s">
        <v>773</v>
      </c>
      <c r="F706" s="48">
        <v>45772.0</v>
      </c>
      <c r="G706" s="44">
        <v>1.538725E7</v>
      </c>
      <c r="H706" s="9">
        <f t="shared" si="5"/>
        <v>3231322.5</v>
      </c>
      <c r="I706" s="49"/>
      <c r="J706" s="49"/>
      <c r="K706" s="10">
        <f t="shared" si="4"/>
        <v>18618572.5</v>
      </c>
      <c r="L706" s="47"/>
      <c r="M706" s="50"/>
    </row>
    <row r="707" ht="15.75" customHeight="1">
      <c r="A707" s="46">
        <v>45772.0</v>
      </c>
      <c r="B707" s="120" t="s">
        <v>766</v>
      </c>
      <c r="C707" s="61" t="s">
        <v>767</v>
      </c>
      <c r="D707" s="62" t="s">
        <v>774</v>
      </c>
      <c r="E707" s="62">
        <v>1.000371948E9</v>
      </c>
      <c r="F707" s="48">
        <v>45772.0</v>
      </c>
      <c r="G707" s="44">
        <v>0.83</v>
      </c>
      <c r="H707" s="9">
        <f t="shared" si="5"/>
        <v>0.1743</v>
      </c>
      <c r="I707" s="49"/>
      <c r="J707" s="49"/>
      <c r="K707" s="10">
        <f t="shared" si="4"/>
        <v>1.0043</v>
      </c>
      <c r="L707" s="47"/>
      <c r="M707" s="50"/>
    </row>
    <row r="708" ht="15.75" customHeight="1">
      <c r="A708" s="46">
        <v>45772.0</v>
      </c>
      <c r="B708" s="120" t="s">
        <v>766</v>
      </c>
      <c r="C708" s="61" t="s">
        <v>767</v>
      </c>
      <c r="D708" s="62" t="s">
        <v>72</v>
      </c>
      <c r="E708" s="62">
        <v>1.00001758E9</v>
      </c>
      <c r="F708" s="48">
        <v>45772.0</v>
      </c>
      <c r="G708" s="44">
        <v>9467430.0</v>
      </c>
      <c r="H708" s="9">
        <f t="shared" si="5"/>
        <v>1988160.3</v>
      </c>
      <c r="I708" s="49"/>
      <c r="J708" s="49"/>
      <c r="K708" s="10">
        <f t="shared" si="4"/>
        <v>11455590.3</v>
      </c>
      <c r="L708" s="47"/>
      <c r="M708" s="50"/>
    </row>
    <row r="709" ht="15.75" customHeight="1">
      <c r="A709" s="46">
        <v>45775.0</v>
      </c>
      <c r="B709" s="120" t="s">
        <v>766</v>
      </c>
      <c r="C709" s="61" t="s">
        <v>767</v>
      </c>
      <c r="D709" s="62" t="s">
        <v>774</v>
      </c>
      <c r="E709" s="62">
        <v>1.000372274E9</v>
      </c>
      <c r="F709" s="48">
        <v>45772.0</v>
      </c>
      <c r="G709" s="44">
        <v>1.499539E7</v>
      </c>
      <c r="H709" s="9">
        <f t="shared" si="5"/>
        <v>3149031.9</v>
      </c>
      <c r="I709" s="49"/>
      <c r="J709" s="49"/>
      <c r="K709" s="10">
        <f t="shared" si="4"/>
        <v>18144421.9</v>
      </c>
      <c r="L709" s="47"/>
      <c r="M709" s="50"/>
    </row>
    <row r="710" ht="15.75" customHeight="1">
      <c r="A710" s="46">
        <v>45775.0</v>
      </c>
      <c r="B710" s="120" t="s">
        <v>766</v>
      </c>
      <c r="C710" s="61" t="s">
        <v>767</v>
      </c>
      <c r="D710" s="62" t="s">
        <v>72</v>
      </c>
      <c r="E710" s="62">
        <v>1.000017624E9</v>
      </c>
      <c r="F710" s="48">
        <v>45772.0</v>
      </c>
      <c r="G710" s="44">
        <v>1.054285E7</v>
      </c>
      <c r="H710" s="9">
        <f t="shared" si="5"/>
        <v>2213998.5</v>
      </c>
      <c r="I710" s="49"/>
      <c r="J710" s="49"/>
      <c r="K710" s="10">
        <f t="shared" si="4"/>
        <v>12756848.5</v>
      </c>
      <c r="L710" s="47"/>
      <c r="M710" s="50"/>
    </row>
    <row r="711" ht="15.75" customHeight="1">
      <c r="A711" s="39">
        <v>45775.0</v>
      </c>
      <c r="B711" s="55"/>
      <c r="C711" s="31" t="s">
        <v>323</v>
      </c>
      <c r="D711" s="32" t="s">
        <v>99</v>
      </c>
      <c r="E711" s="31" t="s">
        <v>775</v>
      </c>
      <c r="F711" s="51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5"/>
      <c r="C712" s="31" t="s">
        <v>323</v>
      </c>
      <c r="D712" s="32" t="s">
        <v>99</v>
      </c>
      <c r="E712" s="31" t="s">
        <v>776</v>
      </c>
      <c r="F712" s="51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5"/>
      <c r="C713" s="31" t="s">
        <v>323</v>
      </c>
      <c r="D713" s="32" t="s">
        <v>99</v>
      </c>
      <c r="E713" s="31" t="s">
        <v>777</v>
      </c>
      <c r="F713" s="51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5"/>
      <c r="C714" s="31" t="s">
        <v>323</v>
      </c>
      <c r="D714" s="32" t="s">
        <v>99</v>
      </c>
      <c r="E714" s="31" t="s">
        <v>778</v>
      </c>
      <c r="F714" s="51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5"/>
      <c r="C715" s="31" t="s">
        <v>323</v>
      </c>
      <c r="D715" s="32" t="s">
        <v>99</v>
      </c>
      <c r="E715" s="31" t="s">
        <v>779</v>
      </c>
      <c r="F715" s="51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46">
        <v>45743.0</v>
      </c>
      <c r="B716" s="47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47"/>
      <c r="M716" s="50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46">
        <v>45776.0</v>
      </c>
      <c r="B718" s="60"/>
      <c r="C718" s="62" t="s">
        <v>782</v>
      </c>
      <c r="D718" s="62" t="s">
        <v>108</v>
      </c>
      <c r="E718" s="61" t="s">
        <v>783</v>
      </c>
      <c r="F718" s="48">
        <v>45772.0</v>
      </c>
      <c r="G718" s="121">
        <f>20085715.42/1.21</f>
        <v>16599764.81</v>
      </c>
      <c r="H718" s="9">
        <f t="shared" si="5"/>
        <v>3485950.61</v>
      </c>
      <c r="I718" s="49"/>
      <c r="J718" s="49"/>
      <c r="K718" s="10">
        <f t="shared" si="4"/>
        <v>20085715.42</v>
      </c>
      <c r="L718" s="47"/>
      <c r="M718" s="50"/>
    </row>
    <row r="719" ht="15.75" customHeight="1">
      <c r="A719" s="46">
        <v>45776.0</v>
      </c>
      <c r="B719" s="60"/>
      <c r="C719" s="61" t="s">
        <v>784</v>
      </c>
      <c r="D719" s="62" t="s">
        <v>108</v>
      </c>
      <c r="E719" s="61" t="s">
        <v>785</v>
      </c>
      <c r="F719" s="48">
        <v>45772.0</v>
      </c>
      <c r="G719" s="121">
        <v>3.008808949E7</v>
      </c>
      <c r="H719" s="9">
        <f t="shared" si="5"/>
        <v>6318498.793</v>
      </c>
      <c r="I719" s="49"/>
      <c r="J719" s="49"/>
      <c r="K719" s="10">
        <f t="shared" si="4"/>
        <v>36406588.28</v>
      </c>
      <c r="L719" s="47"/>
      <c r="M719" s="50"/>
    </row>
    <row r="720" ht="15.75" customHeight="1">
      <c r="A720" s="46">
        <v>45776.0</v>
      </c>
      <c r="B720" s="60"/>
      <c r="C720" s="122" t="s">
        <v>786</v>
      </c>
      <c r="D720" s="40" t="s">
        <v>787</v>
      </c>
      <c r="E720" s="40" t="s">
        <v>788</v>
      </c>
      <c r="F720" s="48">
        <v>45772.0</v>
      </c>
      <c r="G720" s="123">
        <v>2.053991032E7</v>
      </c>
      <c r="H720" s="9">
        <f t="shared" si="5"/>
        <v>4313381.167</v>
      </c>
      <c r="I720" s="49"/>
      <c r="J720" s="49"/>
      <c r="K720" s="10">
        <f t="shared" si="4"/>
        <v>24853291.49</v>
      </c>
      <c r="L720" s="47"/>
      <c r="M720" s="50"/>
    </row>
    <row r="721" ht="15.75" customHeight="1">
      <c r="A721" s="46">
        <v>45776.0</v>
      </c>
      <c r="B721" s="60"/>
      <c r="C721" s="122" t="s">
        <v>789</v>
      </c>
      <c r="D721" s="40" t="s">
        <v>787</v>
      </c>
      <c r="E721" s="41" t="s">
        <v>790</v>
      </c>
      <c r="F721" s="48">
        <v>45772.0</v>
      </c>
      <c r="G721" s="123">
        <v>9888927.93</v>
      </c>
      <c r="H721" s="9">
        <f t="shared" si="5"/>
        <v>2076674.865</v>
      </c>
      <c r="I721" s="49"/>
      <c r="J721" s="49"/>
      <c r="K721" s="10">
        <f t="shared" si="4"/>
        <v>11965602.8</v>
      </c>
      <c r="L721" s="47"/>
      <c r="M721" s="50"/>
    </row>
    <row r="722" ht="15.75" customHeight="1">
      <c r="A722" s="46">
        <v>45776.0</v>
      </c>
      <c r="B722" s="60"/>
      <c r="C722" s="122" t="s">
        <v>789</v>
      </c>
      <c r="D722" s="40" t="s">
        <v>787</v>
      </c>
      <c r="E722" s="40" t="s">
        <v>791</v>
      </c>
      <c r="F722" s="48">
        <v>45772.0</v>
      </c>
      <c r="G722" s="123">
        <v>1.903497522E7</v>
      </c>
      <c r="H722" s="9">
        <f t="shared" si="5"/>
        <v>3997344.796</v>
      </c>
      <c r="I722" s="49"/>
      <c r="J722" s="49"/>
      <c r="K722" s="10">
        <f t="shared" si="4"/>
        <v>23032320.02</v>
      </c>
      <c r="L722" s="47"/>
      <c r="M722" s="50"/>
    </row>
    <row r="723" ht="15.75" customHeight="1">
      <c r="A723" s="46">
        <v>45776.0</v>
      </c>
      <c r="B723" s="60"/>
      <c r="C723" s="122" t="s">
        <v>789</v>
      </c>
      <c r="D723" s="40" t="s">
        <v>787</v>
      </c>
      <c r="E723" s="40" t="s">
        <v>792</v>
      </c>
      <c r="F723" s="48">
        <v>45772.0</v>
      </c>
      <c r="G723" s="123">
        <v>2.057809389E7</v>
      </c>
      <c r="H723" s="9">
        <f t="shared" si="5"/>
        <v>4321399.717</v>
      </c>
      <c r="I723" s="49"/>
      <c r="J723" s="49"/>
      <c r="K723" s="10">
        <f t="shared" si="4"/>
        <v>24899493.61</v>
      </c>
      <c r="L723" s="47"/>
      <c r="M723" s="50"/>
    </row>
    <row r="724" ht="15.75" customHeight="1">
      <c r="A724" s="46">
        <v>45776.0</v>
      </c>
      <c r="B724" s="60"/>
      <c r="C724" s="124" t="s">
        <v>789</v>
      </c>
      <c r="D724" s="125" t="s">
        <v>787</v>
      </c>
      <c r="E724" s="125" t="s">
        <v>793</v>
      </c>
      <c r="F724" s="48">
        <v>45772.0</v>
      </c>
      <c r="G724" s="126">
        <v>2.047359463E7</v>
      </c>
      <c r="H724" s="9">
        <f t="shared" si="5"/>
        <v>4299454.872</v>
      </c>
      <c r="I724" s="49"/>
      <c r="J724" s="49"/>
      <c r="K724" s="10">
        <f t="shared" si="4"/>
        <v>24773049.5</v>
      </c>
      <c r="L724" s="47"/>
      <c r="M724" s="50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46">
        <v>45744.0</v>
      </c>
      <c r="B726" s="47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47"/>
      <c r="M726" s="50"/>
    </row>
    <row r="727" ht="15.75" customHeight="1">
      <c r="A727" s="46">
        <v>45744.0</v>
      </c>
      <c r="B727" s="47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47"/>
      <c r="M727" s="50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46">
        <v>45748.0</v>
      </c>
      <c r="B730" s="47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47"/>
      <c r="M730" s="50"/>
    </row>
    <row r="731" ht="15.75" customHeight="1">
      <c r="A731" s="46">
        <v>45748.0</v>
      </c>
      <c r="B731" s="47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47"/>
      <c r="M731" s="50"/>
    </row>
    <row r="732" ht="15.75" customHeight="1">
      <c r="A732" s="46">
        <v>45748.0</v>
      </c>
      <c r="B732" s="47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47"/>
      <c r="M732" s="50"/>
    </row>
    <row r="733" ht="15.75" customHeight="1">
      <c r="A733" s="46">
        <v>45748.0</v>
      </c>
      <c r="B733" s="47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47"/>
      <c r="M733" s="50"/>
    </row>
    <row r="734" ht="15.75" customHeight="1">
      <c r="A734" s="46">
        <v>45748.0</v>
      </c>
      <c r="B734" s="47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47"/>
      <c r="M734" s="50"/>
    </row>
    <row r="735" ht="15.75" customHeight="1">
      <c r="A735" s="46">
        <v>45748.0</v>
      </c>
      <c r="B735" s="47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47"/>
      <c r="M735" s="50"/>
    </row>
    <row r="736" ht="15.75" customHeight="1">
      <c r="A736" s="46">
        <v>45748.0</v>
      </c>
      <c r="B736" s="47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47"/>
      <c r="M736" s="50"/>
    </row>
    <row r="737" ht="15.75" customHeight="1">
      <c r="A737" s="46">
        <v>45748.0</v>
      </c>
      <c r="B737" s="47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47"/>
      <c r="M737" s="50"/>
    </row>
    <row r="738" ht="15.75" customHeight="1">
      <c r="A738" s="46">
        <v>45748.0</v>
      </c>
      <c r="B738" s="47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47"/>
      <c r="M738" s="50"/>
    </row>
    <row r="739" ht="15.75" customHeight="1">
      <c r="A739" s="46">
        <v>45748.0</v>
      </c>
      <c r="B739" s="47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47"/>
      <c r="M739" s="50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50"/>
    </row>
    <row r="741" ht="15.75" customHeight="1">
      <c r="A741" s="39">
        <v>45777.0</v>
      </c>
      <c r="B741" s="55"/>
      <c r="C741" s="31" t="s">
        <v>111</v>
      </c>
      <c r="D741" s="32" t="s">
        <v>99</v>
      </c>
      <c r="E741" s="31" t="s">
        <v>811</v>
      </c>
      <c r="F741" s="51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5"/>
      <c r="C742" s="31" t="s">
        <v>111</v>
      </c>
      <c r="D742" s="32" t="s">
        <v>99</v>
      </c>
      <c r="E742" s="31" t="s">
        <v>812</v>
      </c>
      <c r="F742" s="51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5"/>
      <c r="C743" s="31" t="s">
        <v>111</v>
      </c>
      <c r="D743" s="32" t="s">
        <v>99</v>
      </c>
      <c r="E743" s="31" t="s">
        <v>813</v>
      </c>
      <c r="F743" s="51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46">
        <v>45777.0</v>
      </c>
      <c r="B744" s="60"/>
      <c r="C744" s="61" t="s">
        <v>395</v>
      </c>
      <c r="D744" s="62" t="s">
        <v>99</v>
      </c>
      <c r="E744" s="61" t="s">
        <v>814</v>
      </c>
      <c r="F744" s="48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47"/>
      <c r="M744" s="50"/>
    </row>
    <row r="745" ht="15.75" customHeight="1">
      <c r="A745" s="39">
        <v>45777.0</v>
      </c>
      <c r="B745" s="55"/>
      <c r="C745" s="31" t="s">
        <v>395</v>
      </c>
      <c r="D745" s="32" t="s">
        <v>99</v>
      </c>
      <c r="E745" s="31" t="s">
        <v>815</v>
      </c>
      <c r="F745" s="51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5"/>
      <c r="C746" s="31" t="s">
        <v>84</v>
      </c>
      <c r="D746" s="32" t="s">
        <v>99</v>
      </c>
      <c r="E746" s="31" t="s">
        <v>816</v>
      </c>
      <c r="F746" s="51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5"/>
      <c r="C747" s="31" t="s">
        <v>84</v>
      </c>
      <c r="D747" s="32" t="s">
        <v>99</v>
      </c>
      <c r="E747" s="31" t="s">
        <v>817</v>
      </c>
      <c r="F747" s="51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5"/>
      <c r="C748" s="31" t="s">
        <v>497</v>
      </c>
      <c r="D748" s="32" t="s">
        <v>99</v>
      </c>
      <c r="E748" s="32" t="s">
        <v>818</v>
      </c>
      <c r="F748" s="51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47"/>
      <c r="M748" s="50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50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5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51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5"/>
      <c r="C752" s="31" t="s">
        <v>665</v>
      </c>
      <c r="D752" s="35" t="s">
        <v>15</v>
      </c>
      <c r="E752" s="31" t="s">
        <v>822</v>
      </c>
      <c r="F752" s="51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5"/>
      <c r="C753" s="31" t="s">
        <v>665</v>
      </c>
      <c r="D753" s="35" t="s">
        <v>15</v>
      </c>
      <c r="E753" s="31" t="s">
        <v>823</v>
      </c>
      <c r="F753" s="51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46">
        <v>45777.0</v>
      </c>
      <c r="B754" s="120" t="s">
        <v>381</v>
      </c>
      <c r="C754" s="62" t="s">
        <v>824</v>
      </c>
      <c r="D754" s="62" t="s">
        <v>825</v>
      </c>
      <c r="E754" s="61">
        <v>2.00502623E8</v>
      </c>
      <c r="F754" s="48">
        <v>45772.0</v>
      </c>
      <c r="G754" s="44">
        <v>5708460.0</v>
      </c>
      <c r="H754" s="9">
        <f t="shared" si="5"/>
        <v>1198776.6</v>
      </c>
      <c r="I754" s="44">
        <v>171253.8</v>
      </c>
      <c r="J754" s="49"/>
      <c r="K754" s="10">
        <f t="shared" si="4"/>
        <v>7078490.4</v>
      </c>
      <c r="L754" s="47"/>
      <c r="M754" s="50"/>
    </row>
    <row r="755" ht="15.75" customHeight="1">
      <c r="A755" s="46">
        <v>45777.0</v>
      </c>
      <c r="B755" s="120" t="s">
        <v>381</v>
      </c>
      <c r="C755" s="62" t="s">
        <v>824</v>
      </c>
      <c r="D755" s="62" t="s">
        <v>825</v>
      </c>
      <c r="E755" s="61">
        <v>2.00502622E8</v>
      </c>
      <c r="F755" s="48">
        <v>45772.0</v>
      </c>
      <c r="G755" s="44">
        <v>6508740.0</v>
      </c>
      <c r="H755" s="9">
        <f t="shared" si="5"/>
        <v>1366835.4</v>
      </c>
      <c r="I755" s="49"/>
      <c r="J755" s="49"/>
      <c r="K755" s="10">
        <f t="shared" si="4"/>
        <v>7875575.4</v>
      </c>
      <c r="L755" s="47"/>
      <c r="M755" s="50"/>
    </row>
    <row r="756" ht="15.75" customHeight="1">
      <c r="A756" s="46">
        <v>45781.0</v>
      </c>
      <c r="B756" s="62" t="s">
        <v>826</v>
      </c>
      <c r="C756" s="62" t="s">
        <v>827</v>
      </c>
      <c r="D756" s="62" t="s">
        <v>828</v>
      </c>
      <c r="E756" s="62">
        <v>963.0</v>
      </c>
      <c r="F756" s="48">
        <v>45772.0</v>
      </c>
      <c r="G756" s="44">
        <v>1.00004E7</v>
      </c>
      <c r="H756" s="9">
        <f t="shared" si="5"/>
        <v>2100084</v>
      </c>
      <c r="I756" s="49"/>
      <c r="J756" s="49"/>
      <c r="K756" s="10">
        <f t="shared" si="4"/>
        <v>12100484</v>
      </c>
      <c r="L756" s="47"/>
      <c r="M756" s="50"/>
    </row>
    <row r="757" ht="15.75" customHeight="1">
      <c r="A757" s="46">
        <v>45781.0</v>
      </c>
      <c r="B757" s="62" t="s">
        <v>826</v>
      </c>
      <c r="C757" s="62" t="s">
        <v>829</v>
      </c>
      <c r="D757" s="62" t="s">
        <v>828</v>
      </c>
      <c r="E757" s="62">
        <v>965.0</v>
      </c>
      <c r="F757" s="48">
        <v>45772.0</v>
      </c>
      <c r="G757" s="44">
        <v>5000450.0</v>
      </c>
      <c r="H757" s="9">
        <f t="shared" si="5"/>
        <v>1050094.5</v>
      </c>
      <c r="I757" s="49"/>
      <c r="J757" s="49"/>
      <c r="K757" s="10">
        <f t="shared" si="4"/>
        <v>6050544.5</v>
      </c>
      <c r="L757" s="47"/>
      <c r="M757" s="50"/>
    </row>
    <row r="758" ht="15.75" customHeight="1">
      <c r="A758" s="46">
        <v>45781.0</v>
      </c>
      <c r="B758" s="62" t="s">
        <v>826</v>
      </c>
      <c r="C758" s="62" t="s">
        <v>830</v>
      </c>
      <c r="D758" s="62" t="s">
        <v>831</v>
      </c>
      <c r="E758" s="62">
        <v>15915.0</v>
      </c>
      <c r="F758" s="48">
        <v>45772.0</v>
      </c>
      <c r="G758" s="44">
        <v>3321477.0</v>
      </c>
      <c r="H758" s="9">
        <f t="shared" si="5"/>
        <v>697510.17</v>
      </c>
      <c r="I758" s="49"/>
      <c r="J758" s="44">
        <v>99644.0</v>
      </c>
      <c r="K758" s="10">
        <f t="shared" si="4"/>
        <v>4118631.17</v>
      </c>
      <c r="L758" s="47"/>
      <c r="M758" s="50"/>
    </row>
    <row r="759" ht="15.75" customHeight="1">
      <c r="A759" s="46">
        <v>45781.0</v>
      </c>
      <c r="B759" s="62" t="s">
        <v>826</v>
      </c>
      <c r="C759" s="62" t="s">
        <v>832</v>
      </c>
      <c r="D759" s="62" t="s">
        <v>831</v>
      </c>
      <c r="E759" s="62">
        <v>15914.0</v>
      </c>
      <c r="F759" s="48">
        <v>45772.0</v>
      </c>
      <c r="G759" s="44">
        <v>7535842.0</v>
      </c>
      <c r="H759" s="9">
        <f t="shared" si="5"/>
        <v>1582526.82</v>
      </c>
      <c r="I759" s="49"/>
      <c r="J759" s="49"/>
      <c r="K759" s="10">
        <f t="shared" si="4"/>
        <v>9118368.82</v>
      </c>
      <c r="L759" s="47"/>
      <c r="M759" s="50"/>
    </row>
    <row r="760" ht="15.75" customHeight="1">
      <c r="A760" s="46">
        <v>45781.0</v>
      </c>
      <c r="B760" s="62" t="s">
        <v>826</v>
      </c>
      <c r="C760" s="62" t="s">
        <v>833</v>
      </c>
      <c r="D760" s="62" t="s">
        <v>831</v>
      </c>
      <c r="E760" s="62">
        <v>15913.0</v>
      </c>
      <c r="F760" s="48">
        <v>45772.0</v>
      </c>
      <c r="G760" s="44">
        <v>7046483.0</v>
      </c>
      <c r="H760" s="9">
        <f t="shared" si="5"/>
        <v>1479761.43</v>
      </c>
      <c r="I760" s="49"/>
      <c r="J760" s="49">
        <f>49325+352324</f>
        <v>401649</v>
      </c>
      <c r="K760" s="10">
        <f t="shared" si="4"/>
        <v>8927893.43</v>
      </c>
      <c r="L760" s="47"/>
      <c r="M760" s="50"/>
    </row>
    <row r="761" ht="15.75" customHeight="1">
      <c r="A761" s="46">
        <v>45781.0</v>
      </c>
      <c r="B761" s="62" t="s">
        <v>826</v>
      </c>
      <c r="C761" s="62" t="s">
        <v>834</v>
      </c>
      <c r="D761" s="62" t="s">
        <v>831</v>
      </c>
      <c r="E761" s="62">
        <v>15912.0</v>
      </c>
      <c r="F761" s="48">
        <v>45772.0</v>
      </c>
      <c r="G761" s="44">
        <v>3318774.0</v>
      </c>
      <c r="H761" s="9">
        <f t="shared" si="5"/>
        <v>696942.54</v>
      </c>
      <c r="I761" s="49"/>
      <c r="J761" s="49">
        <f>132750+199126</f>
        <v>331876</v>
      </c>
      <c r="K761" s="10">
        <f t="shared" si="4"/>
        <v>4347592.54</v>
      </c>
      <c r="L761" s="47"/>
      <c r="M761" s="50"/>
    </row>
    <row r="762" ht="15.75" customHeight="1">
      <c r="A762" s="46">
        <v>45781.0</v>
      </c>
      <c r="B762" s="62" t="s">
        <v>835</v>
      </c>
      <c r="C762" s="62" t="s">
        <v>835</v>
      </c>
      <c r="D762" s="62" t="s">
        <v>836</v>
      </c>
      <c r="E762" s="62">
        <v>359.0</v>
      </c>
      <c r="F762" s="48">
        <v>45772.0</v>
      </c>
      <c r="G762" s="44">
        <v>3628101.0</v>
      </c>
      <c r="H762" s="9">
        <f t="shared" si="5"/>
        <v>761901.21</v>
      </c>
      <c r="I762" s="49"/>
      <c r="J762" s="49"/>
      <c r="K762" s="10">
        <f t="shared" si="4"/>
        <v>4390002.21</v>
      </c>
      <c r="L762" s="47"/>
      <c r="M762" s="50"/>
    </row>
    <row r="763" ht="15.75" customHeight="1">
      <c r="A763" s="46">
        <v>45781.0</v>
      </c>
      <c r="B763" s="62" t="s">
        <v>835</v>
      </c>
      <c r="C763" s="62" t="s">
        <v>835</v>
      </c>
      <c r="D763" s="62" t="s">
        <v>836</v>
      </c>
      <c r="E763" s="62">
        <v>358.0</v>
      </c>
      <c r="F763" s="48">
        <v>45772.0</v>
      </c>
      <c r="G763" s="44">
        <v>4006900.0</v>
      </c>
      <c r="H763" s="9">
        <f t="shared" si="5"/>
        <v>841449</v>
      </c>
      <c r="I763" s="49"/>
      <c r="J763" s="49"/>
      <c r="K763" s="10">
        <f t="shared" si="4"/>
        <v>4848349</v>
      </c>
      <c r="L763" s="47"/>
      <c r="M763" s="50"/>
    </row>
    <row r="764" ht="15.75" customHeight="1">
      <c r="A764" s="46">
        <v>45781.0</v>
      </c>
      <c r="B764" s="62" t="s">
        <v>835</v>
      </c>
      <c r="C764" s="62" t="s">
        <v>835</v>
      </c>
      <c r="D764" s="62" t="s">
        <v>836</v>
      </c>
      <c r="E764" s="62">
        <v>357.0</v>
      </c>
      <c r="F764" s="48">
        <v>45772.0</v>
      </c>
      <c r="G764" s="44">
        <v>4129635.0</v>
      </c>
      <c r="H764" s="9">
        <f t="shared" si="5"/>
        <v>867223.35</v>
      </c>
      <c r="I764" s="49"/>
      <c r="J764" s="49"/>
      <c r="K764" s="10">
        <f t="shared" si="4"/>
        <v>4996858.35</v>
      </c>
      <c r="L764" s="47"/>
      <c r="M764" s="50"/>
    </row>
    <row r="765" ht="15.75" customHeight="1">
      <c r="A765" s="46">
        <v>45781.0</v>
      </c>
      <c r="B765" s="62" t="s">
        <v>835</v>
      </c>
      <c r="C765" s="62" t="s">
        <v>835</v>
      </c>
      <c r="D765" s="62" t="s">
        <v>836</v>
      </c>
      <c r="E765" s="62">
        <v>356.0</v>
      </c>
      <c r="F765" s="48">
        <v>45772.0</v>
      </c>
      <c r="G765" s="44">
        <v>4349958.0</v>
      </c>
      <c r="H765" s="9">
        <f t="shared" si="5"/>
        <v>913491.18</v>
      </c>
      <c r="I765" s="49"/>
      <c r="J765" s="49"/>
      <c r="K765" s="10">
        <f t="shared" si="4"/>
        <v>5263449.18</v>
      </c>
      <c r="L765" s="47"/>
      <c r="M765" s="50"/>
    </row>
    <row r="766" ht="15.75" customHeight="1">
      <c r="A766" s="46">
        <v>45782.0</v>
      </c>
      <c r="B766" s="62" t="s">
        <v>837</v>
      </c>
      <c r="C766" s="62" t="s">
        <v>838</v>
      </c>
      <c r="D766" s="62" t="s">
        <v>787</v>
      </c>
      <c r="E766" s="62">
        <v>681.0</v>
      </c>
      <c r="F766" s="48">
        <v>45772.0</v>
      </c>
      <c r="G766" s="44">
        <v>1713838.0</v>
      </c>
      <c r="H766" s="9">
        <f t="shared" si="5"/>
        <v>359905.98</v>
      </c>
      <c r="I766" s="49"/>
      <c r="J766" s="49"/>
      <c r="K766" s="10">
        <f t="shared" si="4"/>
        <v>2073743.98</v>
      </c>
      <c r="L766" s="47"/>
      <c r="M766" s="50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51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51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51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51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51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5"/>
      <c r="C772" s="31" t="s">
        <v>665</v>
      </c>
      <c r="D772" s="35" t="s">
        <v>15</v>
      </c>
      <c r="E772" s="31" t="s">
        <v>844</v>
      </c>
      <c r="F772" s="51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5"/>
      <c r="C773" s="31" t="s">
        <v>665</v>
      </c>
      <c r="D773" s="35" t="s">
        <v>15</v>
      </c>
      <c r="E773" s="31" t="s">
        <v>845</v>
      </c>
      <c r="F773" s="51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5"/>
      <c r="C774" s="31" t="s">
        <v>491</v>
      </c>
      <c r="D774" s="32" t="s">
        <v>15</v>
      </c>
      <c r="E774" s="31" t="s">
        <v>846</v>
      </c>
      <c r="F774" s="51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5"/>
      <c r="C775" s="31" t="s">
        <v>491</v>
      </c>
      <c r="D775" s="32" t="s">
        <v>15</v>
      </c>
      <c r="E775" s="31" t="s">
        <v>847</v>
      </c>
      <c r="F775" s="51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5"/>
      <c r="C776" s="31" t="s">
        <v>635</v>
      </c>
      <c r="D776" s="32" t="s">
        <v>99</v>
      </c>
      <c r="E776" s="31" t="s">
        <v>848</v>
      </c>
      <c r="F776" s="51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5"/>
      <c r="C777" s="31" t="s">
        <v>635</v>
      </c>
      <c r="D777" s="32" t="s">
        <v>99</v>
      </c>
      <c r="E777" s="31" t="s">
        <v>849</v>
      </c>
      <c r="F777" s="51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5"/>
      <c r="C778" s="31" t="s">
        <v>635</v>
      </c>
      <c r="D778" s="32" t="s">
        <v>99</v>
      </c>
      <c r="E778" s="31" t="s">
        <v>850</v>
      </c>
      <c r="F778" s="51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5"/>
      <c r="C779" s="31" t="s">
        <v>332</v>
      </c>
      <c r="D779" s="32" t="s">
        <v>99</v>
      </c>
      <c r="E779" s="31" t="s">
        <v>851</v>
      </c>
      <c r="F779" s="51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5"/>
      <c r="C780" s="31" t="s">
        <v>332</v>
      </c>
      <c r="D780" s="32" t="s">
        <v>99</v>
      </c>
      <c r="E780" s="31" t="s">
        <v>852</v>
      </c>
      <c r="F780" s="51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5"/>
      <c r="C781" s="31" t="s">
        <v>332</v>
      </c>
      <c r="D781" s="32" t="s">
        <v>99</v>
      </c>
      <c r="E781" s="31" t="s">
        <v>853</v>
      </c>
      <c r="F781" s="51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5"/>
      <c r="C782" s="31" t="s">
        <v>332</v>
      </c>
      <c r="D782" s="32" t="s">
        <v>99</v>
      </c>
      <c r="E782" s="31" t="s">
        <v>854</v>
      </c>
      <c r="F782" s="51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5"/>
      <c r="C783" s="31" t="s">
        <v>332</v>
      </c>
      <c r="D783" s="32" t="s">
        <v>99</v>
      </c>
      <c r="E783" s="31" t="s">
        <v>855</v>
      </c>
      <c r="F783" s="51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5"/>
      <c r="C784" s="31" t="s">
        <v>332</v>
      </c>
      <c r="D784" s="32" t="s">
        <v>99</v>
      </c>
      <c r="E784" s="31" t="s">
        <v>856</v>
      </c>
      <c r="F784" s="51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5"/>
      <c r="C785" s="31" t="s">
        <v>332</v>
      </c>
      <c r="D785" s="32" t="s">
        <v>99</v>
      </c>
      <c r="E785" s="31" t="s">
        <v>857</v>
      </c>
      <c r="F785" s="51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5"/>
      <c r="C786" s="31" t="s">
        <v>491</v>
      </c>
      <c r="D786" s="32" t="s">
        <v>15</v>
      </c>
      <c r="E786" s="31" t="s">
        <v>858</v>
      </c>
      <c r="F786" s="51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5"/>
      <c r="C787" s="31" t="s">
        <v>491</v>
      </c>
      <c r="D787" s="32" t="s">
        <v>15</v>
      </c>
      <c r="E787" s="31" t="s">
        <v>859</v>
      </c>
      <c r="F787" s="51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5"/>
      <c r="C788" s="31" t="s">
        <v>491</v>
      </c>
      <c r="D788" s="32" t="s">
        <v>15</v>
      </c>
      <c r="E788" s="31" t="s">
        <v>860</v>
      </c>
      <c r="F788" s="51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5"/>
      <c r="C789" s="31" t="s">
        <v>506</v>
      </c>
      <c r="D789" s="32" t="s">
        <v>15</v>
      </c>
      <c r="E789" s="31" t="s">
        <v>861</v>
      </c>
      <c r="F789" s="51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5"/>
      <c r="C790" s="31" t="s">
        <v>506</v>
      </c>
      <c r="D790" s="32" t="s">
        <v>15</v>
      </c>
      <c r="E790" s="31" t="s">
        <v>862</v>
      </c>
      <c r="F790" s="51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5"/>
      <c r="C791" s="31" t="s">
        <v>506</v>
      </c>
      <c r="D791" s="32" t="s">
        <v>15</v>
      </c>
      <c r="E791" s="31" t="s">
        <v>863</v>
      </c>
      <c r="F791" s="51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5"/>
      <c r="C792" s="31" t="s">
        <v>864</v>
      </c>
      <c r="D792" s="32" t="s">
        <v>99</v>
      </c>
      <c r="E792" s="31" t="s">
        <v>865</v>
      </c>
      <c r="F792" s="51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5"/>
      <c r="C793" s="31" t="s">
        <v>864</v>
      </c>
      <c r="D793" s="32" t="s">
        <v>99</v>
      </c>
      <c r="E793" s="31" t="s">
        <v>866</v>
      </c>
      <c r="F793" s="51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5"/>
      <c r="C794" s="31" t="s">
        <v>864</v>
      </c>
      <c r="D794" s="32" t="s">
        <v>99</v>
      </c>
      <c r="E794" s="31" t="s">
        <v>867</v>
      </c>
      <c r="F794" s="51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5"/>
      <c r="C795" s="31" t="s">
        <v>506</v>
      </c>
      <c r="D795" s="32" t="s">
        <v>15</v>
      </c>
      <c r="E795" s="31" t="s">
        <v>868</v>
      </c>
      <c r="F795" s="51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5"/>
      <c r="C796" s="31" t="s">
        <v>410</v>
      </c>
      <c r="D796" s="32" t="s">
        <v>15</v>
      </c>
      <c r="E796" s="31" t="s">
        <v>869</v>
      </c>
      <c r="F796" s="51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5"/>
      <c r="C797" s="31" t="s">
        <v>546</v>
      </c>
      <c r="D797" s="32" t="s">
        <v>15</v>
      </c>
      <c r="E797" s="31" t="s">
        <v>870</v>
      </c>
      <c r="F797" s="51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5"/>
      <c r="C798" s="31" t="s">
        <v>546</v>
      </c>
      <c r="D798" s="32" t="s">
        <v>15</v>
      </c>
      <c r="E798" s="31" t="s">
        <v>871</v>
      </c>
      <c r="F798" s="51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5"/>
      <c r="C799" s="31" t="s">
        <v>332</v>
      </c>
      <c r="D799" s="32" t="s">
        <v>15</v>
      </c>
      <c r="E799" s="31" t="s">
        <v>872</v>
      </c>
      <c r="F799" s="51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8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5"/>
      <c r="C801" s="31" t="s">
        <v>247</v>
      </c>
      <c r="D801" s="32" t="s">
        <v>99</v>
      </c>
      <c r="E801" s="31" t="s">
        <v>874</v>
      </c>
      <c r="F801" s="51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5"/>
      <c r="C802" s="31" t="s">
        <v>247</v>
      </c>
      <c r="D802" s="32" t="s">
        <v>99</v>
      </c>
      <c r="E802" s="31" t="s">
        <v>875</v>
      </c>
      <c r="F802" s="51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5"/>
      <c r="C803" s="31" t="s">
        <v>247</v>
      </c>
      <c r="D803" s="32" t="s">
        <v>99</v>
      </c>
      <c r="E803" s="31" t="s">
        <v>876</v>
      </c>
      <c r="F803" s="51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5"/>
      <c r="C804" s="31" t="s">
        <v>332</v>
      </c>
      <c r="D804" s="32" t="s">
        <v>15</v>
      </c>
      <c r="E804" s="31" t="s">
        <v>877</v>
      </c>
      <c r="F804" s="51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5"/>
      <c r="C805" s="31" t="s">
        <v>332</v>
      </c>
      <c r="D805" s="32" t="s">
        <v>15</v>
      </c>
      <c r="E805" s="31" t="s">
        <v>878</v>
      </c>
      <c r="F805" s="51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5"/>
      <c r="C806" s="31" t="s">
        <v>332</v>
      </c>
      <c r="D806" s="32" t="s">
        <v>15</v>
      </c>
      <c r="E806" s="31" t="s">
        <v>879</v>
      </c>
      <c r="F806" s="51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5"/>
      <c r="C807" s="31" t="s">
        <v>332</v>
      </c>
      <c r="D807" s="32" t="s">
        <v>15</v>
      </c>
      <c r="E807" s="31" t="s">
        <v>880</v>
      </c>
      <c r="F807" s="51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5"/>
      <c r="C808" s="31" t="s">
        <v>64</v>
      </c>
      <c r="D808" s="32" t="s">
        <v>99</v>
      </c>
      <c r="E808" s="31" t="s">
        <v>881</v>
      </c>
      <c r="F808" s="51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5"/>
      <c r="C809" s="31" t="s">
        <v>64</v>
      </c>
      <c r="D809" s="32" t="s">
        <v>99</v>
      </c>
      <c r="E809" s="31" t="s">
        <v>882</v>
      </c>
      <c r="F809" s="51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5"/>
      <c r="C810" s="31" t="s">
        <v>429</v>
      </c>
      <c r="D810" s="32" t="s">
        <v>99</v>
      </c>
      <c r="E810" s="31" t="s">
        <v>883</v>
      </c>
      <c r="F810" s="51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5"/>
      <c r="C811" s="31" t="s">
        <v>332</v>
      </c>
      <c r="D811" s="32" t="s">
        <v>15</v>
      </c>
      <c r="E811" s="31" t="s">
        <v>884</v>
      </c>
      <c r="F811" s="51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46">
        <v>45785.0</v>
      </c>
      <c r="B812" s="60"/>
      <c r="C812" s="61" t="s">
        <v>885</v>
      </c>
      <c r="D812" s="61" t="s">
        <v>886</v>
      </c>
      <c r="E812" s="62" t="s">
        <v>887</v>
      </c>
      <c r="F812" s="48">
        <v>45802.0</v>
      </c>
      <c r="G812" s="121">
        <v>1.694127887E7</v>
      </c>
      <c r="H812" s="9">
        <f t="shared" si="5"/>
        <v>3557668.563</v>
      </c>
      <c r="I812" s="49"/>
      <c r="J812" s="49"/>
      <c r="K812" s="10">
        <f t="shared" si="4"/>
        <v>20498947.43</v>
      </c>
      <c r="L812" s="47"/>
      <c r="M812" s="50"/>
    </row>
    <row r="813" ht="15.75" customHeight="1">
      <c r="A813" s="46">
        <v>45785.0</v>
      </c>
      <c r="B813" s="60"/>
      <c r="C813" s="61" t="s">
        <v>885</v>
      </c>
      <c r="D813" s="61" t="s">
        <v>886</v>
      </c>
      <c r="E813" s="62" t="s">
        <v>888</v>
      </c>
      <c r="F813" s="48">
        <v>45802.0</v>
      </c>
      <c r="G813" s="121">
        <v>1.689034655E7</v>
      </c>
      <c r="H813" s="9">
        <f t="shared" si="5"/>
        <v>3546972.776</v>
      </c>
      <c r="I813" s="49"/>
      <c r="J813" s="49"/>
      <c r="K813" s="10">
        <f t="shared" si="4"/>
        <v>20437319.33</v>
      </c>
      <c r="L813" s="47"/>
      <c r="M813" s="50"/>
    </row>
    <row r="814" ht="15.75" customHeight="1">
      <c r="A814" s="46">
        <v>45785.0</v>
      </c>
      <c r="B814" s="60"/>
      <c r="C814" s="61" t="s">
        <v>885</v>
      </c>
      <c r="D814" s="61" t="s">
        <v>886</v>
      </c>
      <c r="E814" s="62" t="s">
        <v>889</v>
      </c>
      <c r="F814" s="48">
        <v>45802.0</v>
      </c>
      <c r="G814" s="121">
        <v>1.69336108E7</v>
      </c>
      <c r="H814" s="9">
        <f t="shared" si="5"/>
        <v>3556058.268</v>
      </c>
      <c r="I814" s="49"/>
      <c r="J814" s="49"/>
      <c r="K814" s="10">
        <f t="shared" si="4"/>
        <v>20489669.07</v>
      </c>
      <c r="L814" s="47"/>
      <c r="M814" s="50"/>
    </row>
    <row r="815" ht="15.75" customHeight="1">
      <c r="A815" s="39">
        <v>45786.0</v>
      </c>
      <c r="B815" s="55"/>
      <c r="C815" s="31" t="s">
        <v>890</v>
      </c>
      <c r="D815" s="32" t="s">
        <v>99</v>
      </c>
      <c r="E815" s="31" t="s">
        <v>891</v>
      </c>
      <c r="F815" s="51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5"/>
      <c r="C816" s="31" t="s">
        <v>211</v>
      </c>
      <c r="D816" s="32" t="s">
        <v>15</v>
      </c>
      <c r="E816" s="31" t="s">
        <v>892</v>
      </c>
      <c r="F816" s="51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5"/>
      <c r="C817" s="31" t="s">
        <v>893</v>
      </c>
      <c r="D817" s="32" t="s">
        <v>15</v>
      </c>
      <c r="E817" s="31" t="s">
        <v>894</v>
      </c>
      <c r="F817" s="51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46">
        <v>45786.0</v>
      </c>
      <c r="B818" s="60"/>
      <c r="C818" s="61" t="s">
        <v>71</v>
      </c>
      <c r="D818" s="61" t="s">
        <v>886</v>
      </c>
      <c r="E818" s="62" t="s">
        <v>895</v>
      </c>
      <c r="F818" s="48">
        <v>45802.0</v>
      </c>
      <c r="G818" s="121">
        <v>4530000.0</v>
      </c>
      <c r="H818" s="9">
        <f t="shared" si="5"/>
        <v>951300</v>
      </c>
      <c r="I818" s="49"/>
      <c r="J818" s="49"/>
      <c r="K818" s="10">
        <f t="shared" si="4"/>
        <v>5481300</v>
      </c>
      <c r="L818" s="47"/>
      <c r="M818" s="50"/>
    </row>
    <row r="819" ht="15.75" customHeight="1">
      <c r="A819" s="46">
        <v>45786.0</v>
      </c>
      <c r="B819" s="60"/>
      <c r="C819" s="61" t="s">
        <v>71</v>
      </c>
      <c r="D819" s="61" t="s">
        <v>886</v>
      </c>
      <c r="E819" s="62" t="s">
        <v>896</v>
      </c>
      <c r="F819" s="48">
        <v>45802.0</v>
      </c>
      <c r="G819" s="121">
        <v>4485000.0</v>
      </c>
      <c r="H819" s="9">
        <f t="shared" si="5"/>
        <v>941850</v>
      </c>
      <c r="I819" s="49"/>
      <c r="J819" s="49"/>
      <c r="K819" s="10">
        <f t="shared" si="4"/>
        <v>5426850</v>
      </c>
      <c r="L819" s="47"/>
      <c r="M819" s="50"/>
    </row>
    <row r="820" ht="15.75" customHeight="1">
      <c r="A820" s="46">
        <v>45786.0</v>
      </c>
      <c r="B820" s="60"/>
      <c r="C820" s="61" t="s">
        <v>71</v>
      </c>
      <c r="D820" s="61" t="s">
        <v>886</v>
      </c>
      <c r="E820" s="62" t="s">
        <v>897</v>
      </c>
      <c r="F820" s="48">
        <v>45802.0</v>
      </c>
      <c r="G820" s="121">
        <v>4545000.0</v>
      </c>
      <c r="H820" s="9">
        <f t="shared" si="5"/>
        <v>954450</v>
      </c>
      <c r="I820" s="49"/>
      <c r="J820" s="49"/>
      <c r="K820" s="10">
        <f t="shared" si="4"/>
        <v>5499450</v>
      </c>
      <c r="L820" s="47"/>
      <c r="M820" s="50"/>
    </row>
    <row r="821" ht="15.75" customHeight="1">
      <c r="A821" s="46">
        <v>45786.0</v>
      </c>
      <c r="B821" s="60"/>
      <c r="C821" s="61" t="s">
        <v>71</v>
      </c>
      <c r="D821" s="61" t="s">
        <v>886</v>
      </c>
      <c r="E821" s="62" t="s">
        <v>898</v>
      </c>
      <c r="F821" s="48">
        <v>45802.0</v>
      </c>
      <c r="G821" s="121">
        <v>4395000.0</v>
      </c>
      <c r="H821" s="9">
        <f t="shared" si="5"/>
        <v>922950</v>
      </c>
      <c r="I821" s="49"/>
      <c r="J821" s="49"/>
      <c r="K821" s="10">
        <f t="shared" si="4"/>
        <v>5317950</v>
      </c>
      <c r="L821" s="47"/>
      <c r="M821" s="50"/>
    </row>
    <row r="822" ht="15.75" customHeight="1">
      <c r="A822" s="46">
        <v>45786.0</v>
      </c>
      <c r="B822" s="60"/>
      <c r="C822" s="61" t="s">
        <v>71</v>
      </c>
      <c r="D822" s="61" t="s">
        <v>886</v>
      </c>
      <c r="E822" s="62" t="s">
        <v>899</v>
      </c>
      <c r="F822" s="48">
        <v>45802.0</v>
      </c>
      <c r="G822" s="121">
        <v>4650000.0</v>
      </c>
      <c r="H822" s="9">
        <f t="shared" si="5"/>
        <v>976500</v>
      </c>
      <c r="I822" s="49"/>
      <c r="J822" s="49"/>
      <c r="K822" s="10">
        <f t="shared" si="4"/>
        <v>5626500</v>
      </c>
      <c r="L822" s="47"/>
      <c r="M822" s="50"/>
    </row>
    <row r="823" ht="15.75" customHeight="1">
      <c r="A823" s="46">
        <v>45786.0</v>
      </c>
      <c r="B823" s="60"/>
      <c r="C823" s="61" t="s">
        <v>71</v>
      </c>
      <c r="D823" s="61" t="s">
        <v>886</v>
      </c>
      <c r="E823" s="62" t="s">
        <v>900</v>
      </c>
      <c r="F823" s="48">
        <v>45802.0</v>
      </c>
      <c r="G823" s="121">
        <v>5040000.0</v>
      </c>
      <c r="H823" s="9">
        <f t="shared" si="5"/>
        <v>1058400</v>
      </c>
      <c r="I823" s="49"/>
      <c r="J823" s="49"/>
      <c r="K823" s="10">
        <f t="shared" si="4"/>
        <v>6098400</v>
      </c>
      <c r="L823" s="47"/>
      <c r="M823" s="50"/>
    </row>
    <row r="824" ht="15.75" customHeight="1">
      <c r="A824" s="46">
        <v>45786.0</v>
      </c>
      <c r="B824" s="60"/>
      <c r="C824" s="61" t="s">
        <v>71</v>
      </c>
      <c r="D824" s="61" t="s">
        <v>886</v>
      </c>
      <c r="E824" s="62" t="s">
        <v>901</v>
      </c>
      <c r="F824" s="48">
        <v>45802.0</v>
      </c>
      <c r="G824" s="121">
        <v>6060000.0</v>
      </c>
      <c r="H824" s="9">
        <f t="shared" si="5"/>
        <v>1272600</v>
      </c>
      <c r="I824" s="49"/>
      <c r="J824" s="49"/>
      <c r="K824" s="10">
        <f t="shared" si="4"/>
        <v>7332600</v>
      </c>
      <c r="L824" s="47"/>
      <c r="M824" s="50"/>
    </row>
    <row r="825" ht="15.75" customHeight="1">
      <c r="A825" s="46">
        <v>45786.0</v>
      </c>
      <c r="B825" s="60"/>
      <c r="C825" s="61" t="s">
        <v>71</v>
      </c>
      <c r="D825" s="61" t="s">
        <v>886</v>
      </c>
      <c r="E825" s="62" t="s">
        <v>902</v>
      </c>
      <c r="F825" s="48">
        <v>45802.0</v>
      </c>
      <c r="G825" s="44">
        <v>-6060000.0</v>
      </c>
      <c r="H825" s="9">
        <f t="shared" si="5"/>
        <v>-1272600</v>
      </c>
      <c r="I825" s="49"/>
      <c r="J825" s="49"/>
      <c r="K825" s="10">
        <f t="shared" si="4"/>
        <v>-7332600</v>
      </c>
      <c r="L825" s="47"/>
      <c r="M825" s="50"/>
    </row>
    <row r="826" ht="15.75" customHeight="1">
      <c r="A826" s="46">
        <v>45786.0</v>
      </c>
      <c r="B826" s="60"/>
      <c r="C826" s="61" t="s">
        <v>71</v>
      </c>
      <c r="D826" s="61" t="s">
        <v>886</v>
      </c>
      <c r="E826" s="62" t="s">
        <v>903</v>
      </c>
      <c r="F826" s="48">
        <v>45802.0</v>
      </c>
      <c r="G826" s="121">
        <v>4530000.0</v>
      </c>
      <c r="H826" s="9">
        <f t="shared" si="5"/>
        <v>951300</v>
      </c>
      <c r="I826" s="49"/>
      <c r="J826" s="49"/>
      <c r="K826" s="10">
        <f t="shared" si="4"/>
        <v>5481300</v>
      </c>
      <c r="L826" s="47"/>
      <c r="M826" s="50"/>
    </row>
    <row r="827" ht="15.75" customHeight="1">
      <c r="A827" s="46">
        <v>45786.0</v>
      </c>
      <c r="B827" s="60"/>
      <c r="C827" s="61" t="s">
        <v>71</v>
      </c>
      <c r="D827" s="61" t="s">
        <v>886</v>
      </c>
      <c r="E827" s="62" t="s">
        <v>904</v>
      </c>
      <c r="F827" s="48">
        <v>45802.0</v>
      </c>
      <c r="G827" s="121">
        <v>4813247.56</v>
      </c>
      <c r="H827" s="9">
        <f t="shared" si="5"/>
        <v>1010781.988</v>
      </c>
      <c r="I827" s="49"/>
      <c r="J827" s="49"/>
      <c r="K827" s="10">
        <f t="shared" si="4"/>
        <v>5824029.548</v>
      </c>
      <c r="L827" s="47"/>
      <c r="M827" s="50"/>
    </row>
    <row r="828" ht="15.75" customHeight="1">
      <c r="A828" s="46">
        <v>45786.0</v>
      </c>
      <c r="B828" s="60"/>
      <c r="C828" s="61" t="s">
        <v>71</v>
      </c>
      <c r="D828" s="61" t="s">
        <v>886</v>
      </c>
      <c r="E828" s="62" t="s">
        <v>905</v>
      </c>
      <c r="F828" s="48">
        <v>45802.0</v>
      </c>
      <c r="G828" s="121">
        <v>4793126.87</v>
      </c>
      <c r="H828" s="9">
        <f t="shared" si="5"/>
        <v>1006556.643</v>
      </c>
      <c r="I828" s="49"/>
      <c r="J828" s="49"/>
      <c r="K828" s="10">
        <f t="shared" si="4"/>
        <v>5799683.513</v>
      </c>
      <c r="L828" s="47"/>
      <c r="M828" s="50"/>
    </row>
    <row r="829" ht="15.75" customHeight="1">
      <c r="A829" s="46">
        <v>45786.0</v>
      </c>
      <c r="B829" s="60"/>
      <c r="C829" s="61" t="s">
        <v>71</v>
      </c>
      <c r="D829" s="61" t="s">
        <v>886</v>
      </c>
      <c r="E829" s="62" t="s">
        <v>906</v>
      </c>
      <c r="F829" s="48">
        <v>45802.0</v>
      </c>
      <c r="G829" s="121">
        <v>4837459.43</v>
      </c>
      <c r="H829" s="9">
        <f t="shared" si="5"/>
        <v>1015866.48</v>
      </c>
      <c r="I829" s="49"/>
      <c r="J829" s="49"/>
      <c r="K829" s="10">
        <f t="shared" si="4"/>
        <v>5853325.91</v>
      </c>
      <c r="L829" s="47"/>
      <c r="M829" s="50"/>
    </row>
    <row r="830" ht="15.75" customHeight="1">
      <c r="A830" s="46">
        <v>45786.0</v>
      </c>
      <c r="B830" s="60"/>
      <c r="C830" s="61" t="s">
        <v>71</v>
      </c>
      <c r="D830" s="61" t="s">
        <v>886</v>
      </c>
      <c r="E830" s="62" t="s">
        <v>907</v>
      </c>
      <c r="F830" s="48">
        <v>45802.0</v>
      </c>
      <c r="G830" s="121">
        <v>4729876.54</v>
      </c>
      <c r="H830" s="9">
        <f t="shared" si="5"/>
        <v>993274.0734</v>
      </c>
      <c r="I830" s="49"/>
      <c r="J830" s="49"/>
      <c r="K830" s="10">
        <f t="shared" si="4"/>
        <v>5723150.613</v>
      </c>
      <c r="L830" s="47"/>
      <c r="M830" s="50"/>
    </row>
    <row r="831" ht="15.75" customHeight="1">
      <c r="A831" s="46">
        <v>45786.0</v>
      </c>
      <c r="B831" s="60"/>
      <c r="C831" s="61" t="s">
        <v>71</v>
      </c>
      <c r="D831" s="61" t="s">
        <v>886</v>
      </c>
      <c r="E831" s="62" t="s">
        <v>908</v>
      </c>
      <c r="F831" s="48">
        <v>45802.0</v>
      </c>
      <c r="G831" s="121">
        <v>4948791.73</v>
      </c>
      <c r="H831" s="9">
        <f t="shared" si="5"/>
        <v>1039246.263</v>
      </c>
      <c r="I831" s="49"/>
      <c r="J831" s="49"/>
      <c r="K831" s="10">
        <f t="shared" si="4"/>
        <v>5988037.993</v>
      </c>
      <c r="L831" s="47"/>
      <c r="M831" s="50"/>
    </row>
    <row r="832" ht="15.75" customHeight="1">
      <c r="A832" s="46">
        <v>45786.0</v>
      </c>
      <c r="B832" s="60"/>
      <c r="C832" s="61" t="s">
        <v>71</v>
      </c>
      <c r="D832" s="61" t="s">
        <v>886</v>
      </c>
      <c r="E832" s="62" t="s">
        <v>909</v>
      </c>
      <c r="F832" s="48">
        <v>45802.0</v>
      </c>
      <c r="G832" s="121">
        <v>4824315.78</v>
      </c>
      <c r="H832" s="9">
        <f t="shared" si="5"/>
        <v>1013106.314</v>
      </c>
      <c r="I832" s="49"/>
      <c r="J832" s="49"/>
      <c r="K832" s="10">
        <f t="shared" si="4"/>
        <v>5837422.094</v>
      </c>
      <c r="L832" s="47"/>
      <c r="M832" s="50"/>
    </row>
    <row r="833" ht="15.75" customHeight="1">
      <c r="A833" s="46">
        <v>45786.0</v>
      </c>
      <c r="B833" s="60"/>
      <c r="C833" s="61" t="s">
        <v>71</v>
      </c>
      <c r="D833" s="61" t="s">
        <v>886</v>
      </c>
      <c r="E833" s="62" t="s">
        <v>910</v>
      </c>
      <c r="F833" s="48">
        <v>45802.0</v>
      </c>
      <c r="G833" s="121">
        <v>4754682.09</v>
      </c>
      <c r="H833" s="9">
        <f t="shared" si="5"/>
        <v>998483.2389</v>
      </c>
      <c r="I833" s="49"/>
      <c r="J833" s="49"/>
      <c r="K833" s="10">
        <f t="shared" si="4"/>
        <v>5753165.329</v>
      </c>
      <c r="L833" s="47"/>
      <c r="M833" s="50"/>
    </row>
    <row r="834" ht="15.75" customHeight="1">
      <c r="A834" s="46">
        <v>45786.0</v>
      </c>
      <c r="B834" s="60"/>
      <c r="C834" s="61" t="s">
        <v>71</v>
      </c>
      <c r="D834" s="61" t="s">
        <v>886</v>
      </c>
      <c r="E834" s="62" t="s">
        <v>911</v>
      </c>
      <c r="F834" s="48">
        <v>45802.0</v>
      </c>
      <c r="G834" s="44">
        <v>-5040000.0</v>
      </c>
      <c r="H834" s="9">
        <f t="shared" si="5"/>
        <v>-1058400</v>
      </c>
      <c r="I834" s="49"/>
      <c r="J834" s="49"/>
      <c r="K834" s="10">
        <f t="shared" si="4"/>
        <v>-6098400</v>
      </c>
      <c r="L834" s="47"/>
      <c r="M834" s="50"/>
    </row>
    <row r="835" ht="15.75" customHeight="1">
      <c r="A835" s="46">
        <v>45786.0</v>
      </c>
      <c r="B835" s="60"/>
      <c r="C835" s="61" t="s">
        <v>71</v>
      </c>
      <c r="D835" s="61" t="s">
        <v>886</v>
      </c>
      <c r="E835" s="62" t="s">
        <v>912</v>
      </c>
      <c r="F835" s="48">
        <v>45802.0</v>
      </c>
      <c r="G835" s="44">
        <v>-4650000.0</v>
      </c>
      <c r="H835" s="9">
        <f t="shared" si="5"/>
        <v>-976500</v>
      </c>
      <c r="I835" s="49"/>
      <c r="J835" s="49"/>
      <c r="K835" s="10">
        <f t="shared" si="4"/>
        <v>-5626500</v>
      </c>
      <c r="L835" s="47"/>
      <c r="M835" s="50"/>
    </row>
    <row r="836" ht="15.75" customHeight="1">
      <c r="A836" s="46">
        <v>45786.0</v>
      </c>
      <c r="B836" s="60"/>
      <c r="C836" s="61" t="s">
        <v>71</v>
      </c>
      <c r="D836" s="61" t="s">
        <v>886</v>
      </c>
      <c r="E836" s="62" t="s">
        <v>913</v>
      </c>
      <c r="F836" s="48">
        <v>45802.0</v>
      </c>
      <c r="G836" s="44">
        <v>-4395000.0</v>
      </c>
      <c r="H836" s="9">
        <f t="shared" si="5"/>
        <v>-922950</v>
      </c>
      <c r="I836" s="49"/>
      <c r="J836" s="49"/>
      <c r="K836" s="10">
        <f t="shared" si="4"/>
        <v>-5317950</v>
      </c>
      <c r="L836" s="47"/>
      <c r="M836" s="50"/>
    </row>
    <row r="837" ht="15.75" customHeight="1">
      <c r="A837" s="46">
        <v>45786.0</v>
      </c>
      <c r="B837" s="60"/>
      <c r="C837" s="61" t="s">
        <v>71</v>
      </c>
      <c r="D837" s="61" t="s">
        <v>886</v>
      </c>
      <c r="E837" s="62" t="s">
        <v>914</v>
      </c>
      <c r="F837" s="48">
        <v>45802.0</v>
      </c>
      <c r="G837" s="44">
        <v>-4545000.0</v>
      </c>
      <c r="H837" s="9">
        <f t="shared" si="5"/>
        <v>-954450</v>
      </c>
      <c r="I837" s="49"/>
      <c r="J837" s="49"/>
      <c r="K837" s="10">
        <f t="shared" si="4"/>
        <v>-5499450</v>
      </c>
      <c r="L837" s="47"/>
      <c r="M837" s="50"/>
    </row>
    <row r="838" ht="15.75" customHeight="1">
      <c r="A838" s="46">
        <v>45786.0</v>
      </c>
      <c r="B838" s="60"/>
      <c r="C838" s="61" t="s">
        <v>71</v>
      </c>
      <c r="D838" s="61" t="s">
        <v>886</v>
      </c>
      <c r="E838" s="62" t="s">
        <v>915</v>
      </c>
      <c r="F838" s="48">
        <v>45802.0</v>
      </c>
      <c r="G838" s="44">
        <v>-4485000.0</v>
      </c>
      <c r="H838" s="9">
        <f t="shared" si="5"/>
        <v>-941850</v>
      </c>
      <c r="I838" s="49"/>
      <c r="J838" s="49"/>
      <c r="K838" s="10">
        <f t="shared" si="4"/>
        <v>-5426850</v>
      </c>
      <c r="L838" s="47"/>
      <c r="M838" s="50"/>
    </row>
    <row r="839" ht="15.75" customHeight="1">
      <c r="A839" s="46">
        <v>45786.0</v>
      </c>
      <c r="B839" s="60"/>
      <c r="C839" s="61" t="s">
        <v>71</v>
      </c>
      <c r="D839" s="61" t="s">
        <v>886</v>
      </c>
      <c r="E839" s="62" t="s">
        <v>916</v>
      </c>
      <c r="F839" s="48">
        <v>45802.0</v>
      </c>
      <c r="G839" s="44">
        <v>-4530000.0</v>
      </c>
      <c r="H839" s="9">
        <f t="shared" si="5"/>
        <v>-951300</v>
      </c>
      <c r="I839" s="49"/>
      <c r="J839" s="49"/>
      <c r="K839" s="10">
        <f t="shared" si="4"/>
        <v>-5481300</v>
      </c>
      <c r="L839" s="47"/>
      <c r="M839" s="50"/>
    </row>
    <row r="840" ht="15.75" customHeight="1">
      <c r="A840" s="46">
        <v>45786.0</v>
      </c>
      <c r="B840" s="60"/>
      <c r="C840" s="61" t="s">
        <v>71</v>
      </c>
      <c r="D840" s="61" t="s">
        <v>886</v>
      </c>
      <c r="E840" s="62" t="s">
        <v>917</v>
      </c>
      <c r="F840" s="48">
        <v>45802.0</v>
      </c>
      <c r="G840" s="44">
        <v>-4530000.0</v>
      </c>
      <c r="H840" s="9">
        <f t="shared" si="5"/>
        <v>-951300</v>
      </c>
      <c r="I840" s="49"/>
      <c r="J840" s="49"/>
      <c r="K840" s="10">
        <f t="shared" si="4"/>
        <v>-5481300</v>
      </c>
      <c r="L840" s="47"/>
      <c r="M840" s="50"/>
    </row>
    <row r="841" ht="15.75" customHeight="1">
      <c r="A841" s="46">
        <v>45786.0</v>
      </c>
      <c r="B841" s="60"/>
      <c r="C841" s="61" t="s">
        <v>71</v>
      </c>
      <c r="D841" s="62" t="s">
        <v>774</v>
      </c>
      <c r="E841" s="130">
        <v>1.000375773E9</v>
      </c>
      <c r="F841" s="48">
        <v>45802.0</v>
      </c>
      <c r="G841" s="131">
        <v>8240420.0</v>
      </c>
      <c r="H841" s="9">
        <f t="shared" si="5"/>
        <v>1730488.2</v>
      </c>
      <c r="I841" s="49"/>
      <c r="J841" s="49"/>
      <c r="K841" s="10">
        <f t="shared" si="4"/>
        <v>9970908.2</v>
      </c>
      <c r="L841" s="47"/>
      <c r="M841" s="50"/>
    </row>
    <row r="842" ht="15.75" customHeight="1">
      <c r="A842" s="46">
        <v>45786.0</v>
      </c>
      <c r="B842" s="60"/>
      <c r="C842" s="61" t="s">
        <v>71</v>
      </c>
      <c r="D842" s="62" t="s">
        <v>72</v>
      </c>
      <c r="E842" s="130">
        <v>1.000017967E9</v>
      </c>
      <c r="F842" s="48">
        <v>45802.0</v>
      </c>
      <c r="G842" s="131">
        <v>8341960.0</v>
      </c>
      <c r="H842" s="9">
        <f t="shared" si="5"/>
        <v>1751811.6</v>
      </c>
      <c r="I842" s="49"/>
      <c r="J842" s="49"/>
      <c r="K842" s="10">
        <f t="shared" si="4"/>
        <v>10093771.6</v>
      </c>
      <c r="L842" s="47"/>
      <c r="M842" s="50"/>
    </row>
    <row r="843" ht="15.75" customHeight="1">
      <c r="A843" s="46">
        <v>45786.0</v>
      </c>
      <c r="B843" s="60"/>
      <c r="C843" s="61" t="s">
        <v>71</v>
      </c>
      <c r="D843" s="62" t="s">
        <v>72</v>
      </c>
      <c r="E843" s="130">
        <v>1.000017966E9</v>
      </c>
      <c r="F843" s="48">
        <v>45802.0</v>
      </c>
      <c r="G843" s="131">
        <v>7682530.0</v>
      </c>
      <c r="H843" s="9">
        <f t="shared" si="5"/>
        <v>1613331.3</v>
      </c>
      <c r="I843" s="49"/>
      <c r="J843" s="49"/>
      <c r="K843" s="10">
        <f t="shared" si="4"/>
        <v>9295861.3</v>
      </c>
      <c r="L843" s="47"/>
      <c r="M843" s="50"/>
    </row>
    <row r="844" ht="15.75" customHeight="1">
      <c r="A844" s="46">
        <v>45786.0</v>
      </c>
      <c r="B844" s="60"/>
      <c r="C844" s="61" t="s">
        <v>71</v>
      </c>
      <c r="D844" s="62" t="s">
        <v>774</v>
      </c>
      <c r="E844" s="130">
        <v>1.000375774E9</v>
      </c>
      <c r="F844" s="48">
        <v>45802.0</v>
      </c>
      <c r="G844" s="44">
        <v>7909680.0</v>
      </c>
      <c r="H844" s="9">
        <f t="shared" si="5"/>
        <v>1661032.8</v>
      </c>
      <c r="I844" s="49"/>
      <c r="J844" s="49"/>
      <c r="K844" s="10">
        <f t="shared" si="4"/>
        <v>9570712.8</v>
      </c>
      <c r="L844" s="47"/>
      <c r="M844" s="50"/>
    </row>
    <row r="845" ht="15.75" customHeight="1">
      <c r="A845" s="39">
        <v>45789.0</v>
      </c>
      <c r="B845" s="55"/>
      <c r="C845" s="31" t="s">
        <v>918</v>
      </c>
      <c r="D845" s="32" t="s">
        <v>99</v>
      </c>
      <c r="E845" s="31" t="s">
        <v>919</v>
      </c>
      <c r="F845" s="51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5"/>
      <c r="C846" s="31" t="s">
        <v>864</v>
      </c>
      <c r="D846" s="32" t="s">
        <v>15</v>
      </c>
      <c r="E846" s="31" t="s">
        <v>920</v>
      </c>
      <c r="F846" s="51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5"/>
      <c r="C847" s="31" t="s">
        <v>247</v>
      </c>
      <c r="D847" s="32" t="s">
        <v>15</v>
      </c>
      <c r="E847" s="31" t="s">
        <v>921</v>
      </c>
      <c r="F847" s="51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5"/>
      <c r="C848" s="31" t="s">
        <v>74</v>
      </c>
      <c r="D848" s="32" t="s">
        <v>99</v>
      </c>
      <c r="E848" s="31" t="s">
        <v>922</v>
      </c>
      <c r="F848" s="51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5"/>
      <c r="C849" s="31" t="s">
        <v>74</v>
      </c>
      <c r="D849" s="32" t="s">
        <v>99</v>
      </c>
      <c r="E849" s="31" t="s">
        <v>923</v>
      </c>
      <c r="F849" s="51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5"/>
      <c r="C850" s="31" t="s">
        <v>74</v>
      </c>
      <c r="D850" s="32" t="s">
        <v>99</v>
      </c>
      <c r="E850" s="31" t="s">
        <v>924</v>
      </c>
      <c r="F850" s="51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5"/>
      <c r="C851" s="31" t="s">
        <v>247</v>
      </c>
      <c r="D851" s="32" t="s">
        <v>15</v>
      </c>
      <c r="E851" s="31" t="s">
        <v>925</v>
      </c>
      <c r="F851" s="51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8">
        <v>1.520298082E7</v>
      </c>
      <c r="H852" s="14">
        <f t="shared" si="5"/>
        <v>3192625.972</v>
      </c>
      <c r="I852" s="55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5"/>
      <c r="C853" s="31" t="s">
        <v>379</v>
      </c>
      <c r="D853" s="32" t="s">
        <v>15</v>
      </c>
      <c r="E853" s="31" t="s">
        <v>927</v>
      </c>
      <c r="F853" s="51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5"/>
      <c r="C854" s="31" t="s">
        <v>379</v>
      </c>
      <c r="D854" s="32" t="s">
        <v>15</v>
      </c>
      <c r="E854" s="31" t="s">
        <v>928</v>
      </c>
      <c r="F854" s="51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5"/>
      <c r="C855" s="31" t="s">
        <v>417</v>
      </c>
      <c r="D855" s="32" t="s">
        <v>99</v>
      </c>
      <c r="E855" s="31" t="s">
        <v>929</v>
      </c>
      <c r="F855" s="51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5"/>
      <c r="C856" s="31" t="s">
        <v>417</v>
      </c>
      <c r="D856" s="32" t="s">
        <v>99</v>
      </c>
      <c r="E856" s="31" t="s">
        <v>930</v>
      </c>
      <c r="F856" s="51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46">
        <v>45793.0</v>
      </c>
      <c r="B857" s="60"/>
      <c r="C857" s="61" t="s">
        <v>931</v>
      </c>
      <c r="D857" s="62" t="s">
        <v>99</v>
      </c>
      <c r="E857" s="61" t="s">
        <v>932</v>
      </c>
      <c r="F857" s="48">
        <v>45802.0</v>
      </c>
      <c r="G857" s="44">
        <v>6265136.13</v>
      </c>
      <c r="H857" s="9">
        <f t="shared" si="5"/>
        <v>1315678.587</v>
      </c>
      <c r="I857" s="44">
        <v>187954.08</v>
      </c>
      <c r="J857" s="49"/>
      <c r="K857" s="10">
        <f t="shared" si="4"/>
        <v>7768768.797</v>
      </c>
      <c r="L857" s="47"/>
      <c r="M857" s="50"/>
    </row>
    <row r="858" ht="15.75" customHeight="1">
      <c r="A858" s="46">
        <v>45793.0</v>
      </c>
      <c r="B858" s="60"/>
      <c r="C858" s="61" t="s">
        <v>931</v>
      </c>
      <c r="D858" s="62" t="s">
        <v>99</v>
      </c>
      <c r="E858" s="61" t="s">
        <v>933</v>
      </c>
      <c r="F858" s="48">
        <v>45802.0</v>
      </c>
      <c r="G858" s="44">
        <v>5621645.08</v>
      </c>
      <c r="H858" s="9">
        <f t="shared" si="5"/>
        <v>1180545.467</v>
      </c>
      <c r="I858" s="44">
        <v>168649.35</v>
      </c>
      <c r="J858" s="49"/>
      <c r="K858" s="10">
        <f t="shared" si="4"/>
        <v>6970839.897</v>
      </c>
      <c r="L858" s="47"/>
      <c r="M858" s="50"/>
    </row>
    <row r="859" ht="15.75" customHeight="1">
      <c r="A859" s="46">
        <v>45793.0</v>
      </c>
      <c r="B859" s="60"/>
      <c r="C859" s="61" t="s">
        <v>931</v>
      </c>
      <c r="D859" s="62" t="s">
        <v>99</v>
      </c>
      <c r="E859" s="61" t="s">
        <v>934</v>
      </c>
      <c r="F859" s="48">
        <v>45802.0</v>
      </c>
      <c r="G859" s="44">
        <v>4854221.65</v>
      </c>
      <c r="H859" s="9">
        <f t="shared" si="5"/>
        <v>1019386.547</v>
      </c>
      <c r="I859" s="44">
        <v>145626.65</v>
      </c>
      <c r="J859" s="49"/>
      <c r="K859" s="10">
        <f t="shared" si="4"/>
        <v>6019234.847</v>
      </c>
      <c r="L859" s="47"/>
      <c r="M859" s="50"/>
    </row>
    <row r="860" ht="15.75" customHeight="1">
      <c r="A860" s="46">
        <v>45793.0</v>
      </c>
      <c r="B860" s="60"/>
      <c r="C860" s="61" t="s">
        <v>931</v>
      </c>
      <c r="D860" s="62" t="s">
        <v>99</v>
      </c>
      <c r="E860" s="61" t="s">
        <v>935</v>
      </c>
      <c r="F860" s="48">
        <v>45802.0</v>
      </c>
      <c r="G860" s="44">
        <v>3344196.26</v>
      </c>
      <c r="H860" s="9">
        <f t="shared" si="5"/>
        <v>702281.2146</v>
      </c>
      <c r="I860" s="44">
        <v>100325.89</v>
      </c>
      <c r="J860" s="49"/>
      <c r="K860" s="10">
        <f t="shared" si="4"/>
        <v>4146803.365</v>
      </c>
      <c r="L860" s="47"/>
      <c r="M860" s="50"/>
    </row>
    <row r="861" ht="15.75" customHeight="1">
      <c r="A861" s="39">
        <v>45793.0</v>
      </c>
      <c r="B861" s="55"/>
      <c r="C861" s="31" t="s">
        <v>561</v>
      </c>
      <c r="D861" s="32" t="s">
        <v>99</v>
      </c>
      <c r="E861" s="31" t="s">
        <v>936</v>
      </c>
      <c r="F861" s="51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5"/>
      <c r="C862" s="31" t="s">
        <v>561</v>
      </c>
      <c r="D862" s="32" t="s">
        <v>99</v>
      </c>
      <c r="E862" s="31" t="s">
        <v>937</v>
      </c>
      <c r="F862" s="51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5"/>
      <c r="C863" s="31" t="s">
        <v>497</v>
      </c>
      <c r="D863" s="32" t="s">
        <v>99</v>
      </c>
      <c r="E863" s="31" t="s">
        <v>938</v>
      </c>
      <c r="F863" s="51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5"/>
      <c r="C864" s="31" t="s">
        <v>410</v>
      </c>
      <c r="D864" s="32" t="s">
        <v>99</v>
      </c>
      <c r="E864" s="31" t="s">
        <v>939</v>
      </c>
      <c r="F864" s="51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5"/>
      <c r="C865" s="31" t="s">
        <v>74</v>
      </c>
      <c r="D865" s="32" t="s">
        <v>15</v>
      </c>
      <c r="E865" s="31" t="s">
        <v>940</v>
      </c>
      <c r="F865" s="51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51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51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51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5"/>
      <c r="C869" s="31" t="s">
        <v>417</v>
      </c>
      <c r="D869" s="32" t="s">
        <v>15</v>
      </c>
      <c r="E869" s="31" t="s">
        <v>944</v>
      </c>
      <c r="F869" s="51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5"/>
      <c r="C870" s="31" t="s">
        <v>417</v>
      </c>
      <c r="D870" s="32" t="s">
        <v>15</v>
      </c>
      <c r="E870" s="32" t="s">
        <v>945</v>
      </c>
      <c r="F870" s="51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5"/>
      <c r="C871" s="31" t="s">
        <v>417</v>
      </c>
      <c r="D871" s="32" t="s">
        <v>15</v>
      </c>
      <c r="E871" s="31" t="s">
        <v>946</v>
      </c>
      <c r="F871" s="51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5"/>
      <c r="C872" s="31" t="s">
        <v>140</v>
      </c>
      <c r="D872" s="32" t="s">
        <v>15</v>
      </c>
      <c r="E872" s="31" t="s">
        <v>947</v>
      </c>
      <c r="F872" s="51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5"/>
      <c r="C873" s="31" t="s">
        <v>948</v>
      </c>
      <c r="D873" s="32" t="s">
        <v>15</v>
      </c>
      <c r="E873" s="31" t="s">
        <v>949</v>
      </c>
      <c r="F873" s="51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5"/>
      <c r="C874" s="31" t="s">
        <v>74</v>
      </c>
      <c r="D874" s="32" t="s">
        <v>15</v>
      </c>
      <c r="E874" s="32" t="s">
        <v>621</v>
      </c>
      <c r="F874" s="51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5"/>
      <c r="C876" s="31" t="s">
        <v>718</v>
      </c>
      <c r="D876" s="32" t="s">
        <v>99</v>
      </c>
      <c r="E876" s="31" t="s">
        <v>951</v>
      </c>
      <c r="F876" s="51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5"/>
      <c r="C877" s="31" t="s">
        <v>718</v>
      </c>
      <c r="D877" s="32" t="s">
        <v>99</v>
      </c>
      <c r="E877" s="31" t="s">
        <v>952</v>
      </c>
      <c r="F877" s="51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51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51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5"/>
      <c r="C884" s="31" t="s">
        <v>171</v>
      </c>
      <c r="D884" s="32" t="s">
        <v>99</v>
      </c>
      <c r="E884" s="31" t="s">
        <v>958</v>
      </c>
      <c r="F884" s="51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5"/>
      <c r="C885" s="31" t="s">
        <v>443</v>
      </c>
      <c r="D885" s="32" t="s">
        <v>99</v>
      </c>
      <c r="E885" s="31" t="s">
        <v>959</v>
      </c>
      <c r="F885" s="51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46">
        <v>45798.0</v>
      </c>
      <c r="B887" s="60"/>
      <c r="C887" s="62" t="s">
        <v>71</v>
      </c>
      <c r="D887" s="62" t="s">
        <v>886</v>
      </c>
      <c r="E887" s="62" t="s">
        <v>961</v>
      </c>
      <c r="F887" s="48">
        <v>45802.0</v>
      </c>
      <c r="G887" s="121">
        <v>5372815.63</v>
      </c>
      <c r="H887" s="9">
        <f t="shared" si="5"/>
        <v>1128291.282</v>
      </c>
      <c r="I887" s="49"/>
      <c r="J887" s="49"/>
      <c r="K887" s="10">
        <f t="shared" si="4"/>
        <v>6501106.912</v>
      </c>
      <c r="L887" s="47"/>
      <c r="M887" s="50"/>
    </row>
    <row r="888" ht="15.75" customHeight="1">
      <c r="A888" s="46">
        <v>45798.0</v>
      </c>
      <c r="B888" s="60"/>
      <c r="C888" s="62" t="s">
        <v>71</v>
      </c>
      <c r="D888" s="62" t="s">
        <v>886</v>
      </c>
      <c r="E888" s="62" t="s">
        <v>962</v>
      </c>
      <c r="F888" s="48">
        <v>45802.0</v>
      </c>
      <c r="G888" s="121">
        <v>5426291.48</v>
      </c>
      <c r="H888" s="9">
        <f t="shared" si="5"/>
        <v>1139521.211</v>
      </c>
      <c r="I888" s="49"/>
      <c r="J888" s="49"/>
      <c r="K888" s="10">
        <f t="shared" si="4"/>
        <v>6565812.691</v>
      </c>
      <c r="L888" s="47"/>
      <c r="M888" s="50"/>
    </row>
    <row r="889" ht="15.75" customHeight="1">
      <c r="A889" s="46">
        <v>45798.0</v>
      </c>
      <c r="B889" s="60"/>
      <c r="C889" s="62" t="s">
        <v>71</v>
      </c>
      <c r="D889" s="62" t="s">
        <v>886</v>
      </c>
      <c r="E889" s="62" t="s">
        <v>963</v>
      </c>
      <c r="F889" s="48">
        <v>45802.0</v>
      </c>
      <c r="G889" s="121">
        <v>5380976.24</v>
      </c>
      <c r="H889" s="9">
        <f t="shared" si="5"/>
        <v>1130005.01</v>
      </c>
      <c r="I889" s="49"/>
      <c r="J889" s="49"/>
      <c r="K889" s="10">
        <f t="shared" si="4"/>
        <v>6510981.25</v>
      </c>
      <c r="L889" s="47"/>
      <c r="M889" s="50"/>
    </row>
    <row r="890" ht="15.75" customHeight="1">
      <c r="A890" s="46">
        <v>45798.0</v>
      </c>
      <c r="B890" s="60"/>
      <c r="C890" s="62" t="s">
        <v>71</v>
      </c>
      <c r="D890" s="62" t="s">
        <v>886</v>
      </c>
      <c r="E890" s="62" t="s">
        <v>964</v>
      </c>
      <c r="F890" s="48">
        <v>45802.0</v>
      </c>
      <c r="G890" s="121">
        <v>5535287.19</v>
      </c>
      <c r="H890" s="9">
        <f t="shared" si="5"/>
        <v>1162410.31</v>
      </c>
      <c r="I890" s="49"/>
      <c r="J890" s="49"/>
      <c r="K890" s="10">
        <f t="shared" si="4"/>
        <v>6697697.5</v>
      </c>
      <c r="L890" s="47"/>
      <c r="M890" s="50"/>
    </row>
    <row r="891" ht="15.75" customHeight="1">
      <c r="A891" s="46">
        <v>45798.0</v>
      </c>
      <c r="B891" s="60"/>
      <c r="C891" s="62" t="s">
        <v>71</v>
      </c>
      <c r="D891" s="62" t="s">
        <v>886</v>
      </c>
      <c r="E891" s="62" t="s">
        <v>965</v>
      </c>
      <c r="F891" s="48">
        <v>45802.0</v>
      </c>
      <c r="G891" s="121">
        <v>5206852.93</v>
      </c>
      <c r="H891" s="9">
        <f t="shared" si="5"/>
        <v>1093439.115</v>
      </c>
      <c r="I891" s="49"/>
      <c r="J891" s="49"/>
      <c r="K891" s="10">
        <f t="shared" si="4"/>
        <v>6300292.045</v>
      </c>
      <c r="L891" s="47"/>
      <c r="M891" s="50"/>
    </row>
    <row r="892" ht="15.75" customHeight="1">
      <c r="A892" s="46">
        <v>45798.0</v>
      </c>
      <c r="B892" s="60"/>
      <c r="C892" s="62" t="s">
        <v>71</v>
      </c>
      <c r="D892" s="62" t="s">
        <v>886</v>
      </c>
      <c r="E892" s="62" t="s">
        <v>966</v>
      </c>
      <c r="F892" s="48">
        <v>45802.0</v>
      </c>
      <c r="G892" s="121">
        <v>5321748.92</v>
      </c>
      <c r="H892" s="9">
        <f t="shared" si="5"/>
        <v>1117567.273</v>
      </c>
      <c r="I892" s="49"/>
      <c r="J892" s="49"/>
      <c r="K892" s="10">
        <f t="shared" si="4"/>
        <v>6439316.193</v>
      </c>
      <c r="L892" s="47"/>
      <c r="M892" s="50"/>
    </row>
    <row r="893" ht="15.75" customHeight="1">
      <c r="A893" s="46">
        <v>45798.0</v>
      </c>
      <c r="B893" s="60"/>
      <c r="C893" s="62" t="s">
        <v>71</v>
      </c>
      <c r="D893" s="62" t="s">
        <v>886</v>
      </c>
      <c r="E893" s="62" t="s">
        <v>967</v>
      </c>
      <c r="F893" s="48">
        <v>45802.0</v>
      </c>
      <c r="G893" s="121">
        <v>5467193.05</v>
      </c>
      <c r="H893" s="9">
        <f t="shared" si="5"/>
        <v>1148110.541</v>
      </c>
      <c r="I893" s="49"/>
      <c r="J893" s="49"/>
      <c r="K893" s="10">
        <f t="shared" si="4"/>
        <v>6615303.591</v>
      </c>
      <c r="L893" s="47"/>
      <c r="M893" s="50"/>
    </row>
    <row r="894" ht="15.75" customHeight="1">
      <c r="A894" s="46">
        <v>45798.0</v>
      </c>
      <c r="B894" s="60"/>
      <c r="C894" s="62" t="s">
        <v>71</v>
      </c>
      <c r="D894" s="62" t="s">
        <v>886</v>
      </c>
      <c r="E894" s="62" t="s">
        <v>968</v>
      </c>
      <c r="F894" s="48">
        <v>45802.0</v>
      </c>
      <c r="G894" s="121">
        <v>5309684.17</v>
      </c>
      <c r="H894" s="9">
        <f t="shared" si="5"/>
        <v>1115033.676</v>
      </c>
      <c r="I894" s="49"/>
      <c r="J894" s="49"/>
      <c r="K894" s="10">
        <f t="shared" si="4"/>
        <v>6424717.846</v>
      </c>
      <c r="L894" s="47"/>
      <c r="M894" s="50"/>
    </row>
    <row r="895" ht="15.75" customHeight="1">
      <c r="A895" s="39">
        <v>45770.0</v>
      </c>
      <c r="B895" s="55"/>
      <c r="C895" s="31" t="s">
        <v>969</v>
      </c>
      <c r="D895" s="32" t="s">
        <v>15</v>
      </c>
      <c r="E895" s="31" t="s">
        <v>970</v>
      </c>
      <c r="F895" s="51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5"/>
      <c r="C896" s="31" t="s">
        <v>194</v>
      </c>
      <c r="D896" s="32" t="s">
        <v>99</v>
      </c>
      <c r="E896" s="31" t="s">
        <v>971</v>
      </c>
      <c r="F896" s="51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5"/>
      <c r="C897" s="31" t="s">
        <v>757</v>
      </c>
      <c r="D897" s="32" t="s">
        <v>15</v>
      </c>
      <c r="E897" s="31" t="s">
        <v>972</v>
      </c>
      <c r="F897" s="51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5"/>
      <c r="C898" s="31" t="s">
        <v>973</v>
      </c>
      <c r="D898" s="32" t="s">
        <v>99</v>
      </c>
      <c r="E898" s="32" t="s">
        <v>974</v>
      </c>
      <c r="F898" s="51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5"/>
      <c r="C899" s="31" t="s">
        <v>973</v>
      </c>
      <c r="D899" s="32" t="s">
        <v>99</v>
      </c>
      <c r="E899" s="32" t="s">
        <v>975</v>
      </c>
      <c r="F899" s="51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5"/>
      <c r="C900" s="31" t="s">
        <v>973</v>
      </c>
      <c r="D900" s="32" t="s">
        <v>99</v>
      </c>
      <c r="E900" s="32" t="s">
        <v>976</v>
      </c>
      <c r="F900" s="51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5"/>
      <c r="C901" s="31" t="s">
        <v>973</v>
      </c>
      <c r="D901" s="32" t="s">
        <v>99</v>
      </c>
      <c r="E901" s="32" t="s">
        <v>977</v>
      </c>
      <c r="F901" s="51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5"/>
      <c r="C902" s="31" t="s">
        <v>757</v>
      </c>
      <c r="D902" s="32" t="s">
        <v>15</v>
      </c>
      <c r="E902" s="31" t="s">
        <v>978</v>
      </c>
      <c r="F902" s="51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5"/>
      <c r="C903" s="31" t="s">
        <v>757</v>
      </c>
      <c r="D903" s="32" t="s">
        <v>15</v>
      </c>
      <c r="E903" s="31" t="s">
        <v>979</v>
      </c>
      <c r="F903" s="51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51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51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51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5"/>
      <c r="C907" s="31" t="s">
        <v>247</v>
      </c>
      <c r="D907" s="32" t="s">
        <v>15</v>
      </c>
      <c r="E907" s="31" t="s">
        <v>984</v>
      </c>
      <c r="F907" s="51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5"/>
      <c r="C908" s="31" t="s">
        <v>247</v>
      </c>
      <c r="D908" s="32" t="s">
        <v>15</v>
      </c>
      <c r="E908" s="31" t="s">
        <v>985</v>
      </c>
      <c r="F908" s="51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5"/>
      <c r="C909" s="31" t="s">
        <v>111</v>
      </c>
      <c r="D909" s="32" t="s">
        <v>15</v>
      </c>
      <c r="E909" s="31" t="s">
        <v>986</v>
      </c>
      <c r="F909" s="51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5"/>
      <c r="C910" s="31" t="s">
        <v>111</v>
      </c>
      <c r="D910" s="32" t="s">
        <v>15</v>
      </c>
      <c r="E910" s="31" t="s">
        <v>987</v>
      </c>
      <c r="F910" s="51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5"/>
      <c r="C911" s="92" t="s">
        <v>111</v>
      </c>
      <c r="D911" s="32" t="s">
        <v>15</v>
      </c>
      <c r="E911" s="31" t="s">
        <v>988</v>
      </c>
      <c r="F911" s="51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5"/>
      <c r="C912" s="92" t="s">
        <v>111</v>
      </c>
      <c r="D912" s="32" t="s">
        <v>15</v>
      </c>
      <c r="E912" s="31" t="s">
        <v>989</v>
      </c>
      <c r="F912" s="51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5"/>
      <c r="C913" s="31" t="s">
        <v>146</v>
      </c>
      <c r="D913" s="32" t="s">
        <v>15</v>
      </c>
      <c r="E913" s="31" t="s">
        <v>990</v>
      </c>
      <c r="F913" s="51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46">
        <v>45777.0</v>
      </c>
      <c r="B914" s="60"/>
      <c r="C914" s="31" t="s">
        <v>807</v>
      </c>
      <c r="D914" s="32" t="s">
        <v>15</v>
      </c>
      <c r="E914" s="31" t="s">
        <v>991</v>
      </c>
      <c r="F914" s="51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46">
        <v>45777.0</v>
      </c>
      <c r="B915" s="60"/>
      <c r="C915" s="31" t="s">
        <v>807</v>
      </c>
      <c r="D915" s="32" t="s">
        <v>15</v>
      </c>
      <c r="E915" s="31" t="s">
        <v>992</v>
      </c>
      <c r="F915" s="51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5"/>
      <c r="C916" s="31" t="s">
        <v>159</v>
      </c>
      <c r="D916" s="32" t="s">
        <v>15</v>
      </c>
      <c r="E916" s="31" t="s">
        <v>993</v>
      </c>
      <c r="F916" s="51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5"/>
      <c r="C917" s="31" t="s">
        <v>395</v>
      </c>
      <c r="D917" s="32" t="s">
        <v>15</v>
      </c>
      <c r="E917" s="31" t="s">
        <v>994</v>
      </c>
      <c r="F917" s="51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51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5"/>
      <c r="C919" s="31" t="s">
        <v>111</v>
      </c>
      <c r="D919" s="32" t="s">
        <v>99</v>
      </c>
      <c r="E919" s="31" t="s">
        <v>996</v>
      </c>
      <c r="F919" s="51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5"/>
      <c r="C920" s="31" t="s">
        <v>111</v>
      </c>
      <c r="D920" s="32" t="s">
        <v>99</v>
      </c>
      <c r="E920" s="31" t="s">
        <v>997</v>
      </c>
      <c r="F920" s="51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5"/>
      <c r="C921" s="31" t="s">
        <v>111</v>
      </c>
      <c r="D921" s="32" t="s">
        <v>99</v>
      </c>
      <c r="E921" s="31" t="s">
        <v>998</v>
      </c>
      <c r="F921" s="51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5"/>
      <c r="C922" s="31" t="s">
        <v>111</v>
      </c>
      <c r="D922" s="32" t="s">
        <v>99</v>
      </c>
      <c r="E922" s="31" t="s">
        <v>999</v>
      </c>
      <c r="F922" s="51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51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5"/>
      <c r="C924" s="31" t="s">
        <v>159</v>
      </c>
      <c r="D924" s="32" t="s">
        <v>99</v>
      </c>
      <c r="E924" s="31" t="s">
        <v>1001</v>
      </c>
      <c r="F924" s="51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5"/>
      <c r="C925" s="32" t="s">
        <v>53</v>
      </c>
      <c r="D925" s="32" t="s">
        <v>15</v>
      </c>
      <c r="E925" s="31" t="s">
        <v>1002</v>
      </c>
      <c r="F925" s="51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5"/>
      <c r="C926" s="31" t="s">
        <v>260</v>
      </c>
      <c r="D926" s="32" t="s">
        <v>15</v>
      </c>
      <c r="E926" s="31" t="s">
        <v>1003</v>
      </c>
      <c r="F926" s="51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46">
        <v>45804.0</v>
      </c>
      <c r="B927" s="60"/>
      <c r="C927" s="62" t="s">
        <v>1004</v>
      </c>
      <c r="D927" s="62" t="s">
        <v>1005</v>
      </c>
      <c r="E927" s="132" t="s">
        <v>1006</v>
      </c>
      <c r="F927" s="48">
        <v>45802.0</v>
      </c>
      <c r="G927" s="121">
        <v>1.005698969E8</v>
      </c>
      <c r="H927" s="9">
        <f t="shared" si="5"/>
        <v>21119678.35</v>
      </c>
      <c r="I927" s="49"/>
      <c r="J927" s="49"/>
      <c r="K927" s="10">
        <f t="shared" si="4"/>
        <v>121689575.2</v>
      </c>
      <c r="L927" s="47"/>
      <c r="M927" s="50"/>
    </row>
    <row r="928" ht="15.75" customHeight="1">
      <c r="A928" s="46">
        <v>45804.0</v>
      </c>
      <c r="B928" s="60"/>
      <c r="C928" s="62" t="s">
        <v>1004</v>
      </c>
      <c r="D928" s="62" t="s">
        <v>1005</v>
      </c>
      <c r="E928" s="132" t="s">
        <v>1007</v>
      </c>
      <c r="F928" s="48">
        <v>45802.0</v>
      </c>
      <c r="G928" s="44">
        <v>5.42959308E7</v>
      </c>
      <c r="H928" s="9">
        <f t="shared" si="5"/>
        <v>11402145.47</v>
      </c>
      <c r="I928" s="49"/>
      <c r="J928" s="49"/>
      <c r="K928" s="10">
        <f t="shared" si="4"/>
        <v>65698076.27</v>
      </c>
      <c r="L928" s="47"/>
      <c r="M928" s="50"/>
    </row>
    <row r="929" ht="15.75" customHeight="1">
      <c r="A929" s="46">
        <v>45804.0</v>
      </c>
      <c r="B929" s="60"/>
      <c r="C929" s="62" t="s">
        <v>1004</v>
      </c>
      <c r="D929" s="62" t="s">
        <v>1005</v>
      </c>
      <c r="E929" s="132" t="s">
        <v>1008</v>
      </c>
      <c r="F929" s="48">
        <v>45802.0</v>
      </c>
      <c r="G929" s="121">
        <v>4.584875925E7</v>
      </c>
      <c r="H929" s="9">
        <f t="shared" si="5"/>
        <v>9628239.443</v>
      </c>
      <c r="I929" s="49"/>
      <c r="J929" s="49"/>
      <c r="K929" s="10">
        <f t="shared" si="4"/>
        <v>55476998.69</v>
      </c>
      <c r="L929" s="47"/>
      <c r="M929" s="50"/>
    </row>
    <row r="930" ht="15.75" customHeight="1">
      <c r="A930" s="39">
        <v>45805.0</v>
      </c>
      <c r="B930" s="55"/>
      <c r="C930" s="31" t="s">
        <v>1009</v>
      </c>
      <c r="D930" s="32" t="s">
        <v>99</v>
      </c>
      <c r="E930" s="31" t="s">
        <v>1010</v>
      </c>
      <c r="F930" s="51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5"/>
      <c r="C931" s="31" t="s">
        <v>1009</v>
      </c>
      <c r="D931" s="32" t="s">
        <v>99</v>
      </c>
      <c r="E931" s="31" t="s">
        <v>1011</v>
      </c>
      <c r="F931" s="51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5"/>
      <c r="C932" s="31" t="s">
        <v>260</v>
      </c>
      <c r="D932" s="32" t="s">
        <v>15</v>
      </c>
      <c r="E932" s="31" t="s">
        <v>1012</v>
      </c>
      <c r="F932" s="51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5"/>
      <c r="C933" s="31" t="s">
        <v>332</v>
      </c>
      <c r="D933" s="32" t="s">
        <v>15</v>
      </c>
      <c r="E933" s="31" t="s">
        <v>1013</v>
      </c>
      <c r="F933" s="51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5"/>
      <c r="C934" s="31" t="s">
        <v>332</v>
      </c>
      <c r="D934" s="32" t="s">
        <v>15</v>
      </c>
      <c r="E934" s="31" t="s">
        <v>1014</v>
      </c>
      <c r="F934" s="51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5"/>
      <c r="C935" s="31" t="s">
        <v>332</v>
      </c>
      <c r="D935" s="32" t="s">
        <v>15</v>
      </c>
      <c r="E935" s="31" t="s">
        <v>1015</v>
      </c>
      <c r="F935" s="51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5"/>
      <c r="C936" s="31" t="s">
        <v>332</v>
      </c>
      <c r="D936" s="32" t="s">
        <v>15</v>
      </c>
      <c r="E936" s="31" t="s">
        <v>1016</v>
      </c>
      <c r="F936" s="51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5"/>
      <c r="C937" s="31" t="s">
        <v>332</v>
      </c>
      <c r="D937" s="32" t="s">
        <v>15</v>
      </c>
      <c r="E937" s="31" t="s">
        <v>1017</v>
      </c>
      <c r="F937" s="51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5"/>
      <c r="C938" s="31" t="s">
        <v>332</v>
      </c>
      <c r="D938" s="32" t="s">
        <v>15</v>
      </c>
      <c r="E938" s="31" t="s">
        <v>1018</v>
      </c>
      <c r="F938" s="51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5"/>
      <c r="C939" s="31" t="s">
        <v>864</v>
      </c>
      <c r="D939" s="32" t="s">
        <v>15</v>
      </c>
      <c r="E939" s="31" t="s">
        <v>1019</v>
      </c>
      <c r="F939" s="51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5"/>
      <c r="C940" s="31" t="s">
        <v>864</v>
      </c>
      <c r="D940" s="32" t="s">
        <v>15</v>
      </c>
      <c r="E940" s="31" t="s">
        <v>1020</v>
      </c>
      <c r="F940" s="51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46">
        <v>45806.0</v>
      </c>
      <c r="B941" s="60"/>
      <c r="C941" s="61" t="s">
        <v>789</v>
      </c>
      <c r="D941" s="61" t="s">
        <v>1021</v>
      </c>
      <c r="E941" s="62" t="s">
        <v>1022</v>
      </c>
      <c r="F941" s="48">
        <v>45802.0</v>
      </c>
      <c r="G941" s="121">
        <v>1.340757026E7</v>
      </c>
      <c r="H941" s="9">
        <f t="shared" si="5"/>
        <v>2815589.755</v>
      </c>
      <c r="I941" s="49"/>
      <c r="J941" s="49"/>
      <c r="K941" s="10">
        <f t="shared" si="4"/>
        <v>16223160.01</v>
      </c>
      <c r="L941" s="47"/>
      <c r="M941" s="50"/>
    </row>
    <row r="942" ht="15.75" customHeight="1">
      <c r="A942" s="46">
        <v>45806.0</v>
      </c>
      <c r="B942" s="60"/>
      <c r="C942" s="61" t="s">
        <v>789</v>
      </c>
      <c r="D942" s="61" t="s">
        <v>1021</v>
      </c>
      <c r="E942" s="61" t="s">
        <v>1023</v>
      </c>
      <c r="F942" s="48">
        <v>45802.0</v>
      </c>
      <c r="G942" s="121">
        <v>7528066.12</v>
      </c>
      <c r="H942" s="9">
        <f t="shared" si="5"/>
        <v>1580893.885</v>
      </c>
      <c r="I942" s="49"/>
      <c r="J942" s="49"/>
      <c r="K942" s="10">
        <f t="shared" si="4"/>
        <v>9108960.005</v>
      </c>
      <c r="L942" s="47"/>
      <c r="M942" s="50"/>
    </row>
    <row r="943" ht="15.75" customHeight="1">
      <c r="A943" s="46">
        <v>45806.0</v>
      </c>
      <c r="B943" s="60"/>
      <c r="C943" s="61" t="s">
        <v>786</v>
      </c>
      <c r="D943" s="61" t="s">
        <v>1021</v>
      </c>
      <c r="E943" s="62" t="s">
        <v>1024</v>
      </c>
      <c r="F943" s="48">
        <v>45802.0</v>
      </c>
      <c r="G943" s="121">
        <v>2.07354898E7</v>
      </c>
      <c r="H943" s="9">
        <f t="shared" si="5"/>
        <v>4354452.858</v>
      </c>
      <c r="I943" s="49"/>
      <c r="J943" s="49"/>
      <c r="K943" s="10">
        <f t="shared" si="4"/>
        <v>25089942.66</v>
      </c>
      <c r="L943" s="47"/>
      <c r="M943" s="50"/>
    </row>
    <row r="944" ht="15.75" customHeight="1">
      <c r="A944" s="39">
        <v>45784.0</v>
      </c>
      <c r="B944" s="55"/>
      <c r="C944" s="31" t="s">
        <v>864</v>
      </c>
      <c r="D944" s="32" t="s">
        <v>15</v>
      </c>
      <c r="E944" s="31" t="s">
        <v>1025</v>
      </c>
      <c r="F944" s="51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5"/>
      <c r="C945" s="31" t="s">
        <v>527</v>
      </c>
      <c r="D945" s="32" t="s">
        <v>15</v>
      </c>
      <c r="E945" s="31" t="s">
        <v>1026</v>
      </c>
      <c r="F945" s="51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5"/>
      <c r="C946" s="31" t="s">
        <v>247</v>
      </c>
      <c r="D946" s="32" t="s">
        <v>15</v>
      </c>
      <c r="E946" s="31" t="s">
        <v>1027</v>
      </c>
      <c r="F946" s="51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5"/>
      <c r="C947" s="31" t="s">
        <v>247</v>
      </c>
      <c r="D947" s="32" t="s">
        <v>15</v>
      </c>
      <c r="E947" s="31" t="s">
        <v>1028</v>
      </c>
      <c r="F947" s="51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5"/>
      <c r="C948" s="31" t="s">
        <v>247</v>
      </c>
      <c r="D948" s="32" t="s">
        <v>15</v>
      </c>
      <c r="E948" s="31" t="s">
        <v>1029</v>
      </c>
      <c r="F948" s="51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5"/>
      <c r="C949" s="31" t="s">
        <v>64</v>
      </c>
      <c r="D949" s="32" t="s">
        <v>15</v>
      </c>
      <c r="E949" s="31" t="s">
        <v>1030</v>
      </c>
      <c r="F949" s="51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5"/>
      <c r="C950" s="31" t="s">
        <v>429</v>
      </c>
      <c r="D950" s="32" t="s">
        <v>15</v>
      </c>
      <c r="E950" s="31" t="s">
        <v>1031</v>
      </c>
      <c r="F950" s="51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5"/>
      <c r="C951" s="31" t="s">
        <v>1032</v>
      </c>
      <c r="D951" s="32" t="s">
        <v>15</v>
      </c>
      <c r="E951" s="31" t="s">
        <v>1033</v>
      </c>
      <c r="F951" s="51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5"/>
      <c r="C952" s="31" t="s">
        <v>278</v>
      </c>
      <c r="D952" s="32" t="s">
        <v>15</v>
      </c>
      <c r="E952" s="31" t="s">
        <v>1034</v>
      </c>
      <c r="F952" s="51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5"/>
      <c r="C953" s="32" t="s">
        <v>122</v>
      </c>
      <c r="D953" s="32" t="s">
        <v>15</v>
      </c>
      <c r="E953" s="31" t="s">
        <v>1035</v>
      </c>
      <c r="F953" s="51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5"/>
      <c r="C954" s="31" t="s">
        <v>1036</v>
      </c>
      <c r="D954" s="32" t="s">
        <v>15</v>
      </c>
      <c r="E954" s="31" t="s">
        <v>1037</v>
      </c>
      <c r="F954" s="51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5"/>
      <c r="C955" s="31" t="s">
        <v>74</v>
      </c>
      <c r="D955" s="32" t="s">
        <v>15</v>
      </c>
      <c r="E955" s="31" t="s">
        <v>1038</v>
      </c>
      <c r="F955" s="51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5"/>
      <c r="C956" s="31" t="s">
        <v>74</v>
      </c>
      <c r="D956" s="32" t="s">
        <v>15</v>
      </c>
      <c r="E956" s="31" t="s">
        <v>1039</v>
      </c>
      <c r="F956" s="51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46">
        <v>45807.0</v>
      </c>
      <c r="B957" s="60"/>
      <c r="C957" s="61" t="s">
        <v>1040</v>
      </c>
      <c r="D957" s="61" t="s">
        <v>1041</v>
      </c>
      <c r="E957" s="61" t="s">
        <v>1042</v>
      </c>
      <c r="F957" s="48">
        <v>45802.0</v>
      </c>
      <c r="G957" s="133">
        <v>7467000.0</v>
      </c>
      <c r="H957" s="9">
        <f t="shared" si="5"/>
        <v>1568070</v>
      </c>
      <c r="I957" s="49"/>
      <c r="J957" s="49"/>
      <c r="K957" s="10">
        <f t="shared" si="4"/>
        <v>9035070</v>
      </c>
      <c r="L957" s="47"/>
      <c r="M957" s="50"/>
    </row>
    <row r="958" ht="15.75" customHeight="1">
      <c r="A958" s="46">
        <v>45807.0</v>
      </c>
      <c r="B958" s="60"/>
      <c r="C958" s="61" t="s">
        <v>1040</v>
      </c>
      <c r="D958" s="61" t="s">
        <v>1041</v>
      </c>
      <c r="E958" s="61" t="s">
        <v>1043</v>
      </c>
      <c r="F958" s="48">
        <v>45802.0</v>
      </c>
      <c r="G958" s="44">
        <v>8059500.0</v>
      </c>
      <c r="H958" s="9">
        <f t="shared" si="5"/>
        <v>1692495</v>
      </c>
      <c r="I958" s="49"/>
      <c r="J958" s="49"/>
      <c r="K958" s="10">
        <f t="shared" si="4"/>
        <v>9751995</v>
      </c>
      <c r="L958" s="47"/>
      <c r="M958" s="50"/>
    </row>
    <row r="959" ht="15.75" customHeight="1">
      <c r="A959" s="46">
        <v>45807.0</v>
      </c>
      <c r="B959" s="60"/>
      <c r="C959" s="61" t="s">
        <v>1040</v>
      </c>
      <c r="D959" s="61" t="s">
        <v>1041</v>
      </c>
      <c r="E959" s="61" t="s">
        <v>1044</v>
      </c>
      <c r="F959" s="48">
        <v>45802.0</v>
      </c>
      <c r="G959" s="44">
        <v>1.1584E7</v>
      </c>
      <c r="H959" s="9">
        <f t="shared" si="5"/>
        <v>2432640</v>
      </c>
      <c r="I959" s="49"/>
      <c r="J959" s="49"/>
      <c r="K959" s="10">
        <f t="shared" si="4"/>
        <v>14016640</v>
      </c>
      <c r="L959" s="47"/>
      <c r="M959" s="50"/>
    </row>
    <row r="960" ht="15.75" customHeight="1">
      <c r="A960" s="46">
        <v>45807.0</v>
      </c>
      <c r="B960" s="60"/>
      <c r="C960" s="61" t="s">
        <v>1040</v>
      </c>
      <c r="D960" s="61" t="s">
        <v>1041</v>
      </c>
      <c r="E960" s="61" t="s">
        <v>1045</v>
      </c>
      <c r="F960" s="48">
        <v>45802.0</v>
      </c>
      <c r="G960" s="44">
        <v>8640000.0</v>
      </c>
      <c r="H960" s="9">
        <f t="shared" si="5"/>
        <v>1814400</v>
      </c>
      <c r="I960" s="49"/>
      <c r="J960" s="49"/>
      <c r="K960" s="10">
        <f t="shared" si="4"/>
        <v>10454400</v>
      </c>
      <c r="L960" s="47"/>
      <c r="M960" s="50"/>
    </row>
    <row r="961" ht="15.75" customHeight="1">
      <c r="A961" s="46">
        <v>45807.0</v>
      </c>
      <c r="B961" s="60"/>
      <c r="C961" s="61" t="s">
        <v>1040</v>
      </c>
      <c r="D961" s="61" t="s">
        <v>1041</v>
      </c>
      <c r="E961" s="61" t="s">
        <v>1046</v>
      </c>
      <c r="F961" s="48">
        <v>45802.0</v>
      </c>
      <c r="G961" s="44">
        <v>4522000.0</v>
      </c>
      <c r="H961" s="9">
        <f t="shared" si="5"/>
        <v>949620</v>
      </c>
      <c r="I961" s="49"/>
      <c r="J961" s="49"/>
      <c r="K961" s="10">
        <f t="shared" si="4"/>
        <v>5471620</v>
      </c>
      <c r="L961" s="47"/>
      <c r="M961" s="50"/>
    </row>
    <row r="962" ht="15.75" customHeight="1">
      <c r="A962" s="39">
        <v>45792.0</v>
      </c>
      <c r="B962" s="55"/>
      <c r="C962" s="31" t="s">
        <v>417</v>
      </c>
      <c r="D962" s="32" t="s">
        <v>15</v>
      </c>
      <c r="E962" s="31" t="s">
        <v>1047</v>
      </c>
      <c r="F962" s="51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5"/>
      <c r="C963" s="31" t="s">
        <v>417</v>
      </c>
      <c r="D963" s="32" t="s">
        <v>15</v>
      </c>
      <c r="E963" s="31" t="s">
        <v>1048</v>
      </c>
      <c r="F963" s="51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5"/>
      <c r="C964" s="31" t="s">
        <v>410</v>
      </c>
      <c r="D964" s="32" t="s">
        <v>15</v>
      </c>
      <c r="E964" s="31" t="s">
        <v>1049</v>
      </c>
      <c r="F964" s="51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5"/>
      <c r="C965" s="31" t="s">
        <v>140</v>
      </c>
      <c r="D965" s="32" t="s">
        <v>15</v>
      </c>
      <c r="E965" s="31" t="s">
        <v>1050</v>
      </c>
      <c r="F965" s="51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5"/>
      <c r="C966" s="31" t="s">
        <v>140</v>
      </c>
      <c r="D966" s="32" t="s">
        <v>15</v>
      </c>
      <c r="E966" s="31" t="s">
        <v>1051</v>
      </c>
      <c r="F966" s="51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5"/>
      <c r="C967" s="31" t="s">
        <v>1052</v>
      </c>
      <c r="D967" s="32" t="s">
        <v>15</v>
      </c>
      <c r="E967" s="31" t="s">
        <v>1053</v>
      </c>
      <c r="F967" s="51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5"/>
      <c r="C968" s="31" t="s">
        <v>1054</v>
      </c>
      <c r="D968" s="32" t="s">
        <v>15</v>
      </c>
      <c r="E968" s="31" t="s">
        <v>1055</v>
      </c>
      <c r="F968" s="51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5"/>
      <c r="C969" s="31" t="s">
        <v>1056</v>
      </c>
      <c r="D969" s="32" t="s">
        <v>15</v>
      </c>
      <c r="E969" s="31" t="s">
        <v>1057</v>
      </c>
      <c r="F969" s="51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5"/>
      <c r="C970" s="31" t="s">
        <v>111</v>
      </c>
      <c r="D970" s="32" t="s">
        <v>15</v>
      </c>
      <c r="E970" s="31" t="s">
        <v>1058</v>
      </c>
      <c r="F970" s="51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5"/>
      <c r="C971" s="31" t="s">
        <v>111</v>
      </c>
      <c r="D971" s="32" t="s">
        <v>15</v>
      </c>
      <c r="E971" s="31" t="s">
        <v>1059</v>
      </c>
      <c r="F971" s="51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5"/>
      <c r="C972" s="31" t="s">
        <v>111</v>
      </c>
      <c r="D972" s="32" t="s">
        <v>15</v>
      </c>
      <c r="E972" s="31" t="s">
        <v>1060</v>
      </c>
      <c r="F972" s="51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5"/>
      <c r="C973" s="31" t="s">
        <v>111</v>
      </c>
      <c r="D973" s="32" t="s">
        <v>15</v>
      </c>
      <c r="E973" s="31" t="s">
        <v>1061</v>
      </c>
      <c r="F973" s="51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46">
        <v>45807.0</v>
      </c>
      <c r="B974" s="60"/>
      <c r="C974" s="61" t="s">
        <v>1062</v>
      </c>
      <c r="D974" s="61" t="s">
        <v>1021</v>
      </c>
      <c r="E974" s="61" t="s">
        <v>1063</v>
      </c>
      <c r="F974" s="48">
        <v>45802.0</v>
      </c>
      <c r="G974" s="121">
        <v>2236503.31</v>
      </c>
      <c r="H974" s="9">
        <f t="shared" si="5"/>
        <v>469665.6951</v>
      </c>
      <c r="I974" s="49"/>
      <c r="J974" s="49"/>
      <c r="K974" s="10">
        <f t="shared" si="4"/>
        <v>2706169.005</v>
      </c>
      <c r="L974" s="47"/>
      <c r="M974" s="50"/>
    </row>
    <row r="975" ht="15.75" customHeight="1">
      <c r="A975" s="46">
        <v>45807.0</v>
      </c>
      <c r="B975" s="60"/>
      <c r="C975" s="61" t="s">
        <v>786</v>
      </c>
      <c r="D975" s="61" t="s">
        <v>1021</v>
      </c>
      <c r="E975" s="62" t="s">
        <v>1064</v>
      </c>
      <c r="F975" s="48">
        <v>45802.0</v>
      </c>
      <c r="G975" s="121">
        <v>3180053.17</v>
      </c>
      <c r="H975" s="9">
        <f t="shared" si="5"/>
        <v>667811.1657</v>
      </c>
      <c r="I975" s="49"/>
      <c r="J975" s="49"/>
      <c r="K975" s="10">
        <f t="shared" si="4"/>
        <v>3847864.336</v>
      </c>
      <c r="L975" s="47"/>
      <c r="M975" s="50"/>
    </row>
    <row r="976" ht="15.75" customHeight="1">
      <c r="A976" s="46">
        <v>45807.0</v>
      </c>
      <c r="B976" s="60"/>
      <c r="C976" s="61" t="s">
        <v>1065</v>
      </c>
      <c r="D976" s="61" t="s">
        <v>1021</v>
      </c>
      <c r="E976" s="62" t="s">
        <v>1066</v>
      </c>
      <c r="F976" s="48">
        <v>45802.0</v>
      </c>
      <c r="G976" s="121">
        <v>797022.34</v>
      </c>
      <c r="H976" s="9">
        <f t="shared" si="5"/>
        <v>167374.6914</v>
      </c>
      <c r="I976" s="49"/>
      <c r="J976" s="49"/>
      <c r="K976" s="10">
        <f t="shared" si="4"/>
        <v>964397.0314</v>
      </c>
      <c r="L976" s="47"/>
      <c r="M976" s="50"/>
    </row>
    <row r="977" ht="15.75" customHeight="1">
      <c r="A977" s="46">
        <v>45807.0</v>
      </c>
      <c r="B977" s="60"/>
      <c r="C977" s="61" t="s">
        <v>1067</v>
      </c>
      <c r="D977" s="61" t="s">
        <v>1021</v>
      </c>
      <c r="E977" s="62" t="s">
        <v>1068</v>
      </c>
      <c r="F977" s="48">
        <v>45802.0</v>
      </c>
      <c r="G977" s="121">
        <v>883699.18</v>
      </c>
      <c r="H977" s="9">
        <f t="shared" si="5"/>
        <v>185576.8278</v>
      </c>
      <c r="I977" s="49"/>
      <c r="J977" s="49"/>
      <c r="K977" s="10">
        <f t="shared" si="4"/>
        <v>1069276.008</v>
      </c>
      <c r="L977" s="47"/>
      <c r="M977" s="50"/>
    </row>
    <row r="978" ht="15.75" customHeight="1">
      <c r="A978" s="46">
        <v>45807.0</v>
      </c>
      <c r="B978" s="60"/>
      <c r="C978" s="61" t="s">
        <v>786</v>
      </c>
      <c r="D978" s="61" t="s">
        <v>1021</v>
      </c>
      <c r="E978" s="62" t="s">
        <v>1069</v>
      </c>
      <c r="F978" s="48">
        <v>45802.0</v>
      </c>
      <c r="G978" s="121">
        <v>3168297.52</v>
      </c>
      <c r="H978" s="9">
        <f t="shared" si="5"/>
        <v>665342.4792</v>
      </c>
      <c r="I978" s="49"/>
      <c r="J978" s="49"/>
      <c r="K978" s="10">
        <f t="shared" si="4"/>
        <v>3833639.999</v>
      </c>
      <c r="L978" s="47"/>
      <c r="M978" s="50"/>
    </row>
    <row r="979" ht="15.75" customHeight="1">
      <c r="A979" s="46">
        <v>45807.0</v>
      </c>
      <c r="B979" s="60"/>
      <c r="C979" s="61" t="s">
        <v>1062</v>
      </c>
      <c r="D979" s="61" t="s">
        <v>1021</v>
      </c>
      <c r="E979" s="62" t="s">
        <v>1070</v>
      </c>
      <c r="F979" s="48">
        <v>45802.0</v>
      </c>
      <c r="G979" s="121">
        <v>2169528.0</v>
      </c>
      <c r="H979" s="9">
        <f t="shared" si="5"/>
        <v>455600.88</v>
      </c>
      <c r="I979" s="49"/>
      <c r="J979" s="49"/>
      <c r="K979" s="10">
        <f t="shared" si="4"/>
        <v>2625128.88</v>
      </c>
      <c r="L979" s="47"/>
      <c r="M979" s="50"/>
    </row>
    <row r="980" ht="15.75" customHeight="1">
      <c r="A980" s="46">
        <v>45807.0</v>
      </c>
      <c r="B980" s="60"/>
      <c r="C980" s="61" t="s">
        <v>786</v>
      </c>
      <c r="D980" s="61" t="s">
        <v>1021</v>
      </c>
      <c r="E980" s="62" t="s">
        <v>1071</v>
      </c>
      <c r="F980" s="48">
        <v>45802.0</v>
      </c>
      <c r="G980" s="121">
        <v>3170160.76</v>
      </c>
      <c r="H980" s="9">
        <f t="shared" si="5"/>
        <v>665733.7596</v>
      </c>
      <c r="I980" s="49"/>
      <c r="J980" s="49"/>
      <c r="K980" s="10">
        <f t="shared" si="4"/>
        <v>3835894.52</v>
      </c>
      <c r="L980" s="47"/>
      <c r="M980" s="50"/>
    </row>
    <row r="981" ht="15.75" customHeight="1">
      <c r="A981" s="46">
        <v>45811.0</v>
      </c>
      <c r="B981" s="60"/>
      <c r="C981" s="61" t="s">
        <v>1062</v>
      </c>
      <c r="D981" s="61" t="s">
        <v>1021</v>
      </c>
      <c r="E981" s="62" t="s">
        <v>1072</v>
      </c>
      <c r="F981" s="48">
        <v>45802.0</v>
      </c>
      <c r="G981" s="121">
        <v>1871368.0</v>
      </c>
      <c r="H981" s="9">
        <f t="shared" si="5"/>
        <v>392987.28</v>
      </c>
      <c r="I981" s="49"/>
      <c r="J981" s="49"/>
      <c r="K981" s="10">
        <f t="shared" si="4"/>
        <v>2264355.28</v>
      </c>
      <c r="L981" s="47"/>
      <c r="M981" s="50"/>
    </row>
    <row r="982" ht="15.75" customHeight="1">
      <c r="A982" s="39">
        <v>45804.0</v>
      </c>
      <c r="B982" s="55"/>
      <c r="C982" s="31" t="s">
        <v>268</v>
      </c>
      <c r="D982" s="32" t="s">
        <v>15</v>
      </c>
      <c r="E982" s="31" t="s">
        <v>1073</v>
      </c>
      <c r="F982" s="51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5"/>
      <c r="C983" s="31" t="s">
        <v>1009</v>
      </c>
      <c r="D983" s="32" t="s">
        <v>15</v>
      </c>
      <c r="E983" s="31" t="s">
        <v>1074</v>
      </c>
      <c r="F983" s="51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5"/>
      <c r="C984" s="31" t="s">
        <v>1009</v>
      </c>
      <c r="D984" s="32" t="s">
        <v>15</v>
      </c>
      <c r="E984" s="31" t="s">
        <v>1075</v>
      </c>
      <c r="F984" s="51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5"/>
      <c r="C985" s="31" t="s">
        <v>64</v>
      </c>
      <c r="D985" s="32" t="s">
        <v>99</v>
      </c>
      <c r="E985" s="31" t="s">
        <v>1076</v>
      </c>
      <c r="F985" s="51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5"/>
      <c r="C986" s="31" t="s">
        <v>64</v>
      </c>
      <c r="D986" s="32" t="s">
        <v>99</v>
      </c>
      <c r="E986" s="31" t="s">
        <v>1077</v>
      </c>
      <c r="F986" s="51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5"/>
      <c r="C987" s="31" t="s">
        <v>472</v>
      </c>
      <c r="D987" s="32" t="s">
        <v>99</v>
      </c>
      <c r="E987" s="32" t="s">
        <v>1078</v>
      </c>
      <c r="F987" s="51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5"/>
      <c r="C988" s="31" t="s">
        <v>472</v>
      </c>
      <c r="D988" s="32" t="s">
        <v>99</v>
      </c>
      <c r="E988" s="32" t="s">
        <v>1079</v>
      </c>
      <c r="F988" s="51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5"/>
      <c r="C989" s="31" t="s">
        <v>441</v>
      </c>
      <c r="D989" s="32" t="s">
        <v>15</v>
      </c>
      <c r="E989" s="31" t="s">
        <v>1080</v>
      </c>
      <c r="F989" s="51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5"/>
      <c r="C990" s="31" t="s">
        <v>55</v>
      </c>
      <c r="D990" s="32" t="s">
        <v>15</v>
      </c>
      <c r="E990" s="31" t="s">
        <v>1081</v>
      </c>
      <c r="F990" s="51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5"/>
      <c r="C991" s="31" t="s">
        <v>55</v>
      </c>
      <c r="D991" s="32" t="s">
        <v>15</v>
      </c>
      <c r="E991" s="31" t="s">
        <v>1082</v>
      </c>
      <c r="F991" s="51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5"/>
      <c r="C992" s="31" t="s">
        <v>611</v>
      </c>
      <c r="D992" s="32" t="s">
        <v>15</v>
      </c>
      <c r="E992" s="31" t="s">
        <v>1083</v>
      </c>
      <c r="F992" s="51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5"/>
      <c r="C993" s="31" t="s">
        <v>611</v>
      </c>
      <c r="D993" s="32" t="s">
        <v>15</v>
      </c>
      <c r="E993" s="31" t="s">
        <v>1084</v>
      </c>
      <c r="F993" s="51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5"/>
      <c r="C994" s="31" t="s">
        <v>611</v>
      </c>
      <c r="D994" s="32" t="s">
        <v>15</v>
      </c>
      <c r="E994" s="31" t="s">
        <v>1085</v>
      </c>
      <c r="F994" s="51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5"/>
      <c r="C995" s="31" t="s">
        <v>611</v>
      </c>
      <c r="D995" s="32" t="s">
        <v>15</v>
      </c>
      <c r="E995" s="31" t="s">
        <v>1086</v>
      </c>
      <c r="F995" s="51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5"/>
      <c r="C996" s="31" t="s">
        <v>611</v>
      </c>
      <c r="D996" s="32" t="s">
        <v>15</v>
      </c>
      <c r="E996" s="31" t="s">
        <v>1087</v>
      </c>
      <c r="F996" s="51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5"/>
      <c r="C997" s="31" t="s">
        <v>546</v>
      </c>
      <c r="D997" s="32" t="s">
        <v>15</v>
      </c>
      <c r="E997" s="31" t="s">
        <v>1088</v>
      </c>
      <c r="F997" s="51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5"/>
      <c r="C998" s="31" t="s">
        <v>546</v>
      </c>
      <c r="D998" s="32" t="s">
        <v>15</v>
      </c>
      <c r="E998" s="31" t="s">
        <v>1089</v>
      </c>
      <c r="F998" s="51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5"/>
      <c r="C999" s="31" t="s">
        <v>527</v>
      </c>
      <c r="D999" s="32" t="s">
        <v>15</v>
      </c>
      <c r="E999" s="31" t="s">
        <v>1090</v>
      </c>
      <c r="F999" s="51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5"/>
      <c r="C1000" s="31" t="s">
        <v>168</v>
      </c>
      <c r="D1000" s="32" t="s">
        <v>15</v>
      </c>
      <c r="E1000" s="31" t="s">
        <v>1091</v>
      </c>
      <c r="F1000" s="51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5"/>
      <c r="C1001" s="31" t="s">
        <v>64</v>
      </c>
      <c r="D1001" s="32" t="s">
        <v>15</v>
      </c>
      <c r="E1001" s="31" t="s">
        <v>1092</v>
      </c>
      <c r="F1001" s="51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5"/>
      <c r="C1002" s="31" t="s">
        <v>74</v>
      </c>
      <c r="D1002" s="32" t="s">
        <v>15</v>
      </c>
      <c r="E1002" s="31" t="s">
        <v>1093</v>
      </c>
      <c r="F1002" s="51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5"/>
      <c r="C1003" s="31" t="s">
        <v>74</v>
      </c>
      <c r="D1003" s="32" t="s">
        <v>15</v>
      </c>
      <c r="E1003" s="31" t="s">
        <v>1094</v>
      </c>
      <c r="F1003" s="51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46">
        <v>45812.0</v>
      </c>
      <c r="B1004" s="60"/>
      <c r="C1004" s="62" t="s">
        <v>1095</v>
      </c>
      <c r="D1004" s="62" t="s">
        <v>284</v>
      </c>
      <c r="E1004" s="132" t="s">
        <v>1096</v>
      </c>
      <c r="F1004" s="48">
        <v>45802.0</v>
      </c>
      <c r="G1004" s="44">
        <v>3.01643212E7</v>
      </c>
      <c r="H1004" s="9">
        <f t="shared" si="5"/>
        <v>6334507.452</v>
      </c>
      <c r="I1004" s="49"/>
      <c r="J1004" s="49"/>
      <c r="K1004" s="15">
        <f t="shared" si="4"/>
        <v>36498828.65</v>
      </c>
      <c r="L1004" s="47"/>
      <c r="M1004" s="50"/>
    </row>
    <row r="1005" ht="15.75" customHeight="1">
      <c r="A1005" s="46">
        <v>45812.0</v>
      </c>
      <c r="B1005" s="60"/>
      <c r="C1005" s="62" t="s">
        <v>782</v>
      </c>
      <c r="D1005" s="62" t="s">
        <v>284</v>
      </c>
      <c r="E1005" s="132" t="s">
        <v>1097</v>
      </c>
      <c r="F1005" s="48">
        <v>45802.0</v>
      </c>
      <c r="G1005" s="44">
        <f>36039636.24/1.21</f>
        <v>29784823.34</v>
      </c>
      <c r="H1005" s="9">
        <f t="shared" si="5"/>
        <v>6254812.901</v>
      </c>
      <c r="I1005" s="49"/>
      <c r="J1005" s="49"/>
      <c r="K1005" s="15">
        <f t="shared" si="4"/>
        <v>36039636.24</v>
      </c>
      <c r="L1005" s="47"/>
      <c r="M1005" s="50"/>
    </row>
    <row r="1006" ht="15.75" customHeight="1">
      <c r="A1006" s="46">
        <v>45813.0</v>
      </c>
      <c r="B1006" s="60"/>
      <c r="C1006" s="61" t="s">
        <v>1062</v>
      </c>
      <c r="D1006" s="61" t="s">
        <v>1021</v>
      </c>
      <c r="E1006" s="62" t="s">
        <v>1098</v>
      </c>
      <c r="F1006" s="48">
        <v>45833.0</v>
      </c>
      <c r="G1006" s="44">
        <v>2218200.0</v>
      </c>
      <c r="H1006" s="9">
        <f t="shared" si="5"/>
        <v>465822</v>
      </c>
      <c r="I1006" s="49"/>
      <c r="J1006" s="49"/>
      <c r="K1006" s="15">
        <f t="shared" si="4"/>
        <v>2684022</v>
      </c>
      <c r="L1006" s="47"/>
      <c r="M1006" s="50"/>
    </row>
    <row r="1007" ht="15.75" customHeight="1">
      <c r="A1007" s="46">
        <v>45813.0</v>
      </c>
      <c r="B1007" s="60"/>
      <c r="C1007" s="61" t="s">
        <v>1099</v>
      </c>
      <c r="D1007" s="62" t="s">
        <v>1100</v>
      </c>
      <c r="E1007" s="62" t="s">
        <v>1101</v>
      </c>
      <c r="F1007" s="48">
        <v>45802.0</v>
      </c>
      <c r="G1007" s="121">
        <v>1.666672107E7</v>
      </c>
      <c r="H1007" s="9">
        <f t="shared" si="5"/>
        <v>3500011.425</v>
      </c>
      <c r="I1007" s="49"/>
      <c r="J1007" s="49"/>
      <c r="K1007" s="15">
        <f t="shared" si="4"/>
        <v>20166732.49</v>
      </c>
      <c r="L1007" s="47"/>
      <c r="M1007" s="50"/>
    </row>
    <row r="1008" ht="15.75" customHeight="1">
      <c r="A1008" s="46">
        <v>45813.0</v>
      </c>
      <c r="B1008" s="60"/>
      <c r="C1008" s="61" t="s">
        <v>1099</v>
      </c>
      <c r="D1008" s="62" t="s">
        <v>1100</v>
      </c>
      <c r="E1008" s="62" t="s">
        <v>1102</v>
      </c>
      <c r="F1008" s="48">
        <v>45802.0</v>
      </c>
      <c r="G1008" s="121">
        <v>1.486012165E7</v>
      </c>
      <c r="H1008" s="9">
        <f t="shared" si="5"/>
        <v>3120625.547</v>
      </c>
      <c r="I1008" s="49"/>
      <c r="J1008" s="49"/>
      <c r="K1008" s="15">
        <f t="shared" si="4"/>
        <v>17980747.2</v>
      </c>
      <c r="L1008" s="47"/>
      <c r="M1008" s="50"/>
    </row>
    <row r="1009" ht="15.75" customHeight="1">
      <c r="A1009" s="46">
        <v>45813.0</v>
      </c>
      <c r="B1009" s="60"/>
      <c r="C1009" s="61" t="s">
        <v>1099</v>
      </c>
      <c r="D1009" s="62" t="s">
        <v>1100</v>
      </c>
      <c r="E1009" s="62" t="s">
        <v>1103</v>
      </c>
      <c r="F1009" s="48">
        <v>45802.0</v>
      </c>
      <c r="G1009" s="121">
        <v>1.847334967E7</v>
      </c>
      <c r="H1009" s="9">
        <f t="shared" si="5"/>
        <v>3879403.431</v>
      </c>
      <c r="I1009" s="49"/>
      <c r="J1009" s="49"/>
      <c r="K1009" s="15">
        <f t="shared" si="4"/>
        <v>22352753.1</v>
      </c>
      <c r="L1009" s="47"/>
      <c r="M1009" s="50"/>
    </row>
    <row r="1010" ht="15.75" customHeight="1">
      <c r="A1010" s="39">
        <v>45814.0</v>
      </c>
      <c r="B1010" s="55"/>
      <c r="C1010" s="31" t="s">
        <v>211</v>
      </c>
      <c r="D1010" s="32" t="s">
        <v>99</v>
      </c>
      <c r="E1010" s="31" t="s">
        <v>1104</v>
      </c>
      <c r="F1010" s="51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5"/>
      <c r="C1011" s="31" t="s">
        <v>74</v>
      </c>
      <c r="D1011" s="32" t="s">
        <v>15</v>
      </c>
      <c r="E1011" s="31" t="s">
        <v>1105</v>
      </c>
      <c r="F1011" s="51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5"/>
      <c r="C1012" s="31" t="s">
        <v>969</v>
      </c>
      <c r="D1012" s="32" t="s">
        <v>15</v>
      </c>
      <c r="E1012" s="31" t="s">
        <v>1106</v>
      </c>
      <c r="F1012" s="51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5"/>
      <c r="C1013" s="31" t="s">
        <v>969</v>
      </c>
      <c r="D1013" s="32" t="s">
        <v>15</v>
      </c>
      <c r="E1013" s="31" t="s">
        <v>1107</v>
      </c>
      <c r="F1013" s="51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5"/>
      <c r="C1014" s="31" t="s">
        <v>969</v>
      </c>
      <c r="D1014" s="32" t="s">
        <v>15</v>
      </c>
      <c r="E1014" s="31" t="s">
        <v>1108</v>
      </c>
      <c r="F1014" s="51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5"/>
      <c r="C1015" s="32" t="s">
        <v>53</v>
      </c>
      <c r="D1015" s="32" t="s">
        <v>15</v>
      </c>
      <c r="E1015" s="31" t="s">
        <v>1109</v>
      </c>
      <c r="F1015" s="51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5"/>
      <c r="C1018" s="31" t="s">
        <v>1112</v>
      </c>
      <c r="D1018" s="32" t="s">
        <v>99</v>
      </c>
      <c r="E1018" s="31" t="s">
        <v>1113</v>
      </c>
      <c r="F1018" s="51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5"/>
      <c r="C1019" s="31" t="s">
        <v>1112</v>
      </c>
      <c r="D1019" s="32" t="s">
        <v>99</v>
      </c>
      <c r="E1019" s="31" t="s">
        <v>1114</v>
      </c>
      <c r="F1019" s="51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5"/>
      <c r="C1020" s="31" t="s">
        <v>1112</v>
      </c>
      <c r="D1020" s="32" t="s">
        <v>99</v>
      </c>
      <c r="E1020" s="31" t="s">
        <v>1115</v>
      </c>
      <c r="F1020" s="51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5"/>
      <c r="C1021" s="31" t="s">
        <v>1112</v>
      </c>
      <c r="D1021" s="32" t="s">
        <v>99</v>
      </c>
      <c r="E1021" s="31" t="s">
        <v>1116</v>
      </c>
      <c r="F1021" s="51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5"/>
      <c r="C1022" s="31" t="s">
        <v>1112</v>
      </c>
      <c r="D1022" s="32" t="s">
        <v>99</v>
      </c>
      <c r="E1022" s="31" t="s">
        <v>1117</v>
      </c>
      <c r="F1022" s="51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5"/>
      <c r="C1023" s="31" t="s">
        <v>1054</v>
      </c>
      <c r="D1023" s="32" t="s">
        <v>99</v>
      </c>
      <c r="E1023" s="31" t="s">
        <v>1118</v>
      </c>
      <c r="F1023" s="51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5"/>
      <c r="C1024" s="31" t="s">
        <v>410</v>
      </c>
      <c r="D1024" s="32" t="s">
        <v>15</v>
      </c>
      <c r="E1024" s="31" t="s">
        <v>1119</v>
      </c>
      <c r="F1024" s="51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5"/>
      <c r="C1025" s="31" t="s">
        <v>1112</v>
      </c>
      <c r="D1025" s="32" t="s">
        <v>15</v>
      </c>
      <c r="E1025" s="31" t="s">
        <v>1120</v>
      </c>
      <c r="F1025" s="51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5"/>
      <c r="C1026" s="31" t="s">
        <v>1112</v>
      </c>
      <c r="D1026" s="32" t="s">
        <v>15</v>
      </c>
      <c r="E1026" s="31" t="s">
        <v>1121</v>
      </c>
      <c r="F1026" s="51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5"/>
      <c r="C1027" s="31" t="s">
        <v>1112</v>
      </c>
      <c r="D1027" s="32" t="s">
        <v>15</v>
      </c>
      <c r="E1027" s="31" t="s">
        <v>1122</v>
      </c>
      <c r="F1027" s="51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5"/>
      <c r="C1028" s="31" t="s">
        <v>635</v>
      </c>
      <c r="D1028" s="32" t="s">
        <v>99</v>
      </c>
      <c r="E1028" s="31" t="s">
        <v>1123</v>
      </c>
      <c r="F1028" s="51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5"/>
      <c r="C1029" s="31" t="s">
        <v>635</v>
      </c>
      <c r="D1029" s="32" t="s">
        <v>99</v>
      </c>
      <c r="E1029" s="31" t="s">
        <v>1125</v>
      </c>
      <c r="F1029" s="51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5"/>
      <c r="C1030" s="31" t="s">
        <v>635</v>
      </c>
      <c r="D1030" s="32" t="s">
        <v>99</v>
      </c>
      <c r="E1030" s="31" t="s">
        <v>1126</v>
      </c>
      <c r="F1030" s="51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5"/>
      <c r="C1031" s="31" t="s">
        <v>635</v>
      </c>
      <c r="D1031" s="32" t="s">
        <v>99</v>
      </c>
      <c r="E1031" s="31" t="s">
        <v>1127</v>
      </c>
      <c r="F1031" s="51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5"/>
      <c r="C1032" s="31" t="s">
        <v>635</v>
      </c>
      <c r="D1032" s="32" t="s">
        <v>99</v>
      </c>
      <c r="E1032" s="31" t="s">
        <v>1128</v>
      </c>
      <c r="F1032" s="51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5"/>
      <c r="C1033" s="31" t="s">
        <v>443</v>
      </c>
      <c r="D1033" s="32" t="s">
        <v>99</v>
      </c>
      <c r="E1033" s="31" t="s">
        <v>1129</v>
      </c>
      <c r="F1033" s="51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5"/>
      <c r="C1034" s="31" t="s">
        <v>443</v>
      </c>
      <c r="D1034" s="32" t="s">
        <v>99</v>
      </c>
      <c r="E1034" s="31" t="s">
        <v>1130</v>
      </c>
      <c r="F1034" s="51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5"/>
      <c r="C1035" s="31" t="s">
        <v>718</v>
      </c>
      <c r="D1035" s="32" t="s">
        <v>99</v>
      </c>
      <c r="E1035" s="31" t="s">
        <v>1131</v>
      </c>
      <c r="F1035" s="51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5"/>
      <c r="C1036" s="31" t="s">
        <v>718</v>
      </c>
      <c r="D1036" s="32" t="s">
        <v>99</v>
      </c>
      <c r="E1036" s="31" t="s">
        <v>1132</v>
      </c>
      <c r="F1036" s="51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5"/>
      <c r="C1037" s="31" t="s">
        <v>140</v>
      </c>
      <c r="D1037" s="32" t="s">
        <v>15</v>
      </c>
      <c r="E1037" s="31" t="s">
        <v>1133</v>
      </c>
      <c r="F1037" s="51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5"/>
      <c r="C1038" s="31" t="s">
        <v>140</v>
      </c>
      <c r="D1038" s="32" t="s">
        <v>15</v>
      </c>
      <c r="E1038" s="31" t="s">
        <v>1134</v>
      </c>
      <c r="F1038" s="51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5"/>
      <c r="C1039" s="31" t="s">
        <v>140</v>
      </c>
      <c r="D1039" s="32" t="s">
        <v>15</v>
      </c>
      <c r="E1039" s="31" t="s">
        <v>1135</v>
      </c>
      <c r="F1039" s="51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5"/>
      <c r="C1040" s="31" t="s">
        <v>1136</v>
      </c>
      <c r="D1040" s="32" t="s">
        <v>15</v>
      </c>
      <c r="E1040" s="31" t="s">
        <v>1137</v>
      </c>
      <c r="F1040" s="51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5"/>
      <c r="C1041" s="31" t="s">
        <v>1136</v>
      </c>
      <c r="D1041" s="32" t="s">
        <v>15</v>
      </c>
      <c r="E1041" s="31" t="s">
        <v>1138</v>
      </c>
      <c r="F1041" s="51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5"/>
      <c r="C1042" s="31" t="s">
        <v>1136</v>
      </c>
      <c r="D1042" s="32" t="s">
        <v>15</v>
      </c>
      <c r="E1042" s="31" t="s">
        <v>1139</v>
      </c>
      <c r="F1042" s="51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5"/>
      <c r="C1043" s="31" t="s">
        <v>1136</v>
      </c>
      <c r="D1043" s="32" t="s">
        <v>99</v>
      </c>
      <c r="E1043" s="31" t="s">
        <v>1140</v>
      </c>
      <c r="F1043" s="51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5"/>
      <c r="C1044" s="31" t="s">
        <v>1136</v>
      </c>
      <c r="D1044" s="32" t="s">
        <v>99</v>
      </c>
      <c r="E1044" s="31" t="s">
        <v>1141</v>
      </c>
      <c r="F1044" s="51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5"/>
      <c r="C1045" s="31" t="s">
        <v>1136</v>
      </c>
      <c r="D1045" s="32" t="s">
        <v>99</v>
      </c>
      <c r="E1045" s="31" t="s">
        <v>1142</v>
      </c>
      <c r="F1045" s="51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5"/>
      <c r="C1046" s="31" t="s">
        <v>1136</v>
      </c>
      <c r="D1046" s="32" t="s">
        <v>15</v>
      </c>
      <c r="E1046" s="31" t="s">
        <v>1143</v>
      </c>
      <c r="F1046" s="51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5"/>
      <c r="C1047" s="31" t="s">
        <v>1136</v>
      </c>
      <c r="D1047" s="32" t="s">
        <v>15</v>
      </c>
      <c r="E1047" s="31" t="s">
        <v>1144</v>
      </c>
      <c r="F1047" s="51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5"/>
      <c r="C1048" s="31" t="s">
        <v>1136</v>
      </c>
      <c r="D1048" s="32" t="s">
        <v>15</v>
      </c>
      <c r="E1048" s="31" t="s">
        <v>1145</v>
      </c>
      <c r="F1048" s="51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5"/>
      <c r="C1049" s="31" t="s">
        <v>1136</v>
      </c>
      <c r="D1049" s="32" t="s">
        <v>99</v>
      </c>
      <c r="E1049" s="31" t="s">
        <v>1146</v>
      </c>
      <c r="F1049" s="51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5"/>
      <c r="C1050" s="31" t="s">
        <v>1136</v>
      </c>
      <c r="D1050" s="32" t="s">
        <v>99</v>
      </c>
      <c r="E1050" s="31" t="s">
        <v>1147</v>
      </c>
      <c r="F1050" s="51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5"/>
      <c r="C1051" s="31" t="s">
        <v>1136</v>
      </c>
      <c r="D1051" s="32" t="s">
        <v>99</v>
      </c>
      <c r="E1051" s="31" t="s">
        <v>1148</v>
      </c>
      <c r="F1051" s="51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5"/>
      <c r="C1052" s="31" t="s">
        <v>1136</v>
      </c>
      <c r="D1052" s="32" t="s">
        <v>99</v>
      </c>
      <c r="E1052" s="31" t="s">
        <v>1149</v>
      </c>
      <c r="F1052" s="51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5"/>
      <c r="C1053" s="31" t="s">
        <v>1136</v>
      </c>
      <c r="D1053" s="32" t="s">
        <v>99</v>
      </c>
      <c r="E1053" s="31" t="s">
        <v>1150</v>
      </c>
      <c r="F1053" s="51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5"/>
      <c r="C1054" s="31" t="s">
        <v>1136</v>
      </c>
      <c r="D1054" s="32" t="s">
        <v>99</v>
      </c>
      <c r="E1054" s="32" t="s">
        <v>1151</v>
      </c>
      <c r="F1054" s="51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5"/>
      <c r="C1055" s="31" t="s">
        <v>1136</v>
      </c>
      <c r="D1055" s="32" t="s">
        <v>15</v>
      </c>
      <c r="E1055" s="31" t="s">
        <v>1152</v>
      </c>
      <c r="F1055" s="51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5"/>
      <c r="C1056" s="31" t="s">
        <v>1136</v>
      </c>
      <c r="D1056" s="32" t="s">
        <v>15</v>
      </c>
      <c r="E1056" s="31" t="s">
        <v>1153</v>
      </c>
      <c r="F1056" s="51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5"/>
      <c r="C1057" s="31" t="s">
        <v>1136</v>
      </c>
      <c r="D1057" s="32" t="s">
        <v>15</v>
      </c>
      <c r="E1057" s="32" t="s">
        <v>1154</v>
      </c>
      <c r="F1057" s="51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5"/>
      <c r="C1058" s="31" t="s">
        <v>1136</v>
      </c>
      <c r="D1058" s="32" t="s">
        <v>99</v>
      </c>
      <c r="E1058" s="31" t="s">
        <v>1155</v>
      </c>
      <c r="F1058" s="51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5"/>
      <c r="C1059" s="31" t="s">
        <v>1136</v>
      </c>
      <c r="D1059" s="32" t="s">
        <v>15</v>
      </c>
      <c r="E1059" s="31" t="s">
        <v>1156</v>
      </c>
      <c r="F1059" s="51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5"/>
      <c r="C1060" s="31" t="s">
        <v>1136</v>
      </c>
      <c r="D1060" s="32" t="s">
        <v>15</v>
      </c>
      <c r="E1060" s="31" t="s">
        <v>1157</v>
      </c>
      <c r="F1060" s="51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5"/>
      <c r="C1061" s="31" t="s">
        <v>1032</v>
      </c>
      <c r="D1061" s="32" t="s">
        <v>15</v>
      </c>
      <c r="E1061" s="31" t="s">
        <v>1158</v>
      </c>
      <c r="F1061" s="51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5"/>
      <c r="C1062" s="31" t="s">
        <v>1032</v>
      </c>
      <c r="D1062" s="32" t="s">
        <v>99</v>
      </c>
      <c r="E1062" s="31" t="s">
        <v>1159</v>
      </c>
      <c r="F1062" s="51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5"/>
      <c r="C1063" s="31" t="s">
        <v>890</v>
      </c>
      <c r="D1063" s="32" t="s">
        <v>99</v>
      </c>
      <c r="E1063" s="31" t="s">
        <v>1160</v>
      </c>
      <c r="F1063" s="51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5"/>
      <c r="C1064" s="31" t="s">
        <v>890</v>
      </c>
      <c r="D1064" s="32" t="s">
        <v>15</v>
      </c>
      <c r="E1064" s="31" t="s">
        <v>1161</v>
      </c>
      <c r="F1064" s="51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5"/>
      <c r="C1065" s="32" t="s">
        <v>122</v>
      </c>
      <c r="D1065" s="32" t="s">
        <v>15</v>
      </c>
      <c r="E1065" s="32" t="s">
        <v>1162</v>
      </c>
      <c r="F1065" s="51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8">
        <v>1.280932071E7</v>
      </c>
      <c r="H1066" s="14">
        <f t="shared" si="5"/>
        <v>2689957.349</v>
      </c>
      <c r="I1066" s="55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8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5"/>
      <c r="C1068" s="31" t="s">
        <v>137</v>
      </c>
      <c r="D1068" s="32" t="s">
        <v>15</v>
      </c>
      <c r="E1068" s="31" t="s">
        <v>1165</v>
      </c>
      <c r="F1068" s="51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5"/>
      <c r="C1069" s="31" t="s">
        <v>137</v>
      </c>
      <c r="D1069" s="32" t="s">
        <v>15</v>
      </c>
      <c r="E1069" s="31" t="s">
        <v>1166</v>
      </c>
      <c r="F1069" s="51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5"/>
      <c r="C1070" s="32" t="s">
        <v>1167</v>
      </c>
      <c r="D1070" s="32" t="s">
        <v>15</v>
      </c>
      <c r="E1070" s="31" t="s">
        <v>1168</v>
      </c>
      <c r="F1070" s="51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5"/>
      <c r="C1071" s="31" t="s">
        <v>1136</v>
      </c>
      <c r="D1071" s="32" t="s">
        <v>15</v>
      </c>
      <c r="E1071" s="31" t="s">
        <v>1169</v>
      </c>
      <c r="F1071" s="51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5"/>
      <c r="C1072" s="31" t="s">
        <v>1136</v>
      </c>
      <c r="D1072" s="32" t="s">
        <v>15</v>
      </c>
      <c r="E1072" s="31" t="s">
        <v>1170</v>
      </c>
      <c r="F1072" s="51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46">
        <v>45832.0</v>
      </c>
      <c r="B1073" s="60"/>
      <c r="C1073" s="61" t="s">
        <v>1040</v>
      </c>
      <c r="D1073" s="61" t="s">
        <v>1041</v>
      </c>
      <c r="E1073" s="61" t="s">
        <v>1171</v>
      </c>
      <c r="F1073" s="48">
        <v>45833.0</v>
      </c>
      <c r="G1073" s="44">
        <v>2.05548843E7</v>
      </c>
      <c r="H1073" s="9">
        <f t="shared" si="5"/>
        <v>4316525.703</v>
      </c>
      <c r="I1073" s="49"/>
      <c r="J1073" s="49"/>
      <c r="K1073" s="15">
        <f t="shared" si="4"/>
        <v>24871410</v>
      </c>
      <c r="L1073" s="47"/>
      <c r="M1073" s="50"/>
    </row>
    <row r="1074" ht="15.75" customHeight="1">
      <c r="A1074" s="46">
        <v>45832.0</v>
      </c>
      <c r="B1074" s="60"/>
      <c r="C1074" s="61" t="s">
        <v>1040</v>
      </c>
      <c r="D1074" s="61" t="s">
        <v>1041</v>
      </c>
      <c r="E1074" s="61" t="s">
        <v>1172</v>
      </c>
      <c r="F1074" s="48">
        <v>45833.0</v>
      </c>
      <c r="G1074" s="133">
        <v>7230888.43</v>
      </c>
      <c r="H1074" s="9">
        <f t="shared" si="5"/>
        <v>1518486.57</v>
      </c>
      <c r="I1074" s="49"/>
      <c r="J1074" s="49"/>
      <c r="K1074" s="15">
        <f t="shared" si="4"/>
        <v>8749375</v>
      </c>
      <c r="L1074" s="47"/>
      <c r="M1074" s="50"/>
    </row>
    <row r="1075" ht="15.75" customHeight="1">
      <c r="A1075" s="46">
        <v>45832.0</v>
      </c>
      <c r="B1075" s="60"/>
      <c r="C1075" s="61" t="s">
        <v>1040</v>
      </c>
      <c r="D1075" s="61" t="s">
        <v>1041</v>
      </c>
      <c r="E1075" s="61" t="s">
        <v>1173</v>
      </c>
      <c r="F1075" s="48">
        <v>45833.0</v>
      </c>
      <c r="G1075" s="44">
        <v>1.95225E7</v>
      </c>
      <c r="H1075" s="9">
        <f t="shared" si="5"/>
        <v>4099725</v>
      </c>
      <c r="I1075" s="49"/>
      <c r="J1075" s="49"/>
      <c r="K1075" s="15">
        <f t="shared" si="4"/>
        <v>23622225</v>
      </c>
      <c r="L1075" s="47"/>
      <c r="M1075" s="50"/>
    </row>
    <row r="1076" ht="15.75" customHeight="1">
      <c r="A1076" s="39">
        <v>45832.0</v>
      </c>
      <c r="B1076" s="55"/>
      <c r="C1076" s="31" t="s">
        <v>429</v>
      </c>
      <c r="D1076" s="32" t="s">
        <v>99</v>
      </c>
      <c r="E1076" s="31" t="s">
        <v>1174</v>
      </c>
      <c r="F1076" s="51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5"/>
      <c r="C1077" s="31" t="s">
        <v>429</v>
      </c>
      <c r="D1077" s="32" t="s">
        <v>99</v>
      </c>
      <c r="E1077" s="31" t="s">
        <v>1176</v>
      </c>
      <c r="F1077" s="51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5"/>
      <c r="C1078" s="31" t="s">
        <v>1177</v>
      </c>
      <c r="D1078" s="32" t="s">
        <v>99</v>
      </c>
      <c r="E1078" s="31" t="s">
        <v>1178</v>
      </c>
      <c r="F1078" s="51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5"/>
      <c r="C1079" s="31" t="s">
        <v>1179</v>
      </c>
      <c r="D1079" s="32" t="s">
        <v>99</v>
      </c>
      <c r="E1079" s="31" t="s">
        <v>1180</v>
      </c>
      <c r="F1079" s="51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5"/>
      <c r="C1080" s="31" t="s">
        <v>1179</v>
      </c>
      <c r="D1080" s="32" t="s">
        <v>99</v>
      </c>
      <c r="E1080" s="31" t="s">
        <v>1181</v>
      </c>
      <c r="F1080" s="51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5"/>
      <c r="C1081" s="31" t="s">
        <v>1179</v>
      </c>
      <c r="D1081" s="32" t="s">
        <v>15</v>
      </c>
      <c r="E1081" s="31" t="s">
        <v>1182</v>
      </c>
      <c r="F1081" s="51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5"/>
      <c r="C1082" s="31" t="s">
        <v>1183</v>
      </c>
      <c r="D1082" s="32" t="s">
        <v>15</v>
      </c>
      <c r="E1082" s="31" t="s">
        <v>1184</v>
      </c>
      <c r="F1082" s="51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5"/>
      <c r="C1083" s="31" t="s">
        <v>1183</v>
      </c>
      <c r="D1083" s="32" t="s">
        <v>15</v>
      </c>
      <c r="E1083" s="31" t="s">
        <v>1185</v>
      </c>
      <c r="F1083" s="51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5"/>
      <c r="C1084" s="31" t="s">
        <v>1183</v>
      </c>
      <c r="D1084" s="32" t="s">
        <v>15</v>
      </c>
      <c r="E1084" s="31" t="s">
        <v>1186</v>
      </c>
      <c r="F1084" s="51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5"/>
      <c r="C1085" s="31" t="s">
        <v>1183</v>
      </c>
      <c r="D1085" s="32" t="s">
        <v>15</v>
      </c>
      <c r="E1085" s="31" t="s">
        <v>1187</v>
      </c>
      <c r="F1085" s="51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5"/>
      <c r="C1086" s="31" t="s">
        <v>1183</v>
      </c>
      <c r="D1086" s="32" t="s">
        <v>15</v>
      </c>
      <c r="E1086" s="31" t="s">
        <v>1188</v>
      </c>
      <c r="F1086" s="51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5"/>
      <c r="C1087" s="31" t="s">
        <v>1189</v>
      </c>
      <c r="D1087" s="32" t="s">
        <v>15</v>
      </c>
      <c r="E1087" s="31" t="s">
        <v>1190</v>
      </c>
      <c r="F1087" s="51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5"/>
      <c r="C1088" s="31" t="s">
        <v>1189</v>
      </c>
      <c r="D1088" s="32" t="s">
        <v>15</v>
      </c>
      <c r="E1088" s="31" t="s">
        <v>1191</v>
      </c>
      <c r="F1088" s="51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5"/>
      <c r="C1089" s="31" t="s">
        <v>1189</v>
      </c>
      <c r="D1089" s="32" t="s">
        <v>15</v>
      </c>
      <c r="E1089" s="31" t="s">
        <v>1192</v>
      </c>
      <c r="F1089" s="51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5"/>
      <c r="C1090" s="31" t="s">
        <v>1189</v>
      </c>
      <c r="D1090" s="32" t="s">
        <v>15</v>
      </c>
      <c r="E1090" s="31" t="s">
        <v>1193</v>
      </c>
      <c r="F1090" s="51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5"/>
      <c r="C1091" s="31" t="s">
        <v>1189</v>
      </c>
      <c r="D1091" s="32" t="s">
        <v>15</v>
      </c>
      <c r="E1091" s="31" t="s">
        <v>1194</v>
      </c>
      <c r="F1091" s="51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5"/>
      <c r="C1092" s="31" t="s">
        <v>247</v>
      </c>
      <c r="D1092" s="32" t="s">
        <v>15</v>
      </c>
      <c r="E1092" s="31" t="s">
        <v>1195</v>
      </c>
      <c r="F1092" s="51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5"/>
      <c r="C1093" s="31" t="s">
        <v>247</v>
      </c>
      <c r="D1093" s="32" t="s">
        <v>15</v>
      </c>
      <c r="E1093" s="31" t="s">
        <v>1196</v>
      </c>
      <c r="F1093" s="51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5"/>
      <c r="C1094" s="31" t="s">
        <v>247</v>
      </c>
      <c r="D1094" s="32" t="s">
        <v>15</v>
      </c>
      <c r="E1094" s="31" t="s">
        <v>1197</v>
      </c>
      <c r="F1094" s="51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5"/>
      <c r="C1095" s="31" t="s">
        <v>247</v>
      </c>
      <c r="D1095" s="32" t="s">
        <v>15</v>
      </c>
      <c r="E1095" s="31" t="s">
        <v>1198</v>
      </c>
      <c r="F1095" s="51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5"/>
      <c r="C1096" s="31" t="s">
        <v>1199</v>
      </c>
      <c r="D1096" s="32" t="s">
        <v>15</v>
      </c>
      <c r="E1096" s="31" t="s">
        <v>1200</v>
      </c>
      <c r="F1096" s="51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5"/>
      <c r="C1097" s="31" t="s">
        <v>1199</v>
      </c>
      <c r="D1097" s="32" t="s">
        <v>15</v>
      </c>
      <c r="E1097" s="31" t="s">
        <v>1201</v>
      </c>
      <c r="F1097" s="51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5"/>
      <c r="C1098" s="31" t="s">
        <v>561</v>
      </c>
      <c r="D1098" s="32" t="s">
        <v>15</v>
      </c>
      <c r="E1098" s="31" t="s">
        <v>1202</v>
      </c>
      <c r="F1098" s="51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5"/>
      <c r="C1099" s="31" t="s">
        <v>561</v>
      </c>
      <c r="D1099" s="32" t="s">
        <v>15</v>
      </c>
      <c r="E1099" s="31" t="s">
        <v>1203</v>
      </c>
      <c r="F1099" s="51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5"/>
      <c r="C1100" s="31" t="s">
        <v>561</v>
      </c>
      <c r="D1100" s="32" t="s">
        <v>15</v>
      </c>
      <c r="E1100" s="31" t="s">
        <v>1204</v>
      </c>
      <c r="F1100" s="51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5"/>
      <c r="C1101" s="31" t="s">
        <v>561</v>
      </c>
      <c r="D1101" s="32" t="s">
        <v>15</v>
      </c>
      <c r="E1101" s="31" t="s">
        <v>1205</v>
      </c>
      <c r="F1101" s="51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5"/>
      <c r="C1102" s="31" t="s">
        <v>561</v>
      </c>
      <c r="D1102" s="32" t="s">
        <v>15</v>
      </c>
      <c r="E1102" s="31" t="s">
        <v>1206</v>
      </c>
      <c r="F1102" s="51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46">
        <v>45834.0</v>
      </c>
      <c r="B1103" s="60"/>
      <c r="C1103" s="61" t="s">
        <v>1040</v>
      </c>
      <c r="D1103" s="62" t="s">
        <v>1207</v>
      </c>
      <c r="E1103" s="62" t="s">
        <v>1208</v>
      </c>
      <c r="F1103" s="48">
        <v>45833.0</v>
      </c>
      <c r="G1103" s="44">
        <v>5000950.0</v>
      </c>
      <c r="H1103" s="9">
        <f t="shared" si="5"/>
        <v>1050199.5</v>
      </c>
      <c r="I1103" s="49"/>
      <c r="J1103" s="49"/>
      <c r="K1103" s="15">
        <f t="shared" si="4"/>
        <v>6051149.5</v>
      </c>
      <c r="L1103" s="47"/>
      <c r="M1103" s="50"/>
    </row>
    <row r="1104" ht="15.75" customHeight="1">
      <c r="A1104" s="46">
        <v>45838.0</v>
      </c>
      <c r="B1104" s="60"/>
      <c r="C1104" s="61" t="s">
        <v>1040</v>
      </c>
      <c r="D1104" s="62" t="s">
        <v>1209</v>
      </c>
      <c r="E1104" s="62" t="s">
        <v>1210</v>
      </c>
      <c r="F1104" s="48">
        <v>45833.0</v>
      </c>
      <c r="G1104" s="44">
        <v>9936784.34</v>
      </c>
      <c r="H1104" s="9">
        <f t="shared" si="5"/>
        <v>2086724.711</v>
      </c>
      <c r="I1104" s="49"/>
      <c r="J1104" s="49"/>
      <c r="K1104" s="15">
        <f t="shared" si="4"/>
        <v>12023509.05</v>
      </c>
      <c r="L1104" s="47"/>
      <c r="M1104" s="50"/>
    </row>
    <row r="1105" ht="15.75" customHeight="1">
      <c r="A1105" s="39">
        <v>45838.0</v>
      </c>
      <c r="B1105" s="55"/>
      <c r="C1105" s="31" t="s">
        <v>242</v>
      </c>
      <c r="D1105" s="32" t="s">
        <v>99</v>
      </c>
      <c r="E1105" s="32" t="s">
        <v>1211</v>
      </c>
      <c r="F1105" s="51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5"/>
      <c r="C1106" s="31" t="s">
        <v>242</v>
      </c>
      <c r="D1106" s="32" t="s">
        <v>99</v>
      </c>
      <c r="E1106" s="31" t="s">
        <v>1212</v>
      </c>
      <c r="F1106" s="51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5"/>
      <c r="C1107" s="31" t="s">
        <v>242</v>
      </c>
      <c r="D1107" s="32" t="s">
        <v>99</v>
      </c>
      <c r="E1107" s="31" t="s">
        <v>1213</v>
      </c>
      <c r="F1107" s="51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5"/>
      <c r="C1108" s="31" t="s">
        <v>55</v>
      </c>
      <c r="D1108" s="32" t="s">
        <v>99</v>
      </c>
      <c r="E1108" s="31" t="s">
        <v>1214</v>
      </c>
      <c r="F1108" s="51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5"/>
      <c r="C1109" s="31" t="s">
        <v>55</v>
      </c>
      <c r="D1109" s="32" t="s">
        <v>99</v>
      </c>
      <c r="E1109" s="31" t="s">
        <v>1215</v>
      </c>
      <c r="F1109" s="51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5"/>
      <c r="C1110" s="31" t="s">
        <v>55</v>
      </c>
      <c r="D1110" s="32" t="s">
        <v>99</v>
      </c>
      <c r="E1110" s="31" t="s">
        <v>1216</v>
      </c>
      <c r="F1110" s="51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5"/>
      <c r="C1111" s="31" t="s">
        <v>441</v>
      </c>
      <c r="D1111" s="32" t="s">
        <v>99</v>
      </c>
      <c r="E1111" s="31" t="s">
        <v>1217</v>
      </c>
      <c r="F1111" s="51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5"/>
      <c r="C1112" s="31" t="s">
        <v>441</v>
      </c>
      <c r="D1112" s="32" t="s">
        <v>99</v>
      </c>
      <c r="E1112" s="31" t="s">
        <v>1218</v>
      </c>
      <c r="F1112" s="51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5"/>
      <c r="C1113" s="31" t="s">
        <v>497</v>
      </c>
      <c r="D1113" s="32" t="s">
        <v>99</v>
      </c>
      <c r="E1113" s="31" t="s">
        <v>1219</v>
      </c>
      <c r="F1113" s="51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5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5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5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5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5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5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5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5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5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5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5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5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5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5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5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5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5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46">
        <v>45840.0</v>
      </c>
      <c r="B1131" s="120" t="s">
        <v>1238</v>
      </c>
      <c r="C1131" s="135" t="s">
        <v>1239</v>
      </c>
      <c r="D1131" s="62" t="s">
        <v>1240</v>
      </c>
      <c r="E1131" s="61"/>
      <c r="F1131" s="136">
        <v>45833.0</v>
      </c>
      <c r="G1131" s="44">
        <v>1.300814E7</v>
      </c>
      <c r="H1131" s="9">
        <f t="shared" ref="H1131:H1274" si="6">G1131*0.21</f>
        <v>2731709.4</v>
      </c>
      <c r="I1131" s="60"/>
      <c r="J1131" s="49"/>
      <c r="K1131" s="10">
        <f t="shared" si="4"/>
        <v>15739849.4</v>
      </c>
      <c r="L1131" s="47"/>
      <c r="M1131" s="50"/>
    </row>
    <row r="1132" ht="15.75" customHeight="1">
      <c r="A1132" s="46">
        <v>45840.0</v>
      </c>
      <c r="B1132" s="120" t="s">
        <v>1238</v>
      </c>
      <c r="C1132" s="135" t="s">
        <v>1241</v>
      </c>
      <c r="D1132" s="62" t="s">
        <v>1240</v>
      </c>
      <c r="E1132" s="61"/>
      <c r="F1132" s="136">
        <v>45833.0</v>
      </c>
      <c r="G1132" s="44">
        <v>1.112913E7</v>
      </c>
      <c r="H1132" s="9">
        <f t="shared" si="6"/>
        <v>2337117.3</v>
      </c>
      <c r="I1132" s="60"/>
      <c r="J1132" s="49"/>
      <c r="K1132" s="10">
        <f t="shared" si="4"/>
        <v>13466247.3</v>
      </c>
      <c r="L1132" s="47"/>
      <c r="M1132" s="50"/>
    </row>
    <row r="1133" ht="15.75" customHeight="1">
      <c r="A1133" s="46">
        <v>45840.0</v>
      </c>
      <c r="B1133" s="120" t="s">
        <v>1238</v>
      </c>
      <c r="C1133" s="135" t="s">
        <v>1242</v>
      </c>
      <c r="D1133" s="62" t="s">
        <v>1240</v>
      </c>
      <c r="E1133" s="61"/>
      <c r="F1133" s="136">
        <v>45833.0</v>
      </c>
      <c r="G1133" s="44">
        <v>1.0999166E7</v>
      </c>
      <c r="H1133" s="9">
        <f t="shared" si="6"/>
        <v>2309824.86</v>
      </c>
      <c r="I1133" s="60"/>
      <c r="J1133" s="49"/>
      <c r="K1133" s="10">
        <f t="shared" si="4"/>
        <v>13308990.86</v>
      </c>
      <c r="L1133" s="47"/>
      <c r="M1133" s="50"/>
    </row>
    <row r="1134" ht="15.75" customHeight="1">
      <c r="A1134" s="46">
        <v>45840.0</v>
      </c>
      <c r="B1134" s="120" t="s">
        <v>1238</v>
      </c>
      <c r="C1134" s="135" t="s">
        <v>1243</v>
      </c>
      <c r="D1134" s="62" t="s">
        <v>1240</v>
      </c>
      <c r="E1134" s="61"/>
      <c r="F1134" s="136">
        <v>45833.0</v>
      </c>
      <c r="G1134" s="44">
        <v>1519273.0</v>
      </c>
      <c r="H1134" s="9">
        <f t="shared" si="6"/>
        <v>319047.33</v>
      </c>
      <c r="I1134" s="60"/>
      <c r="J1134" s="49"/>
      <c r="K1134" s="10">
        <f t="shared" si="4"/>
        <v>1838320.33</v>
      </c>
      <c r="L1134" s="47"/>
      <c r="M1134" s="50"/>
    </row>
    <row r="1135" ht="15.75" customHeight="1">
      <c r="A1135" s="46">
        <v>45841.0</v>
      </c>
      <c r="B1135" s="60"/>
      <c r="C1135" s="135" t="s">
        <v>1241</v>
      </c>
      <c r="D1135" s="62" t="s">
        <v>1244</v>
      </c>
      <c r="E1135" s="62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60"/>
      <c r="J1135" s="49"/>
      <c r="K1135" s="10">
        <f t="shared" si="4"/>
        <v>26789424.66</v>
      </c>
      <c r="L1135" s="47"/>
      <c r="M1135" s="50"/>
    </row>
    <row r="1136" ht="15.75" customHeight="1">
      <c r="A1136" s="46">
        <v>45841.0</v>
      </c>
      <c r="B1136" s="60"/>
      <c r="C1136" s="135" t="s">
        <v>1246</v>
      </c>
      <c r="D1136" s="62" t="s">
        <v>1244</v>
      </c>
      <c r="E1136" s="62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60"/>
      <c r="J1136" s="49"/>
      <c r="K1136" s="10">
        <f t="shared" si="4"/>
        <v>22000145.83</v>
      </c>
      <c r="L1136" s="47"/>
      <c r="M1136" s="50"/>
    </row>
    <row r="1137" ht="15.75" customHeight="1">
      <c r="A1137" s="46">
        <v>45841.0</v>
      </c>
      <c r="B1137" s="60"/>
      <c r="C1137" s="135" t="s">
        <v>1248</v>
      </c>
      <c r="D1137" s="62" t="s">
        <v>1244</v>
      </c>
      <c r="E1137" s="62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60"/>
      <c r="J1137" s="49"/>
      <c r="K1137" s="10">
        <f t="shared" si="4"/>
        <v>20842693.13</v>
      </c>
      <c r="L1137" s="47"/>
      <c r="M1137" s="50"/>
    </row>
    <row r="1138" ht="15.75" customHeight="1">
      <c r="A1138" s="46">
        <v>45841.0</v>
      </c>
      <c r="B1138" s="60"/>
      <c r="C1138" s="135" t="s">
        <v>1250</v>
      </c>
      <c r="D1138" s="62" t="s">
        <v>1244</v>
      </c>
      <c r="E1138" s="62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60"/>
      <c r="J1138" s="49"/>
      <c r="K1138" s="10">
        <f t="shared" si="4"/>
        <v>26721359.73</v>
      </c>
      <c r="L1138" s="47"/>
      <c r="M1138" s="50"/>
    </row>
    <row r="1139" ht="15.75" customHeight="1">
      <c r="A1139" s="46">
        <v>45841.0</v>
      </c>
      <c r="B1139" s="60"/>
      <c r="C1139" s="135" t="s">
        <v>1250</v>
      </c>
      <c r="D1139" s="62" t="s">
        <v>1244</v>
      </c>
      <c r="E1139" s="62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60"/>
      <c r="J1139" s="49"/>
      <c r="K1139" s="10">
        <f t="shared" si="4"/>
        <v>35075554.28</v>
      </c>
      <c r="L1139" s="47"/>
      <c r="M1139" s="50"/>
    </row>
    <row r="1140" ht="15.75" customHeight="1">
      <c r="A1140" s="39">
        <v>45797.0</v>
      </c>
      <c r="B1140" s="55"/>
      <c r="C1140" s="31" t="s">
        <v>171</v>
      </c>
      <c r="D1140" s="32" t="s">
        <v>99</v>
      </c>
      <c r="E1140" s="31" t="s">
        <v>1253</v>
      </c>
      <c r="F1140" s="51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5"/>
      <c r="C1141" s="31" t="s">
        <v>171</v>
      </c>
      <c r="D1141" s="32" t="s">
        <v>99</v>
      </c>
      <c r="E1141" s="31" t="s">
        <v>1254</v>
      </c>
      <c r="F1141" s="51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5"/>
      <c r="C1142" s="31" t="s">
        <v>171</v>
      </c>
      <c r="D1142" s="32" t="s">
        <v>99</v>
      </c>
      <c r="E1142" s="31" t="s">
        <v>1255</v>
      </c>
      <c r="F1142" s="51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5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5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5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5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5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46"/>
      <c r="B1147" s="60"/>
      <c r="C1147" s="135" t="s">
        <v>278</v>
      </c>
      <c r="D1147" s="62" t="s">
        <v>15</v>
      </c>
      <c r="E1147" s="61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60"/>
      <c r="J1147" s="49"/>
      <c r="K1147" s="10">
        <f t="shared" si="4"/>
        <v>2346529.115</v>
      </c>
      <c r="L1147" s="47"/>
      <c r="M1147" s="50"/>
    </row>
    <row r="1148" ht="15.75" customHeight="1">
      <c r="A1148" s="39">
        <v>45842.0</v>
      </c>
      <c r="B1148" s="55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5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5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5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5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5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5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5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5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5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5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5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5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5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5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5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5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5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5"/>
      <c r="C1162" s="19" t="s">
        <v>1275</v>
      </c>
      <c r="D1162" s="32" t="s">
        <v>99</v>
      </c>
      <c r="E1162" s="31" t="s">
        <v>1276</v>
      </c>
      <c r="F1162" s="134">
        <v>45863.0</v>
      </c>
      <c r="G1162" s="58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5"/>
      <c r="C1163" s="19" t="s">
        <v>1277</v>
      </c>
      <c r="D1163" s="32" t="s">
        <v>99</v>
      </c>
      <c r="E1163" s="31" t="s">
        <v>1278</v>
      </c>
      <c r="F1163" s="134">
        <v>45863.0</v>
      </c>
      <c r="G1163" s="58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5"/>
      <c r="C1164" s="19" t="s">
        <v>1279</v>
      </c>
      <c r="D1164" s="32" t="s">
        <v>99</v>
      </c>
      <c r="E1164" s="31" t="s">
        <v>1280</v>
      </c>
      <c r="F1164" s="134">
        <v>45863.0</v>
      </c>
      <c r="G1164" s="58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5"/>
      <c r="C1165" s="19" t="s">
        <v>1281</v>
      </c>
      <c r="D1165" s="32" t="s">
        <v>99</v>
      </c>
      <c r="E1165" s="31" t="s">
        <v>1282</v>
      </c>
      <c r="F1165" s="134">
        <v>45863.0</v>
      </c>
      <c r="G1165" s="58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5"/>
      <c r="C1166" s="19" t="s">
        <v>1283</v>
      </c>
      <c r="D1166" s="32" t="s">
        <v>99</v>
      </c>
      <c r="E1166" s="31" t="s">
        <v>1284</v>
      </c>
      <c r="F1166" s="134">
        <v>45863.0</v>
      </c>
      <c r="G1166" s="58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5"/>
      <c r="C1167" s="19" t="s">
        <v>1285</v>
      </c>
      <c r="D1167" s="32" t="s">
        <v>99</v>
      </c>
      <c r="E1167" s="31" t="s">
        <v>1286</v>
      </c>
      <c r="F1167" s="134">
        <v>45863.0</v>
      </c>
      <c r="G1167" s="58">
        <v>3004890.69</v>
      </c>
      <c r="H1167" s="14">
        <f t="shared" si="6"/>
        <v>631027.0449</v>
      </c>
      <c r="I1167" s="55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5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8">
        <v>731025.66</v>
      </c>
      <c r="H1168" s="14">
        <f t="shared" si="6"/>
        <v>153515.3886</v>
      </c>
      <c r="I1168" s="55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5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8">
        <v>3633602.21</v>
      </c>
      <c r="H1169" s="14">
        <f t="shared" si="6"/>
        <v>763056.4641</v>
      </c>
      <c r="I1169" s="55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5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8">
        <v>1.555558989E7</v>
      </c>
      <c r="H1170" s="14">
        <f t="shared" si="6"/>
        <v>3266673.877</v>
      </c>
      <c r="I1170" s="55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5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8">
        <v>2.015177277E7</v>
      </c>
      <c r="H1171" s="14">
        <f t="shared" si="6"/>
        <v>4231872.282</v>
      </c>
      <c r="I1171" s="55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5"/>
      <c r="C1172" s="19" t="s">
        <v>1275</v>
      </c>
      <c r="D1172" s="32" t="s">
        <v>99</v>
      </c>
      <c r="E1172" s="31" t="s">
        <v>1292</v>
      </c>
      <c r="F1172" s="134">
        <v>45863.0</v>
      </c>
      <c r="G1172" s="58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8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8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8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8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8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8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8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8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8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8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8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8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8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8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8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8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8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8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8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8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8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8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8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8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8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8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8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8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8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8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8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8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8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8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5"/>
      <c r="C1207" s="31" t="s">
        <v>171</v>
      </c>
      <c r="D1207" s="32" t="s">
        <v>99</v>
      </c>
      <c r="E1207" s="31" t="s">
        <v>1328</v>
      </c>
      <c r="F1207" s="51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5"/>
      <c r="C1208" s="31" t="s">
        <v>171</v>
      </c>
      <c r="D1208" s="32" t="s">
        <v>99</v>
      </c>
      <c r="E1208" s="31" t="s">
        <v>1329</v>
      </c>
      <c r="F1208" s="51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5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5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5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5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5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5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46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46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46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51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51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8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8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8">
        <v>7630430.12</v>
      </c>
      <c r="H1219" s="14">
        <f t="shared" si="6"/>
        <v>1602390.325</v>
      </c>
      <c r="I1219" s="55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8">
        <v>7221730.19</v>
      </c>
      <c r="H1220" s="14">
        <f t="shared" si="6"/>
        <v>1516563.34</v>
      </c>
      <c r="I1220" s="55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8">
        <v>6898840.75</v>
      </c>
      <c r="H1221" s="14">
        <f t="shared" si="6"/>
        <v>1448756.558</v>
      </c>
      <c r="I1221" s="55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8">
        <v>7482531.11</v>
      </c>
      <c r="H1222" s="14">
        <f t="shared" si="6"/>
        <v>1571331.533</v>
      </c>
      <c r="I1222" s="55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8">
        <v>6148380.42</v>
      </c>
      <c r="H1223" s="14">
        <f t="shared" si="6"/>
        <v>1291159.888</v>
      </c>
      <c r="I1223" s="55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46">
        <v>45852.0</v>
      </c>
      <c r="B1224" s="46"/>
      <c r="C1224" s="61" t="s">
        <v>45</v>
      </c>
      <c r="D1224" s="62" t="s">
        <v>99</v>
      </c>
      <c r="E1224" s="61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60"/>
      <c r="J1224" s="44">
        <v>28075.46</v>
      </c>
      <c r="K1224" s="10">
        <f t="shared" si="4"/>
        <v>4881119.671</v>
      </c>
      <c r="L1224" s="47"/>
      <c r="M1224" s="50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8">
        <v>3009750.82</v>
      </c>
      <c r="H1225" s="14">
        <f t="shared" si="6"/>
        <v>632047.6722</v>
      </c>
      <c r="I1225" s="55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8">
        <v>3834320.19</v>
      </c>
      <c r="H1226" s="14">
        <f t="shared" si="6"/>
        <v>805207.2399</v>
      </c>
      <c r="I1226" s="55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8">
        <v>3458470.85</v>
      </c>
      <c r="H1227" s="14">
        <f t="shared" si="6"/>
        <v>726278.8785</v>
      </c>
      <c r="I1227" s="55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8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8">
        <v>6011822.34</v>
      </c>
      <c r="H1229" s="14">
        <f t="shared" si="6"/>
        <v>1262482.691</v>
      </c>
      <c r="I1229" s="55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8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8">
        <v>7009470.19</v>
      </c>
      <c r="H1231" s="14">
        <f t="shared" si="6"/>
        <v>1471988.74</v>
      </c>
      <c r="I1231" s="55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8">
        <v>1.290042152E7</v>
      </c>
      <c r="H1232" s="14">
        <f t="shared" si="6"/>
        <v>2709088.519</v>
      </c>
      <c r="I1232" s="55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8">
        <v>1.435023819E7</v>
      </c>
      <c r="H1233" s="14">
        <f t="shared" si="6"/>
        <v>3013550.02</v>
      </c>
      <c r="I1233" s="55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8">
        <v>9790056.43</v>
      </c>
      <c r="H1234" s="14">
        <f t="shared" si="6"/>
        <v>2055911.85</v>
      </c>
      <c r="I1234" s="55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5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5"/>
      <c r="M1236" s="24">
        <v>45715.0</v>
      </c>
    </row>
    <row r="1237" ht="15.75" customHeight="1">
      <c r="A1237" s="39">
        <v>45785.0</v>
      </c>
      <c r="B1237" s="55"/>
      <c r="C1237" s="31" t="s">
        <v>137</v>
      </c>
      <c r="D1237" s="32" t="s">
        <v>99</v>
      </c>
      <c r="E1237" s="32" t="s">
        <v>1360</v>
      </c>
      <c r="F1237" s="51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5"/>
      <c r="C1238" s="31" t="s">
        <v>137</v>
      </c>
      <c r="D1238" s="32" t="s">
        <v>15</v>
      </c>
      <c r="E1238" s="31" t="s">
        <v>1361</v>
      </c>
      <c r="F1238" s="51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8">
        <v>4965586.96</v>
      </c>
      <c r="H1239" s="14">
        <f t="shared" si="6"/>
        <v>1042773.262</v>
      </c>
      <c r="I1239" s="55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8">
        <v>9568580.16</v>
      </c>
      <c r="H1240" s="14">
        <f t="shared" si="6"/>
        <v>2009401.834</v>
      </c>
      <c r="I1240" s="55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8">
        <v>9938370.42</v>
      </c>
      <c r="H1241" s="14">
        <f t="shared" si="6"/>
        <v>2087057.788</v>
      </c>
      <c r="I1241" s="55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8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8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8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8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46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8">
        <v>2378490.13</v>
      </c>
      <c r="H1246" s="14">
        <f t="shared" si="6"/>
        <v>499482.9273</v>
      </c>
      <c r="I1246" s="55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8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8">
        <v>2381360.43</v>
      </c>
      <c r="H1248" s="14">
        <f t="shared" si="6"/>
        <v>500085.6903</v>
      </c>
      <c r="I1248" s="55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8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8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8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8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8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8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8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8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8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8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8">
        <v>3322611.75</v>
      </c>
      <c r="H1259" s="14">
        <f t="shared" si="6"/>
        <v>697748.4675</v>
      </c>
      <c r="I1259" s="55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8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8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8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8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8">
        <v>6335251.13</v>
      </c>
      <c r="H1264" s="14">
        <f t="shared" si="6"/>
        <v>1330402.737</v>
      </c>
      <c r="I1264" s="55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8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8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8">
        <v>6473280.13</v>
      </c>
      <c r="H1267" s="14">
        <f t="shared" si="6"/>
        <v>1359388.827</v>
      </c>
      <c r="I1267" s="55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8">
        <v>5982320.43</v>
      </c>
      <c r="H1268" s="14">
        <f t="shared" si="6"/>
        <v>1256287.29</v>
      </c>
      <c r="I1268" s="55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8">
        <v>2008260.71</v>
      </c>
      <c r="H1269" s="14">
        <f t="shared" si="6"/>
        <v>421734.7491</v>
      </c>
      <c r="I1269" s="55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8">
        <v>4771380.39</v>
      </c>
      <c r="H1270" s="14">
        <f t="shared" si="6"/>
        <v>1001989.882</v>
      </c>
      <c r="I1270" s="55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8">
        <v>5232720.13</v>
      </c>
      <c r="H1271" s="14">
        <f t="shared" si="6"/>
        <v>1098871.227</v>
      </c>
      <c r="I1271" s="55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8">
        <v>8005720.32</v>
      </c>
      <c r="H1272" s="14">
        <f t="shared" si="6"/>
        <v>1681201.267</v>
      </c>
      <c r="I1272" s="55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46">
        <v>45859.0</v>
      </c>
      <c r="B1273" s="120" t="s">
        <v>1399</v>
      </c>
      <c r="C1273" s="62" t="s">
        <v>782</v>
      </c>
      <c r="D1273" s="62" t="s">
        <v>1005</v>
      </c>
      <c r="E1273" s="62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60"/>
      <c r="J1273" s="49"/>
      <c r="K1273" s="10">
        <f t="shared" si="4"/>
        <v>30000220.49</v>
      </c>
      <c r="L1273" s="47"/>
      <c r="M1273" s="50"/>
    </row>
    <row r="1274" ht="15.75" customHeight="1">
      <c r="A1274" s="46">
        <v>45859.0</v>
      </c>
      <c r="B1274" s="120" t="s">
        <v>1399</v>
      </c>
      <c r="C1274" s="62" t="s">
        <v>782</v>
      </c>
      <c r="D1274" s="62" t="s">
        <v>1005</v>
      </c>
      <c r="E1274" s="62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60"/>
      <c r="J1274" s="49"/>
      <c r="K1274" s="10">
        <f t="shared" si="4"/>
        <v>10000357.15</v>
      </c>
      <c r="L1274" s="47"/>
      <c r="M1274" s="50"/>
    </row>
    <row r="1275" ht="15.75" customHeight="1">
      <c r="A1275" s="46">
        <v>45866.0</v>
      </c>
      <c r="B1275" s="64"/>
      <c r="C1275" s="61" t="s">
        <v>1402</v>
      </c>
      <c r="D1275" s="61" t="s">
        <v>1021</v>
      </c>
      <c r="E1275" s="62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60"/>
      <c r="J1275" s="49"/>
      <c r="K1275" s="10">
        <f t="shared" si="4"/>
        <v>18182546.75</v>
      </c>
      <c r="L1275" s="47"/>
      <c r="M1275" s="50"/>
    </row>
    <row r="1276" ht="15.75" customHeight="1">
      <c r="A1276" s="46">
        <v>45866.0</v>
      </c>
      <c r="B1276" s="120" t="s">
        <v>1404</v>
      </c>
      <c r="C1276" s="61" t="s">
        <v>1405</v>
      </c>
      <c r="D1276" s="61" t="s">
        <v>1406</v>
      </c>
      <c r="E1276" s="62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60"/>
      <c r="J1276" s="49"/>
      <c r="K1276" s="10">
        <f t="shared" si="4"/>
        <v>12169647.6</v>
      </c>
      <c r="L1276" s="47"/>
      <c r="M1276" s="50"/>
    </row>
    <row r="1277" ht="15.75" customHeight="1">
      <c r="A1277" s="46">
        <v>45866.0</v>
      </c>
      <c r="B1277" s="120" t="s">
        <v>1404</v>
      </c>
      <c r="C1277" s="61" t="s">
        <v>1405</v>
      </c>
      <c r="D1277" s="61" t="s">
        <v>1406</v>
      </c>
      <c r="E1277" s="62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60"/>
      <c r="J1277" s="49"/>
      <c r="K1277" s="10">
        <f t="shared" si="4"/>
        <v>12875389.78</v>
      </c>
      <c r="L1277" s="47"/>
      <c r="M1277" s="50"/>
    </row>
    <row r="1278" ht="15.75" customHeight="1">
      <c r="A1278" s="46">
        <v>45866.0</v>
      </c>
      <c r="B1278" s="120" t="s">
        <v>1404</v>
      </c>
      <c r="C1278" s="61" t="s">
        <v>1405</v>
      </c>
      <c r="D1278" s="61" t="s">
        <v>1406</v>
      </c>
      <c r="E1278" s="62" t="s">
        <v>1409</v>
      </c>
      <c r="F1278" s="137">
        <v>45863.0</v>
      </c>
      <c r="G1278" s="65">
        <v>1.0423E7</v>
      </c>
      <c r="H1278" s="9">
        <f t="shared" si="7"/>
        <v>2188830</v>
      </c>
      <c r="I1278" s="60"/>
      <c r="J1278" s="49"/>
      <c r="K1278" s="10">
        <f t="shared" si="4"/>
        <v>12611830</v>
      </c>
      <c r="L1278" s="47"/>
      <c r="M1278" s="50"/>
    </row>
    <row r="1279" ht="15.75" customHeight="1">
      <c r="A1279" s="46">
        <v>45866.0</v>
      </c>
      <c r="B1279" s="120" t="s">
        <v>1404</v>
      </c>
      <c r="C1279" s="61" t="s">
        <v>1405</v>
      </c>
      <c r="D1279" s="61" t="s">
        <v>1406</v>
      </c>
      <c r="E1279" s="62" t="s">
        <v>1410</v>
      </c>
      <c r="F1279" s="137">
        <v>45863.0</v>
      </c>
      <c r="G1279" s="65">
        <v>9534100.0</v>
      </c>
      <c r="H1279" s="9">
        <f t="shared" si="7"/>
        <v>2002161</v>
      </c>
      <c r="I1279" s="60"/>
      <c r="J1279" s="49"/>
      <c r="K1279" s="10">
        <f t="shared" si="4"/>
        <v>11536261</v>
      </c>
      <c r="L1279" s="47"/>
      <c r="M1279" s="50"/>
    </row>
    <row r="1280" ht="15.75" customHeight="1">
      <c r="A1280" s="46">
        <v>45866.0</v>
      </c>
      <c r="B1280" s="120" t="s">
        <v>1404</v>
      </c>
      <c r="C1280" s="61" t="s">
        <v>1411</v>
      </c>
      <c r="D1280" s="61" t="s">
        <v>1406</v>
      </c>
      <c r="E1280" s="62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60"/>
      <c r="J1280" s="49"/>
      <c r="K1280" s="10">
        <f t="shared" si="4"/>
        <v>7158432.6</v>
      </c>
      <c r="L1280" s="47"/>
      <c r="M1280" s="50"/>
    </row>
    <row r="1281" ht="15.75" customHeight="1">
      <c r="A1281" s="46">
        <v>45866.0</v>
      </c>
      <c r="B1281" s="120" t="s">
        <v>1404</v>
      </c>
      <c r="C1281" s="61" t="s">
        <v>1411</v>
      </c>
      <c r="D1281" s="61" t="s">
        <v>1406</v>
      </c>
      <c r="E1281" s="62" t="s">
        <v>1413</v>
      </c>
      <c r="F1281" s="137">
        <v>45863.0</v>
      </c>
      <c r="G1281" s="65">
        <v>4361450.0</v>
      </c>
      <c r="H1281" s="9">
        <f t="shared" si="7"/>
        <v>915904.5</v>
      </c>
      <c r="I1281" s="60"/>
      <c r="J1281" s="49"/>
      <c r="K1281" s="10">
        <f t="shared" si="4"/>
        <v>5277354.5</v>
      </c>
      <c r="L1281" s="47"/>
      <c r="M1281" s="50"/>
    </row>
    <row r="1282" ht="15.75" customHeight="1">
      <c r="A1282" s="46">
        <v>45866.0</v>
      </c>
      <c r="B1282" s="64"/>
      <c r="C1282" s="61" t="s">
        <v>782</v>
      </c>
      <c r="D1282" s="61" t="s">
        <v>1414</v>
      </c>
      <c r="E1282" s="61" t="s">
        <v>1415</v>
      </c>
      <c r="F1282" s="137">
        <v>45863.0</v>
      </c>
      <c r="G1282" s="65">
        <v>1.997499355E7</v>
      </c>
      <c r="H1282" s="29">
        <v>20826.45</v>
      </c>
      <c r="I1282" s="60"/>
      <c r="J1282" s="49"/>
      <c r="K1282" s="10">
        <f t="shared" si="4"/>
        <v>19995820</v>
      </c>
      <c r="L1282" s="47"/>
      <c r="M1282" s="50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8">
        <v>1.097525012E7</v>
      </c>
      <c r="H1283" s="14">
        <f t="shared" ref="H1283:H1336" si="8">G1283*0.21</f>
        <v>2304802.525</v>
      </c>
      <c r="I1283" s="55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8">
        <v>1.125836025E7</v>
      </c>
      <c r="H1284" s="14">
        <f t="shared" si="8"/>
        <v>2364255.653</v>
      </c>
      <c r="I1284" s="55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8">
        <v>9642890.48</v>
      </c>
      <c r="H1285" s="14">
        <f t="shared" si="8"/>
        <v>2025007.001</v>
      </c>
      <c r="I1285" s="55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8">
        <v>8370640.82</v>
      </c>
      <c r="H1286" s="14">
        <f t="shared" si="8"/>
        <v>1757834.572</v>
      </c>
      <c r="I1286" s="55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8">
        <v>4743320.15</v>
      </c>
      <c r="H1287" s="14">
        <f t="shared" si="8"/>
        <v>996097.2315</v>
      </c>
      <c r="I1287" s="55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8">
        <v>4683680.24</v>
      </c>
      <c r="H1288" s="14">
        <f t="shared" si="8"/>
        <v>983572.8504</v>
      </c>
      <c r="I1288" s="55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8">
        <v>5325940.71</v>
      </c>
      <c r="H1289" s="14">
        <f t="shared" si="8"/>
        <v>1118447.549</v>
      </c>
      <c r="I1289" s="55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8">
        <v>5454790.34</v>
      </c>
      <c r="H1290" s="14">
        <f t="shared" si="8"/>
        <v>1145505.971</v>
      </c>
      <c r="I1290" s="55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46">
        <v>45867.0</v>
      </c>
      <c r="B1291" s="64"/>
      <c r="C1291" s="61" t="s">
        <v>423</v>
      </c>
      <c r="D1291" s="62" t="s">
        <v>15</v>
      </c>
      <c r="E1291" s="61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49"/>
      <c r="K1291" s="10">
        <f t="shared" si="4"/>
        <v>3051344.531</v>
      </c>
      <c r="L1291" s="47"/>
      <c r="M1291" s="50"/>
    </row>
    <row r="1292" ht="15.75" customHeight="1">
      <c r="A1292" s="46">
        <v>45867.0</v>
      </c>
      <c r="B1292" s="64"/>
      <c r="C1292" s="61" t="s">
        <v>423</v>
      </c>
      <c r="D1292" s="62" t="s">
        <v>15</v>
      </c>
      <c r="E1292" s="61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49"/>
      <c r="K1292" s="10">
        <f t="shared" si="4"/>
        <v>3155748.86</v>
      </c>
      <c r="L1292" s="47"/>
      <c r="M1292" s="50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8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8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8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8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8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8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8">
        <v>4008790.71</v>
      </c>
      <c r="H1299" s="14">
        <f t="shared" si="8"/>
        <v>841846.0491</v>
      </c>
      <c r="I1299" s="55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8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8">
        <v>7007980.24</v>
      </c>
      <c r="H1301" s="14">
        <f t="shared" si="8"/>
        <v>1471675.85</v>
      </c>
      <c r="I1301" s="55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8">
        <v>1.137843012E7</v>
      </c>
      <c r="H1302" s="14">
        <f t="shared" si="8"/>
        <v>2389470.325</v>
      </c>
      <c r="I1302" s="55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8">
        <v>1.113848036E7</v>
      </c>
      <c r="H1303" s="14">
        <f t="shared" si="8"/>
        <v>2339080.876</v>
      </c>
      <c r="I1303" s="55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8">
        <v>1.143946012E7</v>
      </c>
      <c r="H1304" s="14">
        <f t="shared" si="8"/>
        <v>2402286.625</v>
      </c>
      <c r="I1304" s="55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8">
        <v>1.106679016E7</v>
      </c>
      <c r="H1305" s="14">
        <f t="shared" si="8"/>
        <v>2324025.934</v>
      </c>
      <c r="I1305" s="55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46">
        <v>45868.0</v>
      </c>
      <c r="B1306" s="64"/>
      <c r="C1306" s="141" t="s">
        <v>969</v>
      </c>
      <c r="D1306" s="62" t="s">
        <v>284</v>
      </c>
      <c r="E1306" s="62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60"/>
      <c r="J1306" s="49"/>
      <c r="K1306" s="10">
        <f t="shared" si="4"/>
        <v>7260452.576</v>
      </c>
      <c r="L1306" s="47"/>
      <c r="M1306" s="50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8">
        <v>5009460.16</v>
      </c>
      <c r="H1307" s="14">
        <f t="shared" si="8"/>
        <v>1051986.634</v>
      </c>
      <c r="I1307" s="55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8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8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8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8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8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8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46">
        <v>45869.0</v>
      </c>
      <c r="B1314" s="64"/>
      <c r="C1314" s="62" t="s">
        <v>1448</v>
      </c>
      <c r="D1314" s="62" t="s">
        <v>284</v>
      </c>
      <c r="E1314" s="62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60"/>
      <c r="J1314" s="49"/>
      <c r="K1314" s="10">
        <f t="shared" si="4"/>
        <v>12120932.65</v>
      </c>
      <c r="L1314" s="47"/>
      <c r="M1314" s="50"/>
    </row>
    <row r="1315" ht="15.75" customHeight="1">
      <c r="A1315" s="46">
        <v>45869.0</v>
      </c>
      <c r="B1315" s="64"/>
      <c r="C1315" s="62" t="s">
        <v>1450</v>
      </c>
      <c r="D1315" s="62" t="s">
        <v>284</v>
      </c>
      <c r="E1315" s="62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60"/>
      <c r="J1315" s="49"/>
      <c r="K1315" s="10">
        <f t="shared" si="4"/>
        <v>12117339.26</v>
      </c>
      <c r="L1315" s="47"/>
      <c r="M1315" s="50"/>
    </row>
    <row r="1316" ht="15.75" customHeight="1">
      <c r="A1316" s="46">
        <v>45869.0</v>
      </c>
      <c r="B1316" s="64"/>
      <c r="C1316" s="62" t="s">
        <v>1452</v>
      </c>
      <c r="D1316" s="62" t="s">
        <v>284</v>
      </c>
      <c r="E1316" s="62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60"/>
      <c r="J1316" s="49"/>
      <c r="K1316" s="10">
        <f t="shared" si="4"/>
        <v>18169796.12</v>
      </c>
      <c r="L1316" s="47"/>
      <c r="M1316" s="50"/>
    </row>
    <row r="1317" ht="15.75" customHeight="1">
      <c r="A1317" s="46">
        <v>45869.0</v>
      </c>
      <c r="B1317" s="64"/>
      <c r="C1317" s="141" t="s">
        <v>969</v>
      </c>
      <c r="D1317" s="62" t="s">
        <v>1454</v>
      </c>
      <c r="E1317" s="62" t="s">
        <v>1455</v>
      </c>
      <c r="F1317" s="137">
        <v>45863.0</v>
      </c>
      <c r="G1317" s="65">
        <v>1.716E7</v>
      </c>
      <c r="H1317" s="9">
        <f t="shared" si="8"/>
        <v>3603600</v>
      </c>
      <c r="I1317" s="60"/>
      <c r="J1317" s="49"/>
      <c r="K1317" s="10">
        <f t="shared" si="4"/>
        <v>20763600</v>
      </c>
      <c r="L1317" s="47"/>
      <c r="M1317" s="50"/>
    </row>
    <row r="1318" ht="15.75" customHeight="1">
      <c r="A1318" s="46">
        <v>45869.0</v>
      </c>
      <c r="B1318" s="64"/>
      <c r="C1318" s="141" t="s">
        <v>969</v>
      </c>
      <c r="D1318" s="62" t="s">
        <v>1456</v>
      </c>
      <c r="E1318" s="62" t="s">
        <v>1457</v>
      </c>
      <c r="F1318" s="137">
        <v>45863.0</v>
      </c>
      <c r="G1318" s="65">
        <v>1.624E7</v>
      </c>
      <c r="H1318" s="9">
        <f t="shared" si="8"/>
        <v>3410400</v>
      </c>
      <c r="I1318" s="60"/>
      <c r="J1318" s="49"/>
      <c r="K1318" s="10">
        <f t="shared" si="4"/>
        <v>19650400</v>
      </c>
      <c r="L1318" s="47"/>
      <c r="M1318" s="50"/>
    </row>
    <row r="1319" ht="15.75" customHeight="1">
      <c r="A1319" s="46">
        <v>45869.0</v>
      </c>
      <c r="B1319" s="64"/>
      <c r="C1319" s="141" t="s">
        <v>969</v>
      </c>
      <c r="D1319" s="62" t="s">
        <v>1458</v>
      </c>
      <c r="E1319" s="62" t="s">
        <v>1459</v>
      </c>
      <c r="F1319" s="137">
        <v>45863.0</v>
      </c>
      <c r="G1319" s="65">
        <v>2.17E7</v>
      </c>
      <c r="H1319" s="9">
        <f t="shared" si="8"/>
        <v>4557000</v>
      </c>
      <c r="I1319" s="60"/>
      <c r="J1319" s="49"/>
      <c r="K1319" s="10">
        <f t="shared" si="4"/>
        <v>26257000</v>
      </c>
      <c r="L1319" s="47"/>
      <c r="M1319" s="50"/>
    </row>
    <row r="1320" ht="15.75" customHeight="1">
      <c r="A1320" s="46">
        <v>45869.0</v>
      </c>
      <c r="B1320" s="64"/>
      <c r="C1320" s="61" t="s">
        <v>1460</v>
      </c>
      <c r="D1320" s="61" t="s">
        <v>1021</v>
      </c>
      <c r="E1320" s="62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60"/>
      <c r="J1320" s="49"/>
      <c r="K1320" s="10">
        <f t="shared" si="4"/>
        <v>20854308.86</v>
      </c>
      <c r="L1320" s="47"/>
      <c r="M1320" s="50"/>
    </row>
    <row r="1321" ht="15.75" customHeight="1">
      <c r="A1321" s="46">
        <v>45869.0</v>
      </c>
      <c r="B1321" s="64"/>
      <c r="C1321" s="61" t="s">
        <v>1460</v>
      </c>
      <c r="D1321" s="61" t="s">
        <v>1021</v>
      </c>
      <c r="E1321" s="62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60"/>
      <c r="J1321" s="49"/>
      <c r="K1321" s="10">
        <f t="shared" si="4"/>
        <v>26680082.55</v>
      </c>
      <c r="L1321" s="47"/>
      <c r="M1321" s="50"/>
    </row>
    <row r="1322" ht="15.75" customHeight="1">
      <c r="A1322" s="46">
        <v>45869.0</v>
      </c>
      <c r="B1322" s="64"/>
      <c r="C1322" s="61" t="s">
        <v>1460</v>
      </c>
      <c r="D1322" s="61" t="s">
        <v>1021</v>
      </c>
      <c r="E1322" s="62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60"/>
      <c r="J1322" s="49"/>
      <c r="K1322" s="10">
        <f t="shared" si="4"/>
        <v>24858681.65</v>
      </c>
      <c r="L1322" s="47"/>
      <c r="M1322" s="50"/>
    </row>
    <row r="1323" ht="15.75" customHeight="1">
      <c r="A1323" s="46">
        <v>45869.0</v>
      </c>
      <c r="B1323" s="64"/>
      <c r="C1323" s="61" t="s">
        <v>1460</v>
      </c>
      <c r="D1323" s="62" t="s">
        <v>284</v>
      </c>
      <c r="E1323" s="62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60"/>
      <c r="J1323" s="49"/>
      <c r="K1323" s="10">
        <f t="shared" si="4"/>
        <v>60519931.13</v>
      </c>
      <c r="L1323" s="47"/>
      <c r="M1323" s="50"/>
    </row>
    <row r="1324" ht="15.75" customHeight="1">
      <c r="A1324" s="46">
        <v>45869.0</v>
      </c>
      <c r="B1324" s="64"/>
      <c r="C1324" s="62" t="s">
        <v>1465</v>
      </c>
      <c r="D1324" s="62" t="s">
        <v>284</v>
      </c>
      <c r="E1324" s="62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60"/>
      <c r="J1324" s="49"/>
      <c r="K1324" s="10">
        <f t="shared" si="4"/>
        <v>24213560.66</v>
      </c>
      <c r="L1324" s="47"/>
      <c r="M1324" s="50"/>
    </row>
    <row r="1325" ht="15.75" customHeight="1">
      <c r="A1325" s="46">
        <v>45869.0</v>
      </c>
      <c r="B1325" s="64"/>
      <c r="C1325" s="61" t="s">
        <v>1460</v>
      </c>
      <c r="D1325" s="62" t="s">
        <v>1005</v>
      </c>
      <c r="E1325" s="62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60"/>
      <c r="J1325" s="49"/>
      <c r="K1325" s="10">
        <f t="shared" si="4"/>
        <v>36304283.73</v>
      </c>
      <c r="L1325" s="47"/>
      <c r="M1325" s="50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8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8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8">
        <v>1.487438014E7</v>
      </c>
      <c r="H1328" s="14">
        <f t="shared" si="8"/>
        <v>3123619.829</v>
      </c>
      <c r="I1328" s="55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8">
        <v>1.512957024E7</v>
      </c>
      <c r="H1329" s="14">
        <f t="shared" si="8"/>
        <v>3177209.75</v>
      </c>
      <c r="I1329" s="55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8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46">
        <v>45873.0</v>
      </c>
      <c r="B1331" s="64"/>
      <c r="C1331" s="62" t="s">
        <v>1473</v>
      </c>
      <c r="D1331" s="62" t="s">
        <v>1244</v>
      </c>
      <c r="E1331" s="62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60"/>
      <c r="J1331" s="49"/>
      <c r="K1331" s="10">
        <f t="shared" si="4"/>
        <v>22620985.22</v>
      </c>
      <c r="L1331" s="47"/>
      <c r="M1331" s="50"/>
    </row>
    <row r="1332" ht="15.75" customHeight="1">
      <c r="A1332" s="46">
        <v>45873.0</v>
      </c>
      <c r="B1332" s="64"/>
      <c r="C1332" s="62" t="s">
        <v>1475</v>
      </c>
      <c r="D1332" s="62" t="s">
        <v>1244</v>
      </c>
      <c r="E1332" s="62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60"/>
      <c r="J1332" s="49"/>
      <c r="K1332" s="10">
        <f t="shared" si="4"/>
        <v>36537622.98</v>
      </c>
      <c r="L1332" s="47"/>
      <c r="M1332" s="50"/>
    </row>
    <row r="1333" ht="15.75" customHeight="1">
      <c r="A1333" s="46">
        <v>45873.0</v>
      </c>
      <c r="B1333" s="64"/>
      <c r="C1333" s="62" t="s">
        <v>1477</v>
      </c>
      <c r="D1333" s="62" t="s">
        <v>1244</v>
      </c>
      <c r="E1333" s="62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60"/>
      <c r="J1333" s="49"/>
      <c r="K1333" s="10">
        <f t="shared" si="4"/>
        <v>9687493.155</v>
      </c>
      <c r="L1333" s="47"/>
      <c r="M1333" s="50"/>
    </row>
    <row r="1334" ht="15.75" customHeight="1">
      <c r="A1334" s="46">
        <v>45873.0</v>
      </c>
      <c r="B1334" s="64"/>
      <c r="C1334" s="62" t="s">
        <v>1475</v>
      </c>
      <c r="D1334" s="62" t="s">
        <v>1244</v>
      </c>
      <c r="E1334" s="62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60"/>
      <c r="J1334" s="49"/>
      <c r="K1334" s="10">
        <f t="shared" si="4"/>
        <v>24398271.39</v>
      </c>
      <c r="L1334" s="47"/>
      <c r="M1334" s="50"/>
    </row>
    <row r="1335" ht="15.75" customHeight="1">
      <c r="A1335" s="46">
        <v>45873.0</v>
      </c>
      <c r="B1335" s="64"/>
      <c r="C1335" s="62" t="s">
        <v>1480</v>
      </c>
      <c r="D1335" s="62" t="s">
        <v>1244</v>
      </c>
      <c r="E1335" s="62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60"/>
      <c r="J1335" s="49"/>
      <c r="K1335" s="10">
        <f t="shared" si="4"/>
        <v>28124355.83</v>
      </c>
      <c r="L1335" s="47"/>
      <c r="M1335" s="50"/>
    </row>
    <row r="1336" ht="15.75" customHeight="1">
      <c r="A1336" s="46">
        <v>45873.0</v>
      </c>
      <c r="B1336" s="64"/>
      <c r="C1336" s="62" t="s">
        <v>1482</v>
      </c>
      <c r="D1336" s="62" t="s">
        <v>1244</v>
      </c>
      <c r="E1336" s="62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60"/>
      <c r="J1336" s="49"/>
      <c r="K1336" s="10">
        <f t="shared" si="4"/>
        <v>31140250.03</v>
      </c>
      <c r="L1336" s="47"/>
      <c r="M1336" s="50"/>
    </row>
    <row r="1337" ht="15.75" customHeight="1">
      <c r="A1337" s="46">
        <v>45874.0</v>
      </c>
      <c r="B1337" s="64"/>
      <c r="C1337" s="61" t="s">
        <v>1484</v>
      </c>
      <c r="D1337" s="62" t="s">
        <v>1414</v>
      </c>
      <c r="E1337" s="62" t="s">
        <v>1485</v>
      </c>
      <c r="F1337" s="137">
        <v>45863.0</v>
      </c>
      <c r="G1337" s="65">
        <f>5160000+4026400</f>
        <v>9186400</v>
      </c>
      <c r="H1337" s="29">
        <v>845544.0</v>
      </c>
      <c r="I1337" s="60"/>
      <c r="J1337" s="49"/>
      <c r="K1337" s="10">
        <f t="shared" si="4"/>
        <v>10031944</v>
      </c>
      <c r="L1337" s="47"/>
      <c r="M1337" s="50"/>
    </row>
    <row r="1338" ht="15.75" customHeight="1">
      <c r="A1338" s="46">
        <v>45874.0</v>
      </c>
      <c r="B1338" s="64"/>
      <c r="C1338" s="61" t="s">
        <v>1486</v>
      </c>
      <c r="D1338" s="62" t="s">
        <v>1414</v>
      </c>
      <c r="E1338" s="62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60"/>
      <c r="J1338" s="49"/>
      <c r="K1338" s="10">
        <f t="shared" si="4"/>
        <v>20019096</v>
      </c>
      <c r="L1338" s="47"/>
      <c r="M1338" s="50"/>
    </row>
    <row r="1339" ht="15.75" customHeight="1">
      <c r="A1339" s="46">
        <v>45874.0</v>
      </c>
      <c r="B1339" s="64"/>
      <c r="C1339" s="61" t="s">
        <v>1452</v>
      </c>
      <c r="D1339" s="62" t="s">
        <v>1414</v>
      </c>
      <c r="E1339" s="62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60"/>
      <c r="J1339" s="49"/>
      <c r="K1339" s="10">
        <f t="shared" si="4"/>
        <v>20004500</v>
      </c>
      <c r="L1339" s="47"/>
      <c r="M1339" s="50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8">
        <v>1.150979012E7</v>
      </c>
      <c r="H1340" s="14">
        <f t="shared" si="9"/>
        <v>2417055.925</v>
      </c>
      <c r="I1340" s="55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8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8">
        <v>2542454.55</v>
      </c>
      <c r="H1342" s="14">
        <f t="shared" si="9"/>
        <v>533915.4555</v>
      </c>
      <c r="I1342" s="55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8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8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8">
        <f>3069820/1.21</f>
        <v>2537041.322</v>
      </c>
      <c r="H1345" s="14">
        <f t="shared" si="9"/>
        <v>532778.6777</v>
      </c>
      <c r="I1345" s="55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8">
        <f>1997580/1.21</f>
        <v>1650892.562</v>
      </c>
      <c r="H1346" s="14">
        <f t="shared" si="9"/>
        <v>346687.438</v>
      </c>
      <c r="I1346" s="55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8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8">
        <v>1.762525105E7</v>
      </c>
      <c r="H1348" s="14">
        <f t="shared" si="9"/>
        <v>3701302.721</v>
      </c>
      <c r="I1348" s="55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8">
        <v>1.167262604E7</v>
      </c>
      <c r="H1349" s="14">
        <f t="shared" si="9"/>
        <v>2451251.468</v>
      </c>
      <c r="I1349" s="55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46">
        <v>45874.0</v>
      </c>
      <c r="B1350" s="64"/>
      <c r="C1350" s="62" t="s">
        <v>1499</v>
      </c>
      <c r="D1350" s="62" t="s">
        <v>1005</v>
      </c>
      <c r="E1350" s="62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60"/>
      <c r="J1350" s="49"/>
      <c r="K1350" s="10">
        <f t="shared" si="4"/>
        <v>7280324.564</v>
      </c>
      <c r="L1350" s="47"/>
      <c r="M1350" s="50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8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8">
        <v>3892712.14</v>
      </c>
      <c r="H1352" s="14">
        <f t="shared" si="9"/>
        <v>817469.5494</v>
      </c>
      <c r="I1352" s="55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8">
        <v>4476362.08</v>
      </c>
      <c r="H1353" s="14">
        <f t="shared" si="9"/>
        <v>940036.0368</v>
      </c>
      <c r="I1353" s="55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8">
        <v>3372761.08</v>
      </c>
      <c r="H1354" s="14">
        <f t="shared" si="9"/>
        <v>708279.8268</v>
      </c>
      <c r="I1354" s="55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8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8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8">
        <v>1.000132584E7</v>
      </c>
      <c r="H1357" s="14">
        <f t="shared" si="9"/>
        <v>2100278.426</v>
      </c>
      <c r="I1357" s="55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8">
        <v>1.000110849E7</v>
      </c>
      <c r="H1358" s="14">
        <f t="shared" si="9"/>
        <v>2100232.783</v>
      </c>
      <c r="I1358" s="55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8">
        <v>1.000130276E7</v>
      </c>
      <c r="H1359" s="14">
        <f t="shared" si="9"/>
        <v>2100273.58</v>
      </c>
      <c r="I1359" s="55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8">
        <v>1.000059824E7</v>
      </c>
      <c r="H1360" s="14">
        <f t="shared" si="9"/>
        <v>2100125.63</v>
      </c>
      <c r="I1360" s="55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51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51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51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51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8">
        <v>1502840.19</v>
      </c>
      <c r="H1365" s="14">
        <f t="shared" si="9"/>
        <v>315596.4399</v>
      </c>
      <c r="I1365" s="55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8">
        <v>3009680.92</v>
      </c>
      <c r="H1366" s="14">
        <f t="shared" si="9"/>
        <v>632032.9932</v>
      </c>
      <c r="I1366" s="55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8">
        <v>7012820.18</v>
      </c>
      <c r="H1367" s="14">
        <f t="shared" si="9"/>
        <v>1472692.238</v>
      </c>
      <c r="I1367" s="55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8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8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8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8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8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8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8">
        <v>1.010039218E7</v>
      </c>
      <c r="H1374" s="14">
        <f t="shared" si="9"/>
        <v>2121082.358</v>
      </c>
      <c r="I1374" s="55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8">
        <v>1.023372975E7</v>
      </c>
      <c r="H1375" s="14">
        <f t="shared" si="9"/>
        <v>2149083.248</v>
      </c>
      <c r="I1375" s="55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8">
        <v>1.177362308E7</v>
      </c>
      <c r="H1376" s="14">
        <f t="shared" si="9"/>
        <v>2472460.847</v>
      </c>
      <c r="I1376" s="55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8">
        <v>9837372.85</v>
      </c>
      <c r="H1377" s="14">
        <f t="shared" si="9"/>
        <v>2065848.299</v>
      </c>
      <c r="I1377" s="55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8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8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8">
        <v>6011820.75</v>
      </c>
      <c r="H1380" s="14">
        <f t="shared" si="9"/>
        <v>1262482.358</v>
      </c>
      <c r="I1380" s="55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46">
        <v>45881.0</v>
      </c>
      <c r="B1381" s="64"/>
      <c r="C1381" s="62" t="s">
        <v>1533</v>
      </c>
      <c r="D1381" s="62" t="s">
        <v>1534</v>
      </c>
      <c r="E1381" s="62" t="s">
        <v>1535</v>
      </c>
      <c r="F1381" s="62" t="s">
        <v>139</v>
      </c>
      <c r="G1381" s="65">
        <v>1.257716589E7</v>
      </c>
      <c r="H1381" s="9">
        <f t="shared" si="9"/>
        <v>2641204.837</v>
      </c>
      <c r="I1381" s="60"/>
      <c r="J1381" s="49"/>
      <c r="K1381" s="10">
        <f t="shared" si="4"/>
        <v>15218370.73</v>
      </c>
      <c r="L1381" s="47"/>
      <c r="M1381" s="50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8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8">
        <v>9122612.71</v>
      </c>
      <c r="H1383" s="14">
        <f t="shared" si="9"/>
        <v>1915748.669</v>
      </c>
      <c r="I1383" s="55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8">
        <v>1.293726223E7</v>
      </c>
      <c r="H1384" s="14">
        <f t="shared" si="9"/>
        <v>2716825.068</v>
      </c>
      <c r="I1384" s="55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8">
        <v>1.374646322E7</v>
      </c>
      <c r="H1385" s="14">
        <f t="shared" si="9"/>
        <v>2886757.276</v>
      </c>
      <c r="I1385" s="55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8">
        <v>1.093827108E7</v>
      </c>
      <c r="H1386" s="14">
        <f t="shared" si="9"/>
        <v>2297036.927</v>
      </c>
      <c r="I1386" s="55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8">
        <v>5837362.17</v>
      </c>
      <c r="H1387" s="14">
        <f t="shared" si="9"/>
        <v>1225846.056</v>
      </c>
      <c r="I1387" s="55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46">
        <v>45883.0</v>
      </c>
      <c r="B1388" s="64"/>
      <c r="C1388" s="61" t="s">
        <v>1542</v>
      </c>
      <c r="D1388" s="61" t="s">
        <v>1543</v>
      </c>
      <c r="E1388" s="62" t="s">
        <v>1544</v>
      </c>
      <c r="F1388" s="62" t="s">
        <v>139</v>
      </c>
      <c r="G1388" s="65">
        <v>5.3289181871E8</v>
      </c>
      <c r="H1388" s="9">
        <f t="shared" si="9"/>
        <v>111907281.9</v>
      </c>
      <c r="I1388" s="60"/>
      <c r="J1388" s="49"/>
      <c r="K1388" s="10">
        <f t="shared" si="4"/>
        <v>644799100.6</v>
      </c>
      <c r="L1388" s="47"/>
      <c r="M1388" s="50"/>
    </row>
    <row r="1389" ht="15.75" customHeight="1">
      <c r="A1389" s="46">
        <v>45887.0</v>
      </c>
      <c r="B1389" s="64"/>
      <c r="C1389" s="61" t="s">
        <v>1545</v>
      </c>
      <c r="D1389" s="62" t="s">
        <v>15</v>
      </c>
      <c r="E1389" s="61" t="s">
        <v>1546</v>
      </c>
      <c r="F1389" s="62" t="s">
        <v>139</v>
      </c>
      <c r="G1389" s="65">
        <v>6693426.13</v>
      </c>
      <c r="H1389" s="9">
        <f t="shared" si="9"/>
        <v>1405619.487</v>
      </c>
      <c r="I1389" s="60"/>
      <c r="J1389" s="49"/>
      <c r="K1389" s="10">
        <f t="shared" si="4"/>
        <v>8099045.617</v>
      </c>
      <c r="L1389" s="47"/>
      <c r="M1389" s="50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8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8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8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8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8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8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8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8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8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8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8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8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8">
        <v>4973320.13</v>
      </c>
      <c r="H1402" s="14">
        <f t="shared" si="9"/>
        <v>1044397.227</v>
      </c>
      <c r="I1402" s="55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8">
        <v>5026489.39</v>
      </c>
      <c r="H1403" s="14">
        <f t="shared" si="9"/>
        <v>1055562.772</v>
      </c>
      <c r="I1403" s="55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61" t="s">
        <v>1542</v>
      </c>
      <c r="D1404" s="61" t="s">
        <v>1543</v>
      </c>
      <c r="E1404" s="62" t="s">
        <v>1544</v>
      </c>
      <c r="F1404" s="62" t="s">
        <v>139</v>
      </c>
      <c r="G1404" s="65">
        <v>-509013.86</v>
      </c>
      <c r="H1404" s="9">
        <f t="shared" si="9"/>
        <v>-106892.9106</v>
      </c>
      <c r="I1404" s="60"/>
      <c r="J1404" s="49"/>
      <c r="K1404" s="10">
        <f t="shared" si="4"/>
        <v>-615906.7706</v>
      </c>
      <c r="L1404" s="47"/>
      <c r="M1404" s="50"/>
    </row>
    <row r="1405" ht="15.75" customHeight="1">
      <c r="A1405" s="63">
        <v>45888.0</v>
      </c>
      <c r="B1405" s="64"/>
      <c r="C1405" s="61" t="s">
        <v>1542</v>
      </c>
      <c r="D1405" s="61" t="s">
        <v>1543</v>
      </c>
      <c r="E1405" s="62" t="s">
        <v>1561</v>
      </c>
      <c r="F1405" s="62" t="s">
        <v>139</v>
      </c>
      <c r="G1405" s="65">
        <v>5.3238280485E8</v>
      </c>
      <c r="H1405" s="9">
        <f t="shared" si="9"/>
        <v>111800389</v>
      </c>
      <c r="I1405" s="60"/>
      <c r="J1405" s="49"/>
      <c r="K1405" s="10">
        <f t="shared" si="4"/>
        <v>644183193.9</v>
      </c>
      <c r="L1405" s="47"/>
      <c r="M1405" s="50"/>
    </row>
    <row r="1406" ht="15.75" customHeight="1">
      <c r="A1406" s="63">
        <v>45888.0</v>
      </c>
      <c r="B1406" s="64"/>
      <c r="C1406" s="61" t="s">
        <v>1542</v>
      </c>
      <c r="D1406" s="61" t="s">
        <v>1543</v>
      </c>
      <c r="E1406" s="62" t="s">
        <v>1561</v>
      </c>
      <c r="F1406" s="62" t="s">
        <v>139</v>
      </c>
      <c r="G1406" s="65">
        <v>-5.3238280485E8</v>
      </c>
      <c r="H1406" s="9">
        <f t="shared" si="9"/>
        <v>-111800389</v>
      </c>
      <c r="I1406" s="60"/>
      <c r="J1406" s="49"/>
      <c r="K1406" s="10">
        <f t="shared" si="4"/>
        <v>-644183193.9</v>
      </c>
      <c r="L1406" s="47"/>
      <c r="M1406" s="50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8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8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8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8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5"/>
      <c r="C1411" s="31" t="s">
        <v>137</v>
      </c>
      <c r="D1411" s="32" t="s">
        <v>15</v>
      </c>
      <c r="E1411" s="31" t="s">
        <v>1567</v>
      </c>
      <c r="F1411" s="51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5"/>
      <c r="C1412" s="31" t="s">
        <v>137</v>
      </c>
      <c r="D1412" s="32" t="s">
        <v>15</v>
      </c>
      <c r="E1412" s="32" t="s">
        <v>1568</v>
      </c>
      <c r="F1412" s="51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5"/>
      <c r="C1413" s="31" t="s">
        <v>137</v>
      </c>
      <c r="D1413" s="32" t="s">
        <v>99</v>
      </c>
      <c r="E1413" s="32" t="s">
        <v>1569</v>
      </c>
      <c r="F1413" s="51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5"/>
      <c r="C1414" s="31" t="s">
        <v>137</v>
      </c>
      <c r="D1414" s="32" t="s">
        <v>99</v>
      </c>
      <c r="E1414" s="32" t="s">
        <v>1570</v>
      </c>
      <c r="F1414" s="51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8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8">
        <v>7989570.18</v>
      </c>
      <c r="H1416" s="14">
        <f t="shared" si="9"/>
        <v>1677809.738</v>
      </c>
      <c r="I1416" s="55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8">
        <v>7022710.19</v>
      </c>
      <c r="H1417" s="14">
        <f t="shared" si="9"/>
        <v>1474769.14</v>
      </c>
      <c r="I1417" s="55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8">
        <v>1.284965008E7</v>
      </c>
      <c r="H1418" s="14">
        <f t="shared" si="9"/>
        <v>2698426.517</v>
      </c>
      <c r="I1418" s="55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8">
        <v>1.216628042E7</v>
      </c>
      <c r="H1419" s="14">
        <f t="shared" si="9"/>
        <v>2554918.888</v>
      </c>
      <c r="I1419" s="55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8">
        <v>4978470.63</v>
      </c>
      <c r="H1420" s="14">
        <f t="shared" si="9"/>
        <v>1045478.832</v>
      </c>
      <c r="I1420" s="55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8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8">
        <v>1000137.08</v>
      </c>
      <c r="H1422" s="14">
        <f t="shared" si="9"/>
        <v>210028.7868</v>
      </c>
      <c r="I1422" s="55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8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8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8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8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8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8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8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8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8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8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8">
        <v>3004950.08</v>
      </c>
      <c r="H1433" s="14">
        <f t="shared" si="9"/>
        <v>631039.5168</v>
      </c>
      <c r="I1433" s="55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8">
        <v>4986350.19</v>
      </c>
      <c r="H1434" s="14">
        <f t="shared" si="9"/>
        <v>1047133.54</v>
      </c>
      <c r="I1434" s="55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8">
        <v>5124530.42</v>
      </c>
      <c r="H1435" s="14">
        <f t="shared" si="9"/>
        <v>1076151.388</v>
      </c>
      <c r="I1435" s="55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8">
        <v>5184380.73</v>
      </c>
      <c r="H1436" s="14">
        <f t="shared" si="9"/>
        <v>1088719.953</v>
      </c>
      <c r="I1436" s="55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8">
        <v>-4986350.19</v>
      </c>
      <c r="H1437" s="14">
        <f t="shared" si="9"/>
        <v>-1047133.54</v>
      </c>
      <c r="I1437" s="55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8">
        <v>-5184380.73</v>
      </c>
      <c r="H1438" s="14">
        <f t="shared" si="9"/>
        <v>-1088719.953</v>
      </c>
      <c r="I1438" s="55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8">
        <v>-5124530.42</v>
      </c>
      <c r="H1439" s="14">
        <f t="shared" si="9"/>
        <v>-1076151.388</v>
      </c>
      <c r="I1439" s="55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8">
        <v>4986350.19</v>
      </c>
      <c r="H1440" s="14">
        <f t="shared" si="9"/>
        <v>1047133.54</v>
      </c>
      <c r="I1440" s="55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8">
        <v>5124530.42</v>
      </c>
      <c r="H1441" s="14">
        <f t="shared" si="9"/>
        <v>1076151.388</v>
      </c>
      <c r="I1441" s="55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8">
        <v>5184380.73</v>
      </c>
      <c r="H1442" s="14">
        <f t="shared" si="9"/>
        <v>1088719.953</v>
      </c>
      <c r="I1442" s="55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8">
        <v>9983450.12</v>
      </c>
      <c r="H1443" s="14">
        <f t="shared" si="9"/>
        <v>2096524.525</v>
      </c>
      <c r="I1443" s="55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8">
        <v>9745650.17</v>
      </c>
      <c r="H1444" s="14">
        <f t="shared" si="9"/>
        <v>2046586.536</v>
      </c>
      <c r="I1444" s="55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8">
        <v>1.535285008E7</v>
      </c>
      <c r="H1445" s="14">
        <f t="shared" si="9"/>
        <v>3224098.517</v>
      </c>
      <c r="I1445" s="55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8">
        <v>6823460.16</v>
      </c>
      <c r="H1446" s="14">
        <f t="shared" si="9"/>
        <v>1432926.634</v>
      </c>
      <c r="I1446" s="55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8">
        <v>8283690.07</v>
      </c>
      <c r="H1447" s="14">
        <f t="shared" si="9"/>
        <v>1739574.915</v>
      </c>
      <c r="I1447" s="55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8">
        <v>4921840.32</v>
      </c>
      <c r="H1448" s="14">
        <f t="shared" si="9"/>
        <v>1033586.467</v>
      </c>
      <c r="I1448" s="55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8">
        <v>4961644.69</v>
      </c>
      <c r="H1449" s="14">
        <f t="shared" si="9"/>
        <v>1041945.385</v>
      </c>
      <c r="I1449" s="55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8">
        <v>3007920.19</v>
      </c>
      <c r="H1450" s="14">
        <f t="shared" si="9"/>
        <v>631663.2399</v>
      </c>
      <c r="I1450" s="55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8">
        <v>3168690.12</v>
      </c>
      <c r="H1451" s="14">
        <f t="shared" si="9"/>
        <v>665424.9252</v>
      </c>
      <c r="I1451" s="55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8">
        <v>2843530.95</v>
      </c>
      <c r="H1452" s="14">
        <f t="shared" si="9"/>
        <v>597141.4995</v>
      </c>
      <c r="I1452" s="55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8">
        <v>6521940.08</v>
      </c>
      <c r="H1453" s="14">
        <f t="shared" si="9"/>
        <v>1369607.417</v>
      </c>
      <c r="I1453" s="55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8">
        <v>3678180.37</v>
      </c>
      <c r="H1454" s="14">
        <f t="shared" si="9"/>
        <v>772417.8777</v>
      </c>
      <c r="I1454" s="55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8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8">
        <v>5991820.64</v>
      </c>
      <c r="H1456" s="14">
        <f t="shared" si="9"/>
        <v>1258282.334</v>
      </c>
      <c r="I1456" s="55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8">
        <v>2008360.18</v>
      </c>
      <c r="H1457" s="14">
        <f t="shared" si="9"/>
        <v>421755.6378</v>
      </c>
      <c r="I1457" s="55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8">
        <v>3168690.55</v>
      </c>
      <c r="H1458" s="14">
        <f t="shared" si="9"/>
        <v>665425.0155</v>
      </c>
      <c r="I1458" s="55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8">
        <v>2843530.12</v>
      </c>
      <c r="H1459" s="14">
        <f t="shared" si="9"/>
        <v>597141.3252</v>
      </c>
      <c r="I1459" s="55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5"/>
      <c r="C1460" s="31" t="s">
        <v>171</v>
      </c>
      <c r="D1460" s="32" t="s">
        <v>15</v>
      </c>
      <c r="E1460" s="31" t="s">
        <v>1618</v>
      </c>
      <c r="F1460" s="51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5"/>
      <c r="C1461" s="31" t="s">
        <v>171</v>
      </c>
      <c r="D1461" s="32" t="s">
        <v>15</v>
      </c>
      <c r="E1461" s="31" t="s">
        <v>1619</v>
      </c>
      <c r="F1461" s="51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8">
        <v>1.000065932E7</v>
      </c>
      <c r="H1462" s="14">
        <f t="shared" si="9"/>
        <v>2100138.457</v>
      </c>
      <c r="I1462" s="55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8">
        <v>6700172.43</v>
      </c>
      <c r="H1463" s="14">
        <f t="shared" si="9"/>
        <v>1407036.21</v>
      </c>
      <c r="I1463" s="55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8">
        <v>7838221.08</v>
      </c>
      <c r="H1464" s="14">
        <f t="shared" si="9"/>
        <v>1646026.427</v>
      </c>
      <c r="I1464" s="55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8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8">
        <v>5524212.41</v>
      </c>
      <c r="H1466" s="14">
        <f t="shared" si="9"/>
        <v>1160084.606</v>
      </c>
      <c r="I1466" s="55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8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8">
        <v>7112726.14</v>
      </c>
      <c r="H1468" s="14">
        <f t="shared" si="9"/>
        <v>1493672.489</v>
      </c>
      <c r="I1468" s="55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8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8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8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8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8">
        <v>1.034045908E7</v>
      </c>
      <c r="H1473" s="14">
        <f t="shared" si="9"/>
        <v>2171496.407</v>
      </c>
      <c r="I1473" s="55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8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8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8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8">
        <v>4836262.07</v>
      </c>
      <c r="H1477" s="14">
        <f t="shared" si="9"/>
        <v>1015615.035</v>
      </c>
      <c r="I1477" s="55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8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8">
        <v>5463632.27</v>
      </c>
      <c r="H1479" s="14">
        <f t="shared" si="9"/>
        <v>1147362.777</v>
      </c>
      <c r="I1479" s="55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8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8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8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8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8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8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8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8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8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8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8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62" t="s">
        <v>1473</v>
      </c>
      <c r="D1491" s="62" t="s">
        <v>1650</v>
      </c>
      <c r="E1491" s="62" t="s">
        <v>1651</v>
      </c>
      <c r="F1491" s="62" t="s">
        <v>139</v>
      </c>
      <c r="G1491" s="65">
        <v>1.1485728E7</v>
      </c>
      <c r="H1491" s="9">
        <f t="shared" si="9"/>
        <v>2412002.88</v>
      </c>
      <c r="I1491" s="44"/>
      <c r="J1491" s="49"/>
      <c r="K1491" s="10">
        <f t="shared" si="4"/>
        <v>13897730.88</v>
      </c>
      <c r="L1491" s="47"/>
      <c r="M1491" s="50"/>
    </row>
    <row r="1492" ht="15.75" customHeight="1">
      <c r="A1492" s="63">
        <v>45896.0</v>
      </c>
      <c r="B1492" s="64"/>
      <c r="C1492" s="62" t="s">
        <v>1652</v>
      </c>
      <c r="D1492" s="62" t="s">
        <v>1650</v>
      </c>
      <c r="E1492" s="62" t="s">
        <v>1653</v>
      </c>
      <c r="F1492" s="62" t="s">
        <v>139</v>
      </c>
      <c r="G1492" s="65">
        <v>9171656.06</v>
      </c>
      <c r="H1492" s="9">
        <f t="shared" si="9"/>
        <v>1926047.773</v>
      </c>
      <c r="I1492" s="44"/>
      <c r="J1492" s="49"/>
      <c r="K1492" s="10">
        <f t="shared" si="4"/>
        <v>11097703.83</v>
      </c>
      <c r="L1492" s="47"/>
      <c r="M1492" s="50"/>
    </row>
    <row r="1493" ht="15.75" customHeight="1">
      <c r="A1493" s="63">
        <v>45896.0</v>
      </c>
      <c r="B1493" s="64"/>
      <c r="C1493" s="62" t="s">
        <v>1654</v>
      </c>
      <c r="D1493" s="62" t="s">
        <v>1650</v>
      </c>
      <c r="E1493" s="62" t="s">
        <v>1655</v>
      </c>
      <c r="F1493" s="62" t="s">
        <v>139</v>
      </c>
      <c r="G1493" s="65">
        <v>1.0881216E7</v>
      </c>
      <c r="H1493" s="9">
        <f t="shared" si="9"/>
        <v>2285055.36</v>
      </c>
      <c r="I1493" s="60"/>
      <c r="J1493" s="49"/>
      <c r="K1493" s="10">
        <f t="shared" si="4"/>
        <v>13166271.36</v>
      </c>
      <c r="L1493" s="47"/>
      <c r="M1493" s="50"/>
    </row>
    <row r="1494" ht="15.75" customHeight="1">
      <c r="A1494" s="63">
        <v>45896.0</v>
      </c>
      <c r="B1494" s="64"/>
      <c r="C1494" s="62" t="s">
        <v>1652</v>
      </c>
      <c r="D1494" s="62" t="s">
        <v>1650</v>
      </c>
      <c r="E1494" s="62" t="s">
        <v>1656</v>
      </c>
      <c r="F1494" s="62" t="s">
        <v>139</v>
      </c>
      <c r="G1494" s="65">
        <v>1.089996E7</v>
      </c>
      <c r="H1494" s="9">
        <f t="shared" si="9"/>
        <v>2288991.6</v>
      </c>
      <c r="I1494" s="60"/>
      <c r="J1494" s="49"/>
      <c r="K1494" s="10">
        <f t="shared" si="4"/>
        <v>13188951.6</v>
      </c>
      <c r="L1494" s="47"/>
      <c r="M1494" s="50"/>
    </row>
    <row r="1495" ht="15.75" customHeight="1">
      <c r="A1495" s="63">
        <v>45896.0</v>
      </c>
      <c r="B1495" s="64"/>
      <c r="C1495" s="62" t="s">
        <v>1654</v>
      </c>
      <c r="D1495" s="62" t="s">
        <v>1650</v>
      </c>
      <c r="E1495" s="62" t="s">
        <v>1657</v>
      </c>
      <c r="F1495" s="62" t="s">
        <v>139</v>
      </c>
      <c r="G1495" s="65">
        <v>6095899.01</v>
      </c>
      <c r="H1495" s="9">
        <f t="shared" si="9"/>
        <v>1280138.792</v>
      </c>
      <c r="I1495" s="60"/>
      <c r="J1495" s="49"/>
      <c r="K1495" s="10">
        <f t="shared" si="4"/>
        <v>7376037.802</v>
      </c>
      <c r="L1495" s="47"/>
      <c r="M1495" s="50"/>
    </row>
    <row r="1496" ht="15.75" customHeight="1">
      <c r="A1496" s="63">
        <v>45896.0</v>
      </c>
      <c r="B1496" s="64"/>
      <c r="C1496" s="62" t="s">
        <v>1654</v>
      </c>
      <c r="D1496" s="62" t="s">
        <v>1650</v>
      </c>
      <c r="E1496" s="62" t="s">
        <v>1658</v>
      </c>
      <c r="F1496" s="62" t="s">
        <v>139</v>
      </c>
      <c r="G1496" s="65">
        <v>1.12613619E7</v>
      </c>
      <c r="H1496" s="9">
        <f t="shared" si="9"/>
        <v>2364885.999</v>
      </c>
      <c r="I1496" s="60"/>
      <c r="J1496" s="49"/>
      <c r="K1496" s="10">
        <f t="shared" si="4"/>
        <v>13626247.9</v>
      </c>
      <c r="L1496" s="47"/>
      <c r="M1496" s="50"/>
    </row>
    <row r="1497" ht="15.75" customHeight="1">
      <c r="A1497" s="63">
        <v>45896.0</v>
      </c>
      <c r="B1497" s="64"/>
      <c r="C1497" s="62" t="s">
        <v>1473</v>
      </c>
      <c r="D1497" s="62" t="s">
        <v>1650</v>
      </c>
      <c r="E1497" s="62" t="s">
        <v>1659</v>
      </c>
      <c r="F1497" s="62" t="s">
        <v>139</v>
      </c>
      <c r="G1497" s="65">
        <v>2243948.54</v>
      </c>
      <c r="H1497" s="9">
        <f t="shared" si="9"/>
        <v>471229.1934</v>
      </c>
      <c r="I1497" s="60"/>
      <c r="J1497" s="49"/>
      <c r="K1497" s="10">
        <f t="shared" si="4"/>
        <v>2715177.733</v>
      </c>
      <c r="L1497" s="47"/>
      <c r="M1497" s="50"/>
    </row>
    <row r="1498" ht="15.75" customHeight="1">
      <c r="A1498" s="63">
        <v>45896.0</v>
      </c>
      <c r="B1498" s="64"/>
      <c r="C1498" s="62" t="s">
        <v>1652</v>
      </c>
      <c r="D1498" s="62" t="s">
        <v>1650</v>
      </c>
      <c r="E1498" s="62" t="s">
        <v>1660</v>
      </c>
      <c r="F1498" s="62" t="s">
        <v>139</v>
      </c>
      <c r="G1498" s="65">
        <v>9928410.23</v>
      </c>
      <c r="H1498" s="9">
        <f t="shared" si="9"/>
        <v>2084966.148</v>
      </c>
      <c r="I1498" s="60"/>
      <c r="J1498" s="49"/>
      <c r="K1498" s="10">
        <f t="shared" si="4"/>
        <v>12013376.38</v>
      </c>
      <c r="L1498" s="47"/>
      <c r="M1498" s="50"/>
    </row>
    <row r="1499" ht="15.75" customHeight="1">
      <c r="A1499" s="63">
        <v>45896.0</v>
      </c>
      <c r="B1499" s="64"/>
      <c r="C1499" s="62" t="s">
        <v>1473</v>
      </c>
      <c r="D1499" s="62" t="s">
        <v>1650</v>
      </c>
      <c r="E1499" s="62" t="s">
        <v>1661</v>
      </c>
      <c r="F1499" s="62" t="s">
        <v>139</v>
      </c>
      <c r="G1499" s="65">
        <v>1.0276704E7</v>
      </c>
      <c r="H1499" s="9">
        <f t="shared" si="9"/>
        <v>2158107.84</v>
      </c>
      <c r="I1499" s="60"/>
      <c r="J1499" s="49"/>
      <c r="K1499" s="10">
        <f t="shared" si="4"/>
        <v>12434811.84</v>
      </c>
      <c r="L1499" s="47"/>
      <c r="M1499" s="50"/>
    </row>
    <row r="1500" ht="15.75" customHeight="1">
      <c r="A1500" s="63">
        <v>45896.0</v>
      </c>
      <c r="B1500" s="64"/>
      <c r="C1500" s="141" t="s">
        <v>969</v>
      </c>
      <c r="D1500" s="62" t="s">
        <v>1650</v>
      </c>
      <c r="E1500" s="62" t="s">
        <v>1662</v>
      </c>
      <c r="F1500" s="62" t="s">
        <v>139</v>
      </c>
      <c r="G1500" s="65">
        <v>1.000034997E7</v>
      </c>
      <c r="H1500" s="9">
        <f t="shared" si="9"/>
        <v>2100073.494</v>
      </c>
      <c r="I1500" s="60"/>
      <c r="J1500" s="49"/>
      <c r="K1500" s="10">
        <f t="shared" si="4"/>
        <v>12100423.46</v>
      </c>
      <c r="L1500" s="47"/>
      <c r="M1500" s="50"/>
    </row>
    <row r="1501" ht="15.75" customHeight="1">
      <c r="A1501" s="63">
        <v>45896.0</v>
      </c>
      <c r="B1501" s="64"/>
      <c r="C1501" s="62" t="s">
        <v>1473</v>
      </c>
      <c r="D1501" s="62" t="s">
        <v>1650</v>
      </c>
      <c r="E1501" s="62" t="s">
        <v>1663</v>
      </c>
      <c r="F1501" s="62" t="s">
        <v>139</v>
      </c>
      <c r="G1501" s="65">
        <v>1.2694752E7</v>
      </c>
      <c r="H1501" s="9">
        <f t="shared" si="9"/>
        <v>2665897.92</v>
      </c>
      <c r="I1501" s="60"/>
      <c r="J1501" s="49"/>
      <c r="K1501" s="10">
        <f t="shared" si="4"/>
        <v>15360649.92</v>
      </c>
      <c r="L1501" s="47"/>
      <c r="M1501" s="50"/>
    </row>
    <row r="1502" ht="15.75" customHeight="1">
      <c r="A1502" s="63">
        <v>45896.0</v>
      </c>
      <c r="B1502" s="64"/>
      <c r="C1502" s="62" t="s">
        <v>1654</v>
      </c>
      <c r="D1502" s="62" t="s">
        <v>1650</v>
      </c>
      <c r="E1502" s="62" t="s">
        <v>1664</v>
      </c>
      <c r="F1502" s="62" t="s">
        <v>139</v>
      </c>
      <c r="G1502" s="65">
        <v>1.209024E7</v>
      </c>
      <c r="H1502" s="9">
        <f t="shared" si="9"/>
        <v>2538950.4</v>
      </c>
      <c r="I1502" s="60"/>
      <c r="J1502" s="49"/>
      <c r="K1502" s="10">
        <f t="shared" si="4"/>
        <v>14629190.4</v>
      </c>
      <c r="L1502" s="47"/>
      <c r="M1502" s="50"/>
    </row>
    <row r="1503" ht="15.75" customHeight="1">
      <c r="A1503" s="63">
        <v>45896.0</v>
      </c>
      <c r="B1503" s="64"/>
      <c r="C1503" s="62" t="s">
        <v>1654</v>
      </c>
      <c r="D1503" s="62" t="s">
        <v>1650</v>
      </c>
      <c r="E1503" s="62" t="s">
        <v>1665</v>
      </c>
      <c r="F1503" s="62" t="s">
        <v>139</v>
      </c>
      <c r="G1503" s="65">
        <v>9672192.0</v>
      </c>
      <c r="H1503" s="9">
        <f t="shared" si="9"/>
        <v>2031160.32</v>
      </c>
      <c r="I1503" s="60"/>
      <c r="J1503" s="49"/>
      <c r="K1503" s="10">
        <f t="shared" si="4"/>
        <v>11703352.32</v>
      </c>
      <c r="L1503" s="47"/>
      <c r="M1503" s="50"/>
    </row>
    <row r="1504" ht="15.75" customHeight="1">
      <c r="A1504" s="63">
        <v>45896.0</v>
      </c>
      <c r="B1504" s="64"/>
      <c r="C1504" s="62" t="s">
        <v>1473</v>
      </c>
      <c r="D1504" s="62" t="s">
        <v>1650</v>
      </c>
      <c r="E1504" s="62" t="s">
        <v>1666</v>
      </c>
      <c r="F1504" s="62" t="s">
        <v>139</v>
      </c>
      <c r="G1504" s="65">
        <v>1.3299264E7</v>
      </c>
      <c r="H1504" s="9">
        <f t="shared" si="9"/>
        <v>2792845.44</v>
      </c>
      <c r="I1504" s="60"/>
      <c r="J1504" s="49"/>
      <c r="K1504" s="10">
        <f t="shared" si="4"/>
        <v>16092109.44</v>
      </c>
      <c r="L1504" s="47"/>
      <c r="M1504" s="50"/>
    </row>
    <row r="1505" ht="15.75" customHeight="1">
      <c r="A1505" s="63">
        <v>45896.0</v>
      </c>
      <c r="B1505" s="64"/>
      <c r="C1505" s="62" t="s">
        <v>1652</v>
      </c>
      <c r="D1505" s="62" t="s">
        <v>1244</v>
      </c>
      <c r="E1505" s="62" t="s">
        <v>1667</v>
      </c>
      <c r="F1505" s="62" t="s">
        <v>139</v>
      </c>
      <c r="G1505" s="65">
        <v>9815296.73</v>
      </c>
      <c r="H1505" s="9">
        <f t="shared" si="9"/>
        <v>2061212.313</v>
      </c>
      <c r="I1505" s="60"/>
      <c r="J1505" s="49"/>
      <c r="K1505" s="10">
        <f t="shared" si="4"/>
        <v>11876509.04</v>
      </c>
      <c r="L1505" s="47"/>
      <c r="M1505" s="50"/>
    </row>
    <row r="1506" ht="15.75" customHeight="1">
      <c r="A1506" s="63">
        <v>45896.0</v>
      </c>
      <c r="B1506" s="64"/>
      <c r="C1506" s="62" t="s">
        <v>1652</v>
      </c>
      <c r="D1506" s="62" t="s">
        <v>1244</v>
      </c>
      <c r="E1506" s="62" t="s">
        <v>1668</v>
      </c>
      <c r="F1506" s="62" t="s">
        <v>139</v>
      </c>
      <c r="G1506" s="65">
        <v>1.842727501E7</v>
      </c>
      <c r="H1506" s="9">
        <f t="shared" si="9"/>
        <v>3869727.752</v>
      </c>
      <c r="I1506" s="60"/>
      <c r="J1506" s="49"/>
      <c r="K1506" s="10">
        <f t="shared" si="4"/>
        <v>22297002.76</v>
      </c>
      <c r="L1506" s="47"/>
      <c r="M1506" s="50"/>
    </row>
    <row r="1507" ht="15.75" customHeight="1">
      <c r="A1507" s="63">
        <v>45896.0</v>
      </c>
      <c r="B1507" s="64"/>
      <c r="C1507" s="62" t="s">
        <v>1669</v>
      </c>
      <c r="D1507" s="62" t="s">
        <v>1244</v>
      </c>
      <c r="E1507" s="62" t="s">
        <v>1670</v>
      </c>
      <c r="F1507" s="62" t="s">
        <v>139</v>
      </c>
      <c r="G1507" s="65">
        <v>1.370549621E7</v>
      </c>
      <c r="H1507" s="9">
        <f t="shared" si="9"/>
        <v>2878154.204</v>
      </c>
      <c r="I1507" s="44"/>
      <c r="J1507" s="49"/>
      <c r="K1507" s="10">
        <f t="shared" si="4"/>
        <v>16583650.41</v>
      </c>
      <c r="L1507" s="47"/>
      <c r="M1507" s="50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8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8">
        <v>6525121.08</v>
      </c>
      <c r="H1509" s="14">
        <f t="shared" si="9"/>
        <v>1370275.427</v>
      </c>
      <c r="I1509" s="55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8">
        <v>971636.23</v>
      </c>
      <c r="H1510" s="14">
        <f t="shared" si="9"/>
        <v>204043.6083</v>
      </c>
      <c r="I1510" s="55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8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8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8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8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8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61" t="s">
        <v>1405</v>
      </c>
      <c r="D1516" s="61" t="s">
        <v>1406</v>
      </c>
      <c r="E1516" s="62" t="s">
        <v>1680</v>
      </c>
      <c r="F1516" s="62" t="s">
        <v>139</v>
      </c>
      <c r="G1516" s="65">
        <v>1.726935E7</v>
      </c>
      <c r="H1516" s="9">
        <f t="shared" si="9"/>
        <v>3626563.5</v>
      </c>
      <c r="I1516" s="60"/>
      <c r="J1516" s="49"/>
      <c r="K1516" s="10">
        <f t="shared" si="4"/>
        <v>20895913.5</v>
      </c>
      <c r="L1516" s="47"/>
      <c r="M1516" s="50"/>
    </row>
    <row r="1517" ht="15.75" customHeight="1">
      <c r="A1517" s="63">
        <v>45897.0</v>
      </c>
      <c r="B1517" s="64"/>
      <c r="C1517" s="61" t="s">
        <v>1405</v>
      </c>
      <c r="D1517" s="61" t="s">
        <v>1406</v>
      </c>
      <c r="E1517" s="62" t="s">
        <v>1681</v>
      </c>
      <c r="F1517" s="62" t="s">
        <v>139</v>
      </c>
      <c r="G1517" s="65">
        <v>2.8035787E7</v>
      </c>
      <c r="H1517" s="9">
        <f t="shared" si="9"/>
        <v>5887515.27</v>
      </c>
      <c r="I1517" s="60"/>
      <c r="J1517" s="49"/>
      <c r="K1517" s="10">
        <f t="shared" si="4"/>
        <v>33923302.27</v>
      </c>
      <c r="L1517" s="47"/>
      <c r="M1517" s="50"/>
    </row>
    <row r="1518" ht="15.75" customHeight="1">
      <c r="A1518" s="63">
        <v>45897.0</v>
      </c>
      <c r="B1518" s="64"/>
      <c r="C1518" s="61" t="s">
        <v>1405</v>
      </c>
      <c r="D1518" s="61" t="s">
        <v>1406</v>
      </c>
      <c r="E1518" s="62" t="s">
        <v>1682</v>
      </c>
      <c r="F1518" s="62" t="s">
        <v>139</v>
      </c>
      <c r="G1518" s="65">
        <v>2.029305E7</v>
      </c>
      <c r="H1518" s="9">
        <f t="shared" si="9"/>
        <v>4261540.5</v>
      </c>
      <c r="I1518" s="60"/>
      <c r="J1518" s="49"/>
      <c r="K1518" s="10">
        <f t="shared" si="4"/>
        <v>24554590.5</v>
      </c>
      <c r="L1518" s="47"/>
      <c r="M1518" s="50"/>
    </row>
    <row r="1519" ht="15.75" customHeight="1">
      <c r="A1519" s="63">
        <v>45897.0</v>
      </c>
      <c r="B1519" s="64"/>
      <c r="C1519" s="61" t="s">
        <v>1405</v>
      </c>
      <c r="D1519" s="61" t="s">
        <v>1406</v>
      </c>
      <c r="E1519" s="62" t="s">
        <v>1683</v>
      </c>
      <c r="F1519" s="62" t="s">
        <v>139</v>
      </c>
      <c r="G1519" s="65">
        <v>1.9853718E7</v>
      </c>
      <c r="H1519" s="9">
        <f t="shared" si="9"/>
        <v>4169280.78</v>
      </c>
      <c r="I1519" s="60"/>
      <c r="J1519" s="49"/>
      <c r="K1519" s="10">
        <f t="shared" si="4"/>
        <v>24022998.78</v>
      </c>
      <c r="L1519" s="47"/>
      <c r="M1519" s="50"/>
    </row>
    <row r="1520" ht="15.75" customHeight="1">
      <c r="A1520" s="63">
        <v>45897.0</v>
      </c>
      <c r="B1520" s="64"/>
      <c r="C1520" s="61" t="s">
        <v>1411</v>
      </c>
      <c r="D1520" s="61" t="s">
        <v>1406</v>
      </c>
      <c r="E1520" s="62" t="s">
        <v>1684</v>
      </c>
      <c r="F1520" s="62" t="s">
        <v>139</v>
      </c>
      <c r="G1520" s="65">
        <v>1.5038031E7</v>
      </c>
      <c r="H1520" s="9">
        <f t="shared" si="9"/>
        <v>3157986.51</v>
      </c>
      <c r="I1520" s="60"/>
      <c r="J1520" s="49"/>
      <c r="K1520" s="10">
        <f t="shared" si="4"/>
        <v>18196017.51</v>
      </c>
      <c r="L1520" s="47"/>
      <c r="M1520" s="50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8">
        <v>1.237828008E7</v>
      </c>
      <c r="H1521" s="14">
        <f t="shared" si="9"/>
        <v>2599438.817</v>
      </c>
      <c r="I1521" s="55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8">
        <v>1.098369042E7</v>
      </c>
      <c r="H1522" s="14">
        <f t="shared" si="9"/>
        <v>2306574.988</v>
      </c>
      <c r="I1522" s="55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8">
        <v>1.164694042E7</v>
      </c>
      <c r="H1523" s="14">
        <f t="shared" si="9"/>
        <v>2445857.488</v>
      </c>
      <c r="I1523" s="55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62" t="s">
        <v>1690</v>
      </c>
      <c r="D1524" s="62" t="s">
        <v>1005</v>
      </c>
      <c r="E1524" s="62" t="s">
        <v>1691</v>
      </c>
      <c r="F1524" s="62" t="s">
        <v>139</v>
      </c>
      <c r="G1524" s="65">
        <v>5451822.6</v>
      </c>
      <c r="H1524" s="9">
        <f t="shared" si="9"/>
        <v>1144882.746</v>
      </c>
      <c r="I1524" s="60"/>
      <c r="J1524" s="49"/>
      <c r="K1524" s="10">
        <f t="shared" si="4"/>
        <v>6596705.346</v>
      </c>
      <c r="L1524" s="47"/>
      <c r="M1524" s="50"/>
    </row>
    <row r="1525" ht="15.75" customHeight="1">
      <c r="A1525" s="63">
        <v>45898.0</v>
      </c>
      <c r="B1525" s="120" t="s">
        <v>1689</v>
      </c>
      <c r="C1525" s="62" t="s">
        <v>1692</v>
      </c>
      <c r="D1525" s="62" t="s">
        <v>1005</v>
      </c>
      <c r="E1525" s="62" t="s">
        <v>1693</v>
      </c>
      <c r="F1525" s="62" t="s">
        <v>139</v>
      </c>
      <c r="G1525" s="65">
        <v>5597040.0</v>
      </c>
      <c r="H1525" s="9">
        <f t="shared" si="9"/>
        <v>1175378.4</v>
      </c>
      <c r="I1525" s="60"/>
      <c r="J1525" s="49"/>
      <c r="K1525" s="10">
        <f t="shared" si="4"/>
        <v>6772418.4</v>
      </c>
      <c r="L1525" s="47"/>
      <c r="M1525" s="50"/>
    </row>
    <row r="1526" ht="15.75" customHeight="1">
      <c r="A1526" s="63">
        <v>45898.0</v>
      </c>
      <c r="B1526" s="120" t="s">
        <v>1689</v>
      </c>
      <c r="C1526" s="62" t="s">
        <v>1694</v>
      </c>
      <c r="D1526" s="62" t="s">
        <v>1005</v>
      </c>
      <c r="E1526" s="62" t="s">
        <v>1695</v>
      </c>
      <c r="F1526" s="62" t="s">
        <v>139</v>
      </c>
      <c r="G1526" s="65">
        <v>5044371.92</v>
      </c>
      <c r="H1526" s="9">
        <f t="shared" si="9"/>
        <v>1059318.103</v>
      </c>
      <c r="I1526" s="60"/>
      <c r="J1526" s="49"/>
      <c r="K1526" s="10">
        <f t="shared" si="4"/>
        <v>6103690.023</v>
      </c>
      <c r="L1526" s="47"/>
      <c r="M1526" s="50"/>
    </row>
    <row r="1527" ht="15.75" customHeight="1">
      <c r="A1527" s="46">
        <v>45898.0</v>
      </c>
      <c r="B1527" s="64"/>
      <c r="C1527" s="62" t="s">
        <v>969</v>
      </c>
      <c r="D1527" s="62" t="s">
        <v>1696</v>
      </c>
      <c r="E1527" s="62" t="s">
        <v>1697</v>
      </c>
      <c r="F1527" s="62" t="s">
        <v>139</v>
      </c>
      <c r="G1527" s="65">
        <v>3017160.0</v>
      </c>
      <c r="H1527" s="9">
        <f t="shared" si="9"/>
        <v>633603.6</v>
      </c>
      <c r="I1527" s="60"/>
      <c r="J1527" s="44">
        <v>90514.8</v>
      </c>
      <c r="K1527" s="10">
        <f t="shared" si="4"/>
        <v>3741278.4</v>
      </c>
      <c r="L1527" s="47"/>
      <c r="M1527" s="50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8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8">
        <v>3.333405918E7</v>
      </c>
      <c r="H1529" s="14">
        <f t="shared" si="9"/>
        <v>7000152.428</v>
      </c>
      <c r="I1529" s="55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8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8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8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8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8">
        <v>2.0699973E7</v>
      </c>
      <c r="H1534" s="14">
        <f t="shared" si="9"/>
        <v>4346994.33</v>
      </c>
      <c r="I1534" s="55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8">
        <v>2.1039977E7</v>
      </c>
      <c r="H1535" s="14">
        <f t="shared" si="9"/>
        <v>4418395.17</v>
      </c>
      <c r="I1535" s="55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8">
        <v>2.065318E7</v>
      </c>
      <c r="H1536" s="14">
        <f t="shared" si="9"/>
        <v>4337167.8</v>
      </c>
      <c r="I1536" s="55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8">
        <v>1.6864784E7</v>
      </c>
      <c r="H1537" s="14">
        <f t="shared" si="9"/>
        <v>3541604.64</v>
      </c>
      <c r="I1537" s="55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8">
        <v>2.0743979E7</v>
      </c>
      <c r="H1538" s="14">
        <f t="shared" si="9"/>
        <v>4356235.59</v>
      </c>
      <c r="I1538" s="55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8">
        <v>2.065318E7</v>
      </c>
      <c r="H1539" s="14">
        <f t="shared" si="9"/>
        <v>4337167.8</v>
      </c>
      <c r="I1539" s="55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8">
        <v>2.0699973E7</v>
      </c>
      <c r="H1540" s="14">
        <f t="shared" si="9"/>
        <v>4346994.33</v>
      </c>
      <c r="I1540" s="55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8">
        <v>2.1039977E7</v>
      </c>
      <c r="H1541" s="14">
        <f t="shared" si="9"/>
        <v>4418395.17</v>
      </c>
      <c r="I1541" s="55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46">
        <v>45902.0</v>
      </c>
      <c r="B1542" s="120" t="s">
        <v>1714</v>
      </c>
      <c r="C1542" s="61" t="s">
        <v>1715</v>
      </c>
      <c r="D1542" s="61" t="s">
        <v>1716</v>
      </c>
      <c r="E1542" s="62" t="s">
        <v>1717</v>
      </c>
      <c r="F1542" s="62" t="s">
        <v>139</v>
      </c>
      <c r="G1542" s="65">
        <v>1.542198E7</v>
      </c>
      <c r="H1542" s="9">
        <f t="shared" si="9"/>
        <v>3238615.8</v>
      </c>
      <c r="I1542" s="60"/>
      <c r="J1542" s="49"/>
      <c r="K1542" s="10">
        <f t="shared" si="4"/>
        <v>18660595.8</v>
      </c>
      <c r="L1542" s="47"/>
      <c r="M1542" s="50"/>
    </row>
    <row r="1543" ht="15.75" customHeight="1">
      <c r="A1543" s="46">
        <v>45902.0</v>
      </c>
      <c r="B1543" s="120" t="s">
        <v>1714</v>
      </c>
      <c r="C1543" s="61" t="s">
        <v>1715</v>
      </c>
      <c r="D1543" s="61" t="s">
        <v>1716</v>
      </c>
      <c r="E1543" s="62" t="s">
        <v>1718</v>
      </c>
      <c r="F1543" s="62" t="s">
        <v>139</v>
      </c>
      <c r="G1543" s="65">
        <v>1.458836E7</v>
      </c>
      <c r="H1543" s="9">
        <f t="shared" si="9"/>
        <v>3063555.6</v>
      </c>
      <c r="I1543" s="60"/>
      <c r="J1543" s="49"/>
      <c r="K1543" s="10">
        <f t="shared" si="4"/>
        <v>17651915.6</v>
      </c>
      <c r="L1543" s="47"/>
      <c r="M1543" s="50"/>
    </row>
    <row r="1544" ht="15.75" customHeight="1">
      <c r="A1544" s="46">
        <v>45902.0</v>
      </c>
      <c r="B1544" s="120" t="s">
        <v>1689</v>
      </c>
      <c r="C1544" s="61" t="s">
        <v>1719</v>
      </c>
      <c r="D1544" s="62" t="s">
        <v>1414</v>
      </c>
      <c r="E1544" s="62" t="s">
        <v>1720</v>
      </c>
      <c r="F1544" s="62" t="s">
        <v>139</v>
      </c>
      <c r="G1544" s="65">
        <f>9600668/1.21</f>
        <v>7934436.364</v>
      </c>
      <c r="H1544" s="9">
        <f t="shared" si="9"/>
        <v>1666231.636</v>
      </c>
      <c r="I1544" s="60"/>
      <c r="J1544" s="49"/>
      <c r="K1544" s="10">
        <f t="shared" si="4"/>
        <v>9600668</v>
      </c>
      <c r="L1544" s="47"/>
      <c r="M1544" s="50"/>
    </row>
    <row r="1545" ht="15.75" customHeight="1">
      <c r="A1545" s="46">
        <v>45902.0</v>
      </c>
      <c r="B1545" s="120" t="s">
        <v>1689</v>
      </c>
      <c r="C1545" s="61" t="s">
        <v>1721</v>
      </c>
      <c r="D1545" s="62" t="s">
        <v>1414</v>
      </c>
      <c r="E1545" s="62" t="s">
        <v>1722</v>
      </c>
      <c r="F1545" s="62" t="s">
        <v>139</v>
      </c>
      <c r="G1545" s="65">
        <f>9204680/1.21</f>
        <v>7607173.554</v>
      </c>
      <c r="H1545" s="9">
        <f t="shared" si="9"/>
        <v>1597506.446</v>
      </c>
      <c r="I1545" s="60"/>
      <c r="J1545" s="49"/>
      <c r="K1545" s="10">
        <f t="shared" si="4"/>
        <v>9204680</v>
      </c>
      <c r="L1545" s="47"/>
      <c r="M1545" s="50"/>
    </row>
    <row r="1546" ht="15.75" customHeight="1">
      <c r="A1546" s="46">
        <v>45902.0</v>
      </c>
      <c r="B1546" s="120" t="s">
        <v>1689</v>
      </c>
      <c r="C1546" s="61" t="s">
        <v>1723</v>
      </c>
      <c r="D1546" s="62" t="s">
        <v>1414</v>
      </c>
      <c r="E1546" s="62" t="s">
        <v>1724</v>
      </c>
      <c r="F1546" s="62" t="s">
        <v>139</v>
      </c>
      <c r="G1546" s="65">
        <f>7200400/1.21</f>
        <v>5950743.802</v>
      </c>
      <c r="H1546" s="9">
        <f t="shared" si="9"/>
        <v>1249656.198</v>
      </c>
      <c r="I1546" s="60"/>
      <c r="J1546" s="49"/>
      <c r="K1546" s="10">
        <f t="shared" si="4"/>
        <v>7200400</v>
      </c>
      <c r="L1546" s="47"/>
      <c r="M1546" s="50"/>
    </row>
    <row r="1547" ht="15.75" customHeight="1">
      <c r="A1547" s="46">
        <v>45902.0</v>
      </c>
      <c r="B1547" s="120" t="s">
        <v>1689</v>
      </c>
      <c r="C1547" s="61" t="s">
        <v>1725</v>
      </c>
      <c r="D1547" s="62" t="s">
        <v>1414</v>
      </c>
      <c r="E1547" s="62" t="s">
        <v>1726</v>
      </c>
      <c r="F1547" s="62" t="s">
        <v>139</v>
      </c>
      <c r="G1547" s="65">
        <f>8200100/1.21</f>
        <v>6776942.149</v>
      </c>
      <c r="H1547" s="9">
        <f t="shared" si="9"/>
        <v>1423157.851</v>
      </c>
      <c r="I1547" s="60"/>
      <c r="J1547" s="49"/>
      <c r="K1547" s="10">
        <f t="shared" si="4"/>
        <v>8200100</v>
      </c>
      <c r="L1547" s="47"/>
      <c r="M1547" s="50"/>
    </row>
    <row r="1548" ht="15.75" customHeight="1">
      <c r="A1548" s="46">
        <v>45902.0</v>
      </c>
      <c r="B1548" s="120" t="s">
        <v>1689</v>
      </c>
      <c r="C1548" s="61" t="s">
        <v>1727</v>
      </c>
      <c r="D1548" s="62" t="s">
        <v>1414</v>
      </c>
      <c r="E1548" s="62" t="s">
        <v>1728</v>
      </c>
      <c r="F1548" s="62" t="s">
        <v>139</v>
      </c>
      <c r="G1548" s="65">
        <f>12000000/1.21</f>
        <v>9917355.372</v>
      </c>
      <c r="H1548" s="9">
        <f t="shared" si="9"/>
        <v>2082644.628</v>
      </c>
      <c r="I1548" s="60"/>
      <c r="J1548" s="49"/>
      <c r="K1548" s="10">
        <f t="shared" si="4"/>
        <v>12000000</v>
      </c>
      <c r="L1548" s="47"/>
      <c r="M1548" s="50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8">
        <v>3012891.26</v>
      </c>
      <c r="H1549" s="14">
        <f t="shared" si="9"/>
        <v>632707.1646</v>
      </c>
      <c r="I1549" s="55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8">
        <v>3.500109426E7</v>
      </c>
      <c r="H1550" s="14">
        <f t="shared" si="9"/>
        <v>7350229.795</v>
      </c>
      <c r="I1550" s="55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8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8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8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8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8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8">
        <v>8001205.63</v>
      </c>
      <c r="H1556" s="14">
        <f t="shared" si="9"/>
        <v>1680253.182</v>
      </c>
      <c r="I1556" s="55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46">
        <v>45903.0</v>
      </c>
      <c r="B1557" s="64"/>
      <c r="C1557" s="61" t="s">
        <v>969</v>
      </c>
      <c r="D1557" s="61" t="s">
        <v>1021</v>
      </c>
      <c r="E1557" s="62" t="s">
        <v>1738</v>
      </c>
      <c r="F1557" s="62" t="s">
        <v>139</v>
      </c>
      <c r="G1557" s="65">
        <v>5003580.0</v>
      </c>
      <c r="H1557" s="9">
        <f t="shared" si="9"/>
        <v>1050751.8</v>
      </c>
      <c r="I1557" s="60"/>
      <c r="J1557" s="49"/>
      <c r="K1557" s="10">
        <f t="shared" si="4"/>
        <v>6054331.8</v>
      </c>
      <c r="L1557" s="47"/>
      <c r="M1557" s="50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8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46">
        <v>45904.0</v>
      </c>
      <c r="B1559" s="64"/>
      <c r="C1559" s="61" t="s">
        <v>1740</v>
      </c>
      <c r="D1559" s="61" t="s">
        <v>1021</v>
      </c>
      <c r="E1559" s="62" t="s">
        <v>1741</v>
      </c>
      <c r="F1559" s="62" t="s">
        <v>139</v>
      </c>
      <c r="G1559" s="65">
        <v>9368710.49</v>
      </c>
      <c r="H1559" s="9">
        <f t="shared" si="9"/>
        <v>1967429.203</v>
      </c>
      <c r="I1559" s="60"/>
      <c r="J1559" s="49"/>
      <c r="K1559" s="10">
        <f t="shared" si="4"/>
        <v>11336139.69</v>
      </c>
      <c r="L1559" s="47"/>
      <c r="M1559" s="50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8">
        <v>1.987372209E7</v>
      </c>
      <c r="H1560" s="14">
        <f t="shared" si="9"/>
        <v>4173481.639</v>
      </c>
      <c r="I1560" s="55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8">
        <v>2.109382103E7</v>
      </c>
      <c r="H1561" s="14">
        <f t="shared" si="9"/>
        <v>4429702.416</v>
      </c>
      <c r="I1561" s="55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8">
        <v>1.073736213E7</v>
      </c>
      <c r="H1562" s="14">
        <f t="shared" si="9"/>
        <v>2254846.047</v>
      </c>
      <c r="I1562" s="55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8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46">
        <v>45905.0</v>
      </c>
      <c r="B1564" s="64"/>
      <c r="C1564" s="62" t="s">
        <v>969</v>
      </c>
      <c r="D1564" s="61" t="s">
        <v>1746</v>
      </c>
      <c r="E1564" s="62" t="s">
        <v>1747</v>
      </c>
      <c r="F1564" s="62" t="s">
        <v>139</v>
      </c>
      <c r="G1564" s="65">
        <v>2.0E7</v>
      </c>
      <c r="H1564" s="9">
        <f t="shared" si="9"/>
        <v>4200000</v>
      </c>
      <c r="I1564" s="60"/>
      <c r="J1564" s="49"/>
      <c r="K1564" s="10">
        <f t="shared" si="4"/>
        <v>24200000</v>
      </c>
      <c r="L1564" s="47"/>
      <c r="M1564" s="50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8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8">
        <v>950059.43</v>
      </c>
      <c r="H1566" s="14">
        <f t="shared" si="9"/>
        <v>199512.4803</v>
      </c>
      <c r="I1566" s="55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46">
        <v>45905.0</v>
      </c>
      <c r="B1567" s="64"/>
      <c r="C1567" s="62" t="s">
        <v>1242</v>
      </c>
      <c r="D1567" s="62" t="s">
        <v>1240</v>
      </c>
      <c r="E1567" s="60"/>
      <c r="F1567" s="62" t="s">
        <v>139</v>
      </c>
      <c r="G1567" s="65">
        <v>3548358.43</v>
      </c>
      <c r="H1567" s="9">
        <f t="shared" si="9"/>
        <v>745155.2703</v>
      </c>
      <c r="I1567" s="60"/>
      <c r="J1567" s="49"/>
      <c r="K1567" s="10">
        <f t="shared" si="4"/>
        <v>4293513.7</v>
      </c>
      <c r="L1567" s="47"/>
      <c r="M1567" s="50"/>
    </row>
    <row r="1568" ht="15.75" customHeight="1">
      <c r="A1568" s="46">
        <v>45905.0</v>
      </c>
      <c r="B1568" s="64"/>
      <c r="C1568" s="62" t="s">
        <v>1669</v>
      </c>
      <c r="D1568" s="62" t="s">
        <v>1240</v>
      </c>
      <c r="E1568" s="60"/>
      <c r="F1568" s="62" t="s">
        <v>139</v>
      </c>
      <c r="G1568" s="65">
        <v>6554816.88</v>
      </c>
      <c r="H1568" s="9">
        <f t="shared" si="9"/>
        <v>1376511.545</v>
      </c>
      <c r="I1568" s="60"/>
      <c r="J1568" s="49"/>
      <c r="K1568" s="10">
        <f t="shared" si="4"/>
        <v>7931328.425</v>
      </c>
      <c r="L1568" s="47"/>
      <c r="M1568" s="50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8">
        <v>1.000079232E7</v>
      </c>
      <c r="H1569" s="14">
        <f t="shared" si="9"/>
        <v>2100166.387</v>
      </c>
      <c r="I1569" s="55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8">
        <v>1.282615124E7</v>
      </c>
      <c r="H1570" s="14">
        <f t="shared" si="9"/>
        <v>2693491.76</v>
      </c>
      <c r="I1570" s="55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8">
        <v>1.623326241E7</v>
      </c>
      <c r="H1571" s="14">
        <f t="shared" si="9"/>
        <v>3408985.106</v>
      </c>
      <c r="I1571" s="55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8">
        <v>1.383737634E7</v>
      </c>
      <c r="H1572" s="14">
        <f t="shared" si="9"/>
        <v>2905849.031</v>
      </c>
      <c r="I1572" s="55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8">
        <v>1.000105685E7</v>
      </c>
      <c r="H1573" s="14">
        <f t="shared" si="9"/>
        <v>2100221.939</v>
      </c>
      <c r="I1573" s="55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8">
        <v>1.000112951E7</v>
      </c>
      <c r="H1574" s="14">
        <f t="shared" si="9"/>
        <v>2100237.197</v>
      </c>
      <c r="I1574" s="55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8">
        <v>1.000082417E7</v>
      </c>
      <c r="H1575" s="14">
        <f t="shared" si="9"/>
        <v>2100173.076</v>
      </c>
      <c r="I1575" s="55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8">
        <v>1.000104871E7</v>
      </c>
      <c r="H1576" s="14">
        <f t="shared" si="9"/>
        <v>2100220.229</v>
      </c>
      <c r="I1576" s="55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8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8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8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8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8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8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8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8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8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8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46">
        <v>45909.0</v>
      </c>
      <c r="B1593" s="64"/>
      <c r="C1593" s="61" t="s">
        <v>1136</v>
      </c>
      <c r="D1593" s="62" t="s">
        <v>15</v>
      </c>
      <c r="E1593" s="61" t="s">
        <v>1774</v>
      </c>
      <c r="F1593" s="62" t="s">
        <v>208</v>
      </c>
      <c r="G1593" s="65">
        <v>3.86955E7</v>
      </c>
      <c r="H1593" s="9">
        <f t="shared" si="9"/>
        <v>8126055</v>
      </c>
      <c r="I1593" s="44">
        <v>1160865.0</v>
      </c>
      <c r="J1593" s="49"/>
      <c r="K1593" s="10">
        <f t="shared" si="4"/>
        <v>47982420</v>
      </c>
      <c r="L1593" s="47"/>
      <c r="M1593" s="50"/>
    </row>
    <row r="1594" ht="15.75" customHeight="1">
      <c r="A1594" s="46">
        <v>45909.0</v>
      </c>
      <c r="B1594" s="64"/>
      <c r="C1594" s="61" t="s">
        <v>1136</v>
      </c>
      <c r="D1594" s="62" t="s">
        <v>15</v>
      </c>
      <c r="E1594" s="61" t="s">
        <v>1775</v>
      </c>
      <c r="F1594" s="62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49"/>
      <c r="K1594" s="10">
        <f t="shared" si="4"/>
        <v>48013128.75</v>
      </c>
      <c r="L1594" s="47"/>
      <c r="M1594" s="50"/>
    </row>
    <row r="1595" ht="15.75" customHeight="1">
      <c r="A1595" s="46">
        <v>45909.0</v>
      </c>
      <c r="B1595" s="64"/>
      <c r="C1595" s="61" t="s">
        <v>1136</v>
      </c>
      <c r="D1595" s="62" t="s">
        <v>15</v>
      </c>
      <c r="E1595" s="62" t="s">
        <v>1776</v>
      </c>
      <c r="F1595" s="62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49"/>
      <c r="K1595" s="10">
        <f t="shared" si="4"/>
        <v>47963227.03</v>
      </c>
      <c r="L1595" s="47"/>
      <c r="M1595" s="50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8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8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8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8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8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8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8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8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8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8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8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8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8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8">
        <f>3073950.01/1.21</f>
        <v>2540454.554</v>
      </c>
      <c r="H1609" s="14">
        <f t="shared" si="9"/>
        <v>533495.4563</v>
      </c>
      <c r="I1609" s="55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8">
        <f>1998934.59/1.21</f>
        <v>1652012.058</v>
      </c>
      <c r="H1610" s="14">
        <f t="shared" si="9"/>
        <v>346922.5321</v>
      </c>
      <c r="I1610" s="55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8">
        <v>1.151193012E7</v>
      </c>
      <c r="H1611" s="14">
        <f t="shared" si="9"/>
        <v>2417505.325</v>
      </c>
      <c r="I1611" s="55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8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8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8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8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8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8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8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8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8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8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8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8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8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46">
        <v>45916.0</v>
      </c>
      <c r="B1625" s="64"/>
      <c r="C1625" s="61" t="s">
        <v>561</v>
      </c>
      <c r="D1625" s="62" t="s">
        <v>15</v>
      </c>
      <c r="E1625" s="61" t="s">
        <v>1807</v>
      </c>
      <c r="F1625" s="62" t="s">
        <v>208</v>
      </c>
      <c r="G1625" s="65">
        <v>6837362.32</v>
      </c>
      <c r="H1625" s="9">
        <f t="shared" si="9"/>
        <v>1435846.087</v>
      </c>
      <c r="I1625" s="44"/>
      <c r="J1625" s="49"/>
      <c r="K1625" s="10">
        <f t="shared" si="4"/>
        <v>8273208.407</v>
      </c>
      <c r="L1625" s="47"/>
      <c r="M1625" s="50"/>
    </row>
    <row r="1626" ht="15.75" customHeight="1">
      <c r="A1626" s="46">
        <v>45916.0</v>
      </c>
      <c r="B1626" s="64"/>
      <c r="C1626" s="61" t="s">
        <v>561</v>
      </c>
      <c r="D1626" s="62" t="s">
        <v>15</v>
      </c>
      <c r="E1626" s="62" t="s">
        <v>1808</v>
      </c>
      <c r="F1626" s="62" t="s">
        <v>208</v>
      </c>
      <c r="G1626" s="65">
        <v>9927372.13</v>
      </c>
      <c r="H1626" s="9">
        <f t="shared" si="9"/>
        <v>2084748.147</v>
      </c>
      <c r="I1626" s="44"/>
      <c r="J1626" s="49"/>
      <c r="K1626" s="10">
        <f t="shared" si="4"/>
        <v>12012120.28</v>
      </c>
      <c r="L1626" s="47"/>
      <c r="M1626" s="50"/>
    </row>
    <row r="1627" ht="15.75" customHeight="1">
      <c r="A1627" s="46">
        <v>45916.0</v>
      </c>
      <c r="B1627" s="64"/>
      <c r="C1627" s="61" t="s">
        <v>561</v>
      </c>
      <c r="D1627" s="62" t="s">
        <v>15</v>
      </c>
      <c r="E1627" s="62" t="s">
        <v>1809</v>
      </c>
      <c r="F1627" s="62" t="s">
        <v>208</v>
      </c>
      <c r="G1627" s="65">
        <v>1.023373208E7</v>
      </c>
      <c r="H1627" s="9">
        <f t="shared" si="9"/>
        <v>2149083.737</v>
      </c>
      <c r="I1627" s="44"/>
      <c r="J1627" s="49"/>
      <c r="K1627" s="10">
        <f t="shared" si="4"/>
        <v>12382815.82</v>
      </c>
      <c r="L1627" s="47"/>
      <c r="M1627" s="50"/>
    </row>
    <row r="1628" ht="15.75" customHeight="1">
      <c r="A1628" s="46">
        <v>45916.0</v>
      </c>
      <c r="B1628" s="64"/>
      <c r="C1628" s="61" t="s">
        <v>561</v>
      </c>
      <c r="D1628" s="62" t="s">
        <v>15</v>
      </c>
      <c r="E1628" s="62" t="s">
        <v>1810</v>
      </c>
      <c r="F1628" s="62" t="s">
        <v>208</v>
      </c>
      <c r="G1628" s="65">
        <v>9902223.42</v>
      </c>
      <c r="H1628" s="9">
        <f t="shared" si="9"/>
        <v>2079466.918</v>
      </c>
      <c r="I1628" s="44"/>
      <c r="J1628" s="49"/>
      <c r="K1628" s="10">
        <f t="shared" si="4"/>
        <v>11981690.34</v>
      </c>
      <c r="L1628" s="47"/>
      <c r="M1628" s="50"/>
    </row>
    <row r="1629" ht="15.75" customHeight="1">
      <c r="A1629" s="46">
        <v>45916.0</v>
      </c>
      <c r="B1629" s="64"/>
      <c r="C1629" s="61" t="s">
        <v>561</v>
      </c>
      <c r="D1629" s="62" t="s">
        <v>15</v>
      </c>
      <c r="E1629" s="62" t="s">
        <v>1811</v>
      </c>
      <c r="F1629" s="62" t="s">
        <v>208</v>
      </c>
      <c r="G1629" s="65">
        <v>1.394834823E7</v>
      </c>
      <c r="H1629" s="9">
        <f t="shared" si="9"/>
        <v>2929153.128</v>
      </c>
      <c r="I1629" s="44"/>
      <c r="J1629" s="49"/>
      <c r="K1629" s="10">
        <f t="shared" si="4"/>
        <v>16877501.36</v>
      </c>
      <c r="L1629" s="47"/>
      <c r="M1629" s="50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8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8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8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8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8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8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8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8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8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8">
        <v>9993690.12</v>
      </c>
      <c r="H1639" s="14">
        <f t="shared" si="9"/>
        <v>2098674.925</v>
      </c>
      <c r="I1639" s="55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8">
        <v>9796260.64</v>
      </c>
      <c r="H1640" s="14">
        <f t="shared" si="9"/>
        <v>2057214.734</v>
      </c>
      <c r="I1640" s="55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8">
        <v>9845270.42</v>
      </c>
      <c r="H1641" s="14">
        <f t="shared" si="9"/>
        <v>2067506.788</v>
      </c>
      <c r="I1641" s="55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8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8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8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8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8">
        <v>4966811.29</v>
      </c>
      <c r="H1646" s="14">
        <f t="shared" si="9"/>
        <v>1043030.371</v>
      </c>
      <c r="I1646" s="55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8">
        <v>3011830.23</v>
      </c>
      <c r="H1647" s="14">
        <f t="shared" si="9"/>
        <v>632484.3483</v>
      </c>
      <c r="I1647" s="55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8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8">
        <v>9974210.73</v>
      </c>
      <c r="H1649" s="14">
        <f t="shared" si="9"/>
        <v>2094584.253</v>
      </c>
      <c r="I1649" s="55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8">
        <v>1.014359029E7</v>
      </c>
      <c r="H1650" s="14">
        <f t="shared" si="9"/>
        <v>2130153.961</v>
      </c>
      <c r="I1650" s="55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8">
        <v>9640690.19</v>
      </c>
      <c r="H1651" s="14">
        <f t="shared" si="9"/>
        <v>2024544.94</v>
      </c>
      <c r="I1651" s="55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8">
        <v>1.237848019E7</v>
      </c>
      <c r="H1652" s="14">
        <f t="shared" si="9"/>
        <v>2599480.84</v>
      </c>
      <c r="I1652" s="55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8">
        <v>1.499754085E7</v>
      </c>
      <c r="H1653" s="14">
        <f t="shared" si="9"/>
        <v>3149483.579</v>
      </c>
      <c r="I1653" s="55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8">
        <v>1.263189098E7</v>
      </c>
      <c r="H1654" s="14">
        <f t="shared" si="9"/>
        <v>2652697.106</v>
      </c>
      <c r="I1654" s="55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8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8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8">
        <v>1.481953018E7</v>
      </c>
      <c r="H1657" s="14">
        <f t="shared" si="9"/>
        <v>3112101.338</v>
      </c>
      <c r="I1657" s="55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8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46">
        <v>45924.0</v>
      </c>
      <c r="B1659" s="64"/>
      <c r="C1659" s="61" t="s">
        <v>757</v>
      </c>
      <c r="D1659" s="62" t="s">
        <v>15</v>
      </c>
      <c r="E1659" s="61" t="s">
        <v>1841</v>
      </c>
      <c r="F1659" s="62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49"/>
      <c r="K1659" s="10">
        <f t="shared" si="4"/>
        <v>3723695.718</v>
      </c>
      <c r="L1659" s="47"/>
      <c r="M1659" s="50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8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8">
        <v>2.526186029E7</v>
      </c>
      <c r="H1661" s="14">
        <f t="shared" si="9"/>
        <v>5304990.661</v>
      </c>
      <c r="I1661" s="55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8">
        <v>4226108.29</v>
      </c>
      <c r="H1662" s="14">
        <f t="shared" si="9"/>
        <v>887482.7409</v>
      </c>
      <c r="I1662" s="55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8">
        <v>3334012.51</v>
      </c>
      <c r="H1663" s="14">
        <f t="shared" si="9"/>
        <v>700142.6271</v>
      </c>
      <c r="I1663" s="55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8">
        <v>2900164.25</v>
      </c>
      <c r="H1664" s="14">
        <f t="shared" si="9"/>
        <v>609034.4925</v>
      </c>
      <c r="I1664" s="55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8">
        <v>3795107.16</v>
      </c>
      <c r="H1665" s="14">
        <f t="shared" si="9"/>
        <v>796972.5036</v>
      </c>
      <c r="I1665" s="55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8">
        <v>5015620.45</v>
      </c>
      <c r="H1666" s="14">
        <f t="shared" si="9"/>
        <v>1053280.295</v>
      </c>
      <c r="I1666" s="55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8">
        <v>2664266.09</v>
      </c>
      <c r="H1667" s="14">
        <f t="shared" si="9"/>
        <v>559495.8789</v>
      </c>
      <c r="I1667" s="55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8">
        <v>3484740.29</v>
      </c>
      <c r="H1668" s="14">
        <f t="shared" si="9"/>
        <v>731795.4609</v>
      </c>
      <c r="I1668" s="55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8">
        <v>3018902.59</v>
      </c>
      <c r="H1669" s="14">
        <f t="shared" si="9"/>
        <v>633969.5439</v>
      </c>
      <c r="I1669" s="55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8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8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8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8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8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8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8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8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8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8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46">
        <v>45930.0</v>
      </c>
      <c r="B1680" s="64"/>
      <c r="C1680" s="62" t="s">
        <v>864</v>
      </c>
      <c r="D1680" s="62" t="s">
        <v>1867</v>
      </c>
      <c r="E1680" s="62" t="s">
        <v>1868</v>
      </c>
      <c r="F1680" s="62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49"/>
      <c r="K1680" s="10">
        <f t="shared" si="4"/>
        <v>20876770.05</v>
      </c>
      <c r="L1680" s="47"/>
      <c r="M1680" s="50"/>
    </row>
    <row r="1681" ht="15.75" customHeight="1">
      <c r="A1681" s="46">
        <v>45930.0</v>
      </c>
      <c r="B1681" s="156"/>
      <c r="C1681" s="62" t="s">
        <v>864</v>
      </c>
      <c r="D1681" s="62" t="s">
        <v>1867</v>
      </c>
      <c r="E1681" s="62" t="s">
        <v>1869</v>
      </c>
      <c r="F1681" s="62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49"/>
      <c r="K1681" s="10">
        <f t="shared" si="4"/>
        <v>23635478.4</v>
      </c>
      <c r="L1681" s="47"/>
      <c r="M1681" s="50"/>
    </row>
    <row r="1682" ht="15.75" customHeight="1">
      <c r="A1682" s="46">
        <v>45930.0</v>
      </c>
      <c r="B1682" s="60"/>
      <c r="C1682" s="62" t="s">
        <v>864</v>
      </c>
      <c r="D1682" s="62" t="s">
        <v>1867</v>
      </c>
      <c r="E1682" s="62" t="s">
        <v>1870</v>
      </c>
      <c r="F1682" s="62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49"/>
      <c r="K1682" s="10">
        <f t="shared" si="4"/>
        <v>22995548.4</v>
      </c>
      <c r="L1682" s="47"/>
      <c r="M1682" s="50"/>
    </row>
    <row r="1683" ht="15.75" customHeight="1">
      <c r="A1683" s="46">
        <v>45930.0</v>
      </c>
      <c r="B1683" s="60"/>
      <c r="C1683" s="62" t="s">
        <v>864</v>
      </c>
      <c r="D1683" s="62" t="s">
        <v>1867</v>
      </c>
      <c r="E1683" s="62" t="s">
        <v>1871</v>
      </c>
      <c r="F1683" s="62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49"/>
      <c r="K1683" s="10">
        <f t="shared" si="4"/>
        <v>22143134.25</v>
      </c>
      <c r="L1683" s="47"/>
      <c r="M1683" s="50"/>
    </row>
    <row r="1684" ht="15.75" customHeight="1">
      <c r="A1684" s="46">
        <v>45930.0</v>
      </c>
      <c r="B1684" s="60"/>
      <c r="C1684" s="62" t="s">
        <v>864</v>
      </c>
      <c r="D1684" s="62" t="s">
        <v>1872</v>
      </c>
      <c r="E1684" s="62">
        <v>2.00538048E8</v>
      </c>
      <c r="F1684" s="62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47"/>
      <c r="M1684" s="50"/>
    </row>
    <row r="1685" ht="15.75" customHeight="1">
      <c r="A1685" s="46">
        <v>45930.0</v>
      </c>
      <c r="B1685" s="60"/>
      <c r="C1685" s="62" t="s">
        <v>864</v>
      </c>
      <c r="D1685" s="62" t="s">
        <v>1872</v>
      </c>
      <c r="E1685" s="61">
        <v>2.00538051E8</v>
      </c>
      <c r="F1685" s="62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47"/>
      <c r="M1685" s="50"/>
    </row>
    <row r="1686" ht="15.75" customHeight="1">
      <c r="A1686" s="46">
        <v>45930.0</v>
      </c>
      <c r="B1686" s="60"/>
      <c r="C1686" s="62" t="s">
        <v>864</v>
      </c>
      <c r="D1686" s="62" t="s">
        <v>1872</v>
      </c>
      <c r="E1686" s="61">
        <v>2.0053805E8</v>
      </c>
      <c r="F1686" s="62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47"/>
      <c r="M1686" s="50"/>
    </row>
    <row r="1687" ht="15.75" customHeight="1">
      <c r="A1687" s="46">
        <v>45930.0</v>
      </c>
      <c r="B1687" s="60"/>
      <c r="C1687" s="62" t="s">
        <v>864</v>
      </c>
      <c r="D1687" s="62" t="s">
        <v>1872</v>
      </c>
      <c r="E1687" s="62">
        <v>2.00538049E8</v>
      </c>
      <c r="F1687" s="62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47"/>
      <c r="M1687" s="50"/>
    </row>
    <row r="1688" ht="15.75" customHeight="1">
      <c r="A1688" s="39">
        <v>45930.0</v>
      </c>
      <c r="B1688" s="55"/>
      <c r="C1688" s="31" t="s">
        <v>554</v>
      </c>
      <c r="D1688" s="32" t="s">
        <v>15</v>
      </c>
      <c r="E1688" s="31" t="s">
        <v>1873</v>
      </c>
      <c r="F1688" s="32" t="s">
        <v>208</v>
      </c>
      <c r="G1688" s="58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5"/>
      <c r="C1689" s="31" t="s">
        <v>554</v>
      </c>
      <c r="D1689" s="32" t="s">
        <v>15</v>
      </c>
      <c r="E1689" s="32" t="s">
        <v>1874</v>
      </c>
      <c r="F1689" s="32" t="s">
        <v>208</v>
      </c>
      <c r="G1689" s="58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5"/>
      <c r="C1690" s="31" t="s">
        <v>554</v>
      </c>
      <c r="D1690" s="32" t="s">
        <v>15</v>
      </c>
      <c r="E1690" s="32" t="s">
        <v>1875</v>
      </c>
      <c r="F1690" s="32" t="s">
        <v>208</v>
      </c>
      <c r="G1690" s="58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8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5"/>
      <c r="C1692" s="31" t="s">
        <v>554</v>
      </c>
      <c r="D1692" s="32" t="s">
        <v>15</v>
      </c>
      <c r="E1692" s="32" t="s">
        <v>1877</v>
      </c>
      <c r="F1692" s="32" t="s">
        <v>208</v>
      </c>
      <c r="G1692" s="58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46">
        <v>45930.0</v>
      </c>
      <c r="B1693" s="60"/>
      <c r="C1693" s="61" t="s">
        <v>969</v>
      </c>
      <c r="D1693" s="62" t="s">
        <v>1878</v>
      </c>
      <c r="E1693" s="62" t="s">
        <v>1879</v>
      </c>
      <c r="F1693" s="62" t="s">
        <v>208</v>
      </c>
      <c r="G1693" s="65">
        <v>5149391.0</v>
      </c>
      <c r="H1693" s="9">
        <f t="shared" si="9"/>
        <v>1081372.11</v>
      </c>
      <c r="I1693" s="44"/>
      <c r="J1693" s="49"/>
      <c r="K1693" s="10">
        <f t="shared" si="4"/>
        <v>6230763.11</v>
      </c>
      <c r="L1693" s="47"/>
      <c r="M1693" s="50"/>
    </row>
    <row r="1694" ht="15.75" customHeight="1">
      <c r="A1694" s="46">
        <v>45930.0</v>
      </c>
      <c r="B1694" s="60"/>
      <c r="C1694" s="61" t="s">
        <v>1635</v>
      </c>
      <c r="D1694" s="61" t="s">
        <v>1880</v>
      </c>
      <c r="E1694" s="62" t="s">
        <v>1881</v>
      </c>
      <c r="F1694" s="62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47"/>
      <c r="M1694" s="50"/>
    </row>
    <row r="1695" ht="15.75" customHeight="1">
      <c r="A1695" s="46">
        <v>45930.0</v>
      </c>
      <c r="B1695" s="60"/>
      <c r="C1695" s="62" t="s">
        <v>864</v>
      </c>
      <c r="D1695" s="61" t="s">
        <v>1880</v>
      </c>
      <c r="E1695" s="62" t="s">
        <v>1881</v>
      </c>
      <c r="F1695" s="62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47"/>
      <c r="M1695" s="50"/>
    </row>
    <row r="1696" ht="15.75" customHeight="1">
      <c r="A1696" s="46">
        <v>45930.0</v>
      </c>
      <c r="B1696" s="60"/>
      <c r="C1696" s="62" t="s">
        <v>1669</v>
      </c>
      <c r="D1696" s="62" t="s">
        <v>1244</v>
      </c>
      <c r="E1696" s="62" t="s">
        <v>1882</v>
      </c>
      <c r="F1696" s="62" t="s">
        <v>208</v>
      </c>
      <c r="G1696" s="65">
        <v>1.564005298E7</v>
      </c>
      <c r="H1696" s="9">
        <f t="shared" si="9"/>
        <v>3284411.126</v>
      </c>
      <c r="I1696" s="44"/>
      <c r="J1696" s="49"/>
      <c r="K1696" s="10">
        <f t="shared" si="4"/>
        <v>18924464.11</v>
      </c>
      <c r="L1696" s="47"/>
      <c r="M1696" s="50"/>
    </row>
    <row r="1697" ht="15.75" customHeight="1">
      <c r="A1697" s="46">
        <v>45930.0</v>
      </c>
      <c r="B1697" s="60"/>
      <c r="C1697" s="62" t="s">
        <v>1473</v>
      </c>
      <c r="D1697" s="62" t="s">
        <v>1244</v>
      </c>
      <c r="E1697" s="62" t="s">
        <v>1883</v>
      </c>
      <c r="F1697" s="62" t="s">
        <v>208</v>
      </c>
      <c r="G1697" s="65">
        <v>1.387064737E7</v>
      </c>
      <c r="H1697" s="9">
        <f t="shared" si="9"/>
        <v>2912835.948</v>
      </c>
      <c r="I1697" s="44"/>
      <c r="J1697" s="49"/>
      <c r="K1697" s="10">
        <f t="shared" si="4"/>
        <v>16783483.32</v>
      </c>
      <c r="L1697" s="47"/>
      <c r="M1697" s="50"/>
    </row>
    <row r="1698" ht="15.75" customHeight="1">
      <c r="A1698" s="46">
        <v>45930.0</v>
      </c>
      <c r="B1698" s="60"/>
      <c r="C1698" s="62" t="s">
        <v>1473</v>
      </c>
      <c r="D1698" s="62" t="s">
        <v>1244</v>
      </c>
      <c r="E1698" s="62" t="s">
        <v>1884</v>
      </c>
      <c r="F1698" s="62" t="s">
        <v>208</v>
      </c>
      <c r="G1698" s="65">
        <v>1.764557994E7</v>
      </c>
      <c r="H1698" s="9">
        <f t="shared" si="9"/>
        <v>3705571.787</v>
      </c>
      <c r="I1698" s="60"/>
      <c r="J1698" s="49"/>
      <c r="K1698" s="10">
        <f t="shared" si="4"/>
        <v>21351151.73</v>
      </c>
      <c r="L1698" s="47"/>
      <c r="M1698" s="50"/>
    </row>
    <row r="1699" ht="15.75" customHeight="1">
      <c r="A1699" s="46">
        <v>45930.0</v>
      </c>
      <c r="B1699" s="60"/>
      <c r="C1699" s="62" t="s">
        <v>1652</v>
      </c>
      <c r="D1699" s="62" t="s">
        <v>1244</v>
      </c>
      <c r="E1699" s="62" t="s">
        <v>1885</v>
      </c>
      <c r="F1699" s="62" t="s">
        <v>208</v>
      </c>
      <c r="G1699" s="65">
        <v>2.201149548E7</v>
      </c>
      <c r="H1699" s="9">
        <f t="shared" si="9"/>
        <v>4622414.051</v>
      </c>
      <c r="I1699" s="60"/>
      <c r="J1699" s="49"/>
      <c r="K1699" s="10">
        <f t="shared" si="4"/>
        <v>26633909.53</v>
      </c>
      <c r="L1699" s="47"/>
      <c r="M1699" s="50"/>
    </row>
    <row r="1700" ht="15.75" customHeight="1">
      <c r="A1700" s="39">
        <v>45930.0</v>
      </c>
      <c r="B1700" s="55"/>
      <c r="C1700" s="31" t="s">
        <v>635</v>
      </c>
      <c r="D1700" s="32" t="s">
        <v>99</v>
      </c>
      <c r="E1700" s="32" t="s">
        <v>1886</v>
      </c>
      <c r="F1700" s="32" t="s">
        <v>208</v>
      </c>
      <c r="G1700" s="58">
        <v>8838549.57</v>
      </c>
      <c r="H1700" s="14">
        <f t="shared" si="9"/>
        <v>1856095.41</v>
      </c>
      <c r="I1700" s="55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8">
        <v>1.033876246E7</v>
      </c>
      <c r="H1701" s="14">
        <f t="shared" si="9"/>
        <v>2171140.117</v>
      </c>
      <c r="I1701" s="55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5"/>
      <c r="C1702" s="31" t="s">
        <v>635</v>
      </c>
      <c r="D1702" s="32" t="s">
        <v>99</v>
      </c>
      <c r="E1702" s="32" t="s">
        <v>1888</v>
      </c>
      <c r="F1702" s="32" t="s">
        <v>208</v>
      </c>
      <c r="G1702" s="58">
        <v>1.223943912E7</v>
      </c>
      <c r="H1702" s="14">
        <f t="shared" si="9"/>
        <v>2570282.215</v>
      </c>
      <c r="I1702" s="55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5"/>
      <c r="C1703" s="31" t="s">
        <v>635</v>
      </c>
      <c r="D1703" s="32" t="s">
        <v>99</v>
      </c>
      <c r="E1703" s="32" t="s">
        <v>1889</v>
      </c>
      <c r="F1703" s="32" t="s">
        <v>208</v>
      </c>
      <c r="G1703" s="58">
        <v>1.447386303E7</v>
      </c>
      <c r="H1703" s="14">
        <f t="shared" si="9"/>
        <v>3039511.236</v>
      </c>
      <c r="I1703" s="55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5"/>
      <c r="C1704" s="31" t="s">
        <v>635</v>
      </c>
      <c r="D1704" s="32" t="s">
        <v>99</v>
      </c>
      <c r="E1704" s="32" t="s">
        <v>1890</v>
      </c>
      <c r="F1704" s="32" t="s">
        <v>208</v>
      </c>
      <c r="G1704" s="58">
        <v>5902964.39</v>
      </c>
      <c r="H1704" s="14">
        <f t="shared" si="9"/>
        <v>1239622.522</v>
      </c>
      <c r="I1704" s="55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5"/>
      <c r="C1712" s="31" t="s">
        <v>111</v>
      </c>
      <c r="D1712" s="32" t="s">
        <v>99</v>
      </c>
      <c r="E1712" s="32" t="s">
        <v>1899</v>
      </c>
      <c r="F1712" s="32" t="s">
        <v>208</v>
      </c>
      <c r="G1712" s="58">
        <v>1.213568E7</v>
      </c>
      <c r="H1712" s="14">
        <f t="shared" si="9"/>
        <v>2548492.8</v>
      </c>
      <c r="I1712" s="55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5"/>
      <c r="C1713" s="31" t="s">
        <v>111</v>
      </c>
      <c r="D1713" s="32" t="s">
        <v>99</v>
      </c>
      <c r="E1713" s="32" t="s">
        <v>1900</v>
      </c>
      <c r="F1713" s="32" t="s">
        <v>208</v>
      </c>
      <c r="G1713" s="58">
        <v>7878960.0</v>
      </c>
      <c r="H1713" s="14">
        <f t="shared" si="9"/>
        <v>1654581.6</v>
      </c>
      <c r="I1713" s="55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46">
        <v>45930.0</v>
      </c>
      <c r="B1714" s="60"/>
      <c r="C1714" s="61" t="s">
        <v>1533</v>
      </c>
      <c r="D1714" s="62" t="s">
        <v>1901</v>
      </c>
      <c r="E1714" s="62" t="s">
        <v>1902</v>
      </c>
      <c r="F1714" s="62" t="s">
        <v>208</v>
      </c>
      <c r="G1714" s="65">
        <v>1.40013388E7</v>
      </c>
      <c r="H1714" s="9">
        <f t="shared" si="9"/>
        <v>2940281.148</v>
      </c>
      <c r="I1714" s="60"/>
      <c r="J1714" s="49"/>
      <c r="K1714" s="10">
        <f t="shared" si="4"/>
        <v>16941619.95</v>
      </c>
      <c r="L1714" s="47"/>
      <c r="M1714" s="50"/>
    </row>
    <row r="1715" ht="15.75" customHeight="1">
      <c r="A1715" s="46">
        <v>45930.0</v>
      </c>
      <c r="B1715" s="60"/>
      <c r="C1715" s="61" t="s">
        <v>1903</v>
      </c>
      <c r="D1715" s="62" t="s">
        <v>1901</v>
      </c>
      <c r="E1715" s="62" t="s">
        <v>1904</v>
      </c>
      <c r="F1715" s="62" t="s">
        <v>208</v>
      </c>
      <c r="G1715" s="65">
        <v>1.500064458E7</v>
      </c>
      <c r="H1715" s="9">
        <f t="shared" si="9"/>
        <v>3150135.362</v>
      </c>
      <c r="I1715" s="60"/>
      <c r="J1715" s="49"/>
      <c r="K1715" s="10">
        <f t="shared" si="4"/>
        <v>18150779.94</v>
      </c>
      <c r="L1715" s="47"/>
      <c r="M1715" s="50"/>
    </row>
    <row r="1716" ht="15.75" customHeight="1">
      <c r="A1716" s="46">
        <v>45930.0</v>
      </c>
      <c r="B1716" s="60"/>
      <c r="C1716" s="61" t="s">
        <v>1248</v>
      </c>
      <c r="D1716" s="62" t="s">
        <v>1901</v>
      </c>
      <c r="E1716" s="62" t="s">
        <v>1905</v>
      </c>
      <c r="F1716" s="62" t="s">
        <v>208</v>
      </c>
      <c r="G1716" s="65">
        <v>1.500721652E7</v>
      </c>
      <c r="H1716" s="9">
        <f t="shared" si="9"/>
        <v>3151515.469</v>
      </c>
      <c r="I1716" s="60"/>
      <c r="J1716" s="49"/>
      <c r="K1716" s="10">
        <f t="shared" si="4"/>
        <v>18158731.99</v>
      </c>
      <c r="L1716" s="47"/>
      <c r="M1716" s="50"/>
    </row>
    <row r="1717" ht="15.75" customHeight="1">
      <c r="A1717" s="39">
        <v>45930.0</v>
      </c>
      <c r="B1717" s="55"/>
      <c r="C1717" s="31" t="s">
        <v>635</v>
      </c>
      <c r="D1717" s="32" t="s">
        <v>99</v>
      </c>
      <c r="E1717" s="32" t="s">
        <v>1906</v>
      </c>
      <c r="F1717" s="32" t="s">
        <v>208</v>
      </c>
      <c r="G1717" s="58">
        <v>8839069.08</v>
      </c>
      <c r="H1717" s="14">
        <f t="shared" si="9"/>
        <v>1856204.507</v>
      </c>
      <c r="I1717" s="55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5"/>
      <c r="C1718" s="31" t="s">
        <v>635</v>
      </c>
      <c r="D1718" s="32" t="s">
        <v>99</v>
      </c>
      <c r="E1718" s="32" t="s">
        <v>1907</v>
      </c>
      <c r="F1718" s="32" t="s">
        <v>208</v>
      </c>
      <c r="G1718" s="58">
        <v>1.116293299E7</v>
      </c>
      <c r="H1718" s="14">
        <f t="shared" si="9"/>
        <v>2344215.928</v>
      </c>
      <c r="I1718" s="55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46">
        <v>45930.0</v>
      </c>
      <c r="B1719" s="60"/>
      <c r="C1719" s="61" t="s">
        <v>1908</v>
      </c>
      <c r="D1719" s="160" t="s">
        <v>1543</v>
      </c>
      <c r="E1719" s="62" t="s">
        <v>1909</v>
      </c>
      <c r="F1719" s="62" t="s">
        <v>208</v>
      </c>
      <c r="G1719" s="65">
        <v>1.000130539E7</v>
      </c>
      <c r="H1719" s="9">
        <f t="shared" si="9"/>
        <v>2100274.132</v>
      </c>
      <c r="I1719" s="60"/>
      <c r="J1719" s="49"/>
      <c r="K1719" s="10">
        <f t="shared" si="4"/>
        <v>12101579.52</v>
      </c>
      <c r="L1719" s="47"/>
      <c r="M1719" s="50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8">
        <v>2.258279074E7</v>
      </c>
      <c r="H1720" s="14">
        <f t="shared" si="9"/>
        <v>4742386.055</v>
      </c>
      <c r="I1720" s="55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5"/>
      <c r="C1721" s="31" t="s">
        <v>1842</v>
      </c>
      <c r="D1721" s="32" t="s">
        <v>99</v>
      </c>
      <c r="E1721" s="31" t="s">
        <v>1911</v>
      </c>
      <c r="F1721" s="161">
        <v>45955.0</v>
      </c>
      <c r="G1721" s="58">
        <v>2.682046019E7</v>
      </c>
      <c r="H1721" s="14">
        <f t="shared" si="9"/>
        <v>5632296.64</v>
      </c>
      <c r="I1721" s="55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5"/>
      <c r="C1722" s="31" t="s">
        <v>16</v>
      </c>
      <c r="D1722" s="32" t="s">
        <v>99</v>
      </c>
      <c r="E1722" s="31" t="s">
        <v>1912</v>
      </c>
      <c r="F1722" s="161">
        <v>45955.0</v>
      </c>
      <c r="G1722" s="58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5"/>
      <c r="C1723" s="31" t="s">
        <v>16</v>
      </c>
      <c r="D1723" s="32" t="s">
        <v>99</v>
      </c>
      <c r="E1723" s="31" t="s">
        <v>1913</v>
      </c>
      <c r="F1723" s="161">
        <v>45955.0</v>
      </c>
      <c r="G1723" s="58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5"/>
      <c r="C1724" s="31" t="s">
        <v>16</v>
      </c>
      <c r="D1724" s="32" t="s">
        <v>99</v>
      </c>
      <c r="E1724" s="31" t="s">
        <v>1914</v>
      </c>
      <c r="F1724" s="161">
        <v>45955.0</v>
      </c>
      <c r="G1724" s="58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5"/>
      <c r="C1725" s="31" t="s">
        <v>1112</v>
      </c>
      <c r="D1725" s="32" t="s">
        <v>15</v>
      </c>
      <c r="E1725" s="31" t="s">
        <v>1915</v>
      </c>
      <c r="F1725" s="161">
        <v>45955.0</v>
      </c>
      <c r="G1725" s="58">
        <v>1.751951822E7</v>
      </c>
      <c r="H1725" s="14">
        <f t="shared" si="9"/>
        <v>3679098.826</v>
      </c>
      <c r="I1725" s="55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5"/>
      <c r="C1726" s="31" t="s">
        <v>1112</v>
      </c>
      <c r="D1726" s="32" t="s">
        <v>15</v>
      </c>
      <c r="E1726" s="32" t="s">
        <v>1916</v>
      </c>
      <c r="F1726" s="161">
        <v>45955.0</v>
      </c>
      <c r="G1726" s="58">
        <v>1.748049565E7</v>
      </c>
      <c r="H1726" s="14">
        <f t="shared" si="9"/>
        <v>3670904.087</v>
      </c>
      <c r="I1726" s="55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5"/>
      <c r="C1727" s="31" t="s">
        <v>1112</v>
      </c>
      <c r="D1727" s="32" t="s">
        <v>99</v>
      </c>
      <c r="E1727" s="32" t="s">
        <v>1917</v>
      </c>
      <c r="F1727" s="161">
        <v>45955.0</v>
      </c>
      <c r="G1727" s="58">
        <v>1.580968967E7</v>
      </c>
      <c r="H1727" s="14">
        <f t="shared" si="9"/>
        <v>3320034.831</v>
      </c>
      <c r="I1727" s="55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5"/>
      <c r="C1728" s="31" t="s">
        <v>1112</v>
      </c>
      <c r="D1728" s="32" t="s">
        <v>99</v>
      </c>
      <c r="E1728" s="32" t="s">
        <v>1918</v>
      </c>
      <c r="F1728" s="161">
        <v>45955.0</v>
      </c>
      <c r="G1728" s="58">
        <v>1.919032516E7</v>
      </c>
      <c r="H1728" s="14">
        <f t="shared" si="9"/>
        <v>4029968.284</v>
      </c>
      <c r="I1728" s="55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5"/>
      <c r="C1729" s="31" t="s">
        <v>1277</v>
      </c>
      <c r="D1729" s="32" t="s">
        <v>99</v>
      </c>
      <c r="E1729" s="31" t="s">
        <v>1919</v>
      </c>
      <c r="F1729" s="161">
        <v>45955.0</v>
      </c>
      <c r="G1729" s="58">
        <v>2169583.09</v>
      </c>
      <c r="H1729" s="14">
        <f t="shared" si="9"/>
        <v>455612.4489</v>
      </c>
      <c r="I1729" s="55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5"/>
      <c r="C1730" s="31" t="s">
        <v>1277</v>
      </c>
      <c r="D1730" s="32" t="s">
        <v>99</v>
      </c>
      <c r="E1730" s="31" t="s">
        <v>1920</v>
      </c>
      <c r="F1730" s="161">
        <v>45955.0</v>
      </c>
      <c r="G1730" s="58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5"/>
      <c r="C1731" s="31" t="s">
        <v>1277</v>
      </c>
      <c r="D1731" s="32" t="s">
        <v>99</v>
      </c>
      <c r="E1731" s="31" t="s">
        <v>1921</v>
      </c>
      <c r="F1731" s="161">
        <v>45955.0</v>
      </c>
      <c r="G1731" s="58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5"/>
      <c r="C1732" s="31" t="s">
        <v>1277</v>
      </c>
      <c r="D1732" s="32" t="s">
        <v>15</v>
      </c>
      <c r="E1732" s="31" t="s">
        <v>1922</v>
      </c>
      <c r="F1732" s="161">
        <v>45955.0</v>
      </c>
      <c r="G1732" s="58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5"/>
      <c r="C1733" s="31" t="s">
        <v>1283</v>
      </c>
      <c r="D1733" s="32" t="s">
        <v>99</v>
      </c>
      <c r="E1733" s="31" t="s">
        <v>1923</v>
      </c>
      <c r="F1733" s="161">
        <v>45955.0</v>
      </c>
      <c r="G1733" s="58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5"/>
      <c r="C1734" s="31" t="s">
        <v>1283</v>
      </c>
      <c r="D1734" s="32" t="s">
        <v>99</v>
      </c>
      <c r="E1734" s="31" t="s">
        <v>1924</v>
      </c>
      <c r="F1734" s="161">
        <v>45955.0</v>
      </c>
      <c r="G1734" s="58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5"/>
      <c r="C1735" s="31" t="s">
        <v>1283</v>
      </c>
      <c r="D1735" s="32" t="s">
        <v>99</v>
      </c>
      <c r="E1735" s="31" t="s">
        <v>1925</v>
      </c>
      <c r="F1735" s="161">
        <v>45955.0</v>
      </c>
      <c r="G1735" s="58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5"/>
      <c r="C1736" s="31" t="s">
        <v>1283</v>
      </c>
      <c r="D1736" s="32" t="s">
        <v>15</v>
      </c>
      <c r="E1736" s="32" t="s">
        <v>1926</v>
      </c>
      <c r="F1736" s="161">
        <v>45955.0</v>
      </c>
      <c r="G1736" s="58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5"/>
      <c r="C1737" s="31" t="s">
        <v>64</v>
      </c>
      <c r="D1737" s="32" t="s">
        <v>99</v>
      </c>
      <c r="E1737" s="31" t="s">
        <v>1927</v>
      </c>
      <c r="F1737" s="161">
        <v>45955.0</v>
      </c>
      <c r="G1737" s="58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5"/>
      <c r="C1738" s="31" t="s">
        <v>64</v>
      </c>
      <c r="D1738" s="32" t="s">
        <v>15</v>
      </c>
      <c r="E1738" s="31" t="s">
        <v>1928</v>
      </c>
      <c r="F1738" s="161">
        <v>45955.0</v>
      </c>
      <c r="G1738" s="58">
        <v>1.180367026E7</v>
      </c>
      <c r="H1738" s="14">
        <f t="shared" si="9"/>
        <v>2478770.755</v>
      </c>
      <c r="I1738" s="55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8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5"/>
      <c r="C1740" s="31" t="s">
        <v>1275</v>
      </c>
      <c r="D1740" s="32" t="s">
        <v>99</v>
      </c>
      <c r="E1740" s="31" t="s">
        <v>1930</v>
      </c>
      <c r="F1740" s="161">
        <v>45955.0</v>
      </c>
      <c r="G1740" s="58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5"/>
      <c r="C1741" s="31" t="s">
        <v>1275</v>
      </c>
      <c r="D1741" s="32" t="s">
        <v>99</v>
      </c>
      <c r="E1741" s="31" t="s">
        <v>1931</v>
      </c>
      <c r="F1741" s="161">
        <v>45955.0</v>
      </c>
      <c r="G1741" s="58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5"/>
      <c r="C1742" s="31" t="s">
        <v>1275</v>
      </c>
      <c r="D1742" s="32" t="s">
        <v>15</v>
      </c>
      <c r="E1742" s="31" t="s">
        <v>1932</v>
      </c>
      <c r="F1742" s="161">
        <v>45955.0</v>
      </c>
      <c r="G1742" s="58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5"/>
      <c r="C1743" s="31" t="s">
        <v>1279</v>
      </c>
      <c r="D1743" s="32" t="s">
        <v>99</v>
      </c>
      <c r="E1743" s="31" t="s">
        <v>1933</v>
      </c>
      <c r="F1743" s="161">
        <v>45955.0</v>
      </c>
      <c r="G1743" s="58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5"/>
      <c r="C1744" s="31" t="s">
        <v>1279</v>
      </c>
      <c r="D1744" s="32" t="s">
        <v>99</v>
      </c>
      <c r="E1744" s="31" t="s">
        <v>1934</v>
      </c>
      <c r="F1744" s="161">
        <v>45955.0</v>
      </c>
      <c r="G1744" s="58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5"/>
      <c r="C1745" s="31" t="s">
        <v>1279</v>
      </c>
      <c r="D1745" s="32" t="s">
        <v>99</v>
      </c>
      <c r="E1745" s="32" t="s">
        <v>1935</v>
      </c>
      <c r="F1745" s="161">
        <v>45955.0</v>
      </c>
      <c r="G1745" s="58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5"/>
      <c r="C1746" s="31" t="s">
        <v>1279</v>
      </c>
      <c r="D1746" s="32" t="s">
        <v>15</v>
      </c>
      <c r="E1746" s="31" t="s">
        <v>1936</v>
      </c>
      <c r="F1746" s="161">
        <v>45955.0</v>
      </c>
      <c r="G1746" s="58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5"/>
      <c r="C1747" s="31" t="s">
        <v>1281</v>
      </c>
      <c r="D1747" s="32" t="s">
        <v>99</v>
      </c>
      <c r="E1747" s="31" t="s">
        <v>1937</v>
      </c>
      <c r="F1747" s="161">
        <v>45955.0</v>
      </c>
      <c r="G1747" s="58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5"/>
      <c r="C1748" s="31" t="s">
        <v>1281</v>
      </c>
      <c r="D1748" s="32" t="s">
        <v>99</v>
      </c>
      <c r="E1748" s="31" t="s">
        <v>1938</v>
      </c>
      <c r="F1748" s="161">
        <v>45955.0</v>
      </c>
      <c r="G1748" s="58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5"/>
      <c r="C1749" s="31" t="s">
        <v>1281</v>
      </c>
      <c r="D1749" s="32" t="s">
        <v>99</v>
      </c>
      <c r="E1749" s="31" t="s">
        <v>1939</v>
      </c>
      <c r="F1749" s="161">
        <v>45955.0</v>
      </c>
      <c r="G1749" s="58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5"/>
      <c r="C1750" s="31" t="s">
        <v>1281</v>
      </c>
      <c r="D1750" s="32" t="s">
        <v>15</v>
      </c>
      <c r="E1750" s="31" t="s">
        <v>1940</v>
      </c>
      <c r="F1750" s="161">
        <v>45955.0</v>
      </c>
      <c r="G1750" s="58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47"/>
      <c r="M1750" s="50"/>
    </row>
    <row r="1751" ht="15.75" customHeight="1">
      <c r="A1751" s="162">
        <v>45944.0</v>
      </c>
      <c r="B1751" s="55"/>
      <c r="C1751" s="31" t="s">
        <v>1285</v>
      </c>
      <c r="D1751" s="32" t="s">
        <v>15</v>
      </c>
      <c r="E1751" s="32" t="s">
        <v>1941</v>
      </c>
      <c r="F1751" s="161">
        <v>45955.0</v>
      </c>
      <c r="G1751" s="58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5"/>
      <c r="C1752" s="31" t="s">
        <v>1942</v>
      </c>
      <c r="D1752" s="32" t="s">
        <v>15</v>
      </c>
      <c r="E1752" s="31" t="s">
        <v>1943</v>
      </c>
      <c r="F1752" s="161">
        <v>45955.0</v>
      </c>
      <c r="G1752" s="58">
        <v>1.420052429E7</v>
      </c>
      <c r="H1752" s="14">
        <f t="shared" si="9"/>
        <v>2982110.101</v>
      </c>
      <c r="I1752" s="55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5"/>
      <c r="C1753" s="31" t="s">
        <v>1942</v>
      </c>
      <c r="D1753" s="32" t="s">
        <v>15</v>
      </c>
      <c r="E1753" s="31" t="s">
        <v>1944</v>
      </c>
      <c r="F1753" s="161">
        <v>45955.0</v>
      </c>
      <c r="G1753" s="58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5"/>
      <c r="C1754" s="31" t="s">
        <v>1942</v>
      </c>
      <c r="D1754" s="32" t="s">
        <v>15</v>
      </c>
      <c r="E1754" s="32" t="s">
        <v>1945</v>
      </c>
      <c r="F1754" s="161">
        <v>45955.0</v>
      </c>
      <c r="G1754" s="58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5"/>
      <c r="C1755" s="31" t="s">
        <v>74</v>
      </c>
      <c r="D1755" s="32" t="s">
        <v>15</v>
      </c>
      <c r="E1755" s="31" t="s">
        <v>1946</v>
      </c>
      <c r="F1755" s="161">
        <v>45955.0</v>
      </c>
      <c r="G1755" s="58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5"/>
      <c r="C1756" s="31" t="s">
        <v>74</v>
      </c>
      <c r="D1756" s="32" t="s">
        <v>15</v>
      </c>
      <c r="E1756" s="31" t="s">
        <v>1947</v>
      </c>
      <c r="F1756" s="161">
        <v>45955.0</v>
      </c>
      <c r="G1756" s="58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5"/>
      <c r="C1757" s="31" t="s">
        <v>74</v>
      </c>
      <c r="D1757" s="32" t="s">
        <v>15</v>
      </c>
      <c r="E1757" s="31" t="s">
        <v>1948</v>
      </c>
      <c r="F1757" s="161">
        <v>45955.0</v>
      </c>
      <c r="G1757" s="58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8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5"/>
      <c r="C1759" s="31" t="s">
        <v>74</v>
      </c>
      <c r="D1759" s="32" t="s">
        <v>15</v>
      </c>
      <c r="E1759" s="31" t="s">
        <v>1950</v>
      </c>
      <c r="F1759" s="161">
        <v>45955.0</v>
      </c>
      <c r="G1759" s="58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5"/>
      <c r="C1760" s="31" t="s">
        <v>1854</v>
      </c>
      <c r="D1760" s="32" t="s">
        <v>15</v>
      </c>
      <c r="E1760" s="31" t="s">
        <v>1951</v>
      </c>
      <c r="F1760" s="161">
        <v>45955.0</v>
      </c>
      <c r="G1760" s="58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5"/>
      <c r="C1761" s="31" t="s">
        <v>1854</v>
      </c>
      <c r="D1761" s="32" t="s">
        <v>15</v>
      </c>
      <c r="E1761" s="31" t="s">
        <v>1952</v>
      </c>
      <c r="F1761" s="161">
        <v>45955.0</v>
      </c>
      <c r="G1761" s="58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5"/>
      <c r="C1762" s="31" t="s">
        <v>1854</v>
      </c>
      <c r="D1762" s="32" t="s">
        <v>99</v>
      </c>
      <c r="E1762" s="31" t="s">
        <v>1953</v>
      </c>
      <c r="F1762" s="161">
        <v>45955.0</v>
      </c>
      <c r="G1762" s="58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5"/>
      <c r="C1763" s="31" t="s">
        <v>1858</v>
      </c>
      <c r="D1763" s="32" t="s">
        <v>15</v>
      </c>
      <c r="E1763" s="31" t="s">
        <v>1954</v>
      </c>
      <c r="F1763" s="161">
        <v>45955.0</v>
      </c>
      <c r="G1763" s="58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5"/>
      <c r="C1764" s="31" t="s">
        <v>1858</v>
      </c>
      <c r="D1764" s="32" t="s">
        <v>15</v>
      </c>
      <c r="E1764" s="31" t="s">
        <v>1955</v>
      </c>
      <c r="F1764" s="161">
        <v>45955.0</v>
      </c>
      <c r="G1764" s="58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5"/>
      <c r="C1765" s="31" t="s">
        <v>1858</v>
      </c>
      <c r="D1765" s="32" t="s">
        <v>99</v>
      </c>
      <c r="E1765" s="31" t="s">
        <v>1956</v>
      </c>
      <c r="F1765" s="161">
        <v>45955.0</v>
      </c>
      <c r="G1765" s="58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5"/>
      <c r="C1766" s="31" t="s">
        <v>1861</v>
      </c>
      <c r="D1766" s="32" t="s">
        <v>15</v>
      </c>
      <c r="E1766" s="31" t="s">
        <v>1957</v>
      </c>
      <c r="F1766" s="161">
        <v>45955.0</v>
      </c>
      <c r="G1766" s="58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5"/>
      <c r="C1767" s="31" t="s">
        <v>1861</v>
      </c>
      <c r="D1767" s="32" t="s">
        <v>15</v>
      </c>
      <c r="E1767" s="31" t="s">
        <v>1958</v>
      </c>
      <c r="F1767" s="161">
        <v>45955.0</v>
      </c>
      <c r="G1767" s="58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5"/>
      <c r="C1768" s="31" t="s">
        <v>1861</v>
      </c>
      <c r="D1768" s="32" t="s">
        <v>99</v>
      </c>
      <c r="E1768" s="31" t="s">
        <v>1959</v>
      </c>
      <c r="F1768" s="161">
        <v>45955.0</v>
      </c>
      <c r="G1768" s="58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5"/>
      <c r="C1769" s="31" t="s">
        <v>211</v>
      </c>
      <c r="D1769" s="32" t="s">
        <v>99</v>
      </c>
      <c r="E1769" s="31" t="s">
        <v>1960</v>
      </c>
      <c r="F1769" s="161">
        <v>45955.0</v>
      </c>
      <c r="G1769" s="58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5"/>
      <c r="C1770" s="31" t="s">
        <v>211</v>
      </c>
      <c r="D1770" s="32" t="s">
        <v>99</v>
      </c>
      <c r="E1770" s="31" t="s">
        <v>1961</v>
      </c>
      <c r="F1770" s="161">
        <v>45955.0</v>
      </c>
      <c r="G1770" s="58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5"/>
      <c r="C1771" s="31" t="s">
        <v>567</v>
      </c>
      <c r="D1771" s="32" t="s">
        <v>99</v>
      </c>
      <c r="E1771" s="31" t="s">
        <v>1962</v>
      </c>
      <c r="F1771" s="161">
        <v>45955.0</v>
      </c>
      <c r="G1771" s="58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5"/>
      <c r="C1772" s="31" t="s">
        <v>567</v>
      </c>
      <c r="D1772" s="32" t="s">
        <v>99</v>
      </c>
      <c r="E1772" s="31" t="s">
        <v>1963</v>
      </c>
      <c r="F1772" s="161">
        <v>45955.0</v>
      </c>
      <c r="G1772" s="58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5"/>
      <c r="C1773" s="31" t="s">
        <v>567</v>
      </c>
      <c r="D1773" s="32" t="s">
        <v>99</v>
      </c>
      <c r="E1773" s="31" t="s">
        <v>1964</v>
      </c>
      <c r="F1773" s="161">
        <v>45955.0</v>
      </c>
      <c r="G1773" s="58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5"/>
      <c r="C1774" s="31" t="s">
        <v>567</v>
      </c>
      <c r="D1774" s="32" t="s">
        <v>99</v>
      </c>
      <c r="E1774" s="31" t="s">
        <v>1965</v>
      </c>
      <c r="F1774" s="161">
        <v>45955.0</v>
      </c>
      <c r="G1774" s="58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5"/>
      <c r="C1775" s="31" t="s">
        <v>567</v>
      </c>
      <c r="D1775" s="32" t="s">
        <v>99</v>
      </c>
      <c r="E1775" s="31" t="s">
        <v>1966</v>
      </c>
      <c r="F1775" s="161">
        <v>45955.0</v>
      </c>
      <c r="G1775" s="58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5"/>
      <c r="C1776" s="31" t="s">
        <v>567</v>
      </c>
      <c r="D1776" s="32" t="s">
        <v>15</v>
      </c>
      <c r="E1776" s="31" t="s">
        <v>1967</v>
      </c>
      <c r="F1776" s="161">
        <v>45955.0</v>
      </c>
      <c r="G1776" s="58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8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5"/>
      <c r="C1778" s="31" t="s">
        <v>567</v>
      </c>
      <c r="D1778" s="32" t="s">
        <v>15</v>
      </c>
      <c r="E1778" s="32" t="s">
        <v>1969</v>
      </c>
      <c r="F1778" s="161">
        <v>45955.0</v>
      </c>
      <c r="G1778" s="58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5"/>
      <c r="C1779" s="31" t="s">
        <v>567</v>
      </c>
      <c r="D1779" s="32" t="s">
        <v>15</v>
      </c>
      <c r="E1779" s="32" t="s">
        <v>1970</v>
      </c>
      <c r="F1779" s="161">
        <v>45955.0</v>
      </c>
      <c r="G1779" s="58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5"/>
      <c r="C1780" s="31" t="s">
        <v>567</v>
      </c>
      <c r="D1780" s="32" t="s">
        <v>15</v>
      </c>
      <c r="E1780" s="32" t="s">
        <v>1971</v>
      </c>
      <c r="F1780" s="161">
        <v>45955.0</v>
      </c>
      <c r="G1780" s="58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5"/>
      <c r="C1781" s="32" t="s">
        <v>1972</v>
      </c>
      <c r="D1781" s="32" t="s">
        <v>15</v>
      </c>
      <c r="E1781" s="32" t="s">
        <v>1973</v>
      </c>
      <c r="F1781" s="161">
        <v>45955.0</v>
      </c>
      <c r="G1781" s="58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5"/>
      <c r="C1782" s="32" t="s">
        <v>1972</v>
      </c>
      <c r="D1782" s="32" t="s">
        <v>15</v>
      </c>
      <c r="E1782" s="32" t="s">
        <v>1974</v>
      </c>
      <c r="F1782" s="161">
        <v>45955.0</v>
      </c>
      <c r="G1782" s="58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5"/>
      <c r="C1783" s="32" t="s">
        <v>1972</v>
      </c>
      <c r="D1783" s="32" t="s">
        <v>15</v>
      </c>
      <c r="E1783" s="32" t="s">
        <v>1975</v>
      </c>
      <c r="F1783" s="161">
        <v>45955.0</v>
      </c>
      <c r="G1783" s="58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60"/>
      <c r="C1784" s="61" t="s">
        <v>969</v>
      </c>
      <c r="D1784" s="62" t="s">
        <v>1878</v>
      </c>
      <c r="E1784" s="62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60"/>
      <c r="J1784" s="49"/>
      <c r="K1784" s="10">
        <f t="shared" si="4"/>
        <v>13162340.8</v>
      </c>
      <c r="L1784" s="47"/>
      <c r="M1784" s="50"/>
    </row>
    <row r="1785" ht="15.75" customHeight="1">
      <c r="A1785" s="115">
        <v>45948.0</v>
      </c>
      <c r="B1785" s="55"/>
      <c r="C1785" s="31" t="s">
        <v>1285</v>
      </c>
      <c r="D1785" s="32" t="s">
        <v>15</v>
      </c>
      <c r="E1785" s="31" t="s">
        <v>1977</v>
      </c>
      <c r="F1785" s="161">
        <v>45955.0</v>
      </c>
      <c r="G1785" s="58">
        <v>4002771.56</v>
      </c>
      <c r="H1785" s="14">
        <f t="shared" si="9"/>
        <v>840582.0276</v>
      </c>
      <c r="I1785" s="55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5"/>
      <c r="C1786" s="31" t="s">
        <v>140</v>
      </c>
      <c r="D1786" s="32" t="s">
        <v>15</v>
      </c>
      <c r="E1786" s="31" t="s">
        <v>1978</v>
      </c>
      <c r="F1786" s="161">
        <v>45955.0</v>
      </c>
      <c r="G1786" s="58">
        <v>5009362.06</v>
      </c>
      <c r="H1786" s="14">
        <f t="shared" si="9"/>
        <v>1051966.033</v>
      </c>
      <c r="I1786" s="55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5"/>
      <c r="C1787" s="31" t="s">
        <v>443</v>
      </c>
      <c r="D1787" s="32" t="s">
        <v>99</v>
      </c>
      <c r="E1787" s="31" t="s">
        <v>1979</v>
      </c>
      <c r="F1787" s="161">
        <v>45955.0</v>
      </c>
      <c r="G1787" s="58">
        <v>6010361.26</v>
      </c>
      <c r="H1787" s="14">
        <f t="shared" si="9"/>
        <v>1262175.865</v>
      </c>
      <c r="I1787" s="55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5"/>
      <c r="C1788" s="31" t="s">
        <v>1980</v>
      </c>
      <c r="D1788" s="32" t="s">
        <v>99</v>
      </c>
      <c r="E1788" s="31" t="s">
        <v>1981</v>
      </c>
      <c r="F1788" s="161">
        <v>45955.0</v>
      </c>
      <c r="G1788" s="58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5"/>
      <c r="C1789" s="31" t="s">
        <v>1980</v>
      </c>
      <c r="D1789" s="32" t="s">
        <v>15</v>
      </c>
      <c r="E1789" s="32" t="s">
        <v>1982</v>
      </c>
      <c r="F1789" s="161">
        <v>45955.0</v>
      </c>
      <c r="G1789" s="58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5"/>
      <c r="C1790" s="31" t="s">
        <v>1980</v>
      </c>
      <c r="D1790" s="32" t="s">
        <v>99</v>
      </c>
      <c r="E1790" s="31" t="s">
        <v>1983</v>
      </c>
      <c r="F1790" s="161">
        <v>45955.0</v>
      </c>
      <c r="G1790" s="58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5"/>
      <c r="C1791" s="31" t="s">
        <v>1980</v>
      </c>
      <c r="D1791" s="32" t="s">
        <v>99</v>
      </c>
      <c r="E1791" s="31" t="s">
        <v>1984</v>
      </c>
      <c r="F1791" s="161">
        <v>45955.0</v>
      </c>
      <c r="G1791" s="58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5"/>
      <c r="C1792" s="31" t="s">
        <v>1980</v>
      </c>
      <c r="D1792" s="32" t="s">
        <v>99</v>
      </c>
      <c r="E1792" s="31" t="s">
        <v>1985</v>
      </c>
      <c r="F1792" s="161">
        <v>45955.0</v>
      </c>
      <c r="G1792" s="58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5"/>
      <c r="C1793" s="31" t="s">
        <v>247</v>
      </c>
      <c r="D1793" s="32" t="s">
        <v>15</v>
      </c>
      <c r="E1793" s="31" t="s">
        <v>1986</v>
      </c>
      <c r="F1793" s="161">
        <v>45955.0</v>
      </c>
      <c r="G1793" s="58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5"/>
      <c r="C1794" s="31" t="s">
        <v>247</v>
      </c>
      <c r="D1794" s="32" t="s">
        <v>15</v>
      </c>
      <c r="E1794" s="31" t="s">
        <v>1987</v>
      </c>
      <c r="F1794" s="161">
        <v>45955.0</v>
      </c>
      <c r="G1794" s="58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5"/>
      <c r="C1795" s="31" t="s">
        <v>247</v>
      </c>
      <c r="D1795" s="32" t="s">
        <v>99</v>
      </c>
      <c r="E1795" s="31" t="s">
        <v>1988</v>
      </c>
      <c r="F1795" s="161">
        <v>45955.0</v>
      </c>
      <c r="G1795" s="58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5"/>
      <c r="C1796" s="31" t="s">
        <v>247</v>
      </c>
      <c r="D1796" s="32" t="s">
        <v>99</v>
      </c>
      <c r="E1796" s="31" t="s">
        <v>1989</v>
      </c>
      <c r="F1796" s="161">
        <v>45955.0</v>
      </c>
      <c r="G1796" s="58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5"/>
      <c r="C1797" s="32" t="s">
        <v>1990</v>
      </c>
      <c r="D1797" s="32" t="s">
        <v>15</v>
      </c>
      <c r="E1797" s="31" t="s">
        <v>1991</v>
      </c>
      <c r="F1797" s="161">
        <v>45955.0</v>
      </c>
      <c r="G1797" s="58">
        <v>4969178.46</v>
      </c>
      <c r="H1797" s="14">
        <f t="shared" si="9"/>
        <v>1043527.477</v>
      </c>
      <c r="I1797" s="55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47"/>
      <c r="M1798" s="50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47"/>
      <c r="M1799" s="50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47"/>
      <c r="M1800" s="50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47"/>
      <c r="M1801" s="50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47"/>
      <c r="M1802" s="50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47"/>
      <c r="M1803" s="50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5"/>
      <c r="C1810" s="31" t="s">
        <v>2004</v>
      </c>
      <c r="D1810" s="32" t="s">
        <v>15</v>
      </c>
      <c r="E1810" s="31" t="s">
        <v>2005</v>
      </c>
      <c r="F1810" s="161">
        <v>45955.0</v>
      </c>
      <c r="G1810" s="58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5"/>
      <c r="C1811" s="31" t="s">
        <v>2004</v>
      </c>
      <c r="D1811" s="32" t="s">
        <v>15</v>
      </c>
      <c r="E1811" s="32" t="s">
        <v>2006</v>
      </c>
      <c r="F1811" s="161">
        <v>45955.0</v>
      </c>
      <c r="G1811" s="58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5"/>
      <c r="C1812" s="31" t="s">
        <v>2004</v>
      </c>
      <c r="D1812" s="32" t="s">
        <v>15</v>
      </c>
      <c r="E1812" s="31" t="s">
        <v>2007</v>
      </c>
      <c r="F1812" s="161">
        <v>45955.0</v>
      </c>
      <c r="G1812" s="58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5"/>
      <c r="C1813" s="31" t="s">
        <v>1189</v>
      </c>
      <c r="D1813" s="32" t="s">
        <v>15</v>
      </c>
      <c r="E1813" s="31" t="s">
        <v>2008</v>
      </c>
      <c r="F1813" s="161">
        <v>45955.0</v>
      </c>
      <c r="G1813" s="58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5"/>
      <c r="C1815" s="31" t="s">
        <v>159</v>
      </c>
      <c r="D1815" s="32" t="s">
        <v>99</v>
      </c>
      <c r="E1815" s="31" t="s">
        <v>2010</v>
      </c>
      <c r="F1815" s="161">
        <v>45955.0</v>
      </c>
      <c r="G1815" s="58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5"/>
      <c r="C1816" s="31" t="s">
        <v>159</v>
      </c>
      <c r="D1816" s="32" t="s">
        <v>15</v>
      </c>
      <c r="E1816" s="31" t="s">
        <v>2011</v>
      </c>
      <c r="F1816" s="161">
        <v>45955.0</v>
      </c>
      <c r="G1816" s="58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5"/>
      <c r="C1817" s="31" t="s">
        <v>2012</v>
      </c>
      <c r="D1817" s="32" t="s">
        <v>99</v>
      </c>
      <c r="E1817" s="32" t="s">
        <v>2013</v>
      </c>
      <c r="F1817" s="161">
        <v>45955.0</v>
      </c>
      <c r="G1817" s="58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5"/>
      <c r="C1818" s="31" t="s">
        <v>2012</v>
      </c>
      <c r="D1818" s="32" t="s">
        <v>99</v>
      </c>
      <c r="E1818" s="32" t="s">
        <v>2014</v>
      </c>
      <c r="F1818" s="161">
        <v>45955.0</v>
      </c>
      <c r="G1818" s="58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5"/>
      <c r="C1819" s="31" t="s">
        <v>2012</v>
      </c>
      <c r="D1819" s="32" t="s">
        <v>99</v>
      </c>
      <c r="E1819" s="32" t="s">
        <v>2015</v>
      </c>
      <c r="F1819" s="161">
        <v>45955.0</v>
      </c>
      <c r="G1819" s="58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5"/>
      <c r="C1820" s="31" t="s">
        <v>2012</v>
      </c>
      <c r="D1820" s="32" t="s">
        <v>99</v>
      </c>
      <c r="E1820" s="32" t="s">
        <v>2016</v>
      </c>
      <c r="F1820" s="161">
        <v>45955.0</v>
      </c>
      <c r="G1820" s="58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5"/>
      <c r="C1821" s="31" t="s">
        <v>2017</v>
      </c>
      <c r="D1821" s="32" t="s">
        <v>15</v>
      </c>
      <c r="E1821" s="31" t="s">
        <v>2018</v>
      </c>
      <c r="F1821" s="161">
        <v>45955.0</v>
      </c>
      <c r="G1821" s="58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5"/>
      <c r="C1822" s="31" t="s">
        <v>2017</v>
      </c>
      <c r="D1822" s="32" t="s">
        <v>15</v>
      </c>
      <c r="E1822" s="32" t="s">
        <v>2019</v>
      </c>
      <c r="F1822" s="161">
        <v>45955.0</v>
      </c>
      <c r="G1822" s="58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5"/>
      <c r="C1823" s="31" t="s">
        <v>2017</v>
      </c>
      <c r="D1823" s="32" t="s">
        <v>15</v>
      </c>
      <c r="E1823" s="32" t="s">
        <v>2020</v>
      </c>
      <c r="F1823" s="161">
        <v>45955.0</v>
      </c>
      <c r="G1823" s="58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5"/>
      <c r="C1824" s="31" t="s">
        <v>2017</v>
      </c>
      <c r="D1824" s="32" t="s">
        <v>99</v>
      </c>
      <c r="E1824" s="32" t="s">
        <v>2021</v>
      </c>
      <c r="F1824" s="161">
        <v>45955.0</v>
      </c>
      <c r="G1824" s="58">
        <v>2777332.08</v>
      </c>
      <c r="H1824" s="14">
        <f t="shared" si="9"/>
        <v>583239.7368</v>
      </c>
      <c r="I1824" s="55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5"/>
      <c r="C1825" s="31" t="s">
        <v>2017</v>
      </c>
      <c r="D1825" s="32" t="s">
        <v>99</v>
      </c>
      <c r="E1825" s="32" t="s">
        <v>2022</v>
      </c>
      <c r="F1825" s="161">
        <v>45955.0</v>
      </c>
      <c r="G1825" s="58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5"/>
      <c r="C1826" s="31" t="s">
        <v>2017</v>
      </c>
      <c r="D1826" s="32" t="s">
        <v>99</v>
      </c>
      <c r="E1826" s="32" t="s">
        <v>2023</v>
      </c>
      <c r="F1826" s="161">
        <v>45955.0</v>
      </c>
      <c r="G1826" s="58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5"/>
      <c r="C1827" s="31" t="s">
        <v>1635</v>
      </c>
      <c r="D1827" s="32" t="s">
        <v>99</v>
      </c>
      <c r="E1827" s="31" t="s">
        <v>2024</v>
      </c>
      <c r="F1827" s="161">
        <v>45955.0</v>
      </c>
      <c r="G1827" s="58">
        <v>7454355.08</v>
      </c>
      <c r="H1827" s="14">
        <f t="shared" si="9"/>
        <v>1565414.567</v>
      </c>
      <c r="I1827" s="55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5"/>
      <c r="C1828" s="31" t="s">
        <v>1635</v>
      </c>
      <c r="D1828" s="32" t="s">
        <v>99</v>
      </c>
      <c r="E1828" s="31" t="s">
        <v>2025</v>
      </c>
      <c r="F1828" s="161">
        <v>45955.0</v>
      </c>
      <c r="G1828" s="58">
        <v>1.044783708E7</v>
      </c>
      <c r="H1828" s="14">
        <f t="shared" si="9"/>
        <v>2194045.787</v>
      </c>
      <c r="I1828" s="55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5"/>
      <c r="C1829" s="31" t="s">
        <v>1635</v>
      </c>
      <c r="D1829" s="32" t="s">
        <v>99</v>
      </c>
      <c r="E1829" s="31" t="s">
        <v>2026</v>
      </c>
      <c r="F1829" s="161">
        <v>45955.0</v>
      </c>
      <c r="G1829" s="58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5"/>
      <c r="C1830" s="31" t="s">
        <v>1635</v>
      </c>
      <c r="D1830" s="32" t="s">
        <v>99</v>
      </c>
      <c r="E1830" s="31" t="s">
        <v>2027</v>
      </c>
      <c r="F1830" s="161">
        <v>45955.0</v>
      </c>
      <c r="G1830" s="58">
        <v>9938373.08</v>
      </c>
      <c r="H1830" s="14">
        <f t="shared" si="9"/>
        <v>2087058.347</v>
      </c>
      <c r="I1830" s="55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5"/>
      <c r="C1831" s="31" t="s">
        <v>1635</v>
      </c>
      <c r="D1831" s="32" t="s">
        <v>99</v>
      </c>
      <c r="E1831" s="31" t="s">
        <v>2028</v>
      </c>
      <c r="F1831" s="161">
        <v>45955.0</v>
      </c>
      <c r="G1831" s="58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5"/>
      <c r="C1832" s="31" t="s">
        <v>1635</v>
      </c>
      <c r="D1832" s="32" t="s">
        <v>99</v>
      </c>
      <c r="E1832" s="31" t="s">
        <v>2029</v>
      </c>
      <c r="F1832" s="161">
        <v>45955.0</v>
      </c>
      <c r="G1832" s="58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5"/>
      <c r="C1833" s="31" t="s">
        <v>1635</v>
      </c>
      <c r="D1833" s="32" t="s">
        <v>99</v>
      </c>
      <c r="E1833" s="31" t="s">
        <v>2030</v>
      </c>
      <c r="F1833" s="161">
        <v>45955.0</v>
      </c>
      <c r="G1833" s="58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5"/>
      <c r="C1834" s="31" t="s">
        <v>1635</v>
      </c>
      <c r="D1834" s="32" t="s">
        <v>99</v>
      </c>
      <c r="E1834" s="31" t="s">
        <v>2031</v>
      </c>
      <c r="F1834" s="161">
        <v>45955.0</v>
      </c>
      <c r="G1834" s="58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5"/>
      <c r="C1835" s="31" t="s">
        <v>1635</v>
      </c>
      <c r="D1835" s="32" t="s">
        <v>15</v>
      </c>
      <c r="E1835" s="31" t="s">
        <v>2032</v>
      </c>
      <c r="F1835" s="161">
        <v>45955.0</v>
      </c>
      <c r="G1835" s="58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5"/>
      <c r="C1836" s="31" t="s">
        <v>1635</v>
      </c>
      <c r="D1836" s="32" t="s">
        <v>15</v>
      </c>
      <c r="E1836" s="31" t="s">
        <v>2033</v>
      </c>
      <c r="F1836" s="161">
        <v>45955.0</v>
      </c>
      <c r="G1836" s="58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5"/>
      <c r="C1837" s="31" t="s">
        <v>1635</v>
      </c>
      <c r="D1837" s="32" t="s">
        <v>15</v>
      </c>
      <c r="E1837" s="32" t="s">
        <v>2034</v>
      </c>
      <c r="F1837" s="161">
        <v>45955.0</v>
      </c>
      <c r="G1837" s="58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5"/>
      <c r="C1838" s="31" t="s">
        <v>1635</v>
      </c>
      <c r="D1838" s="32" t="s">
        <v>15</v>
      </c>
      <c r="E1838" s="31" t="s">
        <v>2035</v>
      </c>
      <c r="F1838" s="161">
        <v>45955.0</v>
      </c>
      <c r="G1838" s="58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5"/>
      <c r="C1839" s="31" t="s">
        <v>1635</v>
      </c>
      <c r="D1839" s="32" t="s">
        <v>15</v>
      </c>
      <c r="E1839" s="31" t="s">
        <v>2036</v>
      </c>
      <c r="F1839" s="161">
        <v>45955.0</v>
      </c>
      <c r="G1839" s="58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5"/>
      <c r="C1840" s="31" t="s">
        <v>1635</v>
      </c>
      <c r="D1840" s="32" t="s">
        <v>15</v>
      </c>
      <c r="E1840" s="31" t="s">
        <v>2037</v>
      </c>
      <c r="F1840" s="161">
        <v>45955.0</v>
      </c>
      <c r="G1840" s="58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5"/>
      <c r="C1841" s="31" t="s">
        <v>1635</v>
      </c>
      <c r="D1841" s="32" t="s">
        <v>15</v>
      </c>
      <c r="E1841" s="32" t="s">
        <v>2038</v>
      </c>
      <c r="F1841" s="161">
        <v>45955.0</v>
      </c>
      <c r="G1841" s="58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5"/>
      <c r="C1842" s="31" t="s">
        <v>1635</v>
      </c>
      <c r="D1842" s="32" t="s">
        <v>15</v>
      </c>
      <c r="E1842" s="32" t="s">
        <v>2039</v>
      </c>
      <c r="F1842" s="161">
        <v>45955.0</v>
      </c>
      <c r="G1842" s="58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60"/>
      <c r="C1843" s="61" t="s">
        <v>2040</v>
      </c>
      <c r="D1843" s="61" t="s">
        <v>1901</v>
      </c>
      <c r="E1843" s="62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49"/>
      <c r="K1843" s="10">
        <f t="shared" si="4"/>
        <v>36300976.99</v>
      </c>
      <c r="L1843" s="47"/>
      <c r="M1843" s="50"/>
    </row>
    <row r="1844" ht="15.75" customHeight="1">
      <c r="A1844" s="177">
        <v>45954.0</v>
      </c>
      <c r="B1844" s="60"/>
      <c r="C1844" s="61" t="s">
        <v>1402</v>
      </c>
      <c r="D1844" s="61" t="s">
        <v>1901</v>
      </c>
      <c r="E1844" s="62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60"/>
      <c r="J1844" s="49"/>
      <c r="K1844" s="10">
        <f t="shared" si="4"/>
        <v>36300933.45</v>
      </c>
      <c r="L1844" s="47"/>
      <c r="M1844" s="50"/>
    </row>
    <row r="1845" ht="15.75" customHeight="1">
      <c r="A1845" s="177">
        <v>45954.0</v>
      </c>
      <c r="B1845" s="60"/>
      <c r="C1845" s="61" t="s">
        <v>1903</v>
      </c>
      <c r="D1845" s="61" t="s">
        <v>1901</v>
      </c>
      <c r="E1845" s="62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60"/>
      <c r="J1845" s="49"/>
      <c r="K1845" s="10">
        <f t="shared" si="4"/>
        <v>18151160.22</v>
      </c>
      <c r="L1845" s="47"/>
      <c r="M1845" s="50"/>
    </row>
    <row r="1846" ht="15.75" customHeight="1">
      <c r="A1846" s="177">
        <v>45954.0</v>
      </c>
      <c r="B1846" s="60"/>
      <c r="C1846" s="61" t="s">
        <v>1248</v>
      </c>
      <c r="D1846" s="61" t="s">
        <v>1901</v>
      </c>
      <c r="E1846" s="62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60"/>
      <c r="J1846" s="49"/>
      <c r="K1846" s="10">
        <f t="shared" si="4"/>
        <v>18150860.27</v>
      </c>
      <c r="L1846" s="47"/>
      <c r="M1846" s="50"/>
    </row>
    <row r="1847" ht="15.75" customHeight="1">
      <c r="A1847" s="177">
        <v>45954.0</v>
      </c>
      <c r="B1847" s="60"/>
      <c r="C1847" s="61" t="s">
        <v>1533</v>
      </c>
      <c r="D1847" s="61" t="s">
        <v>1901</v>
      </c>
      <c r="E1847" s="62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60"/>
      <c r="J1847" s="49"/>
      <c r="K1847" s="10">
        <f t="shared" si="4"/>
        <v>16942175.54</v>
      </c>
      <c r="L1847" s="47"/>
      <c r="M1847" s="50"/>
    </row>
    <row r="1848" ht="15.75" customHeight="1">
      <c r="A1848" s="115">
        <v>45957.0</v>
      </c>
      <c r="B1848" s="55"/>
      <c r="C1848" s="31" t="s">
        <v>1285</v>
      </c>
      <c r="D1848" s="32" t="s">
        <v>15</v>
      </c>
      <c r="E1848" s="31" t="s">
        <v>2046</v>
      </c>
      <c r="F1848" s="161">
        <v>45955.0</v>
      </c>
      <c r="G1848" s="58">
        <v>3010942.51</v>
      </c>
      <c r="H1848" s="14">
        <f t="shared" si="9"/>
        <v>632297.9271</v>
      </c>
      <c r="I1848" s="55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5"/>
      <c r="C1849" s="31" t="s">
        <v>231</v>
      </c>
      <c r="D1849" s="32" t="s">
        <v>15</v>
      </c>
      <c r="E1849" s="31" t="s">
        <v>2047</v>
      </c>
      <c r="F1849" s="161">
        <v>45955.0</v>
      </c>
      <c r="G1849" s="58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5"/>
      <c r="C1850" s="31" t="s">
        <v>2004</v>
      </c>
      <c r="D1850" s="32" t="s">
        <v>15</v>
      </c>
      <c r="E1850" s="32" t="s">
        <v>2048</v>
      </c>
      <c r="F1850" s="161">
        <v>45955.0</v>
      </c>
      <c r="G1850" s="58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5"/>
      <c r="C1851" s="31" t="s">
        <v>2004</v>
      </c>
      <c r="D1851" s="32" t="s">
        <v>15</v>
      </c>
      <c r="E1851" s="31" t="s">
        <v>2049</v>
      </c>
      <c r="F1851" s="161">
        <v>45955.0</v>
      </c>
      <c r="G1851" s="58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5"/>
      <c r="C1852" s="31" t="s">
        <v>2004</v>
      </c>
      <c r="D1852" s="32" t="s">
        <v>15</v>
      </c>
      <c r="E1852" s="31" t="s">
        <v>2050</v>
      </c>
      <c r="F1852" s="161">
        <v>45955.0</v>
      </c>
      <c r="G1852" s="58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60"/>
      <c r="C1853" s="141" t="s">
        <v>969</v>
      </c>
      <c r="D1853" s="61" t="s">
        <v>2051</v>
      </c>
      <c r="E1853" s="62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49"/>
      <c r="K1853" s="10">
        <f t="shared" si="4"/>
        <v>9163163.504</v>
      </c>
      <c r="L1853" s="47"/>
      <c r="M1853" s="50"/>
    </row>
    <row r="1854" ht="15.75" customHeight="1">
      <c r="A1854" s="177">
        <v>45958.0</v>
      </c>
      <c r="B1854" s="60"/>
      <c r="C1854" s="141" t="s">
        <v>969</v>
      </c>
      <c r="D1854" s="61" t="s">
        <v>2051</v>
      </c>
      <c r="E1854" s="62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49"/>
      <c r="K1854" s="10">
        <f t="shared" si="4"/>
        <v>11162752.15</v>
      </c>
      <c r="L1854" s="47"/>
      <c r="M1854" s="50"/>
    </row>
    <row r="1855" ht="15.75" customHeight="1">
      <c r="A1855" s="115">
        <v>45959.0</v>
      </c>
      <c r="B1855" s="55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8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60"/>
      <c r="C1856" s="61" t="s">
        <v>2054</v>
      </c>
      <c r="D1856" s="62" t="s">
        <v>1872</v>
      </c>
      <c r="E1856" s="61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47"/>
      <c r="M1856" s="50"/>
    </row>
    <row r="1857" ht="15.75" customHeight="1">
      <c r="A1857" s="115">
        <v>45960.0</v>
      </c>
      <c r="B1857" s="55"/>
      <c r="C1857" s="31" t="s">
        <v>2004</v>
      </c>
      <c r="D1857" s="32" t="s">
        <v>15</v>
      </c>
      <c r="E1857" s="31" t="s">
        <v>2056</v>
      </c>
      <c r="F1857" s="161">
        <v>45955.0</v>
      </c>
      <c r="G1857" s="58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5"/>
      <c r="C1858" s="31" t="s">
        <v>2004</v>
      </c>
      <c r="D1858" s="32" t="s">
        <v>15</v>
      </c>
      <c r="E1858" s="31" t="s">
        <v>2057</v>
      </c>
      <c r="F1858" s="161">
        <v>45955.0</v>
      </c>
      <c r="G1858" s="58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5"/>
      <c r="C1859" s="31" t="s">
        <v>2004</v>
      </c>
      <c r="D1859" s="32" t="s">
        <v>15</v>
      </c>
      <c r="E1859" s="31" t="s">
        <v>2058</v>
      </c>
      <c r="F1859" s="161">
        <v>45955.0</v>
      </c>
      <c r="G1859" s="58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60"/>
      <c r="C1860" s="62" t="s">
        <v>2059</v>
      </c>
      <c r="D1860" s="62" t="s">
        <v>15</v>
      </c>
      <c r="E1860" s="62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47"/>
      <c r="M1860" s="50"/>
    </row>
    <row r="1861" ht="15.75" customHeight="1">
      <c r="A1861" s="115">
        <v>45960.0</v>
      </c>
      <c r="B1861" s="55"/>
      <c r="C1861" s="32" t="s">
        <v>111</v>
      </c>
      <c r="D1861" s="32" t="s">
        <v>15</v>
      </c>
      <c r="E1861" s="32" t="s">
        <v>2061</v>
      </c>
      <c r="F1861" s="161">
        <v>45955.0</v>
      </c>
      <c r="G1861" s="58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5"/>
      <c r="C1862" s="32" t="s">
        <v>2062</v>
      </c>
      <c r="D1862" s="32" t="s">
        <v>15</v>
      </c>
      <c r="E1862" s="32" t="s">
        <v>2063</v>
      </c>
      <c r="F1862" s="161">
        <v>45955.0</v>
      </c>
      <c r="G1862" s="58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5"/>
      <c r="C1863" s="32" t="s">
        <v>2062</v>
      </c>
      <c r="D1863" s="32" t="s">
        <v>15</v>
      </c>
      <c r="E1863" s="32" t="s">
        <v>2064</v>
      </c>
      <c r="F1863" s="161">
        <v>45955.0</v>
      </c>
      <c r="G1863" s="58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5"/>
      <c r="C1864" s="32" t="s">
        <v>2062</v>
      </c>
      <c r="D1864" s="32" t="s">
        <v>15</v>
      </c>
      <c r="E1864" s="32" t="s">
        <v>2065</v>
      </c>
      <c r="F1864" s="161">
        <v>45955.0</v>
      </c>
      <c r="G1864" s="58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5"/>
      <c r="C1865" s="32" t="s">
        <v>111</v>
      </c>
      <c r="D1865" s="32" t="s">
        <v>15</v>
      </c>
      <c r="E1865" s="32" t="s">
        <v>2066</v>
      </c>
      <c r="F1865" s="161">
        <v>45955.0</v>
      </c>
      <c r="G1865" s="58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60"/>
      <c r="C1866" s="62" t="s">
        <v>2059</v>
      </c>
      <c r="D1866" s="62" t="s">
        <v>15</v>
      </c>
      <c r="E1866" s="62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47"/>
      <c r="M1866" s="50"/>
    </row>
    <row r="1867" ht="15.75" customHeight="1">
      <c r="A1867" s="115">
        <v>45960.0</v>
      </c>
      <c r="B1867" s="55"/>
      <c r="C1867" s="32" t="s">
        <v>2068</v>
      </c>
      <c r="D1867" s="32" t="s">
        <v>15</v>
      </c>
      <c r="E1867" s="32" t="s">
        <v>2069</v>
      </c>
      <c r="F1867" s="161">
        <v>45955.0</v>
      </c>
      <c r="G1867" s="58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5"/>
      <c r="C1868" s="32" t="s">
        <v>2070</v>
      </c>
      <c r="D1868" s="32" t="s">
        <v>15</v>
      </c>
      <c r="E1868" s="32" t="s">
        <v>2071</v>
      </c>
      <c r="F1868" s="161">
        <v>45955.0</v>
      </c>
      <c r="G1868" s="58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60"/>
      <c r="C1869" s="62" t="s">
        <v>2059</v>
      </c>
      <c r="D1869" s="62" t="s">
        <v>15</v>
      </c>
      <c r="E1869" s="62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47"/>
      <c r="M1869" s="50"/>
    </row>
    <row r="1870" ht="15.75" customHeight="1">
      <c r="A1870" s="177">
        <v>45960.0</v>
      </c>
      <c r="B1870" s="60"/>
      <c r="C1870" s="62" t="s">
        <v>2059</v>
      </c>
      <c r="D1870" s="62" t="s">
        <v>15</v>
      </c>
      <c r="E1870" s="62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47"/>
      <c r="M1870" s="50"/>
    </row>
    <row r="1871" ht="15.75" customHeight="1">
      <c r="A1871" s="115">
        <v>45960.0</v>
      </c>
      <c r="B1871" s="55"/>
      <c r="C1871" s="32" t="s">
        <v>2062</v>
      </c>
      <c r="D1871" s="32" t="s">
        <v>15</v>
      </c>
      <c r="E1871" s="32" t="s">
        <v>2074</v>
      </c>
      <c r="F1871" s="161">
        <v>45955.0</v>
      </c>
      <c r="G1871" s="58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5"/>
      <c r="C1872" s="32" t="s">
        <v>1183</v>
      </c>
      <c r="D1872" s="32" t="s">
        <v>15</v>
      </c>
      <c r="E1872" s="32" t="s">
        <v>2075</v>
      </c>
      <c r="F1872" s="161">
        <v>45955.0</v>
      </c>
      <c r="G1872" s="58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5"/>
      <c r="C1873" s="32" t="s">
        <v>1183</v>
      </c>
      <c r="D1873" s="32" t="s">
        <v>15</v>
      </c>
      <c r="E1873" s="32" t="s">
        <v>2076</v>
      </c>
      <c r="F1873" s="161">
        <v>45955.0</v>
      </c>
      <c r="G1873" s="58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5"/>
      <c r="C1874" s="32" t="s">
        <v>2062</v>
      </c>
      <c r="D1874" s="32" t="s">
        <v>15</v>
      </c>
      <c r="E1874" s="32" t="s">
        <v>2077</v>
      </c>
      <c r="F1874" s="161">
        <v>45955.0</v>
      </c>
      <c r="G1874" s="58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60"/>
      <c r="C1875" s="62" t="s">
        <v>2059</v>
      </c>
      <c r="D1875" s="62" t="s">
        <v>15</v>
      </c>
      <c r="E1875" s="62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47"/>
      <c r="M1875" s="50"/>
    </row>
    <row r="1876" ht="15.75" customHeight="1">
      <c r="A1876" s="115">
        <v>45960.0</v>
      </c>
      <c r="B1876" s="55"/>
      <c r="C1876" s="32" t="s">
        <v>111</v>
      </c>
      <c r="D1876" s="32" t="s">
        <v>15</v>
      </c>
      <c r="E1876" s="32" t="s">
        <v>2079</v>
      </c>
      <c r="F1876" s="161">
        <v>45955.0</v>
      </c>
      <c r="G1876" s="58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5"/>
      <c r="C1877" s="32" t="s">
        <v>2062</v>
      </c>
      <c r="D1877" s="32" t="s">
        <v>15</v>
      </c>
      <c r="E1877" s="32" t="s">
        <v>2080</v>
      </c>
      <c r="F1877" s="161">
        <v>45955.0</v>
      </c>
      <c r="G1877" s="58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5"/>
      <c r="C1878" s="32" t="s">
        <v>1183</v>
      </c>
      <c r="D1878" s="32" t="s">
        <v>15</v>
      </c>
      <c r="E1878" s="32" t="s">
        <v>2081</v>
      </c>
      <c r="F1878" s="161">
        <v>45955.0</v>
      </c>
      <c r="G1878" s="58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5"/>
      <c r="C1884" s="32" t="s">
        <v>2087</v>
      </c>
      <c r="D1884" s="32" t="s">
        <v>15</v>
      </c>
      <c r="E1884" s="32" t="s">
        <v>2088</v>
      </c>
      <c r="F1884" s="161">
        <v>45955.0</v>
      </c>
      <c r="G1884" s="58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5"/>
      <c r="C1885" s="31" t="s">
        <v>247</v>
      </c>
      <c r="D1885" s="32" t="s">
        <v>15</v>
      </c>
      <c r="E1885" s="31" t="s">
        <v>2089</v>
      </c>
      <c r="F1885" s="161">
        <v>45955.0</v>
      </c>
      <c r="G1885" s="58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5"/>
      <c r="C1886" s="31" t="s">
        <v>1842</v>
      </c>
      <c r="D1886" s="32" t="s">
        <v>15</v>
      </c>
      <c r="E1886" s="31" t="s">
        <v>2090</v>
      </c>
      <c r="F1886" s="161">
        <v>45955.0</v>
      </c>
      <c r="G1886" s="58">
        <v>2.512184263E7</v>
      </c>
      <c r="H1886" s="14">
        <f t="shared" si="9"/>
        <v>5275586.952</v>
      </c>
      <c r="I1886" s="55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77">
        <v>45961.0</v>
      </c>
      <c r="B1887" s="60"/>
      <c r="C1887" s="120" t="s">
        <v>2091</v>
      </c>
      <c r="D1887" s="62" t="s">
        <v>99</v>
      </c>
      <c r="E1887" s="61" t="s">
        <v>2092</v>
      </c>
      <c r="F1887" s="165">
        <v>45955.0</v>
      </c>
      <c r="G1887" s="65">
        <v>8153290.23</v>
      </c>
      <c r="H1887" s="9">
        <f t="shared" si="9"/>
        <v>1712190.948</v>
      </c>
      <c r="I1887" s="44">
        <v>244598.71</v>
      </c>
      <c r="J1887" s="44">
        <v>122299.35</v>
      </c>
      <c r="K1887" s="10">
        <f t="shared" si="4"/>
        <v>10232379.24</v>
      </c>
      <c r="L1887" s="47"/>
      <c r="M1887" s="50"/>
    </row>
    <row r="1888" ht="15.75" customHeight="1">
      <c r="A1888" s="177">
        <v>45961.0</v>
      </c>
      <c r="B1888" s="60"/>
      <c r="C1888" s="120" t="s">
        <v>2091</v>
      </c>
      <c r="D1888" s="62" t="s">
        <v>99</v>
      </c>
      <c r="E1888" s="61" t="s">
        <v>2093</v>
      </c>
      <c r="F1888" s="165">
        <v>45955.0</v>
      </c>
      <c r="G1888" s="65">
        <v>9347930.29</v>
      </c>
      <c r="H1888" s="9">
        <f t="shared" si="9"/>
        <v>1963065.361</v>
      </c>
      <c r="I1888" s="44">
        <v>280437.91</v>
      </c>
      <c r="J1888" s="44">
        <v>140218.95</v>
      </c>
      <c r="K1888" s="10">
        <f t="shared" si="4"/>
        <v>11731652.51</v>
      </c>
      <c r="L1888" s="47"/>
      <c r="M1888" s="50"/>
    </row>
    <row r="1889" ht="15.75" customHeight="1">
      <c r="A1889" s="177">
        <v>45961.0</v>
      </c>
      <c r="B1889" s="60"/>
      <c r="C1889" s="120" t="s">
        <v>2091</v>
      </c>
      <c r="D1889" s="62" t="s">
        <v>15</v>
      </c>
      <c r="E1889" s="62" t="s">
        <v>2094</v>
      </c>
      <c r="F1889" s="165">
        <v>45955.0</v>
      </c>
      <c r="G1889" s="65">
        <v>8320980.86</v>
      </c>
      <c r="H1889" s="9">
        <f t="shared" si="9"/>
        <v>1747405.981</v>
      </c>
      <c r="I1889" s="44">
        <v>249629.43</v>
      </c>
      <c r="J1889" s="44">
        <v>124814.71</v>
      </c>
      <c r="K1889" s="10">
        <f t="shared" si="4"/>
        <v>10442830.98</v>
      </c>
      <c r="L1889" s="47"/>
      <c r="M1889" s="50"/>
    </row>
    <row r="1890" ht="15.75" customHeight="1">
      <c r="A1890" s="177">
        <v>45961.0</v>
      </c>
      <c r="B1890" s="60"/>
      <c r="C1890" s="120" t="s">
        <v>2091</v>
      </c>
      <c r="D1890" s="62" t="s">
        <v>15</v>
      </c>
      <c r="E1890" s="61" t="s">
        <v>2095</v>
      </c>
      <c r="F1890" s="165">
        <v>45955.0</v>
      </c>
      <c r="G1890" s="65">
        <v>9180130.39</v>
      </c>
      <c r="H1890" s="9">
        <f t="shared" si="9"/>
        <v>1927827.382</v>
      </c>
      <c r="I1890" s="44">
        <v>275403.91</v>
      </c>
      <c r="J1890" s="44">
        <v>137701.96</v>
      </c>
      <c r="K1890" s="10">
        <f t="shared" si="4"/>
        <v>11521063.64</v>
      </c>
      <c r="L1890" s="47"/>
      <c r="M1890" s="50"/>
    </row>
    <row r="1891" ht="15.75" customHeight="1">
      <c r="A1891" s="115">
        <v>45961.0</v>
      </c>
      <c r="B1891" s="55"/>
      <c r="C1891" s="32" t="s">
        <v>1721</v>
      </c>
      <c r="D1891" s="32" t="s">
        <v>99</v>
      </c>
      <c r="E1891" s="31" t="s">
        <v>2096</v>
      </c>
      <c r="F1891" s="161">
        <v>45955.0</v>
      </c>
      <c r="G1891" s="58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5"/>
      <c r="C1892" s="32" t="s">
        <v>1721</v>
      </c>
      <c r="D1892" s="32" t="s">
        <v>99</v>
      </c>
      <c r="E1892" s="31" t="s">
        <v>2097</v>
      </c>
      <c r="F1892" s="161">
        <v>45955.0</v>
      </c>
      <c r="G1892" s="58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5"/>
      <c r="C1893" s="32" t="s">
        <v>1721</v>
      </c>
      <c r="D1893" s="32" t="s">
        <v>15</v>
      </c>
      <c r="E1893" s="31" t="s">
        <v>2098</v>
      </c>
      <c r="F1893" s="161">
        <v>45955.0</v>
      </c>
      <c r="G1893" s="58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5"/>
      <c r="C1894" s="32" t="s">
        <v>1721</v>
      </c>
      <c r="D1894" s="32" t="s">
        <v>15</v>
      </c>
      <c r="E1894" s="32" t="s">
        <v>2099</v>
      </c>
      <c r="F1894" s="161">
        <v>45955.0</v>
      </c>
      <c r="G1894" s="58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5"/>
      <c r="C1895" s="31" t="s">
        <v>1725</v>
      </c>
      <c r="D1895" s="32" t="s">
        <v>99</v>
      </c>
      <c r="E1895" s="31" t="s">
        <v>2100</v>
      </c>
      <c r="F1895" s="161">
        <v>45955.0</v>
      </c>
      <c r="G1895" s="58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5"/>
      <c r="C1896" s="31" t="s">
        <v>1725</v>
      </c>
      <c r="D1896" s="32" t="s">
        <v>99</v>
      </c>
      <c r="E1896" s="31" t="s">
        <v>2101</v>
      </c>
      <c r="F1896" s="161">
        <v>45955.0</v>
      </c>
      <c r="G1896" s="58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60"/>
      <c r="C1897" s="61" t="s">
        <v>1725</v>
      </c>
      <c r="D1897" s="62" t="s">
        <v>15</v>
      </c>
      <c r="E1897" s="61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47"/>
      <c r="M1897" s="50"/>
    </row>
    <row r="1898" ht="15.75" customHeight="1">
      <c r="A1898" s="177">
        <v>45961.0</v>
      </c>
      <c r="B1898" s="60"/>
      <c r="C1898" s="61" t="s">
        <v>1725</v>
      </c>
      <c r="D1898" s="62" t="s">
        <v>15</v>
      </c>
      <c r="E1898" s="61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47"/>
      <c r="M1898" s="50"/>
    </row>
    <row r="1899" ht="15.75" customHeight="1">
      <c r="A1899" s="115">
        <v>45961.0</v>
      </c>
      <c r="B1899" s="55"/>
      <c r="C1899" s="31" t="s">
        <v>611</v>
      </c>
      <c r="D1899" s="32" t="s">
        <v>15</v>
      </c>
      <c r="E1899" s="31" t="s">
        <v>2104</v>
      </c>
      <c r="F1899" s="161">
        <v>45955.0</v>
      </c>
      <c r="G1899" s="58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5"/>
      <c r="C1900" s="31" t="s">
        <v>1136</v>
      </c>
      <c r="D1900" s="32" t="s">
        <v>15</v>
      </c>
      <c r="E1900" s="31" t="s">
        <v>2105</v>
      </c>
      <c r="F1900" s="161">
        <v>45955.0</v>
      </c>
      <c r="G1900" s="58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5"/>
      <c r="C1901" s="31" t="s">
        <v>1136</v>
      </c>
      <c r="D1901" s="32" t="s">
        <v>15</v>
      </c>
      <c r="E1901" s="31" t="s">
        <v>2106</v>
      </c>
      <c r="F1901" s="161">
        <v>45955.0</v>
      </c>
      <c r="G1901" s="58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5"/>
      <c r="C1902" s="31" t="s">
        <v>1136</v>
      </c>
      <c r="D1902" s="32" t="s">
        <v>15</v>
      </c>
      <c r="E1902" s="31" t="s">
        <v>2107</v>
      </c>
      <c r="F1902" s="161">
        <v>45955.0</v>
      </c>
      <c r="G1902" s="58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60"/>
      <c r="C1903" s="61" t="s">
        <v>2108</v>
      </c>
      <c r="D1903" s="61" t="s">
        <v>77</v>
      </c>
      <c r="E1903" s="62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49"/>
      <c r="K1903" s="10">
        <f t="shared" si="4"/>
        <v>12743905.13</v>
      </c>
      <c r="L1903" s="47"/>
      <c r="M1903" s="50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5"/>
      <c r="C1908" s="31" t="s">
        <v>221</v>
      </c>
      <c r="D1908" s="32" t="s">
        <v>15</v>
      </c>
      <c r="E1908" s="31" t="s">
        <v>2114</v>
      </c>
      <c r="F1908" s="161">
        <v>45955.0</v>
      </c>
      <c r="G1908" s="58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5"/>
      <c r="C1909" s="31" t="s">
        <v>221</v>
      </c>
      <c r="D1909" s="32" t="s">
        <v>15</v>
      </c>
      <c r="E1909" s="31" t="s">
        <v>2115</v>
      </c>
      <c r="F1909" s="161">
        <v>45955.0</v>
      </c>
      <c r="G1909" s="58">
        <v>8262523.07</v>
      </c>
      <c r="H1909" s="14">
        <f t="shared" si="9"/>
        <v>1735129.845</v>
      </c>
      <c r="I1909" s="55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5"/>
      <c r="C1910" s="31" t="s">
        <v>221</v>
      </c>
      <c r="D1910" s="32" t="s">
        <v>99</v>
      </c>
      <c r="E1910" s="31" t="s">
        <v>2116</v>
      </c>
      <c r="F1910" s="161">
        <v>45955.0</v>
      </c>
      <c r="G1910" s="58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5"/>
      <c r="C1911" s="31" t="s">
        <v>221</v>
      </c>
      <c r="D1911" s="32" t="s">
        <v>99</v>
      </c>
      <c r="E1911" s="31" t="s">
        <v>2117</v>
      </c>
      <c r="F1911" s="161">
        <v>45955.0</v>
      </c>
      <c r="G1911" s="58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5"/>
      <c r="C1912" s="31" t="s">
        <v>22</v>
      </c>
      <c r="D1912" s="32" t="s">
        <v>99</v>
      </c>
      <c r="E1912" s="32" t="s">
        <v>2118</v>
      </c>
      <c r="F1912" s="161">
        <v>45955.0</v>
      </c>
      <c r="G1912" s="58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5"/>
      <c r="C1913" s="31" t="s">
        <v>22</v>
      </c>
      <c r="D1913" s="32" t="s">
        <v>99</v>
      </c>
      <c r="E1913" s="31" t="s">
        <v>2119</v>
      </c>
      <c r="F1913" s="161">
        <v>45955.0</v>
      </c>
      <c r="G1913" s="58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5"/>
      <c r="C1914" s="31" t="s">
        <v>22</v>
      </c>
      <c r="D1914" s="32" t="s">
        <v>15</v>
      </c>
      <c r="E1914" s="31" t="s">
        <v>2120</v>
      </c>
      <c r="F1914" s="161">
        <v>45955.0</v>
      </c>
      <c r="G1914" s="58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5"/>
      <c r="C1915" s="31" t="s">
        <v>22</v>
      </c>
      <c r="D1915" s="32" t="s">
        <v>15</v>
      </c>
      <c r="E1915" s="31" t="s">
        <v>2121</v>
      </c>
      <c r="F1915" s="161">
        <v>45955.0</v>
      </c>
      <c r="G1915" s="58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5"/>
      <c r="C1916" s="31" t="s">
        <v>216</v>
      </c>
      <c r="D1916" s="32" t="s">
        <v>99</v>
      </c>
      <c r="E1916" s="31" t="s">
        <v>2122</v>
      </c>
      <c r="F1916" s="161">
        <v>45955.0</v>
      </c>
      <c r="G1916" s="58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5"/>
      <c r="C1917" s="31" t="s">
        <v>216</v>
      </c>
      <c r="D1917" s="32" t="s">
        <v>99</v>
      </c>
      <c r="E1917" s="31" t="s">
        <v>2123</v>
      </c>
      <c r="F1917" s="161">
        <v>45955.0</v>
      </c>
      <c r="G1917" s="58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5"/>
      <c r="C1918" s="31" t="s">
        <v>216</v>
      </c>
      <c r="D1918" s="32" t="s">
        <v>15</v>
      </c>
      <c r="E1918" s="31" t="s">
        <v>2124</v>
      </c>
      <c r="F1918" s="161">
        <v>45955.0</v>
      </c>
      <c r="G1918" s="58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5"/>
      <c r="C1919" s="31" t="s">
        <v>216</v>
      </c>
      <c r="D1919" s="32" t="s">
        <v>15</v>
      </c>
      <c r="E1919" s="31" t="s">
        <v>2125</v>
      </c>
      <c r="F1919" s="161">
        <v>45955.0</v>
      </c>
      <c r="G1919" s="58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60"/>
      <c r="C1920" s="61" t="s">
        <v>969</v>
      </c>
      <c r="D1920" s="61" t="s">
        <v>2126</v>
      </c>
      <c r="E1920" s="62" t="s">
        <v>2127</v>
      </c>
      <c r="F1920" s="165">
        <v>45955.0</v>
      </c>
      <c r="G1920" s="65">
        <v>2.34024E7</v>
      </c>
      <c r="H1920" s="9">
        <f t="shared" si="9"/>
        <v>4914504</v>
      </c>
      <c r="I1920" s="60"/>
      <c r="J1920" s="49"/>
      <c r="K1920" s="10">
        <f t="shared" si="4"/>
        <v>28316904</v>
      </c>
      <c r="L1920" s="47"/>
      <c r="M1920" s="50"/>
    </row>
    <row r="1921" ht="15.75" customHeight="1">
      <c r="A1921" s="177">
        <v>45964.0</v>
      </c>
      <c r="B1921" s="60"/>
      <c r="C1921" s="61" t="s">
        <v>1486</v>
      </c>
      <c r="D1921" s="61" t="s">
        <v>2128</v>
      </c>
      <c r="E1921" s="62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60"/>
      <c r="J1921" s="49"/>
      <c r="K1921" s="10">
        <f t="shared" si="4"/>
        <v>8002000</v>
      </c>
      <c r="L1921" s="47"/>
      <c r="M1921" s="50"/>
    </row>
    <row r="1922" ht="15.75" customHeight="1">
      <c r="A1922" s="177">
        <v>45964.0</v>
      </c>
      <c r="B1922" s="60"/>
      <c r="C1922" s="61" t="s">
        <v>2130</v>
      </c>
      <c r="D1922" s="61" t="s">
        <v>2128</v>
      </c>
      <c r="E1922" s="62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60"/>
      <c r="J1922" s="49"/>
      <c r="K1922" s="10">
        <f t="shared" si="4"/>
        <v>40000600</v>
      </c>
      <c r="L1922" s="47"/>
      <c r="M1922" s="50"/>
    </row>
    <row r="1923" ht="15.75" customHeight="1">
      <c r="A1923" s="115">
        <v>45964.0</v>
      </c>
      <c r="B1923" s="55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8">
        <f>30000056/1.21</f>
        <v>24793434.71</v>
      </c>
      <c r="H1923" s="14">
        <f t="shared" si="9"/>
        <v>5206621.289</v>
      </c>
      <c r="I1923" s="55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5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8">
        <f>26000310/1.21</f>
        <v>21487859.5</v>
      </c>
      <c r="H1924" s="14">
        <f t="shared" si="9"/>
        <v>4512450.496</v>
      </c>
      <c r="I1924" s="55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5"/>
      <c r="C1925" s="31" t="s">
        <v>1484</v>
      </c>
      <c r="D1925" s="32" t="s">
        <v>15</v>
      </c>
      <c r="E1925" s="32" t="s">
        <v>2134</v>
      </c>
      <c r="F1925" s="161">
        <v>45955.0</v>
      </c>
      <c r="G1925" s="58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5"/>
      <c r="C1926" s="31" t="s">
        <v>1452</v>
      </c>
      <c r="D1926" s="32" t="s">
        <v>15</v>
      </c>
      <c r="E1926" s="32" t="s">
        <v>2135</v>
      </c>
      <c r="F1926" s="161">
        <v>45955.0</v>
      </c>
      <c r="G1926" s="58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60"/>
      <c r="C1927" s="61" t="s">
        <v>2130</v>
      </c>
      <c r="D1927" s="62" t="s">
        <v>15</v>
      </c>
      <c r="E1927" s="62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49"/>
      <c r="K1927" s="10">
        <f t="shared" si="4"/>
        <v>8471179.145</v>
      </c>
      <c r="L1927" s="47"/>
      <c r="M1927" s="50"/>
    </row>
    <row r="1928" ht="15.75" customHeight="1">
      <c r="A1928" s="177">
        <v>45964.0</v>
      </c>
      <c r="B1928" s="60"/>
      <c r="C1928" s="61" t="s">
        <v>1486</v>
      </c>
      <c r="D1928" s="62" t="s">
        <v>15</v>
      </c>
      <c r="E1928" s="62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49"/>
      <c r="K1928" s="10">
        <f t="shared" si="4"/>
        <v>8483189.23</v>
      </c>
      <c r="L1928" s="47"/>
      <c r="M1928" s="50"/>
    </row>
    <row r="1929" ht="15.75" customHeight="1">
      <c r="A1929" s="115">
        <v>45964.0</v>
      </c>
      <c r="B1929" s="55"/>
      <c r="C1929" s="31" t="s">
        <v>2138</v>
      </c>
      <c r="D1929" s="32" t="s">
        <v>15</v>
      </c>
      <c r="E1929" s="32" t="s">
        <v>2139</v>
      </c>
      <c r="F1929" s="161">
        <v>45955.0</v>
      </c>
      <c r="G1929" s="58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5"/>
      <c r="C1930" s="31" t="s">
        <v>1112</v>
      </c>
      <c r="D1930" s="32" t="s">
        <v>99</v>
      </c>
      <c r="E1930" s="32" t="s">
        <v>2140</v>
      </c>
      <c r="F1930" s="161">
        <v>45986.0</v>
      </c>
      <c r="G1930" s="58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5"/>
      <c r="C1931" s="31" t="s">
        <v>1112</v>
      </c>
      <c r="D1931" s="32" t="s">
        <v>99</v>
      </c>
      <c r="E1931" s="32" t="s">
        <v>2141</v>
      </c>
      <c r="F1931" s="161">
        <v>45986.0</v>
      </c>
      <c r="G1931" s="58">
        <v>1.992579222E7</v>
      </c>
      <c r="H1931" s="14">
        <f t="shared" si="9"/>
        <v>4184416.366</v>
      </c>
      <c r="I1931" s="55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5"/>
      <c r="C1932" s="31" t="s">
        <v>1112</v>
      </c>
      <c r="D1932" s="32" t="s">
        <v>15</v>
      </c>
      <c r="E1932" s="31" t="s">
        <v>2142</v>
      </c>
      <c r="F1932" s="161">
        <v>45986.0</v>
      </c>
      <c r="G1932" s="58">
        <v>1.935625059E7</v>
      </c>
      <c r="H1932" s="14">
        <f t="shared" si="9"/>
        <v>4064812.624</v>
      </c>
      <c r="I1932" s="55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5"/>
      <c r="C1933" s="31" t="s">
        <v>1112</v>
      </c>
      <c r="D1933" s="32" t="s">
        <v>15</v>
      </c>
      <c r="E1933" s="31" t="s">
        <v>2143</v>
      </c>
      <c r="F1933" s="161">
        <v>45986.0</v>
      </c>
      <c r="G1933" s="58">
        <v>1.998368216E7</v>
      </c>
      <c r="H1933" s="14">
        <f t="shared" si="9"/>
        <v>4196573.254</v>
      </c>
      <c r="I1933" s="55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5"/>
      <c r="C1934" s="31" t="s">
        <v>171</v>
      </c>
      <c r="D1934" s="32" t="s">
        <v>15</v>
      </c>
      <c r="E1934" s="31" t="s">
        <v>2144</v>
      </c>
      <c r="F1934" s="161">
        <v>45986.0</v>
      </c>
      <c r="G1934" s="58">
        <v>7625352.13</v>
      </c>
      <c r="H1934" s="14">
        <f t="shared" si="9"/>
        <v>1601323.947</v>
      </c>
      <c r="I1934" s="55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5"/>
      <c r="C1935" s="31" t="s">
        <v>171</v>
      </c>
      <c r="D1935" s="32" t="s">
        <v>15</v>
      </c>
      <c r="E1935" s="31" t="s">
        <v>2145</v>
      </c>
      <c r="F1935" s="161">
        <v>45986.0</v>
      </c>
      <c r="G1935" s="58">
        <v>7437376.29</v>
      </c>
      <c r="H1935" s="14">
        <f t="shared" si="9"/>
        <v>1561849.021</v>
      </c>
      <c r="I1935" s="55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5"/>
      <c r="C1936" s="31" t="s">
        <v>171</v>
      </c>
      <c r="D1936" s="32" t="s">
        <v>15</v>
      </c>
      <c r="E1936" s="31" t="s">
        <v>2146</v>
      </c>
      <c r="F1936" s="161">
        <v>45986.0</v>
      </c>
      <c r="G1936" s="58">
        <v>8837636.59</v>
      </c>
      <c r="H1936" s="14">
        <f t="shared" si="9"/>
        <v>1855903.684</v>
      </c>
      <c r="I1936" s="55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5"/>
      <c r="C1937" s="31" t="s">
        <v>171</v>
      </c>
      <c r="D1937" s="32" t="s">
        <v>15</v>
      </c>
      <c r="E1937" s="31" t="s">
        <v>2147</v>
      </c>
      <c r="F1937" s="161">
        <v>45986.0</v>
      </c>
      <c r="G1937" s="58">
        <v>1.812292363E7</v>
      </c>
      <c r="H1937" s="14">
        <f t="shared" si="9"/>
        <v>3805813.962</v>
      </c>
      <c r="I1937" s="55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60"/>
      <c r="C1938" s="62" t="s">
        <v>1246</v>
      </c>
      <c r="D1938" s="62" t="s">
        <v>2148</v>
      </c>
      <c r="E1938" s="62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60"/>
      <c r="J1938" s="49"/>
      <c r="K1938" s="10">
        <f t="shared" si="4"/>
        <v>24200084.7</v>
      </c>
      <c r="L1938" s="47"/>
      <c r="M1938" s="50"/>
    </row>
    <row r="1939" ht="15.75" customHeight="1">
      <c r="A1939" s="177">
        <v>45965.0</v>
      </c>
      <c r="B1939" s="60"/>
      <c r="C1939" s="62" t="s">
        <v>2040</v>
      </c>
      <c r="D1939" s="62" t="s">
        <v>2150</v>
      </c>
      <c r="E1939" s="62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60"/>
      <c r="J1939" s="49"/>
      <c r="K1939" s="10">
        <f t="shared" si="4"/>
        <v>17479955.24</v>
      </c>
      <c r="L1939" s="47"/>
      <c r="M1939" s="50"/>
    </row>
    <row r="1940" ht="15.75" customHeight="1">
      <c r="A1940" s="177">
        <v>45965.0</v>
      </c>
      <c r="B1940" s="60"/>
      <c r="C1940" s="62" t="s">
        <v>1246</v>
      </c>
      <c r="D1940" s="62" t="s">
        <v>2150</v>
      </c>
      <c r="E1940" s="62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60"/>
      <c r="J1940" s="49"/>
      <c r="K1940" s="10">
        <f t="shared" si="4"/>
        <v>13919195.07</v>
      </c>
      <c r="L1940" s="47"/>
      <c r="M1940" s="50"/>
    </row>
    <row r="1941" ht="15.75" customHeight="1">
      <c r="A1941" s="177">
        <v>45965.0</v>
      </c>
      <c r="B1941" s="60"/>
      <c r="C1941" s="62" t="s">
        <v>2151</v>
      </c>
      <c r="D1941" s="62" t="s">
        <v>2150</v>
      </c>
      <c r="E1941" s="62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60"/>
      <c r="J1941" s="49"/>
      <c r="K1941" s="10">
        <f t="shared" si="4"/>
        <v>21432944.17</v>
      </c>
      <c r="L1941" s="47"/>
      <c r="M1941" s="50"/>
    </row>
    <row r="1942" ht="15.75" customHeight="1">
      <c r="A1942" s="177">
        <v>45965.0</v>
      </c>
      <c r="B1942" s="60"/>
      <c r="C1942" s="62" t="s">
        <v>1248</v>
      </c>
      <c r="D1942" s="62" t="s">
        <v>2150</v>
      </c>
      <c r="E1942" s="62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60"/>
      <c r="J1942" s="49"/>
      <c r="K1942" s="10">
        <f t="shared" si="4"/>
        <v>12855975.33</v>
      </c>
      <c r="L1942" s="47"/>
      <c r="M1942" s="50"/>
    </row>
    <row r="1943" ht="15.75" customHeight="1">
      <c r="A1943" s="177">
        <v>45965.0</v>
      </c>
      <c r="B1943" s="60"/>
      <c r="C1943" s="62" t="s">
        <v>1903</v>
      </c>
      <c r="D1943" s="62" t="s">
        <v>2150</v>
      </c>
      <c r="E1943" s="62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60"/>
      <c r="J1943" s="49"/>
      <c r="K1943" s="10">
        <f t="shared" si="4"/>
        <v>14549159.79</v>
      </c>
      <c r="L1943" s="47"/>
      <c r="M1943" s="50"/>
    </row>
    <row r="1944" ht="15.75" customHeight="1">
      <c r="A1944" s="177">
        <v>45965.0</v>
      </c>
      <c r="B1944" s="60"/>
      <c r="C1944" s="62" t="s">
        <v>1248</v>
      </c>
      <c r="D1944" s="62" t="s">
        <v>2150</v>
      </c>
      <c r="E1944" s="62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60"/>
      <c r="J1944" s="49"/>
      <c r="K1944" s="10">
        <f t="shared" si="4"/>
        <v>14546494.16</v>
      </c>
      <c r="L1944" s="47"/>
      <c r="M1944" s="50"/>
    </row>
    <row r="1945" ht="15.75" customHeight="1">
      <c r="A1945" s="115">
        <v>45965.0</v>
      </c>
      <c r="B1945" s="55"/>
      <c r="C1945" s="31" t="s">
        <v>1858</v>
      </c>
      <c r="D1945" s="32" t="s">
        <v>15</v>
      </c>
      <c r="E1945" s="32" t="s">
        <v>2152</v>
      </c>
      <c r="F1945" s="161">
        <v>45986.0</v>
      </c>
      <c r="G1945" s="58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5"/>
      <c r="C1946" s="31" t="s">
        <v>1858</v>
      </c>
      <c r="D1946" s="32" t="s">
        <v>15</v>
      </c>
      <c r="E1946" s="32" t="s">
        <v>2153</v>
      </c>
      <c r="F1946" s="161">
        <v>45986.0</v>
      </c>
      <c r="G1946" s="58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5"/>
      <c r="C1947" s="31" t="s">
        <v>1858</v>
      </c>
      <c r="D1947" s="32" t="s">
        <v>15</v>
      </c>
      <c r="E1947" s="32" t="s">
        <v>2154</v>
      </c>
      <c r="F1947" s="161">
        <v>45986.0</v>
      </c>
      <c r="G1947" s="58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5"/>
      <c r="C1948" s="31" t="s">
        <v>1861</v>
      </c>
      <c r="D1948" s="32" t="s">
        <v>99</v>
      </c>
      <c r="E1948" s="32" t="s">
        <v>2155</v>
      </c>
      <c r="F1948" s="161">
        <v>45986.0</v>
      </c>
      <c r="G1948" s="58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5"/>
      <c r="C1949" s="31" t="s">
        <v>1861</v>
      </c>
      <c r="D1949" s="32" t="s">
        <v>99</v>
      </c>
      <c r="E1949" s="31" t="s">
        <v>2156</v>
      </c>
      <c r="F1949" s="161">
        <v>45986.0</v>
      </c>
      <c r="G1949" s="58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5"/>
      <c r="C1950" s="31" t="s">
        <v>1861</v>
      </c>
      <c r="D1950" s="32" t="s">
        <v>99</v>
      </c>
      <c r="E1950" s="31" t="s">
        <v>2157</v>
      </c>
      <c r="F1950" s="161">
        <v>45986.0</v>
      </c>
      <c r="G1950" s="58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5"/>
      <c r="C1951" s="31" t="s">
        <v>1854</v>
      </c>
      <c r="D1951" s="32" t="s">
        <v>99</v>
      </c>
      <c r="E1951" s="31" t="s">
        <v>2158</v>
      </c>
      <c r="F1951" s="161">
        <v>45986.0</v>
      </c>
      <c r="G1951" s="58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5"/>
      <c r="C1952" s="31" t="s">
        <v>1854</v>
      </c>
      <c r="D1952" s="32" t="s">
        <v>99</v>
      </c>
      <c r="E1952" s="31" t="s">
        <v>2159</v>
      </c>
      <c r="F1952" s="161">
        <v>45986.0</v>
      </c>
      <c r="G1952" s="58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5"/>
      <c r="C1953" s="31" t="s">
        <v>1854</v>
      </c>
      <c r="D1953" s="32" t="s">
        <v>99</v>
      </c>
      <c r="E1953" s="31" t="s">
        <v>2160</v>
      </c>
      <c r="F1953" s="161">
        <v>45986.0</v>
      </c>
      <c r="G1953" s="58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5"/>
      <c r="C1954" s="31" t="s">
        <v>1854</v>
      </c>
      <c r="D1954" s="32" t="s">
        <v>99</v>
      </c>
      <c r="E1954" s="31" t="s">
        <v>2161</v>
      </c>
      <c r="F1954" s="161">
        <v>45986.0</v>
      </c>
      <c r="G1954" s="58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5"/>
      <c r="C1955" s="31" t="s">
        <v>1854</v>
      </c>
      <c r="D1955" s="32" t="s">
        <v>99</v>
      </c>
      <c r="E1955" s="31" t="s">
        <v>2162</v>
      </c>
      <c r="F1955" s="161">
        <v>45986.0</v>
      </c>
      <c r="G1955" s="58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5"/>
      <c r="C1956" s="31" t="s">
        <v>410</v>
      </c>
      <c r="D1956" s="32" t="s">
        <v>99</v>
      </c>
      <c r="E1956" s="31" t="s">
        <v>2163</v>
      </c>
      <c r="F1956" s="161">
        <v>45986.0</v>
      </c>
      <c r="G1956" s="58">
        <v>2983381.09</v>
      </c>
      <c r="H1956" s="14">
        <f t="shared" si="9"/>
        <v>626510.0289</v>
      </c>
      <c r="I1956" s="55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5"/>
      <c r="C1957" s="31" t="s">
        <v>410</v>
      </c>
      <c r="D1957" s="32" t="s">
        <v>99</v>
      </c>
      <c r="E1957" s="32" t="s">
        <v>2164</v>
      </c>
      <c r="F1957" s="161">
        <v>45986.0</v>
      </c>
      <c r="G1957" s="58">
        <v>2021470.95</v>
      </c>
      <c r="H1957" s="14">
        <f t="shared" si="9"/>
        <v>424508.8995</v>
      </c>
      <c r="I1957" s="55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5"/>
      <c r="C1958" s="31" t="s">
        <v>410</v>
      </c>
      <c r="D1958" s="32" t="s">
        <v>15</v>
      </c>
      <c r="E1958" s="31" t="s">
        <v>2165</v>
      </c>
      <c r="F1958" s="161">
        <v>45986.0</v>
      </c>
      <c r="G1958" s="58">
        <v>3018362.41</v>
      </c>
      <c r="H1958" s="14">
        <f t="shared" si="9"/>
        <v>633856.1061</v>
      </c>
      <c r="I1958" s="55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5"/>
      <c r="C1959" s="31" t="s">
        <v>168</v>
      </c>
      <c r="D1959" s="32" t="s">
        <v>15</v>
      </c>
      <c r="E1959" s="31" t="s">
        <v>2166</v>
      </c>
      <c r="F1959" s="161">
        <v>45986.0</v>
      </c>
      <c r="G1959" s="58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5"/>
      <c r="C1960" s="31" t="s">
        <v>211</v>
      </c>
      <c r="D1960" s="32" t="s">
        <v>99</v>
      </c>
      <c r="E1960" s="31" t="s">
        <v>2167</v>
      </c>
      <c r="F1960" s="161">
        <v>45986.0</v>
      </c>
      <c r="G1960" s="58">
        <f>2411570.64/1.21</f>
        <v>1993033.587</v>
      </c>
      <c r="H1960" s="14">
        <f t="shared" si="9"/>
        <v>418537.0532</v>
      </c>
      <c r="I1960" s="55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5"/>
      <c r="C1961" s="31" t="s">
        <v>211</v>
      </c>
      <c r="D1961" s="32" t="s">
        <v>99</v>
      </c>
      <c r="E1961" s="31" t="s">
        <v>2168</v>
      </c>
      <c r="F1961" s="161">
        <v>45986.0</v>
      </c>
      <c r="G1961" s="58">
        <f>3621890.45/1.21</f>
        <v>2993297.893</v>
      </c>
      <c r="H1961" s="14">
        <f t="shared" si="9"/>
        <v>628592.5574</v>
      </c>
      <c r="I1961" s="55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5"/>
      <c r="C1962" s="31" t="s">
        <v>16</v>
      </c>
      <c r="D1962" s="32" t="s">
        <v>99</v>
      </c>
      <c r="E1962" s="31" t="s">
        <v>2169</v>
      </c>
      <c r="F1962" s="161">
        <v>45986.0</v>
      </c>
      <c r="G1962" s="58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5"/>
      <c r="C1963" s="31" t="s">
        <v>567</v>
      </c>
      <c r="D1963" s="32" t="s">
        <v>99</v>
      </c>
      <c r="E1963" s="31" t="s">
        <v>2170</v>
      </c>
      <c r="F1963" s="161">
        <v>45986.0</v>
      </c>
      <c r="G1963" s="58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5"/>
      <c r="C1964" s="31" t="s">
        <v>567</v>
      </c>
      <c r="D1964" s="32" t="s">
        <v>99</v>
      </c>
      <c r="E1964" s="31" t="s">
        <v>2171</v>
      </c>
      <c r="F1964" s="161">
        <v>45986.0</v>
      </c>
      <c r="G1964" s="58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5"/>
      <c r="C1965" s="31" t="s">
        <v>567</v>
      </c>
      <c r="D1965" s="32" t="s">
        <v>99</v>
      </c>
      <c r="E1965" s="31" t="s">
        <v>2172</v>
      </c>
      <c r="F1965" s="161">
        <v>45986.0</v>
      </c>
      <c r="G1965" s="58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60"/>
      <c r="C1966" s="61" t="s">
        <v>567</v>
      </c>
      <c r="D1966" s="62" t="s">
        <v>15</v>
      </c>
      <c r="E1966" s="62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49"/>
      <c r="K1966" s="10">
        <f t="shared" si="4"/>
        <v>15300709.78</v>
      </c>
      <c r="L1966" s="47"/>
      <c r="M1966" s="50"/>
    </row>
    <row r="1967" ht="15.75" customHeight="1">
      <c r="A1967" s="177">
        <v>45966.0</v>
      </c>
      <c r="B1967" s="60"/>
      <c r="C1967" s="61" t="s">
        <v>567</v>
      </c>
      <c r="D1967" s="62" t="s">
        <v>15</v>
      </c>
      <c r="E1967" s="61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60"/>
      <c r="J1967" s="49"/>
      <c r="K1967" s="10">
        <f t="shared" si="4"/>
        <v>3917088.097</v>
      </c>
      <c r="L1967" s="47"/>
      <c r="M1967" s="50"/>
    </row>
    <row r="1968" ht="15.75" customHeight="1">
      <c r="A1968" s="115">
        <v>45966.0</v>
      </c>
      <c r="B1968" s="55"/>
      <c r="C1968" s="31" t="s">
        <v>567</v>
      </c>
      <c r="D1968" s="32" t="s">
        <v>15</v>
      </c>
      <c r="E1968" s="31" t="s">
        <v>2175</v>
      </c>
      <c r="F1968" s="161">
        <v>45986.0</v>
      </c>
      <c r="G1968" s="58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5"/>
      <c r="C1969" s="31" t="s">
        <v>567</v>
      </c>
      <c r="D1969" s="32" t="s">
        <v>15</v>
      </c>
      <c r="E1969" s="31" t="s">
        <v>2176</v>
      </c>
      <c r="F1969" s="161">
        <v>45986.0</v>
      </c>
      <c r="G1969" s="58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5"/>
      <c r="C1970" s="31" t="s">
        <v>567</v>
      </c>
      <c r="D1970" s="32" t="s">
        <v>15</v>
      </c>
      <c r="E1970" s="31" t="s">
        <v>2177</v>
      </c>
      <c r="F1970" s="161">
        <v>45986.0</v>
      </c>
      <c r="G1970" s="58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5"/>
      <c r="C1971" s="31" t="s">
        <v>567</v>
      </c>
      <c r="D1971" s="32" t="s">
        <v>15</v>
      </c>
      <c r="E1971" s="31" t="s">
        <v>2178</v>
      </c>
      <c r="F1971" s="161">
        <v>45986.0</v>
      </c>
      <c r="G1971" s="58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5"/>
      <c r="C1972" s="31" t="s">
        <v>567</v>
      </c>
      <c r="D1972" s="32" t="s">
        <v>15</v>
      </c>
      <c r="E1972" s="31" t="s">
        <v>2179</v>
      </c>
      <c r="F1972" s="161">
        <v>45986.0</v>
      </c>
      <c r="G1972" s="58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5"/>
      <c r="C1973" s="31" t="s">
        <v>567</v>
      </c>
      <c r="D1973" s="32" t="s">
        <v>15</v>
      </c>
      <c r="E1973" s="32" t="s">
        <v>2180</v>
      </c>
      <c r="F1973" s="161">
        <v>45986.0</v>
      </c>
      <c r="G1973" s="58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5"/>
      <c r="C1974" s="31" t="s">
        <v>567</v>
      </c>
      <c r="D1974" s="32" t="s">
        <v>99</v>
      </c>
      <c r="E1974" s="31" t="s">
        <v>2181</v>
      </c>
      <c r="F1974" s="161">
        <v>45986.0</v>
      </c>
      <c r="G1974" s="58">
        <v>3772625.05</v>
      </c>
      <c r="H1974" s="14">
        <f t="shared" si="9"/>
        <v>792251.2605</v>
      </c>
      <c r="I1974" s="55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5"/>
      <c r="C1975" s="31" t="s">
        <v>567</v>
      </c>
      <c r="D1975" s="32" t="s">
        <v>99</v>
      </c>
      <c r="E1975" s="32" t="s">
        <v>2182</v>
      </c>
      <c r="F1975" s="161">
        <v>45986.0</v>
      </c>
      <c r="G1975" s="58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5"/>
      <c r="C1976" s="31" t="s">
        <v>567</v>
      </c>
      <c r="D1976" s="32" t="s">
        <v>99</v>
      </c>
      <c r="E1976" s="31" t="s">
        <v>2183</v>
      </c>
      <c r="F1976" s="161">
        <v>45986.0</v>
      </c>
      <c r="G1976" s="58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5"/>
      <c r="C1977" s="31" t="s">
        <v>567</v>
      </c>
      <c r="D1977" s="32" t="s">
        <v>99</v>
      </c>
      <c r="E1977" s="31" t="s">
        <v>2184</v>
      </c>
      <c r="F1977" s="161">
        <v>45986.0</v>
      </c>
      <c r="G1977" s="58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5"/>
      <c r="C1978" s="31" t="s">
        <v>567</v>
      </c>
      <c r="D1978" s="32" t="s">
        <v>99</v>
      </c>
      <c r="E1978" s="31" t="s">
        <v>2185</v>
      </c>
      <c r="F1978" s="161">
        <v>45986.0</v>
      </c>
      <c r="G1978" s="58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5"/>
      <c r="C1979" s="31" t="s">
        <v>567</v>
      </c>
      <c r="D1979" s="32" t="s">
        <v>15</v>
      </c>
      <c r="E1979" s="31" t="s">
        <v>2186</v>
      </c>
      <c r="F1979" s="161">
        <v>45986.0</v>
      </c>
      <c r="G1979" s="58">
        <v>-1.931238246E7</v>
      </c>
      <c r="H1979" s="14">
        <f t="shared" si="9"/>
        <v>-4055600.317</v>
      </c>
      <c r="I1979" s="55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5"/>
      <c r="C1980" s="31" t="s">
        <v>567</v>
      </c>
      <c r="D1980" s="32" t="s">
        <v>99</v>
      </c>
      <c r="E1980" s="31" t="s">
        <v>2187</v>
      </c>
      <c r="F1980" s="161">
        <v>45986.0</v>
      </c>
      <c r="G1980" s="58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5"/>
      <c r="C1981" s="31" t="s">
        <v>567</v>
      </c>
      <c r="D1981" s="32" t="s">
        <v>15</v>
      </c>
      <c r="E1981" s="31" t="s">
        <v>2188</v>
      </c>
      <c r="F1981" s="161">
        <v>45986.0</v>
      </c>
      <c r="G1981" s="58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5"/>
      <c r="C1982" s="31" t="s">
        <v>567</v>
      </c>
      <c r="D1982" s="32" t="s">
        <v>99</v>
      </c>
      <c r="E1982" s="31" t="s">
        <v>2189</v>
      </c>
      <c r="F1982" s="161">
        <v>45986.0</v>
      </c>
      <c r="G1982" s="58">
        <v>-1.957634073E7</v>
      </c>
      <c r="H1982" s="14">
        <f t="shared" si="9"/>
        <v>-4111031.553</v>
      </c>
      <c r="I1982" s="55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5"/>
      <c r="C1983" s="31" t="s">
        <v>2087</v>
      </c>
      <c r="D1983" s="32" t="s">
        <v>15</v>
      </c>
      <c r="E1983" s="31" t="s">
        <v>2190</v>
      </c>
      <c r="F1983" s="161">
        <v>45986.0</v>
      </c>
      <c r="G1983" s="58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5"/>
      <c r="C1984" s="31" t="s">
        <v>567</v>
      </c>
      <c r="D1984" s="32" t="s">
        <v>15</v>
      </c>
      <c r="E1984" s="32" t="s">
        <v>2191</v>
      </c>
      <c r="F1984" s="161">
        <v>45986.0</v>
      </c>
      <c r="G1984" s="58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5"/>
      <c r="C1985" s="31" t="s">
        <v>567</v>
      </c>
      <c r="D1985" s="32" t="s">
        <v>15</v>
      </c>
      <c r="E1985" s="31" t="s">
        <v>2192</v>
      </c>
      <c r="F1985" s="161">
        <v>45986.0</v>
      </c>
      <c r="G1985" s="58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5"/>
      <c r="C1986" s="31" t="s">
        <v>567</v>
      </c>
      <c r="D1986" s="32" t="s">
        <v>15</v>
      </c>
      <c r="E1986" s="31" t="s">
        <v>2193</v>
      </c>
      <c r="F1986" s="161">
        <v>45986.0</v>
      </c>
      <c r="G1986" s="58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5"/>
      <c r="C1987" s="31" t="s">
        <v>567</v>
      </c>
      <c r="D1987" s="32" t="s">
        <v>15</v>
      </c>
      <c r="E1987" s="31" t="s">
        <v>2194</v>
      </c>
      <c r="F1987" s="161">
        <v>45986.0</v>
      </c>
      <c r="G1987" s="58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5"/>
      <c r="C1988" s="31" t="s">
        <v>567</v>
      </c>
      <c r="D1988" s="32" t="s">
        <v>99</v>
      </c>
      <c r="E1988" s="31" t="s">
        <v>2195</v>
      </c>
      <c r="F1988" s="161">
        <v>45986.0</v>
      </c>
      <c r="G1988" s="58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5"/>
      <c r="C1989" s="31" t="s">
        <v>567</v>
      </c>
      <c r="D1989" s="32" t="s">
        <v>99</v>
      </c>
      <c r="E1989" s="31" t="s">
        <v>2196</v>
      </c>
      <c r="F1989" s="161">
        <v>45986.0</v>
      </c>
      <c r="G1989" s="58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5"/>
      <c r="C1990" s="31" t="s">
        <v>567</v>
      </c>
      <c r="D1990" s="32" t="s">
        <v>99</v>
      </c>
      <c r="E1990" s="31" t="s">
        <v>2197</v>
      </c>
      <c r="F1990" s="161">
        <v>45986.0</v>
      </c>
      <c r="G1990" s="58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5"/>
      <c r="C1991" s="31" t="s">
        <v>567</v>
      </c>
      <c r="D1991" s="32" t="s">
        <v>99</v>
      </c>
      <c r="E1991" s="31" t="s">
        <v>2198</v>
      </c>
      <c r="F1991" s="161">
        <v>45986.0</v>
      </c>
      <c r="G1991" s="58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5"/>
      <c r="C1992" s="31" t="s">
        <v>2199</v>
      </c>
      <c r="D1992" s="32" t="s">
        <v>15</v>
      </c>
      <c r="E1992" s="31" t="s">
        <v>2200</v>
      </c>
      <c r="F1992" s="161">
        <v>45986.0</v>
      </c>
      <c r="G1992" s="58">
        <v>5992782.42</v>
      </c>
      <c r="H1992" s="14">
        <f t="shared" si="9"/>
        <v>1258484.308</v>
      </c>
      <c r="I1992" s="55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5"/>
      <c r="C1993" s="31" t="s">
        <v>2199</v>
      </c>
      <c r="D1993" s="32" t="s">
        <v>99</v>
      </c>
      <c r="E1993" s="31" t="s">
        <v>2201</v>
      </c>
      <c r="F1993" s="161">
        <v>45986.0</v>
      </c>
      <c r="G1993" s="58">
        <v>6123362.12</v>
      </c>
      <c r="H1993" s="14">
        <f t="shared" si="9"/>
        <v>1285906.045</v>
      </c>
      <c r="I1993" s="55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5"/>
      <c r="C1994" s="31" t="s">
        <v>64</v>
      </c>
      <c r="D1994" s="32" t="s">
        <v>15</v>
      </c>
      <c r="E1994" s="31" t="s">
        <v>2202</v>
      </c>
      <c r="F1994" s="161">
        <v>45986.0</v>
      </c>
      <c r="G1994" s="58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5"/>
      <c r="C1995" s="31" t="s">
        <v>1279</v>
      </c>
      <c r="D1995" s="32" t="s">
        <v>99</v>
      </c>
      <c r="E1995" s="31" t="s">
        <v>2203</v>
      </c>
      <c r="F1995" s="161">
        <v>45986.0</v>
      </c>
      <c r="G1995" s="58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5"/>
      <c r="C1996" s="31" t="s">
        <v>1279</v>
      </c>
      <c r="D1996" s="32" t="s">
        <v>15</v>
      </c>
      <c r="E1996" s="31" t="s">
        <v>2204</v>
      </c>
      <c r="F1996" s="161">
        <v>45986.0</v>
      </c>
      <c r="G1996" s="58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5"/>
      <c r="C1997" s="31" t="s">
        <v>1279</v>
      </c>
      <c r="D1997" s="32" t="s">
        <v>99</v>
      </c>
      <c r="E1997" s="31" t="s">
        <v>2205</v>
      </c>
      <c r="F1997" s="161">
        <v>45986.0</v>
      </c>
      <c r="G1997" s="58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5"/>
      <c r="C1998" s="31" t="s">
        <v>1283</v>
      </c>
      <c r="D1998" s="32" t="s">
        <v>15</v>
      </c>
      <c r="E1998" s="31" t="s">
        <v>2206</v>
      </c>
      <c r="F1998" s="161">
        <v>45986.0</v>
      </c>
      <c r="G1998" s="58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5"/>
      <c r="C1999" s="31" t="s">
        <v>1283</v>
      </c>
      <c r="D1999" s="32" t="s">
        <v>99</v>
      </c>
      <c r="E1999" s="31" t="s">
        <v>2207</v>
      </c>
      <c r="F1999" s="161">
        <v>45986.0</v>
      </c>
      <c r="G1999" s="58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5"/>
      <c r="C2000" s="31" t="s">
        <v>1283</v>
      </c>
      <c r="D2000" s="32" t="s">
        <v>99</v>
      </c>
      <c r="E2000" s="32" t="s">
        <v>2208</v>
      </c>
      <c r="F2000" s="161">
        <v>45986.0</v>
      </c>
      <c r="G2000" s="58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5"/>
      <c r="C2001" s="31" t="s">
        <v>1281</v>
      </c>
      <c r="D2001" s="32" t="s">
        <v>15</v>
      </c>
      <c r="E2001" s="31" t="s">
        <v>2209</v>
      </c>
      <c r="F2001" s="161">
        <v>45986.0</v>
      </c>
      <c r="G2001" s="58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5"/>
      <c r="C2002" s="31" t="s">
        <v>1281</v>
      </c>
      <c r="D2002" s="32" t="s">
        <v>99</v>
      </c>
      <c r="E2002" s="31" t="s">
        <v>2210</v>
      </c>
      <c r="F2002" s="161">
        <v>45986.0</v>
      </c>
      <c r="G2002" s="58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5"/>
      <c r="C2003" s="31" t="s">
        <v>1281</v>
      </c>
      <c r="D2003" s="32" t="s">
        <v>99</v>
      </c>
      <c r="E2003" s="31" t="s">
        <v>2211</v>
      </c>
      <c r="F2003" s="161">
        <v>45986.0</v>
      </c>
      <c r="G2003" s="58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5"/>
      <c r="C2004" s="31" t="s">
        <v>1312</v>
      </c>
      <c r="D2004" s="32" t="s">
        <v>15</v>
      </c>
      <c r="E2004" s="31" t="s">
        <v>2212</v>
      </c>
      <c r="F2004" s="161">
        <v>45986.0</v>
      </c>
      <c r="G2004" s="58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5"/>
      <c r="C2005" s="31" t="s">
        <v>1312</v>
      </c>
      <c r="D2005" s="32" t="s">
        <v>99</v>
      </c>
      <c r="E2005" s="31" t="s">
        <v>2213</v>
      </c>
      <c r="F2005" s="161">
        <v>45986.0</v>
      </c>
      <c r="G2005" s="58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5"/>
      <c r="C2006" s="31" t="s">
        <v>1189</v>
      </c>
      <c r="D2006" s="32" t="s">
        <v>15</v>
      </c>
      <c r="E2006" s="31" t="s">
        <v>2214</v>
      </c>
      <c r="F2006" s="161">
        <v>45986.0</v>
      </c>
      <c r="G2006" s="58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5"/>
      <c r="C2007" s="31" t="s">
        <v>1312</v>
      </c>
      <c r="D2007" s="32" t="s">
        <v>99</v>
      </c>
      <c r="E2007" s="31" t="s">
        <v>2215</v>
      </c>
      <c r="F2007" s="161">
        <v>45986.0</v>
      </c>
      <c r="G2007" s="58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5"/>
      <c r="C2008" s="31" t="s">
        <v>1277</v>
      </c>
      <c r="D2008" s="32" t="s">
        <v>15</v>
      </c>
      <c r="E2008" s="31" t="s">
        <v>2216</v>
      </c>
      <c r="F2008" s="161">
        <v>45986.0</v>
      </c>
      <c r="G2008" s="58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5"/>
      <c r="C2009" s="31" t="s">
        <v>1277</v>
      </c>
      <c r="D2009" s="32" t="s">
        <v>99</v>
      </c>
      <c r="E2009" s="31" t="s">
        <v>2217</v>
      </c>
      <c r="F2009" s="161">
        <v>45986.0</v>
      </c>
      <c r="G2009" s="58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5"/>
      <c r="C2010" s="31" t="s">
        <v>1277</v>
      </c>
      <c r="D2010" s="32" t="s">
        <v>99</v>
      </c>
      <c r="E2010" s="31" t="s">
        <v>2218</v>
      </c>
      <c r="F2010" s="161">
        <v>45986.0</v>
      </c>
      <c r="G2010" s="58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5"/>
      <c r="C2011" s="31" t="s">
        <v>1189</v>
      </c>
      <c r="D2011" s="32" t="s">
        <v>99</v>
      </c>
      <c r="E2011" s="31" t="s">
        <v>2219</v>
      </c>
      <c r="F2011" s="161">
        <v>45986.0</v>
      </c>
      <c r="G2011" s="58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5"/>
      <c r="C2012" s="144" t="s">
        <v>64</v>
      </c>
      <c r="D2012" s="32" t="s">
        <v>99</v>
      </c>
      <c r="E2012" s="31" t="s">
        <v>2220</v>
      </c>
      <c r="F2012" s="161">
        <v>45986.0</v>
      </c>
      <c r="G2012" s="58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5"/>
      <c r="C2013" s="31" t="s">
        <v>2221</v>
      </c>
      <c r="D2013" s="32" t="s">
        <v>99</v>
      </c>
      <c r="E2013" s="31" t="s">
        <v>2222</v>
      </c>
      <c r="F2013" s="161">
        <v>45986.0</v>
      </c>
      <c r="G2013" s="58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5"/>
      <c r="C2014" s="31" t="s">
        <v>2221</v>
      </c>
      <c r="D2014" s="32" t="s">
        <v>99</v>
      </c>
      <c r="E2014" s="31" t="s">
        <v>2223</v>
      </c>
      <c r="F2014" s="161">
        <v>45986.0</v>
      </c>
      <c r="G2014" s="58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5"/>
      <c r="C2015" s="31" t="s">
        <v>2221</v>
      </c>
      <c r="D2015" s="32" t="s">
        <v>99</v>
      </c>
      <c r="E2015" s="32" t="s">
        <v>2224</v>
      </c>
      <c r="F2015" s="161">
        <v>45986.0</v>
      </c>
      <c r="G2015" s="58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5"/>
      <c r="C2016" s="31" t="s">
        <v>1845</v>
      </c>
      <c r="D2016" s="32" t="s">
        <v>15</v>
      </c>
      <c r="E2016" s="31" t="s">
        <v>2225</v>
      </c>
      <c r="F2016" s="161">
        <v>45986.0</v>
      </c>
      <c r="G2016" s="58">
        <v>3129740.49</v>
      </c>
      <c r="H2016" s="14">
        <f t="shared" si="9"/>
        <v>657245.5029</v>
      </c>
      <c r="I2016" s="55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5"/>
      <c r="C2017" s="31" t="s">
        <v>1845</v>
      </c>
      <c r="D2017" s="32" t="s">
        <v>15</v>
      </c>
      <c r="E2017" s="31" t="s">
        <v>2226</v>
      </c>
      <c r="F2017" s="161">
        <v>45986.0</v>
      </c>
      <c r="G2017" s="58">
        <v>2892804.12</v>
      </c>
      <c r="H2017" s="14">
        <f t="shared" si="9"/>
        <v>607488.8652</v>
      </c>
      <c r="I2017" s="55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60"/>
      <c r="C2018" s="61" t="s">
        <v>1845</v>
      </c>
      <c r="D2018" s="62" t="s">
        <v>99</v>
      </c>
      <c r="E2018" s="61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60"/>
      <c r="J2018" s="44">
        <v>161448.85</v>
      </c>
      <c r="K2018" s="10">
        <f t="shared" si="4"/>
        <v>5045276.478</v>
      </c>
      <c r="L2018" s="47"/>
      <c r="M2018" s="50"/>
    </row>
    <row r="2019" ht="15.75" customHeight="1">
      <c r="A2019" s="177">
        <v>45978.0</v>
      </c>
      <c r="B2019" s="60"/>
      <c r="C2019" s="61" t="s">
        <v>1845</v>
      </c>
      <c r="D2019" s="62" t="s">
        <v>99</v>
      </c>
      <c r="E2019" s="61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60"/>
      <c r="J2019" s="44">
        <v>137637.75</v>
      </c>
      <c r="K2019" s="10">
        <f t="shared" si="4"/>
        <v>4301179.639</v>
      </c>
      <c r="L2019" s="47"/>
      <c r="M2019" s="50"/>
    </row>
    <row r="2020" ht="15.75" customHeight="1">
      <c r="A2020" s="177">
        <v>45978.0</v>
      </c>
      <c r="B2020" s="60"/>
      <c r="C2020" s="61" t="s">
        <v>1845</v>
      </c>
      <c r="D2020" s="62" t="s">
        <v>99</v>
      </c>
      <c r="E2020" s="61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60"/>
      <c r="J2020" s="44">
        <v>120447.94</v>
      </c>
      <c r="K2020" s="10">
        <f t="shared" si="4"/>
        <v>3763998.016</v>
      </c>
      <c r="L2020" s="47"/>
      <c r="M2020" s="50"/>
    </row>
    <row r="2021" ht="15.75" customHeight="1">
      <c r="A2021" s="177">
        <v>45978.0</v>
      </c>
      <c r="B2021" s="60"/>
      <c r="C2021" s="61" t="s">
        <v>1845</v>
      </c>
      <c r="D2021" s="62" t="s">
        <v>99</v>
      </c>
      <c r="E2021" s="61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60"/>
      <c r="J2021" s="49"/>
      <c r="K2021" s="10">
        <f t="shared" si="4"/>
        <v>3541363.955</v>
      </c>
      <c r="L2021" s="47"/>
      <c r="M2021" s="50"/>
    </row>
    <row r="2022" ht="15.75" customHeight="1">
      <c r="A2022" s="115">
        <v>45978.0</v>
      </c>
      <c r="B2022" s="55"/>
      <c r="C2022" s="31" t="s">
        <v>2231</v>
      </c>
      <c r="D2022" s="32" t="s">
        <v>15</v>
      </c>
      <c r="E2022" s="31" t="s">
        <v>2232</v>
      </c>
      <c r="F2022" s="161">
        <v>45986.0</v>
      </c>
      <c r="G2022" s="58">
        <v>1.004473295E7</v>
      </c>
      <c r="H2022" s="14">
        <f t="shared" si="9"/>
        <v>2109393.92</v>
      </c>
      <c r="I2022" s="55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5"/>
      <c r="C2023" s="31" t="s">
        <v>2233</v>
      </c>
      <c r="D2023" s="32" t="s">
        <v>99</v>
      </c>
      <c r="E2023" s="31" t="s">
        <v>2234</v>
      </c>
      <c r="F2023" s="161">
        <v>45986.0</v>
      </c>
      <c r="G2023" s="58">
        <v>8826362.41</v>
      </c>
      <c r="H2023" s="14">
        <f t="shared" si="9"/>
        <v>1853536.106</v>
      </c>
      <c r="I2023" s="55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5"/>
      <c r="C2024" s="31" t="s">
        <v>2233</v>
      </c>
      <c r="D2024" s="32" t="s">
        <v>99</v>
      </c>
      <c r="E2024" s="31" t="s">
        <v>2235</v>
      </c>
      <c r="F2024" s="161">
        <v>45986.0</v>
      </c>
      <c r="G2024" s="58">
        <v>1.283626208E7</v>
      </c>
      <c r="H2024" s="14">
        <f t="shared" si="9"/>
        <v>2695615.037</v>
      </c>
      <c r="I2024" s="55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5"/>
      <c r="C2025" s="31" t="s">
        <v>1285</v>
      </c>
      <c r="D2025" s="32" t="s">
        <v>15</v>
      </c>
      <c r="E2025" s="31" t="s">
        <v>2236</v>
      </c>
      <c r="F2025" s="161">
        <v>45986.0</v>
      </c>
      <c r="G2025" s="58">
        <v>3002580.42</v>
      </c>
      <c r="H2025" s="14">
        <f t="shared" si="9"/>
        <v>630541.8882</v>
      </c>
      <c r="I2025" s="55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60"/>
      <c r="C2026" s="141" t="s">
        <v>969</v>
      </c>
      <c r="D2026" s="61" t="s">
        <v>2237</v>
      </c>
      <c r="E2026" s="62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60"/>
      <c r="J2026" s="49"/>
      <c r="K2026" s="10">
        <f t="shared" si="4"/>
        <v>20009376.75</v>
      </c>
      <c r="L2026" s="47"/>
      <c r="M2026" s="50"/>
    </row>
    <row r="2027" ht="15.75" customHeight="1">
      <c r="A2027" s="177">
        <v>45979.0</v>
      </c>
      <c r="B2027" s="60"/>
      <c r="C2027" s="61" t="s">
        <v>2054</v>
      </c>
      <c r="D2027" s="62" t="s">
        <v>15</v>
      </c>
      <c r="E2027" s="62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49"/>
      <c r="K2027" s="10">
        <f t="shared" si="4"/>
        <v>26622232.85</v>
      </c>
      <c r="L2027" s="47"/>
      <c r="M2027" s="50"/>
    </row>
    <row r="2028" ht="15.75" customHeight="1">
      <c r="A2028" s="177">
        <v>45979.0</v>
      </c>
      <c r="B2028" s="60"/>
      <c r="C2028" s="61" t="s">
        <v>2054</v>
      </c>
      <c r="D2028" s="62" t="s">
        <v>99</v>
      </c>
      <c r="E2028" s="62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49"/>
      <c r="K2028" s="10">
        <f t="shared" si="4"/>
        <v>27281644.76</v>
      </c>
      <c r="L2028" s="47"/>
      <c r="M2028" s="50"/>
    </row>
    <row r="2029" ht="15.75" customHeight="1">
      <c r="A2029" s="115">
        <v>45979.0</v>
      </c>
      <c r="B2029" s="55"/>
      <c r="C2029" s="31" t="s">
        <v>567</v>
      </c>
      <c r="D2029" s="32" t="s">
        <v>15</v>
      </c>
      <c r="E2029" s="31" t="s">
        <v>2241</v>
      </c>
      <c r="F2029" s="161">
        <v>45986.0</v>
      </c>
      <c r="G2029" s="58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5"/>
      <c r="C2030" s="31" t="s">
        <v>567</v>
      </c>
      <c r="D2030" s="32" t="s">
        <v>15</v>
      </c>
      <c r="E2030" s="31" t="s">
        <v>2242</v>
      </c>
      <c r="F2030" s="161">
        <v>45986.0</v>
      </c>
      <c r="G2030" s="58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5"/>
      <c r="C2031" s="31" t="s">
        <v>196</v>
      </c>
      <c r="D2031" s="32" t="s">
        <v>15</v>
      </c>
      <c r="E2031" s="31" t="s">
        <v>2243</v>
      </c>
      <c r="F2031" s="161">
        <v>45986.0</v>
      </c>
      <c r="G2031" s="58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5"/>
      <c r="C2032" s="31" t="s">
        <v>196</v>
      </c>
      <c r="D2032" s="32" t="s">
        <v>99</v>
      </c>
      <c r="E2032" s="31" t="s">
        <v>2244</v>
      </c>
      <c r="F2032" s="161">
        <v>45986.0</v>
      </c>
      <c r="G2032" s="58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5"/>
      <c r="C2033" s="31" t="s">
        <v>171</v>
      </c>
      <c r="D2033" s="32" t="s">
        <v>15</v>
      </c>
      <c r="E2033" s="32" t="s">
        <v>2245</v>
      </c>
      <c r="F2033" s="161">
        <v>45986.0</v>
      </c>
      <c r="G2033" s="58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5"/>
      <c r="C2034" s="31" t="s">
        <v>171</v>
      </c>
      <c r="D2034" s="32" t="s">
        <v>15</v>
      </c>
      <c r="E2034" s="31" t="s">
        <v>2246</v>
      </c>
      <c r="F2034" s="161">
        <v>45986.0</v>
      </c>
      <c r="G2034" s="58">
        <v>1.499372648E7</v>
      </c>
      <c r="H2034" s="14">
        <f t="shared" si="9"/>
        <v>3148682.561</v>
      </c>
      <c r="I2034" s="55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5"/>
      <c r="C2035" s="31" t="s">
        <v>171</v>
      </c>
      <c r="D2035" s="32" t="s">
        <v>99</v>
      </c>
      <c r="E2035" s="31" t="s">
        <v>2247</v>
      </c>
      <c r="F2035" s="161">
        <v>45986.0</v>
      </c>
      <c r="G2035" s="58">
        <v>1.533525219E7</v>
      </c>
      <c r="H2035" s="14">
        <f t="shared" si="9"/>
        <v>3220402.96</v>
      </c>
      <c r="I2035" s="55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5"/>
      <c r="C2036" s="31" t="s">
        <v>171</v>
      </c>
      <c r="D2036" s="32" t="s">
        <v>99</v>
      </c>
      <c r="E2036" s="31" t="s">
        <v>2248</v>
      </c>
      <c r="F2036" s="161">
        <v>45986.0</v>
      </c>
      <c r="G2036" s="58">
        <v>1.488372641E7</v>
      </c>
      <c r="H2036" s="14">
        <f t="shared" si="9"/>
        <v>3125582.546</v>
      </c>
      <c r="I2036" s="55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5"/>
      <c r="C2037" s="31" t="s">
        <v>395</v>
      </c>
      <c r="D2037" s="32" t="s">
        <v>99</v>
      </c>
      <c r="E2037" s="31" t="s">
        <v>2249</v>
      </c>
      <c r="F2037" s="161">
        <v>45986.0</v>
      </c>
      <c r="G2037" s="58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5"/>
      <c r="C2038" s="31" t="s">
        <v>395</v>
      </c>
      <c r="D2038" s="32" t="s">
        <v>15</v>
      </c>
      <c r="E2038" s="31" t="s">
        <v>2250</v>
      </c>
      <c r="F2038" s="161">
        <v>45986.0</v>
      </c>
      <c r="G2038" s="58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5"/>
      <c r="C2039" s="31" t="s">
        <v>1842</v>
      </c>
      <c r="D2039" s="32" t="s">
        <v>15</v>
      </c>
      <c r="E2039" s="31" t="s">
        <v>2251</v>
      </c>
      <c r="F2039" s="161">
        <v>45986.0</v>
      </c>
      <c r="G2039" s="58">
        <v>2.513289152E7</v>
      </c>
      <c r="H2039" s="14">
        <f t="shared" si="9"/>
        <v>5277907.219</v>
      </c>
      <c r="I2039" s="55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5"/>
      <c r="C2040" s="31" t="s">
        <v>1842</v>
      </c>
      <c r="D2040" s="32" t="s">
        <v>99</v>
      </c>
      <c r="E2040" s="31" t="s">
        <v>2253</v>
      </c>
      <c r="F2040" s="161">
        <v>45986.0</v>
      </c>
      <c r="G2040" s="58">
        <v>2.724368129E7</v>
      </c>
      <c r="H2040" s="14">
        <f t="shared" si="9"/>
        <v>5721173.071</v>
      </c>
      <c r="I2040" s="55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5"/>
      <c r="C2041" s="32" t="s">
        <v>1990</v>
      </c>
      <c r="D2041" s="32" t="s">
        <v>15</v>
      </c>
      <c r="E2041" s="31" t="s">
        <v>2254</v>
      </c>
      <c r="F2041" s="161">
        <v>45986.0</v>
      </c>
      <c r="G2041" s="58">
        <v>4969175.19</v>
      </c>
      <c r="H2041" s="14">
        <f t="shared" si="9"/>
        <v>1043526.79</v>
      </c>
      <c r="I2041" s="55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47"/>
      <c r="M2042" s="50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47"/>
      <c r="M2043" s="50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47"/>
      <c r="M2044" s="50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47"/>
      <c r="M2045" s="50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47"/>
      <c r="M2046" s="50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47"/>
      <c r="M2047" s="50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47"/>
      <c r="M2048" s="50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5"/>
      <c r="C2055" s="31" t="s">
        <v>423</v>
      </c>
      <c r="D2055" s="32" t="s">
        <v>15</v>
      </c>
      <c r="E2055" s="31" t="s">
        <v>2268</v>
      </c>
      <c r="F2055" s="161">
        <v>45986.0</v>
      </c>
      <c r="G2055" s="58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5"/>
      <c r="C2056" s="31" t="s">
        <v>423</v>
      </c>
      <c r="D2056" s="32" t="s">
        <v>15</v>
      </c>
      <c r="E2056" s="31" t="s">
        <v>2269</v>
      </c>
      <c r="F2056" s="161">
        <v>45986.0</v>
      </c>
      <c r="G2056" s="58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5"/>
      <c r="C2057" s="31" t="s">
        <v>423</v>
      </c>
      <c r="D2057" s="32" t="s">
        <v>99</v>
      </c>
      <c r="E2057" s="31" t="s">
        <v>2270</v>
      </c>
      <c r="F2057" s="161">
        <v>45986.0</v>
      </c>
      <c r="G2057" s="58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5"/>
      <c r="C2058" s="31" t="s">
        <v>423</v>
      </c>
      <c r="D2058" s="32" t="s">
        <v>99</v>
      </c>
      <c r="E2058" s="31" t="s">
        <v>2271</v>
      </c>
      <c r="F2058" s="161">
        <v>45986.0</v>
      </c>
      <c r="G2058" s="58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5"/>
      <c r="C2059" s="31" t="s">
        <v>74</v>
      </c>
      <c r="D2059" s="32" t="s">
        <v>15</v>
      </c>
      <c r="E2059" s="31" t="s">
        <v>2272</v>
      </c>
      <c r="F2059" s="161">
        <v>45986.0</v>
      </c>
      <c r="G2059" s="58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5"/>
      <c r="C2060" s="31" t="s">
        <v>74</v>
      </c>
      <c r="D2060" s="32" t="s">
        <v>15</v>
      </c>
      <c r="E2060" s="31" t="s">
        <v>2273</v>
      </c>
      <c r="F2060" s="161">
        <v>45986.0</v>
      </c>
      <c r="G2060" s="58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5"/>
      <c r="C2061" s="31" t="s">
        <v>74</v>
      </c>
      <c r="D2061" s="32" t="s">
        <v>15</v>
      </c>
      <c r="E2061" s="31" t="s">
        <v>2274</v>
      </c>
      <c r="F2061" s="161">
        <v>45986.0</v>
      </c>
      <c r="G2061" s="58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5"/>
      <c r="C2062" s="31" t="s">
        <v>74</v>
      </c>
      <c r="D2062" s="32" t="s">
        <v>15</v>
      </c>
      <c r="E2062" s="31" t="s">
        <v>2275</v>
      </c>
      <c r="F2062" s="161">
        <v>45986.0</v>
      </c>
      <c r="G2062" s="58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5"/>
      <c r="C2063" s="31" t="s">
        <v>74</v>
      </c>
      <c r="D2063" s="32" t="s">
        <v>15</v>
      </c>
      <c r="E2063" s="31" t="s">
        <v>2276</v>
      </c>
      <c r="F2063" s="161">
        <v>45986.0</v>
      </c>
      <c r="G2063" s="58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5"/>
      <c r="C2064" s="31" t="s">
        <v>2004</v>
      </c>
      <c r="D2064" s="32" t="s">
        <v>15</v>
      </c>
      <c r="E2064" s="31" t="s">
        <v>2277</v>
      </c>
      <c r="F2064" s="161">
        <v>45986.0</v>
      </c>
      <c r="G2064" s="58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5"/>
      <c r="C2065" s="31" t="s">
        <v>2004</v>
      </c>
      <c r="D2065" s="32" t="s">
        <v>15</v>
      </c>
      <c r="E2065" s="31" t="s">
        <v>2279</v>
      </c>
      <c r="F2065" s="161">
        <v>45986.0</v>
      </c>
      <c r="G2065" s="58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5"/>
      <c r="C2066" s="31" t="s">
        <v>2004</v>
      </c>
      <c r="D2066" s="32" t="s">
        <v>15</v>
      </c>
      <c r="E2066" s="31" t="s">
        <v>2280</v>
      </c>
      <c r="F2066" s="161">
        <v>45986.0</v>
      </c>
      <c r="G2066" s="58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5"/>
      <c r="C2067" s="31" t="s">
        <v>1972</v>
      </c>
      <c r="D2067" s="32" t="s">
        <v>15</v>
      </c>
      <c r="E2067" s="31" t="s">
        <v>2281</v>
      </c>
      <c r="F2067" s="161">
        <v>45986.0</v>
      </c>
      <c r="G2067" s="58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5"/>
      <c r="C2068" s="31" t="s">
        <v>1972</v>
      </c>
      <c r="D2068" s="32" t="s">
        <v>15</v>
      </c>
      <c r="E2068" s="31" t="s">
        <v>2282</v>
      </c>
      <c r="F2068" s="161">
        <v>45986.0</v>
      </c>
      <c r="G2068" s="58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5"/>
      <c r="C2069" s="31" t="s">
        <v>1285</v>
      </c>
      <c r="D2069" s="32" t="s">
        <v>15</v>
      </c>
      <c r="E2069" s="31" t="s">
        <v>2283</v>
      </c>
      <c r="F2069" s="161">
        <v>45986.0</v>
      </c>
      <c r="G2069" s="58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5"/>
      <c r="C2070" s="31" t="s">
        <v>973</v>
      </c>
      <c r="D2070" s="32" t="s">
        <v>15</v>
      </c>
      <c r="E2070" s="31" t="s">
        <v>2284</v>
      </c>
      <c r="F2070" s="161">
        <v>45986.0</v>
      </c>
      <c r="G2070" s="58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5"/>
      <c r="C2071" s="31" t="s">
        <v>973</v>
      </c>
      <c r="D2071" s="32" t="s">
        <v>15</v>
      </c>
      <c r="E2071" s="31" t="s">
        <v>2285</v>
      </c>
      <c r="F2071" s="161">
        <v>45986.0</v>
      </c>
      <c r="G2071" s="58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5"/>
      <c r="C2072" s="31" t="s">
        <v>973</v>
      </c>
      <c r="D2072" s="32" t="s">
        <v>15</v>
      </c>
      <c r="E2072" s="31" t="s">
        <v>2286</v>
      </c>
      <c r="F2072" s="161">
        <v>45986.0</v>
      </c>
      <c r="G2072" s="58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5"/>
      <c r="C2073" s="31" t="s">
        <v>973</v>
      </c>
      <c r="D2073" s="32" t="s">
        <v>15</v>
      </c>
      <c r="E2073" s="31" t="s">
        <v>2287</v>
      </c>
      <c r="F2073" s="161">
        <v>45986.0</v>
      </c>
      <c r="G2073" s="58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5"/>
      <c r="C2074" s="31" t="s">
        <v>1796</v>
      </c>
      <c r="D2074" s="32" t="s">
        <v>15</v>
      </c>
      <c r="E2074" s="31" t="s">
        <v>2288</v>
      </c>
      <c r="F2074" s="161">
        <v>45986.0</v>
      </c>
      <c r="G2074" s="58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47"/>
      <c r="M2074" s="50"/>
    </row>
    <row r="2075" ht="15.75" customHeight="1">
      <c r="A2075" s="115">
        <v>45988.0</v>
      </c>
      <c r="B2075" s="55"/>
      <c r="C2075" s="31" t="s">
        <v>1796</v>
      </c>
      <c r="D2075" s="32" t="s">
        <v>15</v>
      </c>
      <c r="E2075" s="31" t="s">
        <v>2289</v>
      </c>
      <c r="F2075" s="161">
        <v>45986.0</v>
      </c>
      <c r="G2075" s="58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47"/>
      <c r="M2075" s="50"/>
    </row>
    <row r="2076" ht="15.75" customHeight="1">
      <c r="A2076" s="115">
        <v>45988.0</v>
      </c>
      <c r="B2076" s="55"/>
      <c r="C2076" s="31" t="s">
        <v>1796</v>
      </c>
      <c r="D2076" s="32" t="s">
        <v>15</v>
      </c>
      <c r="E2076" s="31" t="s">
        <v>2290</v>
      </c>
      <c r="F2076" s="161">
        <v>45986.0</v>
      </c>
      <c r="G2076" s="58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47"/>
      <c r="M2076" s="50"/>
    </row>
    <row r="2077" ht="15.75" customHeight="1">
      <c r="A2077" s="115">
        <v>45988.0</v>
      </c>
      <c r="B2077" s="55"/>
      <c r="C2077" s="31" t="s">
        <v>1842</v>
      </c>
      <c r="D2077" s="32" t="s">
        <v>15</v>
      </c>
      <c r="E2077" s="31" t="s">
        <v>2291</v>
      </c>
      <c r="F2077" s="161">
        <v>45986.0</v>
      </c>
      <c r="G2077" s="58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47"/>
      <c r="M2077" s="50"/>
    </row>
    <row r="2078" ht="15.75" customHeight="1">
      <c r="A2078" s="115">
        <v>45988.0</v>
      </c>
      <c r="B2078" s="55"/>
      <c r="C2078" s="31" t="s">
        <v>1112</v>
      </c>
      <c r="D2078" s="32" t="s">
        <v>99</v>
      </c>
      <c r="E2078" s="32" t="s">
        <v>2292</v>
      </c>
      <c r="F2078" s="161">
        <v>45986.0</v>
      </c>
      <c r="G2078" s="58">
        <v>1.122623607E7</v>
      </c>
      <c r="H2078" s="14">
        <f t="shared" si="9"/>
        <v>2357509.575</v>
      </c>
      <c r="I2078" s="55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5"/>
      <c r="C2079" s="31" t="s">
        <v>1112</v>
      </c>
      <c r="D2079" s="32" t="s">
        <v>99</v>
      </c>
      <c r="E2079" s="32" t="s">
        <v>2293</v>
      </c>
      <c r="F2079" s="161">
        <v>45986.0</v>
      </c>
      <c r="G2079" s="58">
        <v>1.322636242E7</v>
      </c>
      <c r="H2079" s="14">
        <f t="shared" si="9"/>
        <v>2777536.108</v>
      </c>
      <c r="I2079" s="55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5"/>
      <c r="C2080" s="31" t="s">
        <v>1112</v>
      </c>
      <c r="D2080" s="32" t="s">
        <v>99</v>
      </c>
      <c r="E2080" s="32" t="s">
        <v>2294</v>
      </c>
      <c r="F2080" s="161">
        <v>45986.0</v>
      </c>
      <c r="G2080" s="58">
        <v>1.622322342E7</v>
      </c>
      <c r="H2080" s="14">
        <f t="shared" si="9"/>
        <v>3406876.918</v>
      </c>
      <c r="I2080" s="55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5"/>
      <c r="C2081" s="31" t="s">
        <v>1112</v>
      </c>
      <c r="D2081" s="32" t="s">
        <v>99</v>
      </c>
      <c r="E2081" s="32" t="s">
        <v>2295</v>
      </c>
      <c r="F2081" s="161">
        <v>45986.0</v>
      </c>
      <c r="G2081" s="58">
        <v>9827367.63</v>
      </c>
      <c r="H2081" s="14">
        <f t="shared" si="9"/>
        <v>2063747.202</v>
      </c>
      <c r="I2081" s="55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5"/>
      <c r="C2082" s="31" t="s">
        <v>1796</v>
      </c>
      <c r="D2082" s="32" t="s">
        <v>99</v>
      </c>
      <c r="E2082" s="31" t="s">
        <v>2296</v>
      </c>
      <c r="F2082" s="161">
        <v>45986.0</v>
      </c>
      <c r="G2082" s="58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47"/>
      <c r="M2082" s="50"/>
    </row>
    <row r="2083" ht="15.75" customHeight="1">
      <c r="A2083" s="115">
        <v>45988.0</v>
      </c>
      <c r="B2083" s="55"/>
      <c r="C2083" s="31" t="s">
        <v>1796</v>
      </c>
      <c r="D2083" s="32" t="s">
        <v>99</v>
      </c>
      <c r="E2083" s="31" t="s">
        <v>2297</v>
      </c>
      <c r="F2083" s="161">
        <v>45986.0</v>
      </c>
      <c r="G2083" s="58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47"/>
      <c r="M2083" s="50"/>
    </row>
    <row r="2084" ht="15.75" customHeight="1">
      <c r="A2084" s="115">
        <v>45988.0</v>
      </c>
      <c r="B2084" s="55"/>
      <c r="C2084" s="31" t="s">
        <v>1796</v>
      </c>
      <c r="D2084" s="32" t="s">
        <v>99</v>
      </c>
      <c r="E2084" s="31" t="s">
        <v>2298</v>
      </c>
      <c r="F2084" s="161">
        <v>45986.0</v>
      </c>
      <c r="G2084" s="58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47"/>
      <c r="M2084" s="50"/>
    </row>
    <row r="2085" ht="15.75" customHeight="1">
      <c r="A2085" s="177">
        <v>45988.0</v>
      </c>
      <c r="B2085" s="60"/>
      <c r="C2085" s="61" t="s">
        <v>1507</v>
      </c>
      <c r="D2085" s="62" t="s">
        <v>99</v>
      </c>
      <c r="E2085" s="61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49"/>
      <c r="K2085" s="10">
        <f t="shared" si="4"/>
        <v>19807116.73</v>
      </c>
      <c r="L2085" s="47"/>
      <c r="M2085" s="50"/>
    </row>
    <row r="2086" ht="15.75" customHeight="1">
      <c r="A2086" s="177">
        <v>45988.0</v>
      </c>
      <c r="B2086" s="60"/>
      <c r="C2086" s="61" t="s">
        <v>1507</v>
      </c>
      <c r="D2086" s="62" t="s">
        <v>99</v>
      </c>
      <c r="E2086" s="61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49"/>
      <c r="K2086" s="10">
        <f t="shared" si="4"/>
        <v>21945918.34</v>
      </c>
      <c r="L2086" s="47"/>
      <c r="M2086" s="50"/>
    </row>
    <row r="2087" ht="15.75" customHeight="1">
      <c r="A2087" s="177">
        <v>45988.0</v>
      </c>
      <c r="B2087" s="60"/>
      <c r="C2087" s="61" t="s">
        <v>1507</v>
      </c>
      <c r="D2087" s="62" t="s">
        <v>99</v>
      </c>
      <c r="E2087" s="61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49"/>
      <c r="K2087" s="10">
        <f t="shared" si="4"/>
        <v>13898376.12</v>
      </c>
      <c r="L2087" s="47"/>
      <c r="M2087" s="50"/>
    </row>
    <row r="2088" ht="15.75" customHeight="1">
      <c r="A2088" s="115">
        <v>45988.0</v>
      </c>
      <c r="B2088" s="55"/>
      <c r="C2088" s="31" t="s">
        <v>441</v>
      </c>
      <c r="D2088" s="32" t="s">
        <v>99</v>
      </c>
      <c r="E2088" s="31" t="s">
        <v>2302</v>
      </c>
      <c r="F2088" s="161">
        <v>45986.0</v>
      </c>
      <c r="G2088" s="58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5"/>
      <c r="C2089" s="31" t="s">
        <v>441</v>
      </c>
      <c r="D2089" s="32" t="s">
        <v>15</v>
      </c>
      <c r="E2089" s="31" t="s">
        <v>2303</v>
      </c>
      <c r="F2089" s="161">
        <v>45986.0</v>
      </c>
      <c r="G2089" s="58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5"/>
      <c r="C2090" s="31" t="s">
        <v>22</v>
      </c>
      <c r="D2090" s="32" t="s">
        <v>15</v>
      </c>
      <c r="E2090" s="31" t="s">
        <v>2304</v>
      </c>
      <c r="F2090" s="161">
        <v>45986.0</v>
      </c>
      <c r="G2090" s="58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5"/>
      <c r="C2091" s="31" t="s">
        <v>22</v>
      </c>
      <c r="D2091" s="32" t="s">
        <v>15</v>
      </c>
      <c r="E2091" s="31" t="s">
        <v>2305</v>
      </c>
      <c r="F2091" s="161">
        <v>45986.0</v>
      </c>
      <c r="G2091" s="58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5"/>
      <c r="C2092" s="31" t="s">
        <v>216</v>
      </c>
      <c r="D2092" s="32" t="s">
        <v>15</v>
      </c>
      <c r="E2092" s="31" t="s">
        <v>2306</v>
      </c>
      <c r="F2092" s="161">
        <v>45986.0</v>
      </c>
      <c r="G2092" s="58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5"/>
      <c r="C2093" s="31" t="s">
        <v>216</v>
      </c>
      <c r="D2093" s="32" t="s">
        <v>15</v>
      </c>
      <c r="E2093" s="31" t="s">
        <v>2307</v>
      </c>
      <c r="F2093" s="161">
        <v>45986.0</v>
      </c>
      <c r="G2093" s="58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5"/>
      <c r="C2094" s="31" t="s">
        <v>221</v>
      </c>
      <c r="D2094" s="32" t="s">
        <v>15</v>
      </c>
      <c r="E2094" s="31" t="s">
        <v>2308</v>
      </c>
      <c r="F2094" s="161">
        <v>45986.0</v>
      </c>
      <c r="G2094" s="58">
        <v>8244980.29</v>
      </c>
      <c r="H2094" s="14">
        <f t="shared" si="9"/>
        <v>1731445.861</v>
      </c>
      <c r="I2094" s="55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5"/>
      <c r="C2095" s="31" t="s">
        <v>221</v>
      </c>
      <c r="D2095" s="32" t="s">
        <v>15</v>
      </c>
      <c r="E2095" s="31" t="s">
        <v>2310</v>
      </c>
      <c r="F2095" s="161">
        <v>45986.0</v>
      </c>
      <c r="G2095" s="58">
        <v>8591235.23</v>
      </c>
      <c r="H2095" s="14">
        <f t="shared" si="9"/>
        <v>1804159.398</v>
      </c>
      <c r="I2095" s="55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5"/>
      <c r="C2096" s="31" t="s">
        <v>111</v>
      </c>
      <c r="D2096" s="32" t="s">
        <v>15</v>
      </c>
      <c r="E2096" s="31" t="s">
        <v>2311</v>
      </c>
      <c r="F2096" s="161">
        <v>45986.0</v>
      </c>
      <c r="G2096" s="58">
        <v>1.646032219E7</v>
      </c>
      <c r="H2096" s="14">
        <f t="shared" si="9"/>
        <v>3456667.66</v>
      </c>
      <c r="I2096" s="55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5"/>
      <c r="C2097" s="31" t="s">
        <v>111</v>
      </c>
      <c r="D2097" s="32" t="s">
        <v>15</v>
      </c>
      <c r="E2097" s="32" t="s">
        <v>2312</v>
      </c>
      <c r="F2097" s="161">
        <v>45986.0</v>
      </c>
      <c r="G2097" s="58">
        <v>1.835069082E7</v>
      </c>
      <c r="H2097" s="14">
        <f t="shared" si="9"/>
        <v>3853645.072</v>
      </c>
      <c r="I2097" s="55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5"/>
      <c r="C2098" s="31" t="s">
        <v>111</v>
      </c>
      <c r="D2098" s="32" t="s">
        <v>15</v>
      </c>
      <c r="E2098" s="32" t="s">
        <v>2313</v>
      </c>
      <c r="F2098" s="161">
        <v>45986.0</v>
      </c>
      <c r="G2098" s="58">
        <v>1.019554085E7</v>
      </c>
      <c r="H2098" s="14">
        <f t="shared" si="9"/>
        <v>2141063.579</v>
      </c>
      <c r="I2098" s="55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5"/>
      <c r="C2099" s="31" t="s">
        <v>111</v>
      </c>
      <c r="D2099" s="32" t="s">
        <v>99</v>
      </c>
      <c r="E2099" s="31" t="s">
        <v>2314</v>
      </c>
      <c r="F2099" s="161">
        <v>45986.0</v>
      </c>
      <c r="G2099" s="58">
        <v>1.245068126E7</v>
      </c>
      <c r="H2099" s="14">
        <f t="shared" si="9"/>
        <v>2614643.065</v>
      </c>
      <c r="I2099" s="55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5"/>
      <c r="C2100" s="31" t="s">
        <v>111</v>
      </c>
      <c r="D2100" s="32" t="s">
        <v>99</v>
      </c>
      <c r="E2100" s="32" t="s">
        <v>2315</v>
      </c>
      <c r="F2100" s="161">
        <v>45986.0</v>
      </c>
      <c r="G2100" s="58">
        <v>1.569095219E7</v>
      </c>
      <c r="H2100" s="14">
        <f t="shared" si="9"/>
        <v>3295099.96</v>
      </c>
      <c r="I2100" s="55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5"/>
      <c r="C2101" s="31" t="s">
        <v>111</v>
      </c>
      <c r="D2101" s="32" t="s">
        <v>99</v>
      </c>
      <c r="E2101" s="32" t="s">
        <v>2316</v>
      </c>
      <c r="F2101" s="161">
        <v>45986.0</v>
      </c>
      <c r="G2101" s="58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5"/>
      <c r="C2102" s="31" t="s">
        <v>111</v>
      </c>
      <c r="D2102" s="32" t="s">
        <v>99</v>
      </c>
      <c r="E2102" s="32" t="s">
        <v>2317</v>
      </c>
      <c r="F2102" s="161">
        <v>45986.0</v>
      </c>
      <c r="G2102" s="58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5"/>
      <c r="C2103" s="31" t="s">
        <v>2318</v>
      </c>
      <c r="D2103" s="32" t="s">
        <v>15</v>
      </c>
      <c r="E2103" s="31" t="s">
        <v>2319</v>
      </c>
      <c r="F2103" s="161">
        <v>45986.0</v>
      </c>
      <c r="G2103" s="58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5"/>
      <c r="C2104" s="31" t="s">
        <v>2318</v>
      </c>
      <c r="D2104" s="32" t="s">
        <v>15</v>
      </c>
      <c r="E2104" s="31" t="s">
        <v>2320</v>
      </c>
      <c r="F2104" s="161">
        <v>45986.0</v>
      </c>
      <c r="G2104" s="58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5"/>
      <c r="C2105" s="31" t="s">
        <v>2318</v>
      </c>
      <c r="D2105" s="32" t="s">
        <v>15</v>
      </c>
      <c r="E2105" s="31" t="s">
        <v>2321</v>
      </c>
      <c r="F2105" s="161">
        <v>45986.0</v>
      </c>
      <c r="G2105" s="58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5"/>
      <c r="C2106" s="31" t="s">
        <v>2318</v>
      </c>
      <c r="D2106" s="32" t="s">
        <v>15</v>
      </c>
      <c r="E2106" s="31" t="s">
        <v>2322</v>
      </c>
      <c r="F2106" s="161">
        <v>45986.0</v>
      </c>
      <c r="G2106" s="58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5"/>
      <c r="C2107" s="31" t="s">
        <v>2318</v>
      </c>
      <c r="D2107" s="32" t="s">
        <v>15</v>
      </c>
      <c r="E2107" s="31" t="s">
        <v>2323</v>
      </c>
      <c r="F2107" s="161">
        <v>45986.0</v>
      </c>
      <c r="G2107" s="58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5"/>
      <c r="C2108" s="31" t="s">
        <v>2318</v>
      </c>
      <c r="D2108" s="32" t="s">
        <v>15</v>
      </c>
      <c r="E2108" s="31" t="s">
        <v>2324</v>
      </c>
      <c r="F2108" s="161">
        <v>45986.0</v>
      </c>
      <c r="G2108" s="58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5"/>
      <c r="C2109" s="31" t="s">
        <v>2318</v>
      </c>
      <c r="D2109" s="32" t="s">
        <v>15</v>
      </c>
      <c r="E2109" s="31" t="s">
        <v>2325</v>
      </c>
      <c r="F2109" s="161">
        <v>45986.0</v>
      </c>
      <c r="G2109" s="58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5"/>
      <c r="C2110" s="31" t="s">
        <v>2318</v>
      </c>
      <c r="D2110" s="32" t="s">
        <v>15</v>
      </c>
      <c r="E2110" s="31" t="s">
        <v>2326</v>
      </c>
      <c r="F2110" s="161">
        <v>45986.0</v>
      </c>
      <c r="G2110" s="58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5"/>
      <c r="C2111" s="31" t="s">
        <v>2318</v>
      </c>
      <c r="D2111" s="32" t="s">
        <v>15</v>
      </c>
      <c r="E2111" s="31" t="s">
        <v>2327</v>
      </c>
      <c r="F2111" s="161">
        <v>45986.0</v>
      </c>
      <c r="G2111" s="58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5"/>
      <c r="C2112" s="31" t="s">
        <v>2318</v>
      </c>
      <c r="D2112" s="32" t="s">
        <v>15</v>
      </c>
      <c r="E2112" s="31" t="s">
        <v>2328</v>
      </c>
      <c r="F2112" s="161">
        <v>45986.0</v>
      </c>
      <c r="G2112" s="58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5"/>
      <c r="C2113" s="31" t="s">
        <v>2318</v>
      </c>
      <c r="D2113" s="32" t="s">
        <v>15</v>
      </c>
      <c r="E2113" s="31" t="s">
        <v>2329</v>
      </c>
      <c r="F2113" s="161">
        <v>45986.0</v>
      </c>
      <c r="G2113" s="58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5"/>
      <c r="C2114" s="31" t="s">
        <v>2318</v>
      </c>
      <c r="D2114" s="32" t="s">
        <v>15</v>
      </c>
      <c r="E2114" s="31" t="s">
        <v>2330</v>
      </c>
      <c r="F2114" s="161">
        <v>45986.0</v>
      </c>
      <c r="G2114" s="58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5"/>
      <c r="C2115" s="31" t="s">
        <v>2318</v>
      </c>
      <c r="D2115" s="32" t="s">
        <v>99</v>
      </c>
      <c r="E2115" s="31" t="s">
        <v>2331</v>
      </c>
      <c r="F2115" s="161">
        <v>45986.0</v>
      </c>
      <c r="G2115" s="58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5"/>
      <c r="C2116" s="31" t="s">
        <v>2318</v>
      </c>
      <c r="D2116" s="32" t="s">
        <v>99</v>
      </c>
      <c r="E2116" s="31" t="s">
        <v>2332</v>
      </c>
      <c r="F2116" s="161">
        <v>45986.0</v>
      </c>
      <c r="G2116" s="58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5"/>
      <c r="C2117" s="31" t="s">
        <v>2318</v>
      </c>
      <c r="D2117" s="32" t="s">
        <v>99</v>
      </c>
      <c r="E2117" s="31" t="s">
        <v>2333</v>
      </c>
      <c r="F2117" s="161">
        <v>45986.0</v>
      </c>
      <c r="G2117" s="58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5"/>
      <c r="C2118" s="31" t="s">
        <v>2334</v>
      </c>
      <c r="D2118" s="32" t="s">
        <v>15</v>
      </c>
      <c r="E2118" s="31" t="s">
        <v>2335</v>
      </c>
      <c r="F2118" s="161">
        <v>45986.0</v>
      </c>
      <c r="G2118" s="58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5"/>
      <c r="C2119" s="31" t="s">
        <v>2334</v>
      </c>
      <c r="D2119" s="32" t="s">
        <v>15</v>
      </c>
      <c r="E2119" s="31" t="s">
        <v>2336</v>
      </c>
      <c r="F2119" s="161">
        <v>45986.0</v>
      </c>
      <c r="G2119" s="58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5"/>
      <c r="C2120" s="31" t="s">
        <v>2334</v>
      </c>
      <c r="D2120" s="32" t="s">
        <v>99</v>
      </c>
      <c r="E2120" s="31" t="s">
        <v>2337</v>
      </c>
      <c r="F2120" s="161">
        <v>45986.0</v>
      </c>
      <c r="G2120" s="58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5"/>
      <c r="C2121" s="31" t="s">
        <v>2334</v>
      </c>
      <c r="D2121" s="32" t="s">
        <v>99</v>
      </c>
      <c r="E2121" s="31" t="s">
        <v>2338</v>
      </c>
      <c r="F2121" s="161">
        <v>45986.0</v>
      </c>
      <c r="G2121" s="58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5"/>
      <c r="C2122" s="31" t="s">
        <v>2339</v>
      </c>
      <c r="D2122" s="32" t="s">
        <v>15</v>
      </c>
      <c r="E2122" s="31" t="s">
        <v>2340</v>
      </c>
      <c r="F2122" s="161">
        <v>45986.0</v>
      </c>
      <c r="G2122" s="58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5"/>
      <c r="C2123" s="31" t="s">
        <v>2339</v>
      </c>
      <c r="D2123" s="32" t="s">
        <v>15</v>
      </c>
      <c r="E2123" s="31" t="s">
        <v>2341</v>
      </c>
      <c r="F2123" s="161">
        <v>45986.0</v>
      </c>
      <c r="G2123" s="58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5"/>
      <c r="C2124" s="31" t="s">
        <v>2339</v>
      </c>
      <c r="D2124" s="32" t="s">
        <v>15</v>
      </c>
      <c r="E2124" s="31" t="s">
        <v>2342</v>
      </c>
      <c r="F2124" s="161">
        <v>45986.0</v>
      </c>
      <c r="G2124" s="58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5"/>
      <c r="C2125" s="31" t="s">
        <v>2318</v>
      </c>
      <c r="D2125" s="32" t="s">
        <v>15</v>
      </c>
      <c r="E2125" s="31" t="s">
        <v>2343</v>
      </c>
      <c r="F2125" s="161">
        <v>45986.0</v>
      </c>
      <c r="G2125" s="58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5"/>
      <c r="C2126" s="31" t="s">
        <v>159</v>
      </c>
      <c r="D2126" s="32" t="s">
        <v>15</v>
      </c>
      <c r="E2126" s="31" t="s">
        <v>2344</v>
      </c>
      <c r="F2126" s="161">
        <v>45986.0</v>
      </c>
      <c r="G2126" s="58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5"/>
      <c r="C2127" s="31" t="s">
        <v>159</v>
      </c>
      <c r="D2127" s="32" t="s">
        <v>15</v>
      </c>
      <c r="E2127" s="32" t="s">
        <v>2345</v>
      </c>
      <c r="F2127" s="161">
        <v>45986.0</v>
      </c>
      <c r="G2127" s="58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5"/>
      <c r="C2128" s="31" t="s">
        <v>2346</v>
      </c>
      <c r="D2128" s="32" t="s">
        <v>15</v>
      </c>
      <c r="E2128" s="31" t="s">
        <v>2347</v>
      </c>
      <c r="F2128" s="161">
        <v>45986.0</v>
      </c>
      <c r="G2128" s="58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5"/>
      <c r="C2129" s="31" t="s">
        <v>2346</v>
      </c>
      <c r="D2129" s="32" t="s">
        <v>15</v>
      </c>
      <c r="E2129" s="31" t="s">
        <v>2348</v>
      </c>
      <c r="F2129" s="161">
        <v>45986.0</v>
      </c>
      <c r="G2129" s="58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5"/>
      <c r="C2130" s="31" t="s">
        <v>2346</v>
      </c>
      <c r="D2130" s="32" t="s">
        <v>15</v>
      </c>
      <c r="E2130" s="31" t="s">
        <v>2349</v>
      </c>
      <c r="F2130" s="161">
        <v>45986.0</v>
      </c>
      <c r="G2130" s="58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5"/>
      <c r="C2131" s="31" t="s">
        <v>2346</v>
      </c>
      <c r="D2131" s="32" t="s">
        <v>15</v>
      </c>
      <c r="E2131" s="31" t="s">
        <v>2350</v>
      </c>
      <c r="F2131" s="161">
        <v>45986.0</v>
      </c>
      <c r="G2131" s="58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5"/>
      <c r="C2132" s="31" t="s">
        <v>2346</v>
      </c>
      <c r="D2132" s="32" t="s">
        <v>15</v>
      </c>
      <c r="E2132" s="31" t="s">
        <v>2351</v>
      </c>
      <c r="F2132" s="161">
        <v>45986.0</v>
      </c>
      <c r="G2132" s="58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5"/>
      <c r="C2133" s="31" t="s">
        <v>2346</v>
      </c>
      <c r="D2133" s="32" t="s">
        <v>15</v>
      </c>
      <c r="E2133" s="31" t="s">
        <v>2352</v>
      </c>
      <c r="F2133" s="161">
        <v>45986.0</v>
      </c>
      <c r="G2133" s="58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5"/>
      <c r="C2134" s="31" t="s">
        <v>2346</v>
      </c>
      <c r="D2134" s="32" t="s">
        <v>15</v>
      </c>
      <c r="E2134" s="31" t="s">
        <v>2353</v>
      </c>
      <c r="F2134" s="161">
        <v>45986.0</v>
      </c>
      <c r="G2134" s="58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5"/>
      <c r="C2135" s="31" t="s">
        <v>2346</v>
      </c>
      <c r="D2135" s="32" t="s">
        <v>15</v>
      </c>
      <c r="E2135" s="31" t="s">
        <v>2354</v>
      </c>
      <c r="F2135" s="161">
        <v>45986.0</v>
      </c>
      <c r="G2135" s="58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5"/>
      <c r="C2136" s="31" t="s">
        <v>2346</v>
      </c>
      <c r="D2136" s="32" t="s">
        <v>15</v>
      </c>
      <c r="E2136" s="31" t="s">
        <v>2355</v>
      </c>
      <c r="F2136" s="161">
        <v>45986.0</v>
      </c>
      <c r="G2136" s="58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5"/>
      <c r="C2137" s="31" t="s">
        <v>2346</v>
      </c>
      <c r="D2137" s="32" t="s">
        <v>15</v>
      </c>
      <c r="E2137" s="31" t="s">
        <v>2356</v>
      </c>
      <c r="F2137" s="161">
        <v>45986.0</v>
      </c>
      <c r="G2137" s="58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5"/>
      <c r="C2138" s="31" t="s">
        <v>2346</v>
      </c>
      <c r="D2138" s="32" t="s">
        <v>15</v>
      </c>
      <c r="E2138" s="31" t="s">
        <v>2357</v>
      </c>
      <c r="F2138" s="161">
        <v>45986.0</v>
      </c>
      <c r="G2138" s="58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5"/>
      <c r="C2148" s="31" t="s">
        <v>1136</v>
      </c>
      <c r="D2148" s="32" t="s">
        <v>15</v>
      </c>
      <c r="E2148" s="31" t="s">
        <v>2367</v>
      </c>
      <c r="F2148" s="161">
        <v>45986.0</v>
      </c>
      <c r="G2148" s="58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5"/>
      <c r="C2149" s="31" t="s">
        <v>1136</v>
      </c>
      <c r="D2149" s="32" t="s">
        <v>15</v>
      </c>
      <c r="E2149" s="31" t="s">
        <v>2368</v>
      </c>
      <c r="F2149" s="161">
        <v>45986.0</v>
      </c>
      <c r="G2149" s="58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5"/>
      <c r="C2150" s="31" t="s">
        <v>1136</v>
      </c>
      <c r="D2150" s="32" t="s">
        <v>15</v>
      </c>
      <c r="E2150" s="32" t="s">
        <v>2369</v>
      </c>
      <c r="F2150" s="161">
        <v>45986.0</v>
      </c>
      <c r="G2150" s="58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60"/>
      <c r="C2151" s="61" t="s">
        <v>2370</v>
      </c>
      <c r="D2151" s="61" t="s">
        <v>77</v>
      </c>
      <c r="E2151" s="61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49"/>
      <c r="K2151" s="10">
        <f t="shared" si="4"/>
        <v>2412697.65</v>
      </c>
      <c r="L2151" s="47"/>
      <c r="M2151" s="50"/>
    </row>
    <row r="2152" ht="15.75" customHeight="1">
      <c r="A2152" s="177">
        <v>45991.0</v>
      </c>
      <c r="B2152" s="60"/>
      <c r="C2152" s="61" t="s">
        <v>2372</v>
      </c>
      <c r="D2152" s="61" t="s">
        <v>77</v>
      </c>
      <c r="E2152" s="61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49"/>
      <c r="K2152" s="10">
        <f t="shared" si="4"/>
        <v>6054150.3</v>
      </c>
      <c r="L2152" s="47"/>
      <c r="M2152" s="50"/>
    </row>
    <row r="2153" ht="15.75" customHeight="1">
      <c r="A2153" s="177">
        <v>45991.0</v>
      </c>
      <c r="B2153" s="60"/>
      <c r="C2153" s="61" t="s">
        <v>2374</v>
      </c>
      <c r="D2153" s="61" t="s">
        <v>77</v>
      </c>
      <c r="E2153" s="61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49"/>
      <c r="K2153" s="10">
        <f t="shared" si="4"/>
        <v>3034680</v>
      </c>
      <c r="L2153" s="47"/>
      <c r="M2153" s="50"/>
    </row>
    <row r="2154" ht="15.75" customHeight="1">
      <c r="A2154" s="115">
        <v>45992.0</v>
      </c>
      <c r="B2154" s="55"/>
      <c r="C2154" s="31" t="s">
        <v>171</v>
      </c>
      <c r="D2154" s="32" t="s">
        <v>15</v>
      </c>
      <c r="E2154" s="31" t="s">
        <v>2376</v>
      </c>
      <c r="F2154" s="161">
        <v>46016.0</v>
      </c>
      <c r="G2154" s="58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5"/>
      <c r="C2155" s="31" t="s">
        <v>171</v>
      </c>
      <c r="D2155" s="32" t="s">
        <v>15</v>
      </c>
      <c r="E2155" s="31" t="s">
        <v>2377</v>
      </c>
      <c r="F2155" s="161">
        <v>46016.0</v>
      </c>
      <c r="G2155" s="58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5"/>
      <c r="C2156" s="31" t="s">
        <v>171</v>
      </c>
      <c r="D2156" s="32" t="s">
        <v>15</v>
      </c>
      <c r="E2156" s="31" t="s">
        <v>2378</v>
      </c>
      <c r="F2156" s="161">
        <v>46016.0</v>
      </c>
      <c r="G2156" s="58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5"/>
      <c r="C2157" s="31" t="s">
        <v>171</v>
      </c>
      <c r="D2157" s="32" t="s">
        <v>15</v>
      </c>
      <c r="E2157" s="31" t="s">
        <v>2379</v>
      </c>
      <c r="F2157" s="161">
        <v>46016.0</v>
      </c>
      <c r="G2157" s="58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5"/>
      <c r="C2158" s="31" t="s">
        <v>171</v>
      </c>
      <c r="D2158" s="32" t="s">
        <v>99</v>
      </c>
      <c r="E2158" s="31" t="s">
        <v>2380</v>
      </c>
      <c r="F2158" s="161">
        <v>46016.0</v>
      </c>
      <c r="G2158" s="58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5"/>
      <c r="C2159" s="31" t="s">
        <v>171</v>
      </c>
      <c r="D2159" s="32" t="s">
        <v>99</v>
      </c>
      <c r="E2159" s="31" t="s">
        <v>2381</v>
      </c>
      <c r="F2159" s="161">
        <v>46016.0</v>
      </c>
      <c r="G2159" s="58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5"/>
      <c r="C2160" s="31" t="s">
        <v>171</v>
      </c>
      <c r="D2160" s="32" t="s">
        <v>99</v>
      </c>
      <c r="E2160" s="31" t="s">
        <v>2382</v>
      </c>
      <c r="F2160" s="161">
        <v>46016.0</v>
      </c>
      <c r="G2160" s="58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5"/>
      <c r="C2161" s="31" t="s">
        <v>171</v>
      </c>
      <c r="D2161" s="32" t="s">
        <v>99</v>
      </c>
      <c r="E2161" s="31" t="s">
        <v>2383</v>
      </c>
      <c r="F2161" s="161">
        <v>46016.0</v>
      </c>
      <c r="G2161" s="58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60"/>
      <c r="C2162" s="61" t="s">
        <v>1903</v>
      </c>
      <c r="D2162" s="61" t="s">
        <v>1901</v>
      </c>
      <c r="E2162" s="62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49"/>
      <c r="K2162" s="10">
        <f t="shared" si="4"/>
        <v>18152549.22</v>
      </c>
      <c r="L2162" s="47"/>
      <c r="M2162" s="50"/>
    </row>
    <row r="2163" ht="15.75" customHeight="1">
      <c r="A2163" s="177">
        <v>45993.0</v>
      </c>
      <c r="B2163" s="60"/>
      <c r="C2163" s="61" t="s">
        <v>1402</v>
      </c>
      <c r="D2163" s="61" t="s">
        <v>1901</v>
      </c>
      <c r="E2163" s="62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49"/>
      <c r="K2163" s="10">
        <f t="shared" si="4"/>
        <v>36300744.82</v>
      </c>
      <c r="L2163" s="47"/>
      <c r="M2163" s="50"/>
    </row>
    <row r="2164" ht="15.75" customHeight="1">
      <c r="A2164" s="177">
        <v>45993.0</v>
      </c>
      <c r="B2164" s="60"/>
      <c r="C2164" s="61" t="s">
        <v>2040</v>
      </c>
      <c r="D2164" s="61" t="s">
        <v>1901</v>
      </c>
      <c r="E2164" s="62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49"/>
      <c r="K2164" s="10">
        <f t="shared" si="4"/>
        <v>36303454.38</v>
      </c>
      <c r="L2164" s="47"/>
      <c r="M2164" s="50"/>
    </row>
    <row r="2165" ht="15.75" customHeight="1">
      <c r="A2165" s="177">
        <v>45993.0</v>
      </c>
      <c r="B2165" s="60"/>
      <c r="C2165" s="61" t="s">
        <v>2126</v>
      </c>
      <c r="D2165" s="61" t="s">
        <v>1901</v>
      </c>
      <c r="E2165" s="62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49"/>
      <c r="K2165" s="10">
        <f t="shared" si="4"/>
        <v>18153951.32</v>
      </c>
      <c r="L2165" s="47"/>
      <c r="M2165" s="50"/>
    </row>
    <row r="2166" ht="15.75" customHeight="1">
      <c r="A2166" s="177">
        <v>45993.0</v>
      </c>
      <c r="B2166" s="60"/>
      <c r="C2166" s="61" t="s">
        <v>1248</v>
      </c>
      <c r="D2166" s="61" t="s">
        <v>1901</v>
      </c>
      <c r="E2166" s="62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49"/>
      <c r="K2166" s="10">
        <f t="shared" si="4"/>
        <v>18153285.17</v>
      </c>
      <c r="L2166" s="47"/>
      <c r="M2166" s="50"/>
    </row>
    <row r="2167" ht="15.75" customHeight="1">
      <c r="A2167" s="177">
        <v>45993.0</v>
      </c>
      <c r="B2167" s="60"/>
      <c r="C2167" s="120" t="s">
        <v>2389</v>
      </c>
      <c r="D2167" s="62" t="s">
        <v>2150</v>
      </c>
      <c r="E2167" s="62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47"/>
      <c r="M2167" s="50"/>
    </row>
    <row r="2168" ht="15.75" customHeight="1">
      <c r="A2168" s="177">
        <v>45993.0</v>
      </c>
      <c r="B2168" s="60"/>
      <c r="C2168" s="61" t="s">
        <v>2040</v>
      </c>
      <c r="D2168" s="62" t="s">
        <v>2150</v>
      </c>
      <c r="E2168" s="62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49"/>
      <c r="K2168" s="10">
        <f t="shared" si="4"/>
        <v>23140518.49</v>
      </c>
      <c r="L2168" s="47"/>
      <c r="M2168" s="50"/>
    </row>
    <row r="2169" ht="15.75" customHeight="1">
      <c r="A2169" s="177">
        <v>45993.0</v>
      </c>
      <c r="B2169" s="60"/>
      <c r="C2169" s="61" t="s">
        <v>2040</v>
      </c>
      <c r="D2169" s="62" t="s">
        <v>2150</v>
      </c>
      <c r="E2169" s="62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49"/>
      <c r="K2169" s="10">
        <f t="shared" si="4"/>
        <v>5466493.024</v>
      </c>
      <c r="L2169" s="47"/>
      <c r="M2169" s="50"/>
    </row>
    <row r="2170" ht="15.75" customHeight="1">
      <c r="A2170" s="177">
        <v>45993.0</v>
      </c>
      <c r="B2170" s="60"/>
      <c r="C2170" s="62" t="s">
        <v>1477</v>
      </c>
      <c r="D2170" s="62" t="s">
        <v>2150</v>
      </c>
      <c r="E2170" s="62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49"/>
      <c r="K2170" s="10">
        <f t="shared" si="4"/>
        <v>19205882.31</v>
      </c>
      <c r="L2170" s="47"/>
      <c r="M2170" s="50"/>
    </row>
    <row r="2171" ht="15.75" customHeight="1">
      <c r="A2171" s="115">
        <v>45993.0</v>
      </c>
      <c r="B2171" s="55"/>
      <c r="C2171" s="31" t="s">
        <v>1842</v>
      </c>
      <c r="D2171" s="32" t="s">
        <v>15</v>
      </c>
      <c r="E2171" s="31" t="s">
        <v>2394</v>
      </c>
      <c r="F2171" s="161">
        <v>46016.0</v>
      </c>
      <c r="G2171" s="58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5"/>
      <c r="C2172" s="31" t="s">
        <v>1842</v>
      </c>
      <c r="D2172" s="32" t="s">
        <v>99</v>
      </c>
      <c r="E2172" s="31" t="s">
        <v>2395</v>
      </c>
      <c r="F2172" s="161">
        <v>46016.0</v>
      </c>
      <c r="G2172" s="58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5"/>
      <c r="C2173" s="144" t="s">
        <v>211</v>
      </c>
      <c r="D2173" s="32" t="s">
        <v>99</v>
      </c>
      <c r="E2173" s="31" t="s">
        <v>2396</v>
      </c>
      <c r="F2173" s="161">
        <v>46016.0</v>
      </c>
      <c r="G2173" s="58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5"/>
      <c r="C2174" s="144" t="s">
        <v>211</v>
      </c>
      <c r="D2174" s="32" t="s">
        <v>99</v>
      </c>
      <c r="E2174" s="31" t="s">
        <v>2397</v>
      </c>
      <c r="F2174" s="161">
        <v>46016.0</v>
      </c>
      <c r="G2174" s="58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5"/>
      <c r="C2175" s="31" t="s">
        <v>1858</v>
      </c>
      <c r="D2175" s="32" t="s">
        <v>15</v>
      </c>
      <c r="E2175" s="31" t="s">
        <v>2398</v>
      </c>
      <c r="F2175" s="161">
        <v>46016.0</v>
      </c>
      <c r="G2175" s="58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5"/>
      <c r="C2176" s="31" t="s">
        <v>1858</v>
      </c>
      <c r="D2176" s="32" t="s">
        <v>15</v>
      </c>
      <c r="E2176" s="31" t="s">
        <v>2399</v>
      </c>
      <c r="F2176" s="161">
        <v>46016.0</v>
      </c>
      <c r="G2176" s="58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5"/>
      <c r="C2177" s="31" t="s">
        <v>1858</v>
      </c>
      <c r="D2177" s="32" t="s">
        <v>15</v>
      </c>
      <c r="E2177" s="31" t="s">
        <v>2400</v>
      </c>
      <c r="F2177" s="161">
        <v>46016.0</v>
      </c>
      <c r="G2177" s="58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5"/>
      <c r="C2178" s="31" t="s">
        <v>1854</v>
      </c>
      <c r="D2178" s="32" t="s">
        <v>99</v>
      </c>
      <c r="E2178" s="31" t="s">
        <v>2401</v>
      </c>
      <c r="F2178" s="161">
        <v>46016.0</v>
      </c>
      <c r="G2178" s="58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5"/>
      <c r="C2179" s="31" t="s">
        <v>1861</v>
      </c>
      <c r="D2179" s="32" t="s">
        <v>99</v>
      </c>
      <c r="E2179" s="31" t="s">
        <v>2402</v>
      </c>
      <c r="F2179" s="161">
        <v>46016.0</v>
      </c>
      <c r="G2179" s="58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5"/>
      <c r="C2180" s="31" t="s">
        <v>1861</v>
      </c>
      <c r="D2180" s="32" t="s">
        <v>99</v>
      </c>
      <c r="E2180" s="31" t="s">
        <v>2403</v>
      </c>
      <c r="F2180" s="161">
        <v>46016.0</v>
      </c>
      <c r="G2180" s="58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5"/>
      <c r="C2181" s="31" t="s">
        <v>1854</v>
      </c>
      <c r="D2181" s="32" t="s">
        <v>99</v>
      </c>
      <c r="E2181" s="31" t="s">
        <v>2404</v>
      </c>
      <c r="F2181" s="161">
        <v>46016.0</v>
      </c>
      <c r="G2181" s="58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5"/>
      <c r="C2182" s="31" t="s">
        <v>1854</v>
      </c>
      <c r="D2182" s="32" t="s">
        <v>99</v>
      </c>
      <c r="E2182" s="31" t="s">
        <v>2406</v>
      </c>
      <c r="F2182" s="161">
        <v>46016.0</v>
      </c>
      <c r="G2182" s="58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5"/>
      <c r="C2183" s="31" t="s">
        <v>1861</v>
      </c>
      <c r="D2183" s="32" t="s">
        <v>99</v>
      </c>
      <c r="E2183" s="31" t="s">
        <v>2407</v>
      </c>
      <c r="F2183" s="161">
        <v>46016.0</v>
      </c>
      <c r="G2183" s="58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60"/>
      <c r="C2184" s="61" t="s">
        <v>969</v>
      </c>
      <c r="D2184" s="61" t="s">
        <v>2126</v>
      </c>
      <c r="E2184" s="62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49"/>
      <c r="K2184" s="10">
        <f t="shared" si="4"/>
        <v>4821245</v>
      </c>
      <c r="L2184" s="47"/>
      <c r="M2184" s="50"/>
    </row>
    <row r="2185" ht="15.75" customHeight="1">
      <c r="A2185" s="115">
        <v>45995.0</v>
      </c>
      <c r="B2185" s="55"/>
      <c r="C2185" s="31" t="s">
        <v>423</v>
      </c>
      <c r="D2185" s="32" t="s">
        <v>15</v>
      </c>
      <c r="E2185" s="31" t="s">
        <v>2409</v>
      </c>
      <c r="F2185" s="161">
        <v>46016.0</v>
      </c>
      <c r="G2185" s="58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5"/>
      <c r="C2186" s="31" t="s">
        <v>423</v>
      </c>
      <c r="D2186" s="32" t="s">
        <v>15</v>
      </c>
      <c r="E2186" s="31" t="s">
        <v>2410</v>
      </c>
      <c r="F2186" s="161">
        <v>46016.0</v>
      </c>
      <c r="G2186" s="58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5"/>
      <c r="C2187" s="31" t="s">
        <v>423</v>
      </c>
      <c r="D2187" s="32" t="s">
        <v>99</v>
      </c>
      <c r="E2187" s="31" t="s">
        <v>2411</v>
      </c>
      <c r="F2187" s="161">
        <v>46016.0</v>
      </c>
      <c r="G2187" s="58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5"/>
      <c r="C2188" s="31" t="s">
        <v>423</v>
      </c>
      <c r="D2188" s="32" t="s">
        <v>99</v>
      </c>
      <c r="E2188" s="31" t="s">
        <v>2412</v>
      </c>
      <c r="F2188" s="161">
        <v>46016.0</v>
      </c>
      <c r="G2188" s="58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5"/>
      <c r="C2189" s="31" t="s">
        <v>16</v>
      </c>
      <c r="D2189" s="32" t="s">
        <v>99</v>
      </c>
      <c r="E2189" s="31" t="s">
        <v>2413</v>
      </c>
      <c r="F2189" s="161">
        <v>46016.0</v>
      </c>
      <c r="G2189" s="58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5"/>
      <c r="C2190" s="31" t="s">
        <v>168</v>
      </c>
      <c r="D2190" s="32" t="s">
        <v>99</v>
      </c>
      <c r="E2190" s="31" t="s">
        <v>2414</v>
      </c>
      <c r="F2190" s="161">
        <v>46016.0</v>
      </c>
      <c r="G2190" s="58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5"/>
      <c r="C2191" s="31" t="s">
        <v>410</v>
      </c>
      <c r="D2191" s="32" t="s">
        <v>99</v>
      </c>
      <c r="E2191" s="31" t="s">
        <v>2415</v>
      </c>
      <c r="F2191" s="161">
        <v>46016.0</v>
      </c>
      <c r="G2191" s="58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5"/>
      <c r="C2192" s="31" t="s">
        <v>410</v>
      </c>
      <c r="D2192" s="32" t="s">
        <v>15</v>
      </c>
      <c r="E2192" s="31" t="s">
        <v>2416</v>
      </c>
      <c r="F2192" s="161">
        <v>46016.0</v>
      </c>
      <c r="G2192" s="58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5"/>
      <c r="C2193" s="31" t="s">
        <v>1285</v>
      </c>
      <c r="D2193" s="32" t="s">
        <v>15</v>
      </c>
      <c r="E2193" s="31" t="s">
        <v>2417</v>
      </c>
      <c r="F2193" s="161">
        <v>46016.0</v>
      </c>
      <c r="G2193" s="58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5"/>
      <c r="C2194" s="31" t="s">
        <v>567</v>
      </c>
      <c r="D2194" s="32" t="s">
        <v>99</v>
      </c>
      <c r="E2194" s="31" t="s">
        <v>2418</v>
      </c>
      <c r="F2194" s="161">
        <v>46016.0</v>
      </c>
      <c r="G2194" s="58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5"/>
      <c r="C2195" s="31" t="s">
        <v>567</v>
      </c>
      <c r="D2195" s="32" t="s">
        <v>99</v>
      </c>
      <c r="E2195" s="31" t="s">
        <v>2419</v>
      </c>
      <c r="F2195" s="161">
        <v>46016.0</v>
      </c>
      <c r="G2195" s="58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5"/>
      <c r="C2196" s="31" t="s">
        <v>567</v>
      </c>
      <c r="D2196" s="32" t="s">
        <v>99</v>
      </c>
      <c r="E2196" s="31" t="s">
        <v>2420</v>
      </c>
      <c r="F2196" s="161">
        <v>46016.0</v>
      </c>
      <c r="G2196" s="58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5"/>
      <c r="C2197" s="31" t="s">
        <v>567</v>
      </c>
      <c r="D2197" s="32" t="s">
        <v>99</v>
      </c>
      <c r="E2197" s="31" t="s">
        <v>2421</v>
      </c>
      <c r="F2197" s="161">
        <v>46016.0</v>
      </c>
      <c r="G2197" s="58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5"/>
      <c r="C2198" s="31" t="s">
        <v>567</v>
      </c>
      <c r="D2198" s="32" t="s">
        <v>15</v>
      </c>
      <c r="E2198" s="31" t="s">
        <v>2422</v>
      </c>
      <c r="F2198" s="161">
        <v>46016.0</v>
      </c>
      <c r="G2198" s="58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5"/>
      <c r="C2199" s="31" t="s">
        <v>567</v>
      </c>
      <c r="D2199" s="32" t="s">
        <v>15</v>
      </c>
      <c r="E2199" s="31" t="s">
        <v>2423</v>
      </c>
      <c r="F2199" s="161">
        <v>46016.0</v>
      </c>
      <c r="G2199" s="58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5"/>
      <c r="C2200" s="31" t="s">
        <v>567</v>
      </c>
      <c r="D2200" s="32" t="s">
        <v>15</v>
      </c>
      <c r="E2200" s="31" t="s">
        <v>2424</v>
      </c>
      <c r="F2200" s="161">
        <v>46016.0</v>
      </c>
      <c r="G2200" s="58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5"/>
      <c r="C2201" s="31" t="s">
        <v>567</v>
      </c>
      <c r="D2201" s="32" t="s">
        <v>15</v>
      </c>
      <c r="E2201" s="31" t="s">
        <v>2425</v>
      </c>
      <c r="F2201" s="161">
        <v>46016.0</v>
      </c>
      <c r="G2201" s="58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5"/>
      <c r="C2202" s="31" t="s">
        <v>2004</v>
      </c>
      <c r="D2202" s="32" t="s">
        <v>15</v>
      </c>
      <c r="E2202" s="31" t="s">
        <v>2426</v>
      </c>
      <c r="F2202" s="161">
        <v>46016.0</v>
      </c>
      <c r="G2202" s="58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5"/>
      <c r="C2203" s="31" t="s">
        <v>2004</v>
      </c>
      <c r="D2203" s="32" t="s">
        <v>15</v>
      </c>
      <c r="E2203" s="31" t="s">
        <v>2427</v>
      </c>
      <c r="F2203" s="161">
        <v>46016.0</v>
      </c>
      <c r="G2203" s="58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5"/>
      <c r="C2204" s="31" t="s">
        <v>2004</v>
      </c>
      <c r="D2204" s="32" t="s">
        <v>15</v>
      </c>
      <c r="E2204" s="31" t="s">
        <v>2428</v>
      </c>
      <c r="F2204" s="161">
        <v>46016.0</v>
      </c>
      <c r="G2204" s="58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5"/>
      <c r="C2205" s="31" t="s">
        <v>2004</v>
      </c>
      <c r="D2205" s="32" t="s">
        <v>15</v>
      </c>
      <c r="E2205" s="31" t="s">
        <v>2429</v>
      </c>
      <c r="F2205" s="161">
        <v>46016.0</v>
      </c>
      <c r="G2205" s="58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5"/>
      <c r="C2206" s="31" t="s">
        <v>2004</v>
      </c>
      <c r="D2206" s="32" t="s">
        <v>99</v>
      </c>
      <c r="E2206" s="31" t="s">
        <v>2430</v>
      </c>
      <c r="F2206" s="161">
        <v>46016.0</v>
      </c>
      <c r="G2206" s="58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5"/>
      <c r="C2207" s="31" t="s">
        <v>2004</v>
      </c>
      <c r="D2207" s="32" t="s">
        <v>99</v>
      </c>
      <c r="E2207" s="31" t="s">
        <v>2431</v>
      </c>
      <c r="F2207" s="161">
        <v>46016.0</v>
      </c>
      <c r="G2207" s="58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5"/>
      <c r="C2208" s="31" t="s">
        <v>2004</v>
      </c>
      <c r="D2208" s="32" t="s">
        <v>99</v>
      </c>
      <c r="E2208" s="31" t="s">
        <v>2432</v>
      </c>
      <c r="F2208" s="161">
        <v>46016.0</v>
      </c>
      <c r="G2208" s="58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5"/>
      <c r="C2209" s="31" t="s">
        <v>405</v>
      </c>
      <c r="D2209" s="32" t="s">
        <v>99</v>
      </c>
      <c r="E2209" s="31" t="s">
        <v>2433</v>
      </c>
      <c r="F2209" s="161">
        <v>46016.0</v>
      </c>
      <c r="G2209" s="58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5"/>
      <c r="C2210" s="31" t="s">
        <v>2434</v>
      </c>
      <c r="D2210" s="32" t="s">
        <v>15</v>
      </c>
      <c r="E2210" s="31" t="s">
        <v>2435</v>
      </c>
      <c r="F2210" s="161">
        <v>46016.0</v>
      </c>
      <c r="G2210" s="58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5"/>
      <c r="C2211" s="32" t="s">
        <v>122</v>
      </c>
      <c r="D2211" s="32" t="s">
        <v>15</v>
      </c>
      <c r="E2211" s="31" t="s">
        <v>2436</v>
      </c>
      <c r="F2211" s="161">
        <v>46016.0</v>
      </c>
      <c r="G2211" s="58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5"/>
      <c r="C2212" s="31" t="s">
        <v>1112</v>
      </c>
      <c r="D2212" s="32" t="s">
        <v>99</v>
      </c>
      <c r="E2212" s="32" t="s">
        <v>2437</v>
      </c>
      <c r="F2212" s="161">
        <v>46016.0</v>
      </c>
      <c r="G2212" s="58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5"/>
      <c r="C2213" s="31" t="s">
        <v>1112</v>
      </c>
      <c r="D2213" s="32" t="s">
        <v>99</v>
      </c>
      <c r="E2213" s="32" t="s">
        <v>2438</v>
      </c>
      <c r="F2213" s="161">
        <v>46016.0</v>
      </c>
      <c r="G2213" s="58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5"/>
      <c r="C2214" s="31" t="s">
        <v>1112</v>
      </c>
      <c r="D2214" s="32" t="s">
        <v>15</v>
      </c>
      <c r="E2214" s="31" t="s">
        <v>2439</v>
      </c>
      <c r="F2214" s="161">
        <v>46016.0</v>
      </c>
      <c r="G2214" s="58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5"/>
      <c r="C2215" s="31" t="s">
        <v>1112</v>
      </c>
      <c r="D2215" s="32" t="s">
        <v>15</v>
      </c>
      <c r="E2215" s="31" t="s">
        <v>2440</v>
      </c>
      <c r="F2215" s="161">
        <v>46016.0</v>
      </c>
      <c r="G2215" s="58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5"/>
      <c r="C2216" s="31" t="s">
        <v>2441</v>
      </c>
      <c r="D2216" s="32" t="s">
        <v>99</v>
      </c>
      <c r="E2216" s="31" t="s">
        <v>2442</v>
      </c>
      <c r="F2216" s="161">
        <v>46016.0</v>
      </c>
      <c r="G2216" s="58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5"/>
      <c r="C2217" s="31" t="s">
        <v>657</v>
      </c>
      <c r="D2217" s="32" t="s">
        <v>99</v>
      </c>
      <c r="E2217" s="31" t="s">
        <v>2443</v>
      </c>
      <c r="F2217" s="161">
        <v>46016.0</v>
      </c>
      <c r="G2217" s="58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5"/>
      <c r="C2218" s="31" t="s">
        <v>2221</v>
      </c>
      <c r="D2218" s="32" t="s">
        <v>99</v>
      </c>
      <c r="E2218" s="31" t="s">
        <v>2444</v>
      </c>
      <c r="F2218" s="161">
        <v>46016.0</v>
      </c>
      <c r="G2218" s="58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5"/>
      <c r="C2219" s="31" t="s">
        <v>2221</v>
      </c>
      <c r="D2219" s="32" t="s">
        <v>99</v>
      </c>
      <c r="E2219" s="32" t="s">
        <v>2445</v>
      </c>
      <c r="F2219" s="161">
        <v>46016.0</v>
      </c>
      <c r="G2219" s="58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5"/>
      <c r="C2220" s="31" t="s">
        <v>2221</v>
      </c>
      <c r="D2220" s="32" t="s">
        <v>99</v>
      </c>
      <c r="E2220" s="32" t="s">
        <v>2446</v>
      </c>
      <c r="F2220" s="161">
        <v>46016.0</v>
      </c>
      <c r="G2220" s="58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5"/>
      <c r="C2221" s="31" t="s">
        <v>2447</v>
      </c>
      <c r="D2221" s="32" t="s">
        <v>99</v>
      </c>
      <c r="E2221" s="31" t="s">
        <v>2448</v>
      </c>
      <c r="F2221" s="161">
        <v>46016.0</v>
      </c>
      <c r="G2221" s="58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5"/>
      <c r="C2222" s="31" t="s">
        <v>2447</v>
      </c>
      <c r="D2222" s="32" t="s">
        <v>99</v>
      </c>
      <c r="E2222" s="31" t="s">
        <v>2449</v>
      </c>
      <c r="F2222" s="161">
        <v>46016.0</v>
      </c>
      <c r="G2222" s="58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5"/>
      <c r="C2223" s="31" t="s">
        <v>2447</v>
      </c>
      <c r="D2223" s="32" t="s">
        <v>99</v>
      </c>
      <c r="E2223" s="31" t="s">
        <v>2450</v>
      </c>
      <c r="F2223" s="161">
        <v>46016.0</v>
      </c>
      <c r="G2223" s="58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5"/>
      <c r="C2224" s="31" t="s">
        <v>2447</v>
      </c>
      <c r="D2224" s="32" t="s">
        <v>99</v>
      </c>
      <c r="E2224" s="31" t="s">
        <v>2451</v>
      </c>
      <c r="F2224" s="161">
        <v>46016.0</v>
      </c>
      <c r="G2224" s="58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5"/>
      <c r="C2225" s="31" t="s">
        <v>2447</v>
      </c>
      <c r="D2225" s="32" t="s">
        <v>99</v>
      </c>
      <c r="E2225" s="31" t="s">
        <v>2452</v>
      </c>
      <c r="F2225" s="161">
        <v>46016.0</v>
      </c>
      <c r="G2225" s="58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5"/>
      <c r="C2226" s="31" t="s">
        <v>64</v>
      </c>
      <c r="D2226" s="32" t="s">
        <v>99</v>
      </c>
      <c r="E2226" s="31" t="s">
        <v>2453</v>
      </c>
      <c r="F2226" s="161">
        <v>46016.0</v>
      </c>
      <c r="G2226" s="58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5"/>
      <c r="C2227" s="31" t="s">
        <v>64</v>
      </c>
      <c r="D2227" s="32" t="s">
        <v>99</v>
      </c>
      <c r="E2227" s="31" t="s">
        <v>2454</v>
      </c>
      <c r="F2227" s="161">
        <v>46016.0</v>
      </c>
      <c r="G2227" s="58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5"/>
      <c r="C2228" s="31" t="s">
        <v>64</v>
      </c>
      <c r="D2228" s="32" t="s">
        <v>15</v>
      </c>
      <c r="E2228" s="31" t="s">
        <v>2455</v>
      </c>
      <c r="F2228" s="161">
        <v>46016.0</v>
      </c>
      <c r="G2228" s="58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5"/>
      <c r="C2229" s="31" t="s">
        <v>1283</v>
      </c>
      <c r="D2229" s="32" t="s">
        <v>99</v>
      </c>
      <c r="E2229" s="31" t="s">
        <v>2456</v>
      </c>
      <c r="F2229" s="161">
        <v>46016.0</v>
      </c>
      <c r="G2229" s="58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5"/>
      <c r="C2230" s="31" t="s">
        <v>1283</v>
      </c>
      <c r="D2230" s="32" t="s">
        <v>15</v>
      </c>
      <c r="E2230" s="31" t="s">
        <v>2457</v>
      </c>
      <c r="F2230" s="161">
        <v>46016.0</v>
      </c>
      <c r="G2230" s="58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5"/>
      <c r="C2231" s="31" t="s">
        <v>1312</v>
      </c>
      <c r="D2231" s="32" t="s">
        <v>99</v>
      </c>
      <c r="E2231" s="31" t="s">
        <v>2458</v>
      </c>
      <c r="F2231" s="161">
        <v>46016.0</v>
      </c>
      <c r="G2231" s="58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5"/>
      <c r="C2232" s="31" t="s">
        <v>1312</v>
      </c>
      <c r="D2232" s="32" t="s">
        <v>15</v>
      </c>
      <c r="E2232" s="31" t="s">
        <v>2459</v>
      </c>
      <c r="F2232" s="161">
        <v>46016.0</v>
      </c>
      <c r="G2232" s="58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5"/>
      <c r="C2233" s="31" t="s">
        <v>1281</v>
      </c>
      <c r="D2233" s="32" t="s">
        <v>15</v>
      </c>
      <c r="E2233" s="31" t="s">
        <v>2460</v>
      </c>
      <c r="F2233" s="161">
        <v>46016.0</v>
      </c>
      <c r="G2233" s="58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5"/>
      <c r="C2234" s="31" t="s">
        <v>1281</v>
      </c>
      <c r="D2234" s="32" t="s">
        <v>99</v>
      </c>
      <c r="E2234" s="31" t="s">
        <v>2461</v>
      </c>
      <c r="F2234" s="161">
        <v>46016.0</v>
      </c>
      <c r="G2234" s="58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5"/>
      <c r="C2235" s="31" t="s">
        <v>1279</v>
      </c>
      <c r="D2235" s="32" t="s">
        <v>99</v>
      </c>
      <c r="E2235" s="31" t="s">
        <v>2462</v>
      </c>
      <c r="F2235" s="161">
        <v>46016.0</v>
      </c>
      <c r="G2235" s="58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5"/>
      <c r="C2236" s="31" t="s">
        <v>1279</v>
      </c>
      <c r="D2236" s="32" t="s">
        <v>15</v>
      </c>
      <c r="E2236" s="31" t="s">
        <v>2463</v>
      </c>
      <c r="F2236" s="161">
        <v>46016.0</v>
      </c>
      <c r="G2236" s="58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5"/>
      <c r="C2237" s="31" t="s">
        <v>1277</v>
      </c>
      <c r="D2237" s="32" t="s">
        <v>99</v>
      </c>
      <c r="E2237" s="31" t="s">
        <v>2464</v>
      </c>
      <c r="F2237" s="161">
        <v>46016.0</v>
      </c>
      <c r="G2237" s="58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5"/>
      <c r="C2238" s="31" t="s">
        <v>1277</v>
      </c>
      <c r="D2238" s="32" t="s">
        <v>15</v>
      </c>
      <c r="E2238" s="31" t="s">
        <v>2465</v>
      </c>
      <c r="F2238" s="161">
        <v>46016.0</v>
      </c>
      <c r="G2238" s="58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5"/>
      <c r="C2239" s="31" t="s">
        <v>1275</v>
      </c>
      <c r="D2239" s="32" t="s">
        <v>99</v>
      </c>
      <c r="E2239" s="31" t="s">
        <v>2466</v>
      </c>
      <c r="F2239" s="161">
        <v>46016.0</v>
      </c>
      <c r="G2239" s="58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5"/>
      <c r="C2240" s="31" t="s">
        <v>1275</v>
      </c>
      <c r="D2240" s="32" t="s">
        <v>15</v>
      </c>
      <c r="E2240" s="31" t="s">
        <v>2467</v>
      </c>
      <c r="F2240" s="161">
        <v>46016.0</v>
      </c>
      <c r="G2240" s="58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5"/>
      <c r="C2241" s="31" t="s">
        <v>443</v>
      </c>
      <c r="D2241" s="32" t="s">
        <v>99</v>
      </c>
      <c r="E2241" s="31" t="s">
        <v>2468</v>
      </c>
      <c r="F2241" s="161">
        <v>46016.0</v>
      </c>
      <c r="G2241" s="58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5"/>
      <c r="C2242" s="31" t="s">
        <v>443</v>
      </c>
      <c r="D2242" s="32" t="s">
        <v>15</v>
      </c>
      <c r="E2242" s="31" t="s">
        <v>2469</v>
      </c>
      <c r="F2242" s="161">
        <v>46016.0</v>
      </c>
      <c r="G2242" s="58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5"/>
      <c r="C2243" s="31" t="s">
        <v>247</v>
      </c>
      <c r="D2243" s="32" t="s">
        <v>15</v>
      </c>
      <c r="E2243" s="31" t="s">
        <v>2470</v>
      </c>
      <c r="F2243" s="161">
        <v>46016.0</v>
      </c>
      <c r="G2243" s="58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5"/>
      <c r="C2244" s="31" t="s">
        <v>247</v>
      </c>
      <c r="D2244" s="32" t="s">
        <v>15</v>
      </c>
      <c r="E2244" s="31" t="s">
        <v>2471</v>
      </c>
      <c r="F2244" s="161">
        <v>46016.0</v>
      </c>
      <c r="G2244" s="58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5"/>
      <c r="C2245" s="31" t="s">
        <v>74</v>
      </c>
      <c r="D2245" s="32" t="s">
        <v>15</v>
      </c>
      <c r="E2245" s="31" t="s">
        <v>2472</v>
      </c>
      <c r="F2245" s="161">
        <v>46016.0</v>
      </c>
      <c r="G2245" s="58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5"/>
      <c r="C2246" s="31" t="s">
        <v>74</v>
      </c>
      <c r="D2246" s="32" t="s">
        <v>15</v>
      </c>
      <c r="E2246" s="31" t="s">
        <v>2473</v>
      </c>
      <c r="F2246" s="161">
        <v>46016.0</v>
      </c>
      <c r="G2246" s="58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5"/>
      <c r="C2247" s="31" t="s">
        <v>74</v>
      </c>
      <c r="D2247" s="32" t="s">
        <v>15</v>
      </c>
      <c r="E2247" s="31" t="s">
        <v>2474</v>
      </c>
      <c r="F2247" s="161">
        <v>46016.0</v>
      </c>
      <c r="G2247" s="58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5"/>
      <c r="C2248" s="31" t="s">
        <v>74</v>
      </c>
      <c r="D2248" s="32" t="s">
        <v>15</v>
      </c>
      <c r="E2248" s="31" t="s">
        <v>2475</v>
      </c>
      <c r="F2248" s="161">
        <v>46016.0</v>
      </c>
      <c r="G2248" s="58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5"/>
      <c r="C2249" s="31" t="s">
        <v>74</v>
      </c>
      <c r="D2249" s="32" t="s">
        <v>15</v>
      </c>
      <c r="E2249" s="31" t="s">
        <v>2476</v>
      </c>
      <c r="F2249" s="161">
        <v>46016.0</v>
      </c>
      <c r="G2249" s="58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5"/>
      <c r="C2250" s="31" t="s">
        <v>1842</v>
      </c>
      <c r="D2250" s="32" t="s">
        <v>15</v>
      </c>
      <c r="E2250" s="31" t="s">
        <v>2477</v>
      </c>
      <c r="F2250" s="161">
        <v>46016.0</v>
      </c>
      <c r="G2250" s="58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5"/>
      <c r="C2251" s="31" t="s">
        <v>1842</v>
      </c>
      <c r="D2251" s="32" t="s">
        <v>99</v>
      </c>
      <c r="E2251" s="31" t="s">
        <v>2478</v>
      </c>
      <c r="F2251" s="161">
        <v>46016.0</v>
      </c>
      <c r="G2251" s="58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5"/>
      <c r="C2252" s="31" t="s">
        <v>1285</v>
      </c>
      <c r="D2252" s="32" t="s">
        <v>15</v>
      </c>
      <c r="E2252" s="31" t="s">
        <v>2479</v>
      </c>
      <c r="F2252" s="161">
        <v>46016.0</v>
      </c>
      <c r="G2252" s="58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5"/>
      <c r="C2253" s="31" t="s">
        <v>423</v>
      </c>
      <c r="D2253" s="32" t="s">
        <v>99</v>
      </c>
      <c r="E2253" s="31" t="s">
        <v>2480</v>
      </c>
      <c r="F2253" s="161">
        <v>46016.0</v>
      </c>
      <c r="G2253" s="58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5"/>
      <c r="C2254" s="31" t="s">
        <v>423</v>
      </c>
      <c r="D2254" s="32" t="s">
        <v>99</v>
      </c>
      <c r="E2254" s="31" t="s">
        <v>2481</v>
      </c>
      <c r="F2254" s="161">
        <v>46016.0</v>
      </c>
      <c r="G2254" s="58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5"/>
      <c r="C2255" s="31" t="s">
        <v>423</v>
      </c>
      <c r="D2255" s="32" t="s">
        <v>15</v>
      </c>
      <c r="E2255" s="31" t="s">
        <v>2482</v>
      </c>
      <c r="F2255" s="161">
        <v>46016.0</v>
      </c>
      <c r="G2255" s="58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5"/>
      <c r="C2256" s="31" t="s">
        <v>423</v>
      </c>
      <c r="D2256" s="32" t="s">
        <v>15</v>
      </c>
      <c r="E2256" s="31" t="s">
        <v>2483</v>
      </c>
      <c r="F2256" s="161">
        <v>46016.0</v>
      </c>
      <c r="G2256" s="58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5"/>
      <c r="C2257" s="31" t="s">
        <v>441</v>
      </c>
      <c r="D2257" s="32" t="s">
        <v>15</v>
      </c>
      <c r="E2257" s="31" t="s">
        <v>2484</v>
      </c>
      <c r="F2257" s="161">
        <v>46016.0</v>
      </c>
      <c r="G2257" s="58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5"/>
      <c r="C2258" s="31" t="s">
        <v>441</v>
      </c>
      <c r="D2258" s="32" t="s">
        <v>99</v>
      </c>
      <c r="E2258" s="31" t="s">
        <v>2485</v>
      </c>
      <c r="F2258" s="161">
        <v>46016.0</v>
      </c>
      <c r="G2258" s="58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5"/>
      <c r="C2259" s="31" t="s">
        <v>2486</v>
      </c>
      <c r="D2259" s="32" t="s">
        <v>99</v>
      </c>
      <c r="E2259" s="31" t="s">
        <v>2487</v>
      </c>
      <c r="F2259" s="161">
        <v>46016.0</v>
      </c>
      <c r="G2259" s="58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5"/>
      <c r="C2260" s="31" t="s">
        <v>2486</v>
      </c>
      <c r="D2260" s="32" t="s">
        <v>15</v>
      </c>
      <c r="E2260" s="31" t="s">
        <v>2488</v>
      </c>
      <c r="F2260" s="161">
        <v>46016.0</v>
      </c>
      <c r="G2260" s="58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5"/>
      <c r="C2261" s="31" t="s">
        <v>2489</v>
      </c>
      <c r="D2261" s="32" t="s">
        <v>15</v>
      </c>
      <c r="E2261" s="31" t="s">
        <v>2490</v>
      </c>
      <c r="F2261" s="161">
        <v>46016.0</v>
      </c>
      <c r="G2261" s="58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5"/>
      <c r="C2262" s="31" t="s">
        <v>1112</v>
      </c>
      <c r="D2262" s="32" t="s">
        <v>15</v>
      </c>
      <c r="E2262" s="31" t="s">
        <v>2491</v>
      </c>
      <c r="F2262" s="161">
        <v>46016.0</v>
      </c>
      <c r="G2262" s="58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5"/>
      <c r="C2263" s="31" t="s">
        <v>1112</v>
      </c>
      <c r="D2263" s="32" t="s">
        <v>15</v>
      </c>
      <c r="E2263" s="31" t="s">
        <v>2492</v>
      </c>
      <c r="F2263" s="161">
        <v>46016.0</v>
      </c>
      <c r="G2263" s="58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5"/>
      <c r="C2264" s="31" t="s">
        <v>1112</v>
      </c>
      <c r="D2264" s="32" t="s">
        <v>99</v>
      </c>
      <c r="E2264" s="32" t="s">
        <v>2493</v>
      </c>
      <c r="F2264" s="161">
        <v>46016.0</v>
      </c>
      <c r="G2264" s="58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5"/>
      <c r="C2265" s="31" t="s">
        <v>1112</v>
      </c>
      <c r="D2265" s="32" t="s">
        <v>99</v>
      </c>
      <c r="E2265" s="32" t="s">
        <v>2494</v>
      </c>
      <c r="F2265" s="161">
        <v>46016.0</v>
      </c>
      <c r="G2265" s="58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5"/>
      <c r="C2266" s="31" t="s">
        <v>2495</v>
      </c>
      <c r="D2266" s="32" t="s">
        <v>99</v>
      </c>
      <c r="E2266" s="31" t="s">
        <v>2496</v>
      </c>
      <c r="F2266" s="161">
        <v>46016.0</v>
      </c>
      <c r="G2266" s="58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5"/>
      <c r="C2267" s="31" t="s">
        <v>2495</v>
      </c>
      <c r="D2267" s="32" t="s">
        <v>15</v>
      </c>
      <c r="E2267" s="31" t="s">
        <v>2497</v>
      </c>
      <c r="F2267" s="161">
        <v>46016.0</v>
      </c>
      <c r="G2267" s="58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5"/>
      <c r="C2268" s="31" t="s">
        <v>2495</v>
      </c>
      <c r="D2268" s="32" t="s">
        <v>15</v>
      </c>
      <c r="E2268" s="31" t="s">
        <v>2498</v>
      </c>
      <c r="F2268" s="161">
        <v>46016.0</v>
      </c>
      <c r="G2268" s="58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5"/>
      <c r="C2269" s="31" t="s">
        <v>497</v>
      </c>
      <c r="D2269" s="32" t="s">
        <v>15</v>
      </c>
      <c r="E2269" s="31" t="s">
        <v>2499</v>
      </c>
      <c r="F2269" s="161">
        <v>46016.0</v>
      </c>
      <c r="G2269" s="58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60"/>
      <c r="C2270" s="61" t="s">
        <v>2500</v>
      </c>
      <c r="D2270" s="62" t="s">
        <v>99</v>
      </c>
      <c r="E2270" s="61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47"/>
      <c r="M2270" s="50"/>
    </row>
    <row r="2271" ht="15.75" customHeight="1">
      <c r="A2271" s="115">
        <v>46011.0</v>
      </c>
      <c r="B2271" s="55"/>
      <c r="C2271" s="31" t="s">
        <v>2500</v>
      </c>
      <c r="D2271" s="32" t="s">
        <v>15</v>
      </c>
      <c r="E2271" s="31" t="s">
        <v>2502</v>
      </c>
      <c r="F2271" s="161">
        <v>46016.0</v>
      </c>
      <c r="G2271" s="58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5"/>
      <c r="C2272" s="31" t="s">
        <v>2500</v>
      </c>
      <c r="D2272" s="32" t="s">
        <v>15</v>
      </c>
      <c r="E2272" s="31" t="s">
        <v>2503</v>
      </c>
      <c r="F2272" s="161">
        <v>46016.0</v>
      </c>
      <c r="G2272" s="58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5"/>
      <c r="C2273" s="31" t="s">
        <v>1183</v>
      </c>
      <c r="D2273" s="32" t="s">
        <v>15</v>
      </c>
      <c r="E2273" s="31" t="s">
        <v>2504</v>
      </c>
      <c r="F2273" s="161">
        <v>46016.0</v>
      </c>
      <c r="G2273" s="58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5"/>
      <c r="C2274" s="31" t="s">
        <v>1183</v>
      </c>
      <c r="D2274" s="32" t="s">
        <v>15</v>
      </c>
      <c r="E2274" s="31" t="s">
        <v>2505</v>
      </c>
      <c r="F2274" s="161">
        <v>46016.0</v>
      </c>
      <c r="G2274" s="58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5"/>
      <c r="C2280" s="31" t="s">
        <v>2511</v>
      </c>
      <c r="D2280" s="32" t="s">
        <v>15</v>
      </c>
      <c r="E2280" s="31" t="s">
        <v>2512</v>
      </c>
      <c r="F2280" s="161">
        <v>46016.0</v>
      </c>
      <c r="G2280" s="58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5"/>
      <c r="C2281" s="31" t="s">
        <v>2511</v>
      </c>
      <c r="D2281" s="32" t="s">
        <v>15</v>
      </c>
      <c r="E2281" s="31" t="s">
        <v>2513</v>
      </c>
      <c r="F2281" s="161">
        <v>46016.0</v>
      </c>
      <c r="G2281" s="58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5"/>
      <c r="C2282" s="31" t="s">
        <v>2511</v>
      </c>
      <c r="D2282" s="32" t="s">
        <v>15</v>
      </c>
      <c r="E2282" s="31" t="s">
        <v>2514</v>
      </c>
      <c r="F2282" s="161">
        <v>46016.0</v>
      </c>
      <c r="G2282" s="58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5"/>
      <c r="C2283" s="31" t="s">
        <v>2511</v>
      </c>
      <c r="D2283" s="32" t="s">
        <v>15</v>
      </c>
      <c r="E2283" s="31" t="s">
        <v>2515</v>
      </c>
      <c r="F2283" s="161">
        <v>46016.0</v>
      </c>
      <c r="G2283" s="58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5"/>
      <c r="C2284" s="31" t="s">
        <v>159</v>
      </c>
      <c r="D2284" s="32" t="s">
        <v>15</v>
      </c>
      <c r="E2284" s="31" t="s">
        <v>2516</v>
      </c>
      <c r="F2284" s="161">
        <v>46016.0</v>
      </c>
      <c r="G2284" s="58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5"/>
      <c r="C2285" s="31" t="s">
        <v>159</v>
      </c>
      <c r="D2285" s="32" t="s">
        <v>99</v>
      </c>
      <c r="E2285" s="31" t="s">
        <v>2517</v>
      </c>
      <c r="F2285" s="161">
        <v>46016.0</v>
      </c>
      <c r="G2285" s="58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5"/>
      <c r="C2286" s="31" t="s">
        <v>2334</v>
      </c>
      <c r="D2286" s="32" t="s">
        <v>99</v>
      </c>
      <c r="E2286" s="31" t="s">
        <v>2518</v>
      </c>
      <c r="F2286" s="161">
        <v>46016.0</v>
      </c>
      <c r="G2286" s="58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5"/>
      <c r="C2287" s="31" t="s">
        <v>2334</v>
      </c>
      <c r="D2287" s="32" t="s">
        <v>99</v>
      </c>
      <c r="E2287" s="31" t="s">
        <v>2519</v>
      </c>
      <c r="F2287" s="161">
        <v>46016.0</v>
      </c>
      <c r="G2287" s="58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5"/>
      <c r="C2288" s="31" t="s">
        <v>2334</v>
      </c>
      <c r="D2288" s="32" t="s">
        <v>15</v>
      </c>
      <c r="E2288" s="31" t="s">
        <v>2520</v>
      </c>
      <c r="F2288" s="161">
        <v>46016.0</v>
      </c>
      <c r="G2288" s="58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5"/>
      <c r="C2289" s="31" t="s">
        <v>2334</v>
      </c>
      <c r="D2289" s="32" t="s">
        <v>15</v>
      </c>
      <c r="E2289" s="31" t="s">
        <v>2521</v>
      </c>
      <c r="F2289" s="161">
        <v>46016.0</v>
      </c>
      <c r="G2289" s="58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5"/>
      <c r="C2290" s="31" t="s">
        <v>2522</v>
      </c>
      <c r="D2290" s="32" t="s">
        <v>15</v>
      </c>
      <c r="E2290" s="31" t="s">
        <v>2523</v>
      </c>
      <c r="F2290" s="161">
        <v>46016.0</v>
      </c>
      <c r="G2290" s="58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5"/>
      <c r="C2291" s="31" t="s">
        <v>2522</v>
      </c>
      <c r="D2291" s="32" t="s">
        <v>15</v>
      </c>
      <c r="E2291" s="31" t="s">
        <v>2524</v>
      </c>
      <c r="F2291" s="161">
        <v>46016.0</v>
      </c>
      <c r="G2291" s="58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5"/>
      <c r="C2292" s="31" t="s">
        <v>2522</v>
      </c>
      <c r="D2292" s="32" t="s">
        <v>15</v>
      </c>
      <c r="E2292" s="31" t="s">
        <v>2525</v>
      </c>
      <c r="F2292" s="161">
        <v>46016.0</v>
      </c>
      <c r="G2292" s="58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5"/>
      <c r="C2293" s="31" t="s">
        <v>2522</v>
      </c>
      <c r="D2293" s="32" t="s">
        <v>99</v>
      </c>
      <c r="E2293" s="31" t="s">
        <v>2526</v>
      </c>
      <c r="F2293" s="161">
        <v>46016.0</v>
      </c>
      <c r="G2293" s="58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5"/>
      <c r="C2294" s="31" t="s">
        <v>2522</v>
      </c>
      <c r="D2294" s="32" t="s">
        <v>99</v>
      </c>
      <c r="E2294" s="31" t="s">
        <v>2527</v>
      </c>
      <c r="F2294" s="161">
        <v>46016.0</v>
      </c>
      <c r="G2294" s="58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5"/>
      <c r="C2295" s="31" t="s">
        <v>2346</v>
      </c>
      <c r="D2295" s="32" t="s">
        <v>99</v>
      </c>
      <c r="E2295" s="32" t="s">
        <v>2528</v>
      </c>
      <c r="F2295" s="161">
        <v>46016.0</v>
      </c>
      <c r="G2295" s="58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5"/>
      <c r="C2296" s="31" t="s">
        <v>2346</v>
      </c>
      <c r="D2296" s="32" t="s">
        <v>99</v>
      </c>
      <c r="E2296" s="32" t="s">
        <v>2529</v>
      </c>
      <c r="F2296" s="161">
        <v>46016.0</v>
      </c>
      <c r="G2296" s="58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5"/>
      <c r="C2297" s="31" t="s">
        <v>2346</v>
      </c>
      <c r="D2297" s="32" t="s">
        <v>99</v>
      </c>
      <c r="E2297" s="32" t="s">
        <v>2530</v>
      </c>
      <c r="F2297" s="161">
        <v>46016.0</v>
      </c>
      <c r="G2297" s="58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5"/>
      <c r="C2298" s="31" t="s">
        <v>2346</v>
      </c>
      <c r="D2298" s="32" t="s">
        <v>99</v>
      </c>
      <c r="E2298" s="32" t="s">
        <v>2531</v>
      </c>
      <c r="F2298" s="161">
        <v>46016.0</v>
      </c>
      <c r="G2298" s="58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5"/>
      <c r="C2299" s="31" t="s">
        <v>2346</v>
      </c>
      <c r="D2299" s="32" t="s">
        <v>99</v>
      </c>
      <c r="E2299" s="32" t="s">
        <v>2532</v>
      </c>
      <c r="F2299" s="161">
        <v>46016.0</v>
      </c>
      <c r="G2299" s="58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5"/>
      <c r="C2300" s="31" t="s">
        <v>2346</v>
      </c>
      <c r="D2300" s="32" t="s">
        <v>99</v>
      </c>
      <c r="E2300" s="32" t="s">
        <v>2533</v>
      </c>
      <c r="F2300" s="161">
        <v>46016.0</v>
      </c>
      <c r="G2300" s="58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5"/>
      <c r="C2301" s="31" t="s">
        <v>1112</v>
      </c>
      <c r="D2301" s="32" t="s">
        <v>99</v>
      </c>
      <c r="E2301" s="32" t="s">
        <v>2534</v>
      </c>
      <c r="F2301" s="161">
        <v>46016.0</v>
      </c>
      <c r="G2301" s="58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5"/>
      <c r="C2302" s="31" t="s">
        <v>1112</v>
      </c>
      <c r="D2302" s="32" t="s">
        <v>99</v>
      </c>
      <c r="E2302" s="32" t="s">
        <v>2535</v>
      </c>
      <c r="F2302" s="161">
        <v>46016.0</v>
      </c>
      <c r="G2302" s="58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5"/>
      <c r="C2303" s="31" t="s">
        <v>1112</v>
      </c>
      <c r="D2303" s="32" t="s">
        <v>99</v>
      </c>
      <c r="E2303" s="32" t="s">
        <v>2536</v>
      </c>
      <c r="F2303" s="161">
        <v>46016.0</v>
      </c>
      <c r="G2303" s="58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5"/>
      <c r="C2304" s="31" t="s">
        <v>1725</v>
      </c>
      <c r="D2304" s="32" t="s">
        <v>99</v>
      </c>
      <c r="E2304" s="31" t="s">
        <v>2537</v>
      </c>
      <c r="F2304" s="161">
        <v>46016.0</v>
      </c>
      <c r="G2304" s="58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5"/>
      <c r="C2305" s="31" t="s">
        <v>1725</v>
      </c>
      <c r="D2305" s="32" t="s">
        <v>99</v>
      </c>
      <c r="E2305" s="31" t="s">
        <v>2538</v>
      </c>
      <c r="F2305" s="161">
        <v>46016.0</v>
      </c>
      <c r="G2305" s="58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5"/>
      <c r="C2306" s="31" t="s">
        <v>1721</v>
      </c>
      <c r="D2306" s="32" t="s">
        <v>99</v>
      </c>
      <c r="E2306" s="31" t="s">
        <v>2539</v>
      </c>
      <c r="F2306" s="161">
        <v>46016.0</v>
      </c>
      <c r="G2306" s="58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5"/>
      <c r="C2307" s="31" t="s">
        <v>1721</v>
      </c>
      <c r="D2307" s="32" t="s">
        <v>99</v>
      </c>
      <c r="E2307" s="31" t="s">
        <v>2540</v>
      </c>
      <c r="F2307" s="161">
        <v>46016.0</v>
      </c>
      <c r="G2307" s="58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5"/>
      <c r="C2308" s="31" t="s">
        <v>1486</v>
      </c>
      <c r="D2308" s="32" t="s">
        <v>99</v>
      </c>
      <c r="E2308" s="31" t="s">
        <v>2541</v>
      </c>
      <c r="F2308" s="161">
        <v>46016.0</v>
      </c>
      <c r="G2308" s="58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5"/>
      <c r="C2309" s="31" t="s">
        <v>1486</v>
      </c>
      <c r="D2309" s="32" t="s">
        <v>99</v>
      </c>
      <c r="E2309" s="31" t="s">
        <v>2542</v>
      </c>
      <c r="F2309" s="161">
        <v>46016.0</v>
      </c>
      <c r="G2309" s="58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5"/>
      <c r="C2310" s="31" t="s">
        <v>373</v>
      </c>
      <c r="D2310" s="32" t="s">
        <v>99</v>
      </c>
      <c r="E2310" s="31" t="s">
        <v>2543</v>
      </c>
      <c r="F2310" s="161">
        <v>46016.0</v>
      </c>
      <c r="G2310" s="58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5"/>
      <c r="C2311" s="31" t="s">
        <v>2544</v>
      </c>
      <c r="D2311" s="32" t="s">
        <v>99</v>
      </c>
      <c r="E2311" s="31" t="s">
        <v>2545</v>
      </c>
      <c r="F2311" s="161">
        <v>46016.0</v>
      </c>
      <c r="G2311" s="58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5"/>
      <c r="C2312" s="31" t="s">
        <v>2546</v>
      </c>
      <c r="D2312" s="32" t="s">
        <v>15</v>
      </c>
      <c r="E2312" s="31" t="s">
        <v>2547</v>
      </c>
      <c r="F2312" s="161">
        <v>46016.0</v>
      </c>
      <c r="G2312" s="58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5"/>
      <c r="C2313" s="31" t="s">
        <v>2546</v>
      </c>
      <c r="D2313" s="32" t="s">
        <v>15</v>
      </c>
      <c r="E2313" s="31" t="s">
        <v>2548</v>
      </c>
      <c r="F2313" s="161">
        <v>46016.0</v>
      </c>
      <c r="G2313" s="58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5"/>
      <c r="C2326" s="31" t="s">
        <v>2546</v>
      </c>
      <c r="D2326" s="32" t="s">
        <v>15</v>
      </c>
      <c r="E2326" s="31" t="s">
        <v>2561</v>
      </c>
      <c r="F2326" s="161">
        <v>46016.0</v>
      </c>
      <c r="G2326" s="58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5"/>
      <c r="C2327" s="31" t="s">
        <v>2546</v>
      </c>
      <c r="D2327" s="32" t="s">
        <v>15</v>
      </c>
      <c r="E2327" s="31" t="s">
        <v>2562</v>
      </c>
      <c r="F2327" s="161">
        <v>46016.0</v>
      </c>
      <c r="G2327" s="58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5"/>
      <c r="C2328" s="31" t="s">
        <v>2563</v>
      </c>
      <c r="D2328" s="32" t="s">
        <v>15</v>
      </c>
      <c r="E2328" s="31" t="s">
        <v>2564</v>
      </c>
      <c r="F2328" s="161">
        <v>46016.0</v>
      </c>
      <c r="G2328" s="58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5"/>
      <c r="C2329" s="31" t="s">
        <v>2563</v>
      </c>
      <c r="D2329" s="32" t="s">
        <v>15</v>
      </c>
      <c r="E2329" s="31" t="s">
        <v>2565</v>
      </c>
      <c r="F2329" s="161">
        <v>46016.0</v>
      </c>
      <c r="G2329" s="58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5"/>
      <c r="C2330" s="31" t="s">
        <v>2563</v>
      </c>
      <c r="D2330" s="32" t="s">
        <v>15</v>
      </c>
      <c r="E2330" s="31" t="s">
        <v>2566</v>
      </c>
      <c r="F2330" s="161">
        <v>46016.0</v>
      </c>
      <c r="G2330" s="58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5"/>
      <c r="C2331" s="31" t="s">
        <v>397</v>
      </c>
      <c r="D2331" s="32" t="s">
        <v>15</v>
      </c>
      <c r="E2331" s="31" t="s">
        <v>2567</v>
      </c>
      <c r="F2331" s="161">
        <v>46016.0</v>
      </c>
      <c r="G2331" s="58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5"/>
      <c r="C2332" s="31" t="s">
        <v>2568</v>
      </c>
      <c r="D2332" s="32" t="s">
        <v>15</v>
      </c>
      <c r="E2332" s="31" t="s">
        <v>2569</v>
      </c>
      <c r="F2332" s="161">
        <v>46016.0</v>
      </c>
      <c r="G2332" s="58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5"/>
      <c r="C2333" s="31" t="s">
        <v>2568</v>
      </c>
      <c r="D2333" s="32" t="s">
        <v>15</v>
      </c>
      <c r="E2333" s="31" t="s">
        <v>2570</v>
      </c>
      <c r="F2333" s="161">
        <v>46016.0</v>
      </c>
      <c r="G2333" s="58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5"/>
      <c r="C2334" s="31" t="s">
        <v>2568</v>
      </c>
      <c r="D2334" s="32" t="s">
        <v>15</v>
      </c>
      <c r="E2334" s="31" t="s">
        <v>2571</v>
      </c>
      <c r="F2334" s="161">
        <v>46016.0</v>
      </c>
      <c r="G2334" s="58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5"/>
      <c r="C2335" s="31" t="s">
        <v>2572</v>
      </c>
      <c r="D2335" s="32" t="s">
        <v>15</v>
      </c>
      <c r="E2335" s="31" t="s">
        <v>2573</v>
      </c>
      <c r="F2335" s="161">
        <v>46016.0</v>
      </c>
      <c r="G2335" s="58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5"/>
      <c r="C2336" s="31" t="s">
        <v>2572</v>
      </c>
      <c r="D2336" s="32" t="s">
        <v>15</v>
      </c>
      <c r="E2336" s="31" t="s">
        <v>2574</v>
      </c>
      <c r="F2336" s="161">
        <v>46016.0</v>
      </c>
      <c r="G2336" s="58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5"/>
      <c r="C2337" s="31" t="s">
        <v>2572</v>
      </c>
      <c r="D2337" s="32" t="s">
        <v>15</v>
      </c>
      <c r="E2337" s="31" t="s">
        <v>2575</v>
      </c>
      <c r="F2337" s="161">
        <v>46016.0</v>
      </c>
      <c r="G2337" s="58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5"/>
      <c r="C2338" s="31" t="s">
        <v>2576</v>
      </c>
      <c r="D2338" s="32" t="s">
        <v>15</v>
      </c>
      <c r="E2338" s="31" t="s">
        <v>2577</v>
      </c>
      <c r="F2338" s="161">
        <v>46016.0</v>
      </c>
      <c r="G2338" s="58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60"/>
      <c r="C2339" s="61" t="s">
        <v>210</v>
      </c>
      <c r="D2339" s="62" t="s">
        <v>15</v>
      </c>
      <c r="E2339" s="61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49"/>
      <c r="K2339" s="10">
        <f t="shared" si="4"/>
        <v>9348779.259</v>
      </c>
      <c r="L2339" s="47"/>
      <c r="M2339" s="50"/>
    </row>
    <row r="2340" ht="15.75" customHeight="1">
      <c r="A2340" s="177">
        <v>46021.0</v>
      </c>
      <c r="B2340" s="60"/>
      <c r="C2340" s="61" t="s">
        <v>210</v>
      </c>
      <c r="D2340" s="62" t="s">
        <v>15</v>
      </c>
      <c r="E2340" s="61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49"/>
      <c r="K2340" s="10">
        <f t="shared" si="4"/>
        <v>7064432.722</v>
      </c>
      <c r="L2340" s="47"/>
      <c r="M2340" s="50"/>
    </row>
    <row r="2341" ht="15.75" customHeight="1">
      <c r="A2341" s="177">
        <v>46021.0</v>
      </c>
      <c r="B2341" s="60"/>
      <c r="C2341" s="61" t="s">
        <v>210</v>
      </c>
      <c r="D2341" s="62" t="s">
        <v>15</v>
      </c>
      <c r="E2341" s="61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49"/>
      <c r="K2341" s="10">
        <f t="shared" si="4"/>
        <v>4509988.545</v>
      </c>
      <c r="L2341" s="47"/>
      <c r="M2341" s="50"/>
    </row>
    <row r="2342" ht="15.75" customHeight="1">
      <c r="A2342" s="177">
        <v>46021.0</v>
      </c>
      <c r="B2342" s="60"/>
      <c r="C2342" s="61" t="s">
        <v>210</v>
      </c>
      <c r="D2342" s="62" t="s">
        <v>15</v>
      </c>
      <c r="E2342" s="61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49"/>
      <c r="K2342" s="10">
        <f t="shared" si="4"/>
        <v>6925086.377</v>
      </c>
      <c r="L2342" s="47"/>
      <c r="M2342" s="50"/>
    </row>
    <row r="2343" ht="15.75" customHeight="1">
      <c r="A2343" s="177">
        <v>46021.0</v>
      </c>
      <c r="B2343" s="60"/>
      <c r="C2343" s="61" t="s">
        <v>210</v>
      </c>
      <c r="D2343" s="62" t="s">
        <v>15</v>
      </c>
      <c r="E2343" s="61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49"/>
      <c r="K2343" s="10">
        <f t="shared" si="4"/>
        <v>19376889.17</v>
      </c>
      <c r="L2343" s="47"/>
      <c r="M2343" s="50"/>
    </row>
    <row r="2344" ht="15.75" customHeight="1">
      <c r="A2344" s="177">
        <v>46021.0</v>
      </c>
      <c r="B2344" s="60"/>
      <c r="C2344" s="61" t="s">
        <v>210</v>
      </c>
      <c r="D2344" s="62" t="s">
        <v>15</v>
      </c>
      <c r="E2344" s="61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49"/>
      <c r="K2344" s="10">
        <f t="shared" si="4"/>
        <v>5862125.877</v>
      </c>
      <c r="L2344" s="47"/>
      <c r="M2344" s="50"/>
    </row>
    <row r="2345" ht="15.75" customHeight="1">
      <c r="A2345" s="177">
        <v>46021.0</v>
      </c>
      <c r="B2345" s="60"/>
      <c r="C2345" s="61" t="s">
        <v>210</v>
      </c>
      <c r="D2345" s="62" t="s">
        <v>15</v>
      </c>
      <c r="E2345" s="61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49"/>
      <c r="K2345" s="10">
        <f t="shared" si="4"/>
        <v>21393141.73</v>
      </c>
      <c r="L2345" s="47"/>
      <c r="M2345" s="50"/>
    </row>
    <row r="2346" ht="15.75" customHeight="1">
      <c r="A2346" s="177">
        <v>46021.0</v>
      </c>
      <c r="B2346" s="60"/>
      <c r="C2346" s="61" t="s">
        <v>210</v>
      </c>
      <c r="D2346" s="62" t="s">
        <v>15</v>
      </c>
      <c r="E2346" s="61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49"/>
      <c r="K2346" s="10">
        <f t="shared" si="4"/>
        <v>9349988.726</v>
      </c>
      <c r="L2346" s="47"/>
      <c r="M2346" s="50"/>
    </row>
    <row r="2347" ht="15.75" customHeight="1">
      <c r="A2347" s="115">
        <v>46021.0</v>
      </c>
      <c r="B2347" s="55"/>
      <c r="C2347" s="31" t="s">
        <v>268</v>
      </c>
      <c r="D2347" s="32" t="s">
        <v>15</v>
      </c>
      <c r="E2347" s="31" t="s">
        <v>2586</v>
      </c>
      <c r="F2347" s="161">
        <v>46016.0</v>
      </c>
      <c r="G2347" s="58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5"/>
      <c r="C2348" s="31" t="s">
        <v>268</v>
      </c>
      <c r="D2348" s="32" t="s">
        <v>15</v>
      </c>
      <c r="E2348" s="31" t="s">
        <v>2587</v>
      </c>
      <c r="F2348" s="161">
        <v>46016.0</v>
      </c>
      <c r="G2348" s="58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5"/>
      <c r="C2349" s="31" t="s">
        <v>268</v>
      </c>
      <c r="D2349" s="32" t="s">
        <v>15</v>
      </c>
      <c r="E2349" s="31" t="s">
        <v>2588</v>
      </c>
      <c r="F2349" s="161">
        <v>46016.0</v>
      </c>
      <c r="G2349" s="58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5"/>
      <c r="C2350" s="31" t="s">
        <v>268</v>
      </c>
      <c r="D2350" s="32" t="s">
        <v>15</v>
      </c>
      <c r="E2350" s="31" t="s">
        <v>2589</v>
      </c>
      <c r="F2350" s="161">
        <v>46016.0</v>
      </c>
      <c r="G2350" s="58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5"/>
      <c r="C2351" s="31" t="s">
        <v>268</v>
      </c>
      <c r="D2351" s="32" t="s">
        <v>15</v>
      </c>
      <c r="E2351" s="31" t="s">
        <v>2590</v>
      </c>
      <c r="F2351" s="161">
        <v>46016.0</v>
      </c>
      <c r="G2351" s="58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5"/>
      <c r="C2352" s="31" t="s">
        <v>268</v>
      </c>
      <c r="D2352" s="32" t="s">
        <v>15</v>
      </c>
      <c r="E2352" s="31" t="s">
        <v>2591</v>
      </c>
      <c r="F2352" s="161">
        <v>46016.0</v>
      </c>
      <c r="G2352" s="58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5"/>
      <c r="C2353" s="31" t="s">
        <v>268</v>
      </c>
      <c r="D2353" s="32" t="s">
        <v>15</v>
      </c>
      <c r="E2353" s="31" t="s">
        <v>2592</v>
      </c>
      <c r="F2353" s="161">
        <v>46016.0</v>
      </c>
      <c r="G2353" s="58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5"/>
      <c r="C2354" s="31" t="s">
        <v>268</v>
      </c>
      <c r="D2354" s="32" t="s">
        <v>15</v>
      </c>
      <c r="E2354" s="31" t="s">
        <v>2593</v>
      </c>
      <c r="F2354" s="161">
        <v>46016.0</v>
      </c>
      <c r="G2354" s="58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5"/>
      <c r="C2355" s="31" t="s">
        <v>268</v>
      </c>
      <c r="D2355" s="32" t="s">
        <v>15</v>
      </c>
      <c r="E2355" s="31" t="s">
        <v>2594</v>
      </c>
      <c r="F2355" s="161">
        <v>46016.0</v>
      </c>
      <c r="G2355" s="58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5"/>
      <c r="C2356" s="31" t="s">
        <v>268</v>
      </c>
      <c r="D2356" s="32" t="s">
        <v>15</v>
      </c>
      <c r="E2356" s="31" t="s">
        <v>2595</v>
      </c>
      <c r="F2356" s="161">
        <v>46016.0</v>
      </c>
      <c r="G2356" s="58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5"/>
      <c r="C2357" s="31" t="s">
        <v>268</v>
      </c>
      <c r="D2357" s="32" t="s">
        <v>15</v>
      </c>
      <c r="E2357" s="31" t="s">
        <v>2596</v>
      </c>
      <c r="F2357" s="161">
        <v>46016.0</v>
      </c>
      <c r="G2357" s="58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5"/>
      <c r="C2358" s="31" t="s">
        <v>2597</v>
      </c>
      <c r="D2358" s="32" t="s">
        <v>15</v>
      </c>
      <c r="E2358" s="31" t="s">
        <v>2598</v>
      </c>
      <c r="F2358" s="161">
        <v>46016.0</v>
      </c>
      <c r="G2358" s="58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5"/>
      <c r="C2359" s="31" t="s">
        <v>2597</v>
      </c>
      <c r="D2359" s="32" t="s">
        <v>15</v>
      </c>
      <c r="E2359" s="31" t="s">
        <v>2599</v>
      </c>
      <c r="F2359" s="161">
        <v>46016.0</v>
      </c>
      <c r="G2359" s="58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5"/>
      <c r="C2360" s="31" t="s">
        <v>2597</v>
      </c>
      <c r="D2360" s="32" t="s">
        <v>15</v>
      </c>
      <c r="E2360" s="31" t="s">
        <v>2600</v>
      </c>
      <c r="F2360" s="161">
        <v>46016.0</v>
      </c>
      <c r="G2360" s="58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5"/>
      <c r="C2361" s="31" t="s">
        <v>2601</v>
      </c>
      <c r="D2361" s="32" t="s">
        <v>15</v>
      </c>
      <c r="E2361" s="31" t="s">
        <v>2602</v>
      </c>
      <c r="F2361" s="161">
        <v>46016.0</v>
      </c>
      <c r="G2361" s="58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5"/>
      <c r="C2362" s="31" t="s">
        <v>2601</v>
      </c>
      <c r="D2362" s="32" t="s">
        <v>15</v>
      </c>
      <c r="E2362" s="31" t="s">
        <v>2603</v>
      </c>
      <c r="F2362" s="161">
        <v>46016.0</v>
      </c>
      <c r="G2362" s="58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5"/>
      <c r="C2363" s="31" t="s">
        <v>2601</v>
      </c>
      <c r="D2363" s="32" t="s">
        <v>15</v>
      </c>
      <c r="E2363" s="31" t="s">
        <v>2604</v>
      </c>
      <c r="F2363" s="161">
        <v>46016.0</v>
      </c>
      <c r="G2363" s="58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5"/>
      <c r="C2364" s="31" t="s">
        <v>2601</v>
      </c>
      <c r="D2364" s="32" t="s">
        <v>15</v>
      </c>
      <c r="E2364" s="31" t="s">
        <v>2605</v>
      </c>
      <c r="F2364" s="161">
        <v>46016.0</v>
      </c>
      <c r="G2364" s="58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5"/>
      <c r="C2365" s="31" t="s">
        <v>2546</v>
      </c>
      <c r="D2365" s="32" t="s">
        <v>15</v>
      </c>
      <c r="E2365" s="31" t="s">
        <v>2606</v>
      </c>
      <c r="F2365" s="161">
        <v>46016.0</v>
      </c>
      <c r="G2365" s="58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5"/>
      <c r="C2366" s="31" t="s">
        <v>2546</v>
      </c>
      <c r="D2366" s="32" t="s">
        <v>15</v>
      </c>
      <c r="E2366" s="31" t="s">
        <v>2607</v>
      </c>
      <c r="F2366" s="161">
        <v>46016.0</v>
      </c>
      <c r="G2366" s="58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5"/>
      <c r="C2367" s="31" t="s">
        <v>268</v>
      </c>
      <c r="D2367" s="32" t="s">
        <v>15</v>
      </c>
      <c r="E2367" s="31" t="s">
        <v>2608</v>
      </c>
      <c r="F2367" s="161">
        <v>46016.0</v>
      </c>
      <c r="G2367" s="58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5"/>
      <c r="C2368" s="31" t="s">
        <v>268</v>
      </c>
      <c r="D2368" s="32" t="s">
        <v>15</v>
      </c>
      <c r="E2368" s="31" t="s">
        <v>2609</v>
      </c>
      <c r="F2368" s="161">
        <v>46016.0</v>
      </c>
      <c r="G2368" s="58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60"/>
      <c r="C2369" s="61" t="s">
        <v>969</v>
      </c>
      <c r="D2369" s="62" t="s">
        <v>15</v>
      </c>
      <c r="E2369" s="62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49"/>
      <c r="K2369" s="10">
        <f t="shared" si="4"/>
        <v>3337970.844</v>
      </c>
      <c r="L2369" s="47"/>
      <c r="M2369" s="50"/>
    </row>
    <row r="2370" ht="15.75" customHeight="1">
      <c r="A2370" s="115">
        <v>46022.0</v>
      </c>
      <c r="B2370" s="55"/>
      <c r="C2370" s="31" t="s">
        <v>807</v>
      </c>
      <c r="D2370" s="32" t="s">
        <v>15</v>
      </c>
      <c r="E2370" s="32" t="s">
        <v>2611</v>
      </c>
      <c r="F2370" s="161">
        <v>46016.0</v>
      </c>
      <c r="G2370" s="58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60"/>
      <c r="C2371" s="61" t="s">
        <v>969</v>
      </c>
      <c r="D2371" s="62" t="s">
        <v>15</v>
      </c>
      <c r="E2371" s="62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49"/>
      <c r="K2371" s="10">
        <f t="shared" si="4"/>
        <v>2211827.813</v>
      </c>
      <c r="L2371" s="47"/>
      <c r="M2371" s="50"/>
    </row>
    <row r="2372" ht="15.75" customHeight="1">
      <c r="A2372" s="115">
        <v>46022.0</v>
      </c>
      <c r="B2372" s="55"/>
      <c r="C2372" s="31" t="s">
        <v>2613</v>
      </c>
      <c r="D2372" s="32" t="s">
        <v>15</v>
      </c>
      <c r="E2372" s="32" t="s">
        <v>2614</v>
      </c>
      <c r="F2372" s="161">
        <v>46016.0</v>
      </c>
      <c r="G2372" s="58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5"/>
      <c r="C2373" s="31" t="s">
        <v>969</v>
      </c>
      <c r="D2373" s="32" t="s">
        <v>15</v>
      </c>
      <c r="E2373" s="32" t="s">
        <v>2615</v>
      </c>
      <c r="F2373" s="161">
        <v>46016.0</v>
      </c>
      <c r="G2373" s="58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60"/>
      <c r="C2374" s="61" t="s">
        <v>2616</v>
      </c>
      <c r="D2374" s="62" t="s">
        <v>15</v>
      </c>
      <c r="E2374" s="62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49"/>
      <c r="K2374" s="10">
        <f t="shared" si="4"/>
        <v>10776523.5</v>
      </c>
      <c r="L2374" s="47"/>
      <c r="M2374" s="50"/>
    </row>
    <row r="2375" ht="15.75" customHeight="1">
      <c r="A2375" s="115">
        <v>46022.0</v>
      </c>
      <c r="B2375" s="55"/>
      <c r="C2375" s="31" t="s">
        <v>2618</v>
      </c>
      <c r="D2375" s="32" t="s">
        <v>15</v>
      </c>
      <c r="E2375" s="32" t="s">
        <v>2619</v>
      </c>
      <c r="F2375" s="161">
        <v>46016.0</v>
      </c>
      <c r="G2375" s="58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5"/>
      <c r="C2376" s="31" t="s">
        <v>171</v>
      </c>
      <c r="D2376" s="32" t="s">
        <v>99</v>
      </c>
      <c r="E2376" s="31" t="s">
        <v>2620</v>
      </c>
      <c r="F2376" s="161">
        <v>46048.0</v>
      </c>
      <c r="G2376" s="58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5"/>
      <c r="C2377" s="31" t="s">
        <v>171</v>
      </c>
      <c r="D2377" s="32" t="s">
        <v>99</v>
      </c>
      <c r="E2377" s="31" t="s">
        <v>2621</v>
      </c>
      <c r="F2377" s="161">
        <v>46048.0</v>
      </c>
      <c r="G2377" s="58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5"/>
      <c r="C2378" s="31" t="s">
        <v>171</v>
      </c>
      <c r="D2378" s="32" t="s">
        <v>99</v>
      </c>
      <c r="E2378" s="31" t="s">
        <v>2622</v>
      </c>
      <c r="F2378" s="161">
        <v>46048.0</v>
      </c>
      <c r="G2378" s="58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5"/>
      <c r="C2379" s="31" t="s">
        <v>171</v>
      </c>
      <c r="D2379" s="32" t="s">
        <v>15</v>
      </c>
      <c r="E2379" s="31" t="s">
        <v>2623</v>
      </c>
      <c r="F2379" s="161">
        <v>46048.0</v>
      </c>
      <c r="G2379" s="58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5"/>
      <c r="C2380" s="31" t="s">
        <v>171</v>
      </c>
      <c r="D2380" s="32" t="s">
        <v>99</v>
      </c>
      <c r="E2380" s="31" t="s">
        <v>2624</v>
      </c>
      <c r="F2380" s="161">
        <v>46048.0</v>
      </c>
      <c r="G2380" s="58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5"/>
      <c r="C2381" s="31" t="s">
        <v>171</v>
      </c>
      <c r="D2381" s="32" t="s">
        <v>15</v>
      </c>
      <c r="E2381" s="31" t="s">
        <v>2625</v>
      </c>
      <c r="F2381" s="161">
        <v>46048.0</v>
      </c>
      <c r="G2381" s="58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5"/>
      <c r="C2382" s="31" t="s">
        <v>171</v>
      </c>
      <c r="D2382" s="32" t="s">
        <v>15</v>
      </c>
      <c r="E2382" s="31" t="s">
        <v>2626</v>
      </c>
      <c r="F2382" s="161">
        <v>46048.0</v>
      </c>
      <c r="G2382" s="58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5"/>
      <c r="C2383" s="31" t="s">
        <v>171</v>
      </c>
      <c r="D2383" s="32" t="s">
        <v>15</v>
      </c>
      <c r="E2383" s="31" t="s">
        <v>2627</v>
      </c>
      <c r="F2383" s="161">
        <v>46048.0</v>
      </c>
      <c r="G2383" s="58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5"/>
      <c r="C2384" s="31" t="s">
        <v>2221</v>
      </c>
      <c r="D2384" s="32" t="s">
        <v>99</v>
      </c>
      <c r="E2384" s="31" t="s">
        <v>2628</v>
      </c>
      <c r="F2384" s="161">
        <v>46048.0</v>
      </c>
      <c r="G2384" s="58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5"/>
      <c r="C2385" s="31" t="s">
        <v>2221</v>
      </c>
      <c r="D2385" s="32" t="s">
        <v>99</v>
      </c>
      <c r="E2385" s="31" t="s">
        <v>2629</v>
      </c>
      <c r="F2385" s="161">
        <v>46048.0</v>
      </c>
      <c r="G2385" s="58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5"/>
      <c r="C2386" s="31" t="s">
        <v>2221</v>
      </c>
      <c r="D2386" s="32" t="s">
        <v>99</v>
      </c>
      <c r="E2386" s="31" t="s">
        <v>2630</v>
      </c>
      <c r="F2386" s="161">
        <v>46048.0</v>
      </c>
      <c r="G2386" s="58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5"/>
      <c r="C2387" s="31" t="s">
        <v>2221</v>
      </c>
      <c r="D2387" s="32" t="s">
        <v>99</v>
      </c>
      <c r="E2387" s="31" t="s">
        <v>2631</v>
      </c>
      <c r="F2387" s="161">
        <v>46048.0</v>
      </c>
      <c r="G2387" s="58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5"/>
      <c r="C2388" s="31" t="s">
        <v>2221</v>
      </c>
      <c r="D2388" s="32" t="s">
        <v>99</v>
      </c>
      <c r="E2388" s="31" t="s">
        <v>2632</v>
      </c>
      <c r="F2388" s="161">
        <v>46048.0</v>
      </c>
      <c r="G2388" s="58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60"/>
      <c r="C2389" s="61" t="s">
        <v>969</v>
      </c>
      <c r="D2389" s="120" t="s">
        <v>2633</v>
      </c>
      <c r="E2389" s="62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49"/>
      <c r="K2389" s="10">
        <f t="shared" si="4"/>
        <v>29671136</v>
      </c>
      <c r="L2389" s="47"/>
      <c r="M2389" s="50"/>
    </row>
    <row r="2390" ht="15.75" customHeight="1">
      <c r="A2390" s="162">
        <v>46028.0</v>
      </c>
      <c r="B2390" s="55"/>
      <c r="C2390" s="31" t="s">
        <v>1112</v>
      </c>
      <c r="D2390" s="32" t="s">
        <v>15</v>
      </c>
      <c r="E2390" s="31" t="s">
        <v>2635</v>
      </c>
      <c r="F2390" s="161">
        <v>46048.0</v>
      </c>
      <c r="G2390" s="58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5"/>
      <c r="C2391" s="31" t="s">
        <v>1112</v>
      </c>
      <c r="D2391" s="32" t="s">
        <v>99</v>
      </c>
      <c r="E2391" s="32" t="s">
        <v>2636</v>
      </c>
      <c r="F2391" s="161">
        <v>46048.0</v>
      </c>
      <c r="G2391" s="58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5"/>
      <c r="C2392" s="31" t="s">
        <v>1842</v>
      </c>
      <c r="D2392" s="32" t="s">
        <v>15</v>
      </c>
      <c r="E2392" s="31" t="s">
        <v>2637</v>
      </c>
      <c r="F2392" s="161">
        <v>46048.0</v>
      </c>
      <c r="G2392" s="58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5"/>
      <c r="C2393" s="31" t="s">
        <v>1136</v>
      </c>
      <c r="D2393" s="32" t="s">
        <v>15</v>
      </c>
      <c r="E2393" s="31" t="s">
        <v>2638</v>
      </c>
      <c r="F2393" s="161">
        <v>46048.0</v>
      </c>
      <c r="G2393" s="58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5"/>
      <c r="C2394" s="31" t="s">
        <v>1136</v>
      </c>
      <c r="D2394" s="32" t="s">
        <v>15</v>
      </c>
      <c r="E2394" s="31" t="s">
        <v>2639</v>
      </c>
      <c r="F2394" s="161">
        <v>46048.0</v>
      </c>
      <c r="G2394" s="58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5"/>
      <c r="C2395" s="31" t="s">
        <v>1136</v>
      </c>
      <c r="D2395" s="32" t="s">
        <v>15</v>
      </c>
      <c r="E2395" s="31" t="s">
        <v>2640</v>
      </c>
      <c r="F2395" s="161">
        <v>46048.0</v>
      </c>
      <c r="G2395" s="58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5"/>
      <c r="C2396" s="31" t="s">
        <v>1136</v>
      </c>
      <c r="D2396" s="32" t="s">
        <v>99</v>
      </c>
      <c r="E2396" s="31" t="s">
        <v>2641</v>
      </c>
      <c r="F2396" s="161">
        <v>46048.0</v>
      </c>
      <c r="G2396" s="58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5"/>
      <c r="C2397" s="31" t="s">
        <v>1136</v>
      </c>
      <c r="D2397" s="32" t="s">
        <v>99</v>
      </c>
      <c r="E2397" s="31" t="s">
        <v>2642</v>
      </c>
      <c r="F2397" s="161">
        <v>46048.0</v>
      </c>
      <c r="G2397" s="58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5"/>
      <c r="C2398" s="31" t="s">
        <v>168</v>
      </c>
      <c r="D2398" s="32" t="s">
        <v>99</v>
      </c>
      <c r="E2398" s="31" t="s">
        <v>2643</v>
      </c>
      <c r="F2398" s="161">
        <v>46048.0</v>
      </c>
      <c r="G2398" s="58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5"/>
      <c r="C2399" s="31" t="s">
        <v>16</v>
      </c>
      <c r="D2399" s="32" t="s">
        <v>99</v>
      </c>
      <c r="E2399" s="31" t="s">
        <v>2644</v>
      </c>
      <c r="F2399" s="161">
        <v>46048.0</v>
      </c>
      <c r="G2399" s="58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5"/>
      <c r="C2400" s="31" t="s">
        <v>1858</v>
      </c>
      <c r="D2400" s="32" t="s">
        <v>99</v>
      </c>
      <c r="E2400" s="31" t="s">
        <v>2645</v>
      </c>
      <c r="F2400" s="161">
        <v>46048.0</v>
      </c>
      <c r="G2400" s="58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5"/>
      <c r="C2401" s="31" t="s">
        <v>1858</v>
      </c>
      <c r="D2401" s="32" t="s">
        <v>99</v>
      </c>
      <c r="E2401" s="31" t="s">
        <v>2646</v>
      </c>
      <c r="F2401" s="161">
        <v>46048.0</v>
      </c>
      <c r="G2401" s="58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5"/>
      <c r="C2402" s="31" t="s">
        <v>1858</v>
      </c>
      <c r="D2402" s="32" t="s">
        <v>15</v>
      </c>
      <c r="E2402" s="31" t="s">
        <v>2647</v>
      </c>
      <c r="F2402" s="161">
        <v>46048.0</v>
      </c>
      <c r="G2402" s="58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5"/>
      <c r="C2403" s="31" t="s">
        <v>1861</v>
      </c>
      <c r="D2403" s="32" t="s">
        <v>99</v>
      </c>
      <c r="E2403" s="31" t="s">
        <v>2648</v>
      </c>
      <c r="F2403" s="161">
        <v>46048.0</v>
      </c>
      <c r="G2403" s="58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5"/>
      <c r="C2404" s="31" t="s">
        <v>1861</v>
      </c>
      <c r="D2404" s="32" t="s">
        <v>99</v>
      </c>
      <c r="E2404" s="31" t="s">
        <v>2650</v>
      </c>
      <c r="F2404" s="161">
        <v>46048.0</v>
      </c>
      <c r="G2404" s="58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5"/>
      <c r="C2405" s="31" t="s">
        <v>1861</v>
      </c>
      <c r="D2405" s="32" t="s">
        <v>15</v>
      </c>
      <c r="E2405" s="31" t="s">
        <v>2651</v>
      </c>
      <c r="F2405" s="161">
        <v>46048.0</v>
      </c>
      <c r="G2405" s="58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5"/>
      <c r="C2406" s="31" t="s">
        <v>1854</v>
      </c>
      <c r="D2406" s="32" t="s">
        <v>15</v>
      </c>
      <c r="E2406" s="31" t="s">
        <v>2653</v>
      </c>
      <c r="F2406" s="161">
        <v>46048.0</v>
      </c>
      <c r="G2406" s="58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5"/>
      <c r="C2407" s="31" t="s">
        <v>1854</v>
      </c>
      <c r="D2407" s="32" t="s">
        <v>15</v>
      </c>
      <c r="E2407" s="31" t="s">
        <v>2654</v>
      </c>
      <c r="F2407" s="161">
        <v>46048.0</v>
      </c>
      <c r="G2407" s="58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5"/>
      <c r="C2408" s="31" t="s">
        <v>1854</v>
      </c>
      <c r="D2408" s="32" t="s">
        <v>15</v>
      </c>
      <c r="E2408" s="31" t="s">
        <v>2655</v>
      </c>
      <c r="F2408" s="161">
        <v>46048.0</v>
      </c>
      <c r="G2408" s="58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5"/>
      <c r="C2409" s="31" t="s">
        <v>1854</v>
      </c>
      <c r="D2409" s="32" t="s">
        <v>99</v>
      </c>
      <c r="E2409" s="31" t="s">
        <v>2656</v>
      </c>
      <c r="F2409" s="161">
        <v>46048.0</v>
      </c>
      <c r="G2409" s="58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5"/>
      <c r="C2410" s="31" t="s">
        <v>1854</v>
      </c>
      <c r="D2410" s="32" t="s">
        <v>99</v>
      </c>
      <c r="E2410" s="31" t="s">
        <v>2657</v>
      </c>
      <c r="F2410" s="161">
        <v>46048.0</v>
      </c>
      <c r="G2410" s="58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5"/>
      <c r="C2411" s="31" t="s">
        <v>1842</v>
      </c>
      <c r="D2411" s="32" t="s">
        <v>99</v>
      </c>
      <c r="E2411" s="31" t="s">
        <v>2658</v>
      </c>
      <c r="F2411" s="161">
        <v>46048.0</v>
      </c>
      <c r="G2411" s="58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5"/>
      <c r="C2412" s="31" t="s">
        <v>247</v>
      </c>
      <c r="D2412" s="32" t="s">
        <v>15</v>
      </c>
      <c r="E2412" s="31" t="s">
        <v>2659</v>
      </c>
      <c r="F2412" s="161">
        <v>46048.0</v>
      </c>
      <c r="G2412" s="58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5"/>
      <c r="C2413" s="31" t="s">
        <v>247</v>
      </c>
      <c r="D2413" s="32" t="s">
        <v>15</v>
      </c>
      <c r="E2413" s="31" t="s">
        <v>2660</v>
      </c>
      <c r="F2413" s="161">
        <v>46048.0</v>
      </c>
      <c r="G2413" s="58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5"/>
      <c r="C2414" s="31" t="s">
        <v>1183</v>
      </c>
      <c r="D2414" s="32" t="s">
        <v>15</v>
      </c>
      <c r="E2414" s="31" t="s">
        <v>2661</v>
      </c>
      <c r="F2414" s="161">
        <v>46048.0</v>
      </c>
      <c r="G2414" s="58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5"/>
      <c r="C2415" s="31" t="s">
        <v>1183</v>
      </c>
      <c r="D2415" s="32" t="s">
        <v>15</v>
      </c>
      <c r="E2415" s="31" t="s">
        <v>2662</v>
      </c>
      <c r="F2415" s="161">
        <v>46048.0</v>
      </c>
      <c r="G2415" s="58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5"/>
      <c r="C2416" s="31" t="s">
        <v>1183</v>
      </c>
      <c r="D2416" s="32" t="s">
        <v>15</v>
      </c>
      <c r="E2416" s="31" t="s">
        <v>2663</v>
      </c>
      <c r="F2416" s="161">
        <v>46048.0</v>
      </c>
      <c r="G2416" s="58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5"/>
      <c r="C2417" s="31" t="s">
        <v>1183</v>
      </c>
      <c r="D2417" s="32" t="s">
        <v>15</v>
      </c>
      <c r="E2417" s="31" t="s">
        <v>2664</v>
      </c>
      <c r="F2417" s="161">
        <v>46048.0</v>
      </c>
      <c r="G2417" s="58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5"/>
      <c r="C2418" s="31" t="s">
        <v>1183</v>
      </c>
      <c r="D2418" s="32" t="s">
        <v>15</v>
      </c>
      <c r="E2418" s="31" t="s">
        <v>2665</v>
      </c>
      <c r="F2418" s="161">
        <v>46048.0</v>
      </c>
      <c r="G2418" s="58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5"/>
      <c r="C2419" s="31" t="s">
        <v>1183</v>
      </c>
      <c r="D2419" s="32" t="s">
        <v>15</v>
      </c>
      <c r="E2419" s="31" t="s">
        <v>2666</v>
      </c>
      <c r="F2419" s="161">
        <v>46048.0</v>
      </c>
      <c r="G2419" s="58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5"/>
      <c r="C2420" s="31" t="s">
        <v>1136</v>
      </c>
      <c r="D2420" s="32" t="s">
        <v>99</v>
      </c>
      <c r="E2420" s="31" t="s">
        <v>2667</v>
      </c>
      <c r="F2420" s="161">
        <v>46048.0</v>
      </c>
      <c r="G2420" s="58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5"/>
      <c r="C2421" s="31" t="s">
        <v>1136</v>
      </c>
      <c r="D2421" s="32" t="s">
        <v>15</v>
      </c>
      <c r="E2421" s="31" t="s">
        <v>2668</v>
      </c>
      <c r="F2421" s="161">
        <v>46048.0</v>
      </c>
      <c r="G2421" s="58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5"/>
      <c r="C2422" s="31" t="s">
        <v>567</v>
      </c>
      <c r="D2422" s="32" t="s">
        <v>15</v>
      </c>
      <c r="E2422" s="31" t="s">
        <v>2669</v>
      </c>
      <c r="F2422" s="161">
        <v>46048.0</v>
      </c>
      <c r="G2422" s="58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5"/>
      <c r="C2423" s="31" t="s">
        <v>567</v>
      </c>
      <c r="D2423" s="32" t="s">
        <v>15</v>
      </c>
      <c r="E2423" s="31" t="s">
        <v>2670</v>
      </c>
      <c r="F2423" s="161">
        <v>46048.0</v>
      </c>
      <c r="G2423" s="58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5"/>
      <c r="C2424" s="31" t="s">
        <v>567</v>
      </c>
      <c r="D2424" s="32" t="s">
        <v>15</v>
      </c>
      <c r="E2424" s="31" t="s">
        <v>2671</v>
      </c>
      <c r="F2424" s="161">
        <v>46048.0</v>
      </c>
      <c r="G2424" s="58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5"/>
      <c r="C2425" s="31" t="s">
        <v>567</v>
      </c>
      <c r="D2425" s="32" t="s">
        <v>99</v>
      </c>
      <c r="E2425" s="31" t="s">
        <v>2672</v>
      </c>
      <c r="F2425" s="161">
        <v>46048.0</v>
      </c>
      <c r="G2425" s="58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5"/>
      <c r="C2426" s="31" t="s">
        <v>567</v>
      </c>
      <c r="D2426" s="32" t="s">
        <v>99</v>
      </c>
      <c r="E2426" s="31" t="s">
        <v>2673</v>
      </c>
      <c r="F2426" s="161">
        <v>46048.0</v>
      </c>
      <c r="G2426" s="58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5"/>
      <c r="C2427" s="31" t="s">
        <v>567</v>
      </c>
      <c r="D2427" s="32" t="s">
        <v>99</v>
      </c>
      <c r="E2427" s="31" t="s">
        <v>2674</v>
      </c>
      <c r="F2427" s="161">
        <v>46048.0</v>
      </c>
      <c r="G2427" s="58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5"/>
      <c r="C2428" s="31" t="s">
        <v>567</v>
      </c>
      <c r="D2428" s="32" t="s">
        <v>99</v>
      </c>
      <c r="E2428" s="31" t="s">
        <v>2675</v>
      </c>
      <c r="F2428" s="161">
        <v>46048.0</v>
      </c>
      <c r="G2428" s="58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5"/>
      <c r="C2429" s="31" t="s">
        <v>567</v>
      </c>
      <c r="D2429" s="32" t="s">
        <v>99</v>
      </c>
      <c r="E2429" s="31" t="s">
        <v>2676</v>
      </c>
      <c r="F2429" s="161">
        <v>46048.0</v>
      </c>
      <c r="G2429" s="58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5"/>
      <c r="C2430" s="31" t="s">
        <v>211</v>
      </c>
      <c r="D2430" s="32" t="s">
        <v>99</v>
      </c>
      <c r="E2430" s="31" t="s">
        <v>2677</v>
      </c>
      <c r="F2430" s="161">
        <v>46048.0</v>
      </c>
      <c r="G2430" s="58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5"/>
      <c r="C2431" s="31" t="s">
        <v>211</v>
      </c>
      <c r="D2431" s="32" t="s">
        <v>99</v>
      </c>
      <c r="E2431" s="31" t="s">
        <v>2678</v>
      </c>
      <c r="F2431" s="161">
        <v>46048.0</v>
      </c>
      <c r="G2431" s="58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60"/>
      <c r="C2432" s="120" t="s">
        <v>2054</v>
      </c>
      <c r="D2432" s="62" t="s">
        <v>2679</v>
      </c>
      <c r="E2432" s="62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47"/>
      <c r="M2432" s="50"/>
      <c r="Z2432" s="143" t="s">
        <v>2681</v>
      </c>
    </row>
    <row r="2433" ht="15.75" customHeight="1">
      <c r="A2433" s="162">
        <v>46037.0</v>
      </c>
      <c r="B2433" s="55"/>
      <c r="C2433" s="31" t="s">
        <v>1283</v>
      </c>
      <c r="D2433" s="32" t="s">
        <v>99</v>
      </c>
      <c r="E2433" s="31" t="s">
        <v>2682</v>
      </c>
      <c r="F2433" s="161">
        <v>46048.0</v>
      </c>
      <c r="G2433" s="58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5"/>
      <c r="C2434" s="31" t="s">
        <v>1283</v>
      </c>
      <c r="D2434" s="32" t="s">
        <v>15</v>
      </c>
      <c r="E2434" s="31" t="s">
        <v>2683</v>
      </c>
      <c r="F2434" s="161">
        <v>46048.0</v>
      </c>
      <c r="G2434" s="58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5"/>
      <c r="C2435" s="31" t="s">
        <v>146</v>
      </c>
      <c r="D2435" s="32" t="s">
        <v>99</v>
      </c>
      <c r="E2435" s="31" t="s">
        <v>2684</v>
      </c>
      <c r="F2435" s="161">
        <v>46048.0</v>
      </c>
      <c r="G2435" s="58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5"/>
      <c r="C2436" s="31" t="s">
        <v>146</v>
      </c>
      <c r="D2436" s="32" t="s">
        <v>99</v>
      </c>
      <c r="E2436" s="31" t="s">
        <v>2685</v>
      </c>
      <c r="F2436" s="161">
        <v>46048.0</v>
      </c>
      <c r="G2436" s="58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5"/>
      <c r="C2437" s="31" t="s">
        <v>1275</v>
      </c>
      <c r="D2437" s="32" t="s">
        <v>99</v>
      </c>
      <c r="E2437" s="31" t="s">
        <v>2686</v>
      </c>
      <c r="F2437" s="161">
        <v>46048.0</v>
      </c>
      <c r="G2437" s="58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5"/>
      <c r="C2438" s="31" t="s">
        <v>1275</v>
      </c>
      <c r="D2438" s="32" t="s">
        <v>15</v>
      </c>
      <c r="E2438" s="31" t="s">
        <v>2687</v>
      </c>
      <c r="F2438" s="161">
        <v>46048.0</v>
      </c>
      <c r="G2438" s="58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5"/>
      <c r="C2439" s="31" t="s">
        <v>1277</v>
      </c>
      <c r="D2439" s="32" t="s">
        <v>99</v>
      </c>
      <c r="E2439" s="31" t="s">
        <v>2688</v>
      </c>
      <c r="F2439" s="161">
        <v>46048.0</v>
      </c>
      <c r="G2439" s="58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5"/>
      <c r="C2440" s="31" t="s">
        <v>1277</v>
      </c>
      <c r="D2440" s="32" t="s">
        <v>15</v>
      </c>
      <c r="E2440" s="31" t="s">
        <v>2689</v>
      </c>
      <c r="F2440" s="161">
        <v>46048.0</v>
      </c>
      <c r="G2440" s="58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5"/>
      <c r="C2441" s="31" t="s">
        <v>1279</v>
      </c>
      <c r="D2441" s="32" t="s">
        <v>99</v>
      </c>
      <c r="E2441" s="31" t="s">
        <v>2690</v>
      </c>
      <c r="F2441" s="161">
        <v>46048.0</v>
      </c>
      <c r="G2441" s="58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5"/>
      <c r="C2442" s="31" t="s">
        <v>1279</v>
      </c>
      <c r="D2442" s="32" t="s">
        <v>15</v>
      </c>
      <c r="E2442" s="31" t="s">
        <v>2691</v>
      </c>
      <c r="F2442" s="161">
        <v>46048.0</v>
      </c>
      <c r="G2442" s="58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5"/>
      <c r="C2443" s="31" t="s">
        <v>1281</v>
      </c>
      <c r="D2443" s="32" t="s">
        <v>99</v>
      </c>
      <c r="E2443" s="31" t="s">
        <v>2692</v>
      </c>
      <c r="F2443" s="161">
        <v>46048.0</v>
      </c>
      <c r="G2443" s="58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5"/>
      <c r="C2444" s="31" t="s">
        <v>1281</v>
      </c>
      <c r="D2444" s="32" t="s">
        <v>15</v>
      </c>
      <c r="E2444" s="31" t="s">
        <v>2693</v>
      </c>
      <c r="F2444" s="161">
        <v>46048.0</v>
      </c>
      <c r="G2444" s="58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5"/>
      <c r="C2445" s="31" t="s">
        <v>1312</v>
      </c>
      <c r="D2445" s="32" t="s">
        <v>99</v>
      </c>
      <c r="E2445" s="31" t="s">
        <v>2694</v>
      </c>
      <c r="F2445" s="161">
        <v>46048.0</v>
      </c>
      <c r="G2445" s="58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5"/>
      <c r="C2446" s="31" t="s">
        <v>1312</v>
      </c>
      <c r="D2446" s="32" t="s">
        <v>15</v>
      </c>
      <c r="E2446" s="31" t="s">
        <v>2695</v>
      </c>
      <c r="F2446" s="161">
        <v>46048.0</v>
      </c>
      <c r="G2446" s="58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5"/>
      <c r="C2447" s="31" t="s">
        <v>64</v>
      </c>
      <c r="D2447" s="32" t="s">
        <v>99</v>
      </c>
      <c r="E2447" s="31" t="s">
        <v>2696</v>
      </c>
      <c r="F2447" s="161">
        <v>46048.0</v>
      </c>
      <c r="G2447" s="58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5"/>
      <c r="C2448" s="31" t="s">
        <v>64</v>
      </c>
      <c r="D2448" s="32" t="s">
        <v>15</v>
      </c>
      <c r="E2448" s="31" t="s">
        <v>2697</v>
      </c>
      <c r="F2448" s="161">
        <v>46048.0</v>
      </c>
      <c r="G2448" s="58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5"/>
      <c r="C2449" s="31" t="s">
        <v>1719</v>
      </c>
      <c r="D2449" s="32" t="s">
        <v>99</v>
      </c>
      <c r="E2449" s="31" t="s">
        <v>2698</v>
      </c>
      <c r="F2449" s="161">
        <v>46048.0</v>
      </c>
      <c r="G2449" s="58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5"/>
      <c r="C2450" s="31" t="s">
        <v>1842</v>
      </c>
      <c r="D2450" s="32" t="s">
        <v>15</v>
      </c>
      <c r="E2450" s="31" t="s">
        <v>2699</v>
      </c>
      <c r="F2450" s="161">
        <v>46048.0</v>
      </c>
      <c r="G2450" s="58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5"/>
      <c r="C2451" s="31" t="s">
        <v>2318</v>
      </c>
      <c r="D2451" s="32" t="s">
        <v>99</v>
      </c>
      <c r="E2451" s="31" t="s">
        <v>2700</v>
      </c>
      <c r="F2451" s="161">
        <v>46048.0</v>
      </c>
      <c r="G2451" s="58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5"/>
      <c r="C2452" s="31" t="s">
        <v>2318</v>
      </c>
      <c r="D2452" s="32" t="s">
        <v>99</v>
      </c>
      <c r="E2452" s="31" t="s">
        <v>2701</v>
      </c>
      <c r="F2452" s="161">
        <v>46048.0</v>
      </c>
      <c r="G2452" s="58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5"/>
      <c r="C2453" s="31" t="s">
        <v>2318</v>
      </c>
      <c r="D2453" s="32" t="s">
        <v>99</v>
      </c>
      <c r="E2453" s="31" t="s">
        <v>2702</v>
      </c>
      <c r="F2453" s="161">
        <v>46048.0</v>
      </c>
      <c r="G2453" s="58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5"/>
      <c r="C2454" s="31" t="s">
        <v>2318</v>
      </c>
      <c r="D2454" s="32" t="s">
        <v>99</v>
      </c>
      <c r="E2454" s="31" t="s">
        <v>2703</v>
      </c>
      <c r="F2454" s="161">
        <v>46048.0</v>
      </c>
      <c r="G2454" s="58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5"/>
      <c r="C2455" s="31" t="s">
        <v>2318</v>
      </c>
      <c r="D2455" s="32" t="s">
        <v>99</v>
      </c>
      <c r="E2455" s="31" t="s">
        <v>2704</v>
      </c>
      <c r="F2455" s="161">
        <v>46048.0</v>
      </c>
      <c r="G2455" s="58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5"/>
      <c r="C2456" s="31" t="s">
        <v>2318</v>
      </c>
      <c r="D2456" s="32" t="s">
        <v>15</v>
      </c>
      <c r="E2456" s="31" t="s">
        <v>2705</v>
      </c>
      <c r="F2456" s="161">
        <v>46048.0</v>
      </c>
      <c r="G2456" s="58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5"/>
      <c r="C2457" s="31" t="s">
        <v>2318</v>
      </c>
      <c r="D2457" s="32" t="s">
        <v>15</v>
      </c>
      <c r="E2457" s="31" t="s">
        <v>2706</v>
      </c>
      <c r="F2457" s="161">
        <v>46048.0</v>
      </c>
      <c r="G2457" s="58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5"/>
      <c r="C2458" s="31" t="s">
        <v>2318</v>
      </c>
      <c r="D2458" s="32" t="s">
        <v>15</v>
      </c>
      <c r="E2458" s="31" t="s">
        <v>2707</v>
      </c>
      <c r="F2458" s="161">
        <v>46048.0</v>
      </c>
      <c r="G2458" s="58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5"/>
      <c r="C2459" s="31" t="s">
        <v>2318</v>
      </c>
      <c r="D2459" s="32" t="s">
        <v>15</v>
      </c>
      <c r="E2459" s="31" t="s">
        <v>2708</v>
      </c>
      <c r="F2459" s="161">
        <v>46048.0</v>
      </c>
      <c r="G2459" s="58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5"/>
      <c r="C2460" s="31" t="s">
        <v>2318</v>
      </c>
      <c r="D2460" s="32" t="s">
        <v>15</v>
      </c>
      <c r="E2460" s="31" t="s">
        <v>2709</v>
      </c>
      <c r="F2460" s="161">
        <v>46048.0</v>
      </c>
      <c r="G2460" s="58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5"/>
      <c r="C2461" s="31" t="s">
        <v>2318</v>
      </c>
      <c r="D2461" s="31" t="s">
        <v>77</v>
      </c>
      <c r="E2461" s="31" t="s">
        <v>2710</v>
      </c>
      <c r="F2461" s="161">
        <v>46048.0</v>
      </c>
      <c r="G2461" s="58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5"/>
      <c r="C2462" s="31" t="s">
        <v>2318</v>
      </c>
      <c r="D2462" s="31" t="s">
        <v>77</v>
      </c>
      <c r="E2462" s="31" t="s">
        <v>2711</v>
      </c>
      <c r="F2462" s="161">
        <v>46048.0</v>
      </c>
      <c r="G2462" s="58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5"/>
      <c r="C2463" s="31" t="s">
        <v>2318</v>
      </c>
      <c r="D2463" s="31" t="s">
        <v>77</v>
      </c>
      <c r="E2463" s="31" t="s">
        <v>2712</v>
      </c>
      <c r="F2463" s="161">
        <v>46048.0</v>
      </c>
      <c r="G2463" s="58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5"/>
      <c r="C2464" s="31" t="s">
        <v>2318</v>
      </c>
      <c r="D2464" s="31" t="s">
        <v>77</v>
      </c>
      <c r="E2464" s="31" t="s">
        <v>2713</v>
      </c>
      <c r="F2464" s="161">
        <v>46048.0</v>
      </c>
      <c r="G2464" s="58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5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8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5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8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5"/>
      <c r="C2467" s="31" t="s">
        <v>410</v>
      </c>
      <c r="D2467" s="32" t="s">
        <v>99</v>
      </c>
      <c r="E2467" s="31" t="s">
        <v>2717</v>
      </c>
      <c r="F2467" s="161">
        <v>46048.0</v>
      </c>
      <c r="G2467" s="58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5"/>
      <c r="C2468" s="31" t="s">
        <v>410</v>
      </c>
      <c r="D2468" s="32" t="s">
        <v>15</v>
      </c>
      <c r="E2468" s="31" t="s">
        <v>2718</v>
      </c>
      <c r="F2468" s="161">
        <v>46048.0</v>
      </c>
      <c r="G2468" s="58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5"/>
      <c r="C2469" s="31" t="s">
        <v>159</v>
      </c>
      <c r="D2469" s="32" t="s">
        <v>15</v>
      </c>
      <c r="E2469" s="31" t="s">
        <v>2719</v>
      </c>
      <c r="F2469" s="161">
        <v>46048.0</v>
      </c>
      <c r="G2469" s="58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5"/>
      <c r="C2470" s="31" t="s">
        <v>159</v>
      </c>
      <c r="D2470" s="32" t="s">
        <v>99</v>
      </c>
      <c r="E2470" s="31" t="s">
        <v>2720</v>
      </c>
      <c r="F2470" s="161">
        <v>46048.0</v>
      </c>
      <c r="G2470" s="58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5"/>
      <c r="C2471" s="31" t="s">
        <v>417</v>
      </c>
      <c r="D2471" s="32" t="s">
        <v>15</v>
      </c>
      <c r="E2471" s="31" t="s">
        <v>2721</v>
      </c>
      <c r="F2471" s="161">
        <v>46048.0</v>
      </c>
      <c r="G2471" s="58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5"/>
      <c r="C2472" s="31" t="s">
        <v>417</v>
      </c>
      <c r="D2472" s="32" t="s">
        <v>15</v>
      </c>
      <c r="E2472" s="31" t="s">
        <v>2722</v>
      </c>
      <c r="F2472" s="161">
        <v>46048.0</v>
      </c>
      <c r="G2472" s="58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5"/>
      <c r="C2473" s="31" t="s">
        <v>417</v>
      </c>
      <c r="D2473" s="32" t="s">
        <v>99</v>
      </c>
      <c r="E2473" s="31" t="s">
        <v>2723</v>
      </c>
      <c r="F2473" s="161">
        <v>46048.0</v>
      </c>
      <c r="G2473" s="58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5"/>
      <c r="C2474" s="31" t="s">
        <v>417</v>
      </c>
      <c r="D2474" s="32" t="s">
        <v>99</v>
      </c>
      <c r="E2474" s="32" t="s">
        <v>2724</v>
      </c>
      <c r="F2474" s="161">
        <v>46048.0</v>
      </c>
      <c r="G2474" s="58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5"/>
      <c r="C2475" s="31" t="s">
        <v>2495</v>
      </c>
      <c r="D2475" s="32" t="s">
        <v>99</v>
      </c>
      <c r="E2475" s="31" t="s">
        <v>2725</v>
      </c>
      <c r="F2475" s="161">
        <v>46048.0</v>
      </c>
      <c r="G2475" s="58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5"/>
      <c r="C2476" s="31" t="s">
        <v>2495</v>
      </c>
      <c r="D2476" s="32" t="s">
        <v>99</v>
      </c>
      <c r="E2476" s="31" t="s">
        <v>2726</v>
      </c>
      <c r="F2476" s="161">
        <v>46048.0</v>
      </c>
      <c r="G2476" s="58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5"/>
      <c r="C2477" s="31" t="s">
        <v>2495</v>
      </c>
      <c r="D2477" s="32" t="s">
        <v>99</v>
      </c>
      <c r="E2477" s="31" t="s">
        <v>2727</v>
      </c>
      <c r="F2477" s="161">
        <v>46048.0</v>
      </c>
      <c r="G2477" s="58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5"/>
      <c r="C2478" s="31" t="s">
        <v>2221</v>
      </c>
      <c r="D2478" s="32" t="s">
        <v>99</v>
      </c>
      <c r="E2478" s="31" t="s">
        <v>2728</v>
      </c>
      <c r="F2478" s="161">
        <v>46048.0</v>
      </c>
      <c r="G2478" s="58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5"/>
      <c r="C2479" s="31" t="s">
        <v>2221</v>
      </c>
      <c r="D2479" s="32" t="s">
        <v>99</v>
      </c>
      <c r="E2479" s="31" t="s">
        <v>2729</v>
      </c>
      <c r="F2479" s="161">
        <v>46048.0</v>
      </c>
      <c r="G2479" s="58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5"/>
      <c r="C2480" s="31" t="s">
        <v>2221</v>
      </c>
      <c r="D2480" s="32" t="s">
        <v>99</v>
      </c>
      <c r="E2480" s="31" t="s">
        <v>2730</v>
      </c>
      <c r="F2480" s="161">
        <v>46048.0</v>
      </c>
      <c r="G2480" s="58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5"/>
      <c r="C2481" s="31" t="s">
        <v>2221</v>
      </c>
      <c r="D2481" s="32" t="s">
        <v>99</v>
      </c>
      <c r="E2481" s="31" t="s">
        <v>2731</v>
      </c>
      <c r="F2481" s="161">
        <v>46048.0</v>
      </c>
      <c r="G2481" s="58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5"/>
      <c r="C2482" s="31" t="s">
        <v>2221</v>
      </c>
      <c r="D2482" s="32" t="s">
        <v>99</v>
      </c>
      <c r="E2482" s="31" t="s">
        <v>2732</v>
      </c>
      <c r="F2482" s="161">
        <v>46048.0</v>
      </c>
      <c r="G2482" s="58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5"/>
      <c r="C2483" s="31" t="s">
        <v>2221</v>
      </c>
      <c r="D2483" s="32" t="s">
        <v>99</v>
      </c>
      <c r="E2483" s="31" t="s">
        <v>2733</v>
      </c>
      <c r="F2483" s="161">
        <v>46048.0</v>
      </c>
      <c r="G2483" s="58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5"/>
      <c r="C2484" s="31" t="s">
        <v>2221</v>
      </c>
      <c r="D2484" s="32" t="s">
        <v>99</v>
      </c>
      <c r="E2484" s="31" t="s">
        <v>2734</v>
      </c>
      <c r="F2484" s="161">
        <v>46048.0</v>
      </c>
      <c r="G2484" s="58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5"/>
      <c r="C2485" s="31" t="s">
        <v>2221</v>
      </c>
      <c r="D2485" s="32" t="s">
        <v>15</v>
      </c>
      <c r="E2485" s="31" t="s">
        <v>2735</v>
      </c>
      <c r="F2485" s="161">
        <v>46048.0</v>
      </c>
      <c r="G2485" s="58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5"/>
      <c r="C2486" s="31" t="s">
        <v>2221</v>
      </c>
      <c r="D2486" s="32" t="s">
        <v>15</v>
      </c>
      <c r="E2486" s="31" t="s">
        <v>2736</v>
      </c>
      <c r="F2486" s="161">
        <v>46048.0</v>
      </c>
      <c r="G2486" s="58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5"/>
      <c r="C2487" s="31" t="s">
        <v>423</v>
      </c>
      <c r="D2487" s="32" t="s">
        <v>99</v>
      </c>
      <c r="E2487" s="31" t="s">
        <v>2737</v>
      </c>
      <c r="F2487" s="161">
        <v>46048.0</v>
      </c>
      <c r="G2487" s="58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5"/>
      <c r="C2488" s="31" t="s">
        <v>423</v>
      </c>
      <c r="D2488" s="32" t="s">
        <v>99</v>
      </c>
      <c r="E2488" s="31" t="s">
        <v>2738</v>
      </c>
      <c r="F2488" s="161">
        <v>46048.0</v>
      </c>
      <c r="G2488" s="58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5"/>
      <c r="C2489" s="31" t="s">
        <v>423</v>
      </c>
      <c r="D2489" s="32" t="s">
        <v>15</v>
      </c>
      <c r="E2489" s="31" t="s">
        <v>2739</v>
      </c>
      <c r="F2489" s="161">
        <v>46048.0</v>
      </c>
      <c r="G2489" s="58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5"/>
      <c r="C2490" s="31" t="s">
        <v>423</v>
      </c>
      <c r="D2490" s="32" t="s">
        <v>15</v>
      </c>
      <c r="E2490" s="31" t="s">
        <v>2740</v>
      </c>
      <c r="F2490" s="161">
        <v>46048.0</v>
      </c>
      <c r="G2490" s="58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5"/>
      <c r="C2491" s="31" t="s">
        <v>2318</v>
      </c>
      <c r="D2491" s="31" t="s">
        <v>77</v>
      </c>
      <c r="E2491" s="31" t="s">
        <v>2741</v>
      </c>
      <c r="F2491" s="161">
        <v>46048.0</v>
      </c>
      <c r="G2491" s="58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5"/>
      <c r="C2492" s="31" t="s">
        <v>2318</v>
      </c>
      <c r="D2492" s="31" t="s">
        <v>77</v>
      </c>
      <c r="E2492" s="31" t="s">
        <v>2742</v>
      </c>
      <c r="F2492" s="161">
        <v>46048.0</v>
      </c>
      <c r="G2492" s="58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5"/>
      <c r="C2493" s="31" t="s">
        <v>2318</v>
      </c>
      <c r="D2493" s="31" t="s">
        <v>77</v>
      </c>
      <c r="E2493" s="31" t="s">
        <v>2743</v>
      </c>
      <c r="F2493" s="161">
        <v>46048.0</v>
      </c>
      <c r="G2493" s="58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5"/>
      <c r="C2494" s="31" t="s">
        <v>2318</v>
      </c>
      <c r="D2494" s="31" t="s">
        <v>77</v>
      </c>
      <c r="E2494" s="31" t="s">
        <v>2744</v>
      </c>
      <c r="F2494" s="161">
        <v>46048.0</v>
      </c>
      <c r="G2494" s="58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5"/>
      <c r="C2495" s="31" t="s">
        <v>2318</v>
      </c>
      <c r="D2495" s="31" t="s">
        <v>77</v>
      </c>
      <c r="E2495" s="31" t="s">
        <v>2745</v>
      </c>
      <c r="F2495" s="161">
        <v>46048.0</v>
      </c>
      <c r="G2495" s="58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5"/>
      <c r="C2496" s="31" t="s">
        <v>2318</v>
      </c>
      <c r="D2496" s="31" t="s">
        <v>77</v>
      </c>
      <c r="E2496" s="31" t="s">
        <v>2746</v>
      </c>
      <c r="F2496" s="161">
        <v>46048.0</v>
      </c>
      <c r="G2496" s="58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5"/>
      <c r="C2497" s="31" t="s">
        <v>2318</v>
      </c>
      <c r="D2497" s="31" t="s">
        <v>77</v>
      </c>
      <c r="E2497" s="31" t="s">
        <v>2747</v>
      </c>
      <c r="F2497" s="161">
        <v>46048.0</v>
      </c>
      <c r="G2497" s="58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5"/>
      <c r="C2498" s="31" t="s">
        <v>2318</v>
      </c>
      <c r="D2498" s="31" t="s">
        <v>77</v>
      </c>
      <c r="E2498" s="31" t="s">
        <v>2748</v>
      </c>
      <c r="F2498" s="161">
        <v>46048.0</v>
      </c>
      <c r="G2498" s="58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5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8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5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8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5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8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5"/>
      <c r="C2502" s="31" t="s">
        <v>1189</v>
      </c>
      <c r="D2502" s="32" t="s">
        <v>99</v>
      </c>
      <c r="E2502" s="31" t="s">
        <v>2751</v>
      </c>
      <c r="F2502" s="161">
        <v>46048.0</v>
      </c>
      <c r="G2502" s="58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5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8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5"/>
      <c r="C2504" s="31" t="s">
        <v>441</v>
      </c>
      <c r="D2504" s="32" t="s">
        <v>99</v>
      </c>
      <c r="E2504" s="31" t="s">
        <v>2752</v>
      </c>
      <c r="F2504" s="161">
        <v>46048.0</v>
      </c>
      <c r="G2504" s="58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5"/>
      <c r="C2505" s="31" t="s">
        <v>2753</v>
      </c>
      <c r="D2505" s="32" t="s">
        <v>99</v>
      </c>
      <c r="E2505" s="31" t="s">
        <v>2754</v>
      </c>
      <c r="F2505" s="161">
        <v>46048.0</v>
      </c>
      <c r="G2505" s="58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5"/>
      <c r="C2506" s="31" t="s">
        <v>2753</v>
      </c>
      <c r="D2506" s="32" t="s">
        <v>99</v>
      </c>
      <c r="E2506" s="31" t="s">
        <v>2755</v>
      </c>
      <c r="F2506" s="161">
        <v>46048.0</v>
      </c>
      <c r="G2506" s="58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5"/>
      <c r="C2507" s="31" t="s">
        <v>2753</v>
      </c>
      <c r="D2507" s="32" t="s">
        <v>99</v>
      </c>
      <c r="E2507" s="31" t="s">
        <v>2756</v>
      </c>
      <c r="F2507" s="161">
        <v>46048.0</v>
      </c>
      <c r="G2507" s="58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5"/>
      <c r="C2508" s="31" t="s">
        <v>2221</v>
      </c>
      <c r="D2508" s="32" t="s">
        <v>99</v>
      </c>
      <c r="E2508" s="31" t="s">
        <v>2757</v>
      </c>
      <c r="F2508" s="161">
        <v>46048.0</v>
      </c>
      <c r="G2508" s="58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5"/>
      <c r="C2509" s="31" t="s">
        <v>2221</v>
      </c>
      <c r="D2509" s="32" t="s">
        <v>99</v>
      </c>
      <c r="E2509" s="31" t="s">
        <v>2758</v>
      </c>
      <c r="F2509" s="161">
        <v>46048.0</v>
      </c>
      <c r="G2509" s="58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5"/>
      <c r="C2510" s="31" t="s">
        <v>2221</v>
      </c>
      <c r="D2510" s="32" t="s">
        <v>99</v>
      </c>
      <c r="E2510" s="31" t="s">
        <v>2759</v>
      </c>
      <c r="F2510" s="161">
        <v>46048.0</v>
      </c>
      <c r="G2510" s="58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5"/>
      <c r="C2511" s="31" t="s">
        <v>2221</v>
      </c>
      <c r="D2511" s="32" t="s">
        <v>99</v>
      </c>
      <c r="E2511" s="31" t="s">
        <v>2760</v>
      </c>
      <c r="F2511" s="161">
        <v>46048.0</v>
      </c>
      <c r="G2511" s="58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5"/>
      <c r="C2512" s="31" t="s">
        <v>2221</v>
      </c>
      <c r="D2512" s="32" t="s">
        <v>15</v>
      </c>
      <c r="E2512" s="31" t="s">
        <v>2761</v>
      </c>
      <c r="F2512" s="161">
        <v>46048.0</v>
      </c>
      <c r="G2512" s="58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5"/>
      <c r="C2513" s="31" t="s">
        <v>2221</v>
      </c>
      <c r="D2513" s="32" t="s">
        <v>15</v>
      </c>
      <c r="E2513" s="31" t="s">
        <v>2762</v>
      </c>
      <c r="F2513" s="161">
        <v>46048.0</v>
      </c>
      <c r="G2513" s="58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5"/>
      <c r="C2514" s="31" t="s">
        <v>2221</v>
      </c>
      <c r="D2514" s="32" t="s">
        <v>15</v>
      </c>
      <c r="E2514" s="31" t="s">
        <v>2763</v>
      </c>
      <c r="F2514" s="161">
        <v>46048.0</v>
      </c>
      <c r="G2514" s="58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5"/>
      <c r="C2515" s="31" t="s">
        <v>2221</v>
      </c>
      <c r="D2515" s="32" t="s">
        <v>15</v>
      </c>
      <c r="E2515" s="31" t="s">
        <v>2764</v>
      </c>
      <c r="F2515" s="161">
        <v>46048.0</v>
      </c>
      <c r="G2515" s="58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5"/>
      <c r="C2516" s="31" t="s">
        <v>111</v>
      </c>
      <c r="D2516" s="32" t="s">
        <v>15</v>
      </c>
      <c r="E2516" s="31" t="s">
        <v>2765</v>
      </c>
      <c r="F2516" s="161">
        <v>46048.0</v>
      </c>
      <c r="G2516" s="58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5"/>
      <c r="C2517" s="31" t="s">
        <v>111</v>
      </c>
      <c r="D2517" s="32" t="s">
        <v>15</v>
      </c>
      <c r="E2517" s="31" t="s">
        <v>2766</v>
      </c>
      <c r="F2517" s="161">
        <v>46048.0</v>
      </c>
      <c r="G2517" s="58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5"/>
      <c r="C2518" s="31" t="s">
        <v>111</v>
      </c>
      <c r="D2518" s="32" t="s">
        <v>99</v>
      </c>
      <c r="E2518" s="31" t="s">
        <v>2767</v>
      </c>
      <c r="F2518" s="161">
        <v>46048.0</v>
      </c>
      <c r="G2518" s="58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5"/>
      <c r="C2519" s="31" t="s">
        <v>111</v>
      </c>
      <c r="D2519" s="32" t="s">
        <v>99</v>
      </c>
      <c r="E2519" s="31" t="s">
        <v>2768</v>
      </c>
      <c r="F2519" s="161">
        <v>46048.0</v>
      </c>
      <c r="G2519" s="58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5"/>
      <c r="C2520" s="31" t="s">
        <v>111</v>
      </c>
      <c r="D2520" s="32" t="s">
        <v>99</v>
      </c>
      <c r="E2520" s="31" t="s">
        <v>2769</v>
      </c>
      <c r="F2520" s="161">
        <v>46048.0</v>
      </c>
      <c r="G2520" s="58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5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8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5"/>
      <c r="C2522" s="32" t="s">
        <v>53</v>
      </c>
      <c r="D2522" s="32" t="s">
        <v>15</v>
      </c>
      <c r="E2522" s="31" t="s">
        <v>2772</v>
      </c>
      <c r="F2522" s="161">
        <v>46048.0</v>
      </c>
      <c r="G2522" s="58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5"/>
      <c r="C2523" s="32" t="s">
        <v>53</v>
      </c>
      <c r="D2523" s="32" t="s">
        <v>15</v>
      </c>
      <c r="E2523" s="31" t="s">
        <v>2773</v>
      </c>
      <c r="F2523" s="161">
        <v>46048.0</v>
      </c>
      <c r="G2523" s="58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5"/>
      <c r="C2524" s="31" t="s">
        <v>2346</v>
      </c>
      <c r="D2524" s="32" t="s">
        <v>99</v>
      </c>
      <c r="E2524" s="32" t="s">
        <v>2774</v>
      </c>
      <c r="F2524" s="161">
        <v>46048.0</v>
      </c>
      <c r="G2524" s="58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5"/>
      <c r="C2525" s="31" t="s">
        <v>2346</v>
      </c>
      <c r="D2525" s="32" t="s">
        <v>99</v>
      </c>
      <c r="E2525" s="32" t="s">
        <v>2775</v>
      </c>
      <c r="F2525" s="161">
        <v>46048.0</v>
      </c>
      <c r="G2525" s="58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5"/>
      <c r="C2526" s="31" t="s">
        <v>2346</v>
      </c>
      <c r="D2526" s="32" t="s">
        <v>99</v>
      </c>
      <c r="E2526" s="32" t="s">
        <v>2776</v>
      </c>
      <c r="F2526" s="161">
        <v>46048.0</v>
      </c>
      <c r="G2526" s="58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5"/>
      <c r="C2527" s="31" t="s">
        <v>2346</v>
      </c>
      <c r="D2527" s="32" t="s">
        <v>99</v>
      </c>
      <c r="E2527" s="32" t="s">
        <v>2777</v>
      </c>
      <c r="F2527" s="161">
        <v>46048.0</v>
      </c>
      <c r="G2527" s="58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5"/>
      <c r="C2528" s="31" t="s">
        <v>2346</v>
      </c>
      <c r="D2528" s="32" t="s">
        <v>99</v>
      </c>
      <c r="E2528" s="32" t="s">
        <v>2778</v>
      </c>
      <c r="F2528" s="161">
        <v>46048.0</v>
      </c>
      <c r="G2528" s="58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5"/>
      <c r="C2529" s="31" t="s">
        <v>2346</v>
      </c>
      <c r="D2529" s="32" t="s">
        <v>15</v>
      </c>
      <c r="E2529" s="31" t="s">
        <v>2779</v>
      </c>
      <c r="F2529" s="161">
        <v>46048.0</v>
      </c>
      <c r="G2529" s="58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5"/>
      <c r="C2530" s="31" t="s">
        <v>2346</v>
      </c>
      <c r="D2530" s="32" t="s">
        <v>15</v>
      </c>
      <c r="E2530" s="31" t="s">
        <v>2780</v>
      </c>
      <c r="F2530" s="161">
        <v>46048.0</v>
      </c>
      <c r="G2530" s="58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5"/>
      <c r="C2531" s="31" t="s">
        <v>2346</v>
      </c>
      <c r="D2531" s="32" t="s">
        <v>15</v>
      </c>
      <c r="E2531" s="31" t="s">
        <v>2781</v>
      </c>
      <c r="F2531" s="161">
        <v>46048.0</v>
      </c>
      <c r="G2531" s="58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5"/>
      <c r="C2532" s="31" t="s">
        <v>2346</v>
      </c>
      <c r="D2532" s="32" t="s">
        <v>15</v>
      </c>
      <c r="E2532" s="31" t="s">
        <v>2782</v>
      </c>
      <c r="F2532" s="161">
        <v>46048.0</v>
      </c>
      <c r="G2532" s="58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5"/>
      <c r="C2533" s="31" t="s">
        <v>2346</v>
      </c>
      <c r="D2533" s="32" t="s">
        <v>15</v>
      </c>
      <c r="E2533" s="31" t="s">
        <v>2783</v>
      </c>
      <c r="F2533" s="161">
        <v>46048.0</v>
      </c>
      <c r="G2533" s="58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5"/>
      <c r="C2534" s="31" t="s">
        <v>2346</v>
      </c>
      <c r="D2534" s="32" t="s">
        <v>15</v>
      </c>
      <c r="E2534" s="31" t="s">
        <v>2784</v>
      </c>
      <c r="F2534" s="161">
        <v>46048.0</v>
      </c>
      <c r="G2534" s="58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5"/>
      <c r="C2535" s="31" t="s">
        <v>2346</v>
      </c>
      <c r="D2535" s="32" t="s">
        <v>15</v>
      </c>
      <c r="E2535" s="31" t="s">
        <v>2785</v>
      </c>
      <c r="F2535" s="161">
        <v>46048.0</v>
      </c>
      <c r="G2535" s="58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5"/>
      <c r="C2536" s="31" t="s">
        <v>2346</v>
      </c>
      <c r="D2536" s="32" t="s">
        <v>15</v>
      </c>
      <c r="E2536" s="31" t="s">
        <v>2786</v>
      </c>
      <c r="F2536" s="161">
        <v>46048.0</v>
      </c>
      <c r="G2536" s="58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5"/>
      <c r="C2537" s="31" t="s">
        <v>2346</v>
      </c>
      <c r="D2537" s="32" t="s">
        <v>15</v>
      </c>
      <c r="E2537" s="31" t="s">
        <v>2787</v>
      </c>
      <c r="F2537" s="161">
        <v>46048.0</v>
      </c>
      <c r="G2537" s="58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5"/>
      <c r="C2538" s="31" t="s">
        <v>2346</v>
      </c>
      <c r="D2538" s="32" t="s">
        <v>15</v>
      </c>
      <c r="E2538" s="31" t="s">
        <v>2788</v>
      </c>
      <c r="F2538" s="161">
        <v>46048.0</v>
      </c>
      <c r="G2538" s="58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5"/>
      <c r="C2539" s="31" t="s">
        <v>2346</v>
      </c>
      <c r="D2539" s="32" t="s">
        <v>15</v>
      </c>
      <c r="E2539" s="31" t="s">
        <v>2789</v>
      </c>
      <c r="F2539" s="161">
        <v>46048.0</v>
      </c>
      <c r="G2539" s="58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5"/>
      <c r="C2540" s="31" t="s">
        <v>2346</v>
      </c>
      <c r="D2540" s="32" t="s">
        <v>15</v>
      </c>
      <c r="E2540" s="31" t="s">
        <v>2790</v>
      </c>
      <c r="F2540" s="161">
        <v>46048.0</v>
      </c>
      <c r="G2540" s="58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5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8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5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9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5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9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5"/>
      <c r="C2544" s="31" t="s">
        <v>497</v>
      </c>
      <c r="D2544" s="32" t="s">
        <v>15</v>
      </c>
      <c r="E2544" s="31" t="s">
        <v>2795</v>
      </c>
      <c r="F2544" s="161">
        <v>46048.0</v>
      </c>
      <c r="G2544" s="59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5"/>
      <c r="C2545" s="31" t="s">
        <v>299</v>
      </c>
      <c r="D2545" s="32" t="s">
        <v>15</v>
      </c>
      <c r="E2545" s="31" t="s">
        <v>2796</v>
      </c>
      <c r="F2545" s="161">
        <v>46048.0</v>
      </c>
      <c r="G2545" s="59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5"/>
      <c r="C2546" s="31" t="s">
        <v>299</v>
      </c>
      <c r="D2546" s="32" t="s">
        <v>15</v>
      </c>
      <c r="E2546" s="31" t="s">
        <v>2797</v>
      </c>
      <c r="F2546" s="161">
        <v>46048.0</v>
      </c>
      <c r="G2546" s="59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5"/>
      <c r="C2547" s="31" t="s">
        <v>299</v>
      </c>
      <c r="D2547" s="32" t="s">
        <v>15</v>
      </c>
      <c r="E2547" s="31" t="s">
        <v>2798</v>
      </c>
      <c r="F2547" s="161">
        <v>46048.0</v>
      </c>
      <c r="G2547" s="59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5"/>
      <c r="C2548" s="31" t="s">
        <v>299</v>
      </c>
      <c r="D2548" s="32" t="s">
        <v>15</v>
      </c>
      <c r="E2548" s="31" t="s">
        <v>2799</v>
      </c>
      <c r="F2548" s="161">
        <v>46048.0</v>
      </c>
      <c r="G2548" s="59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5"/>
      <c r="C2549" s="31" t="s">
        <v>299</v>
      </c>
      <c r="D2549" s="32" t="s">
        <v>15</v>
      </c>
      <c r="E2549" s="31" t="s">
        <v>2800</v>
      </c>
      <c r="F2549" s="161">
        <v>46048.0</v>
      </c>
      <c r="G2549" s="59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5"/>
      <c r="C2550" s="31" t="s">
        <v>221</v>
      </c>
      <c r="D2550" s="32" t="s">
        <v>15</v>
      </c>
      <c r="E2550" s="31" t="s">
        <v>2801</v>
      </c>
      <c r="F2550" s="161">
        <v>46048.0</v>
      </c>
      <c r="G2550" s="59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5"/>
      <c r="C2551" s="31" t="s">
        <v>221</v>
      </c>
      <c r="D2551" s="32" t="s">
        <v>15</v>
      </c>
      <c r="E2551" s="31" t="s">
        <v>2802</v>
      </c>
      <c r="F2551" s="161">
        <v>46048.0</v>
      </c>
      <c r="G2551" s="59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60"/>
      <c r="C2552" s="61" t="s">
        <v>216</v>
      </c>
      <c r="D2552" s="62" t="s">
        <v>15</v>
      </c>
      <c r="E2552" s="61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47"/>
      <c r="M2552" s="50"/>
    </row>
    <row r="2553" ht="15.75" customHeight="1">
      <c r="A2553" s="164">
        <v>46051.0</v>
      </c>
      <c r="B2553" s="60"/>
      <c r="C2553" s="61" t="s">
        <v>216</v>
      </c>
      <c r="D2553" s="62" t="s">
        <v>15</v>
      </c>
      <c r="E2553" s="61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47"/>
      <c r="M2553" s="50"/>
    </row>
    <row r="2554" ht="15.75" customHeight="1">
      <c r="A2554" s="162">
        <v>46051.0</v>
      </c>
      <c r="B2554" s="55"/>
      <c r="C2554" s="31" t="s">
        <v>22</v>
      </c>
      <c r="D2554" s="32" t="s">
        <v>15</v>
      </c>
      <c r="E2554" s="31" t="s">
        <v>2805</v>
      </c>
      <c r="F2554" s="161">
        <v>46048.0</v>
      </c>
      <c r="G2554" s="59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5"/>
      <c r="C2555" s="31" t="s">
        <v>22</v>
      </c>
      <c r="D2555" s="32" t="s">
        <v>15</v>
      </c>
      <c r="E2555" s="31" t="s">
        <v>2806</v>
      </c>
      <c r="F2555" s="161">
        <v>46048.0</v>
      </c>
      <c r="G2555" s="59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60"/>
      <c r="C2569" s="61" t="s">
        <v>231</v>
      </c>
      <c r="D2569" s="62" t="s">
        <v>15</v>
      </c>
      <c r="E2569" s="61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47"/>
      <c r="M2569" s="50"/>
    </row>
    <row r="2570" ht="15.75" customHeight="1">
      <c r="A2570" s="162">
        <v>46052.0</v>
      </c>
      <c r="B2570" s="55"/>
      <c r="C2570" s="31" t="s">
        <v>231</v>
      </c>
      <c r="D2570" s="32" t="s">
        <v>99</v>
      </c>
      <c r="E2570" s="31" t="s">
        <v>2822</v>
      </c>
      <c r="F2570" s="161">
        <v>46048.0</v>
      </c>
      <c r="G2570" s="59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5"/>
      <c r="C2571" s="31" t="s">
        <v>1577</v>
      </c>
      <c r="D2571" s="32" t="s">
        <v>15</v>
      </c>
      <c r="E2571" s="31" t="s">
        <v>2823</v>
      </c>
      <c r="F2571" s="161">
        <v>46048.0</v>
      </c>
      <c r="G2571" s="59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5"/>
      <c r="C2572" s="31" t="s">
        <v>1577</v>
      </c>
      <c r="D2572" s="32" t="s">
        <v>15</v>
      </c>
      <c r="E2572" s="31" t="s">
        <v>2824</v>
      </c>
      <c r="F2572" s="161">
        <v>46048.0</v>
      </c>
      <c r="G2572" s="59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5"/>
      <c r="C2573" s="31" t="s">
        <v>2318</v>
      </c>
      <c r="D2573" s="31" t="s">
        <v>77</v>
      </c>
      <c r="E2573" s="31" t="s">
        <v>2825</v>
      </c>
      <c r="F2573" s="161">
        <v>46048.0</v>
      </c>
      <c r="G2573" s="59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5"/>
      <c r="C2574" s="31" t="s">
        <v>2318</v>
      </c>
      <c r="D2574" s="31" t="s">
        <v>77</v>
      </c>
      <c r="E2574" s="31" t="s">
        <v>2826</v>
      </c>
      <c r="F2574" s="161">
        <v>46048.0</v>
      </c>
      <c r="G2574" s="59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5"/>
      <c r="C2575" s="31" t="s">
        <v>2318</v>
      </c>
      <c r="D2575" s="31" t="s">
        <v>77</v>
      </c>
      <c r="E2575" s="31" t="s">
        <v>2827</v>
      </c>
      <c r="F2575" s="161">
        <v>46048.0</v>
      </c>
      <c r="G2575" s="59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5"/>
      <c r="C2576" s="31" t="s">
        <v>2318</v>
      </c>
      <c r="D2576" s="31" t="s">
        <v>77</v>
      </c>
      <c r="E2576" s="31" t="s">
        <v>2828</v>
      </c>
      <c r="F2576" s="161">
        <v>46048.0</v>
      </c>
      <c r="G2576" s="59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5"/>
      <c r="C2577" s="31" t="s">
        <v>2318</v>
      </c>
      <c r="D2577" s="31" t="s">
        <v>77</v>
      </c>
      <c r="E2577" s="31" t="s">
        <v>2829</v>
      </c>
      <c r="F2577" s="161">
        <v>46048.0</v>
      </c>
      <c r="G2577" s="59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5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9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5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9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5"/>
      <c r="C2580" s="31" t="s">
        <v>2318</v>
      </c>
      <c r="D2580" s="31" t="s">
        <v>77</v>
      </c>
      <c r="E2580" s="31" t="s">
        <v>2832</v>
      </c>
      <c r="F2580" s="161">
        <v>46048.0</v>
      </c>
      <c r="G2580" s="59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5"/>
      <c r="C2581" s="31" t="s">
        <v>2318</v>
      </c>
      <c r="D2581" s="31" t="s">
        <v>77</v>
      </c>
      <c r="E2581" s="31" t="s">
        <v>2833</v>
      </c>
      <c r="F2581" s="161">
        <v>46048.0</v>
      </c>
      <c r="G2581" s="59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60"/>
      <c r="C2582" s="61" t="s">
        <v>2374</v>
      </c>
      <c r="D2582" s="61" t="s">
        <v>2834</v>
      </c>
      <c r="E2582" s="62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47"/>
      <c r="M2582" s="50"/>
    </row>
    <row r="2583" ht="15.75" customHeight="1">
      <c r="A2583" s="164">
        <v>46052.0</v>
      </c>
      <c r="B2583" s="60"/>
      <c r="C2583" s="61" t="s">
        <v>2374</v>
      </c>
      <c r="D2583" s="61" t="s">
        <v>2834</v>
      </c>
      <c r="E2583" s="62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47"/>
      <c r="M2583" s="50"/>
    </row>
    <row r="2584" ht="15.75" customHeight="1">
      <c r="A2584" s="164">
        <v>46052.0</v>
      </c>
      <c r="B2584" s="60"/>
      <c r="C2584" s="61" t="s">
        <v>2374</v>
      </c>
      <c r="D2584" s="61" t="s">
        <v>2834</v>
      </c>
      <c r="E2584" s="62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47"/>
      <c r="M2584" s="50"/>
    </row>
    <row r="2585" ht="15.75" customHeight="1">
      <c r="A2585" s="164">
        <v>46052.0</v>
      </c>
      <c r="B2585" s="60"/>
      <c r="C2585" s="61" t="s">
        <v>2374</v>
      </c>
      <c r="D2585" s="61" t="s">
        <v>2834</v>
      </c>
      <c r="E2585" s="62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47"/>
      <c r="M2585" s="50"/>
    </row>
    <row r="2586" ht="15.75" customHeight="1">
      <c r="A2586" s="164">
        <v>46052.0</v>
      </c>
      <c r="B2586" s="60"/>
      <c r="C2586" s="61" t="s">
        <v>2374</v>
      </c>
      <c r="D2586" s="61" t="s">
        <v>2834</v>
      </c>
      <c r="E2586" s="62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47"/>
      <c r="M2586" s="50"/>
    </row>
    <row r="2587" ht="15.75" customHeight="1">
      <c r="A2587" s="164">
        <v>46052.0</v>
      </c>
      <c r="B2587" s="60"/>
      <c r="C2587" s="61" t="s">
        <v>2374</v>
      </c>
      <c r="D2587" s="61" t="s">
        <v>2834</v>
      </c>
      <c r="E2587" s="62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47"/>
      <c r="M2587" s="50"/>
    </row>
    <row r="2588" ht="15.75" customHeight="1">
      <c r="A2588" s="164">
        <v>46052.0</v>
      </c>
      <c r="B2588" s="60"/>
      <c r="C2588" s="61" t="s">
        <v>2837</v>
      </c>
      <c r="D2588" s="61" t="s">
        <v>2834</v>
      </c>
      <c r="E2588" s="62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47"/>
      <c r="M2588" s="50"/>
    </row>
    <row r="2589" ht="15.75" customHeight="1">
      <c r="A2589" s="164">
        <v>46052.0</v>
      </c>
      <c r="B2589" s="60"/>
      <c r="C2589" s="61" t="s">
        <v>2837</v>
      </c>
      <c r="D2589" s="61" t="s">
        <v>2834</v>
      </c>
      <c r="E2589" s="62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47"/>
      <c r="M2589" s="50"/>
    </row>
    <row r="2590" ht="15.75" customHeight="1">
      <c r="A2590" s="164">
        <v>46052.0</v>
      </c>
      <c r="B2590" s="60"/>
      <c r="C2590" s="61" t="s">
        <v>2837</v>
      </c>
      <c r="D2590" s="61" t="s">
        <v>2834</v>
      </c>
      <c r="E2590" s="62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47"/>
      <c r="M2590" s="50"/>
    </row>
    <row r="2591" ht="15.75" customHeight="1">
      <c r="A2591" s="164">
        <v>46052.0</v>
      </c>
      <c r="B2591" s="60"/>
      <c r="C2591" s="61" t="s">
        <v>2837</v>
      </c>
      <c r="D2591" s="61" t="s">
        <v>2834</v>
      </c>
      <c r="E2591" s="62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47"/>
      <c r="M2591" s="50"/>
    </row>
    <row r="2592" ht="15.75" customHeight="1">
      <c r="A2592" s="164">
        <v>46052.0</v>
      </c>
      <c r="B2592" s="60"/>
      <c r="C2592" s="61" t="s">
        <v>2837</v>
      </c>
      <c r="D2592" s="61" t="s">
        <v>2834</v>
      </c>
      <c r="E2592" s="62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47"/>
      <c r="M2592" s="50"/>
    </row>
    <row r="2593" ht="15.75" customHeight="1">
      <c r="A2593" s="162">
        <v>46052.0</v>
      </c>
      <c r="B2593" s="55"/>
      <c r="C2593" s="32" t="s">
        <v>2318</v>
      </c>
      <c r="D2593" s="32" t="s">
        <v>77</v>
      </c>
      <c r="E2593" s="32" t="s">
        <v>2839</v>
      </c>
      <c r="F2593" s="161">
        <v>46048.0</v>
      </c>
      <c r="G2593" s="59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5"/>
      <c r="C2594" s="32" t="s">
        <v>2318</v>
      </c>
      <c r="D2594" s="32" t="s">
        <v>77</v>
      </c>
      <c r="E2594" s="32" t="s">
        <v>2840</v>
      </c>
      <c r="F2594" s="161">
        <v>46048.0</v>
      </c>
      <c r="G2594" s="59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5"/>
      <c r="C2595" s="32" t="s">
        <v>2318</v>
      </c>
      <c r="D2595" s="32" t="s">
        <v>77</v>
      </c>
      <c r="E2595" s="32" t="s">
        <v>2841</v>
      </c>
      <c r="F2595" s="161">
        <v>46048.0</v>
      </c>
      <c r="G2595" s="59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5"/>
      <c r="C2596" s="31" t="s">
        <v>2842</v>
      </c>
      <c r="D2596" s="32" t="s">
        <v>15</v>
      </c>
      <c r="E2596" s="31" t="s">
        <v>2843</v>
      </c>
      <c r="F2596" s="161">
        <v>46048.0</v>
      </c>
      <c r="G2596" s="59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5"/>
      <c r="C2597" s="31" t="s">
        <v>2842</v>
      </c>
      <c r="D2597" s="32" t="s">
        <v>15</v>
      </c>
      <c r="E2597" s="31" t="s">
        <v>2844</v>
      </c>
      <c r="F2597" s="161">
        <v>46048.0</v>
      </c>
      <c r="G2597" s="59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5"/>
      <c r="C2598" s="31" t="s">
        <v>22</v>
      </c>
      <c r="D2598" s="32" t="s">
        <v>15</v>
      </c>
      <c r="E2598" s="31" t="s">
        <v>2845</v>
      </c>
      <c r="F2598" s="161">
        <v>46048.0</v>
      </c>
      <c r="G2598" s="59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5"/>
      <c r="C2599" s="31" t="s">
        <v>22</v>
      </c>
      <c r="D2599" s="32" t="s">
        <v>15</v>
      </c>
      <c r="E2599" s="31" t="s">
        <v>2846</v>
      </c>
      <c r="F2599" s="161">
        <v>46048.0</v>
      </c>
      <c r="G2599" s="59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5"/>
      <c r="C2600" s="31" t="s">
        <v>216</v>
      </c>
      <c r="D2600" s="32" t="s">
        <v>15</v>
      </c>
      <c r="E2600" s="31" t="s">
        <v>2847</v>
      </c>
      <c r="F2600" s="161">
        <v>46048.0</v>
      </c>
      <c r="G2600" s="59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5"/>
      <c r="C2601" s="31" t="s">
        <v>216</v>
      </c>
      <c r="D2601" s="32" t="s">
        <v>15</v>
      </c>
      <c r="E2601" s="31" t="s">
        <v>2848</v>
      </c>
      <c r="F2601" s="161">
        <v>46048.0</v>
      </c>
      <c r="G2601" s="59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5"/>
      <c r="C2602" s="31" t="s">
        <v>221</v>
      </c>
      <c r="D2602" s="32" t="s">
        <v>15</v>
      </c>
      <c r="E2602" s="31" t="s">
        <v>2849</v>
      </c>
      <c r="F2602" s="161">
        <v>46048.0</v>
      </c>
      <c r="G2602" s="59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5"/>
      <c r="C2603" s="31" t="s">
        <v>221</v>
      </c>
      <c r="D2603" s="32" t="s">
        <v>15</v>
      </c>
      <c r="E2603" s="31" t="s">
        <v>2850</v>
      </c>
      <c r="F2603" s="161">
        <v>46048.0</v>
      </c>
      <c r="G2603" s="59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5"/>
      <c r="C2604" s="31" t="s">
        <v>2851</v>
      </c>
      <c r="D2604" s="32" t="s">
        <v>15</v>
      </c>
      <c r="E2604" s="31" t="s">
        <v>2852</v>
      </c>
      <c r="F2604" s="161">
        <v>46048.0</v>
      </c>
      <c r="G2604" s="59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5"/>
      <c r="C2605" s="31" t="s">
        <v>2853</v>
      </c>
      <c r="D2605" s="32" t="s">
        <v>15</v>
      </c>
      <c r="E2605" s="31" t="s">
        <v>2854</v>
      </c>
      <c r="F2605" s="161">
        <v>46048.0</v>
      </c>
      <c r="G2605" s="59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5"/>
      <c r="C2606" s="31" t="s">
        <v>2853</v>
      </c>
      <c r="D2606" s="32" t="s">
        <v>15</v>
      </c>
      <c r="E2606" s="31" t="s">
        <v>2855</v>
      </c>
      <c r="F2606" s="161">
        <v>46048.0</v>
      </c>
      <c r="G2606" s="59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5"/>
      <c r="C2607" s="31" t="s">
        <v>2856</v>
      </c>
      <c r="D2607" s="32" t="s">
        <v>15</v>
      </c>
      <c r="E2607" s="31" t="s">
        <v>2857</v>
      </c>
      <c r="F2607" s="161">
        <v>46048.0</v>
      </c>
      <c r="G2607" s="59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60"/>
      <c r="C2608" s="61" t="s">
        <v>373</v>
      </c>
      <c r="D2608" s="62" t="s">
        <v>99</v>
      </c>
      <c r="E2608" s="61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47"/>
      <c r="M2608" s="50"/>
    </row>
    <row r="2609" ht="15.75" customHeight="1">
      <c r="A2609" s="162">
        <v>46053.0</v>
      </c>
      <c r="B2609" s="55"/>
      <c r="C2609" s="31" t="s">
        <v>2544</v>
      </c>
      <c r="D2609" s="32" t="s">
        <v>99</v>
      </c>
      <c r="E2609" s="31" t="s">
        <v>2859</v>
      </c>
      <c r="F2609" s="161">
        <v>46048.0</v>
      </c>
      <c r="G2609" s="59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5"/>
      <c r="C2610" s="32" t="s">
        <v>2860</v>
      </c>
      <c r="D2610" s="32" t="s">
        <v>15</v>
      </c>
      <c r="E2610" s="32" t="s">
        <v>2861</v>
      </c>
      <c r="F2610" s="161">
        <v>46048.0</v>
      </c>
      <c r="G2610" s="59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5"/>
      <c r="C2611" s="32" t="s">
        <v>2860</v>
      </c>
      <c r="D2611" s="32" t="s">
        <v>15</v>
      </c>
      <c r="E2611" s="32" t="s">
        <v>2862</v>
      </c>
      <c r="F2611" s="161">
        <v>46048.0</v>
      </c>
      <c r="G2611" s="59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60"/>
      <c r="C2612" s="61" t="s">
        <v>969</v>
      </c>
      <c r="D2612" s="62" t="s">
        <v>2863</v>
      </c>
      <c r="E2612" s="62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47"/>
      <c r="M2612" s="50"/>
    </row>
    <row r="2613" ht="15.75" customHeight="1">
      <c r="A2613" s="162">
        <v>46055.0</v>
      </c>
      <c r="B2613" s="55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5"/>
      <c r="C2614" s="31" t="s">
        <v>1842</v>
      </c>
      <c r="D2614" s="32" t="s">
        <v>99</v>
      </c>
      <c r="E2614" s="31" t="s">
        <v>2866</v>
      </c>
      <c r="F2614" s="161">
        <v>46079.0</v>
      </c>
      <c r="G2614" s="59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5"/>
      <c r="C2615" s="31" t="s">
        <v>168</v>
      </c>
      <c r="D2615" s="32" t="s">
        <v>99</v>
      </c>
      <c r="E2615" s="31" t="s">
        <v>2867</v>
      </c>
      <c r="F2615" s="161">
        <v>46079.0</v>
      </c>
      <c r="G2615" s="59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5"/>
      <c r="C2616" s="31" t="s">
        <v>1842</v>
      </c>
      <c r="D2616" s="32" t="s">
        <v>15</v>
      </c>
      <c r="E2616" s="31" t="s">
        <v>2868</v>
      </c>
      <c r="F2616" s="161">
        <v>46079.0</v>
      </c>
      <c r="G2616" s="59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5"/>
      <c r="C2617" s="31" t="s">
        <v>527</v>
      </c>
      <c r="D2617" s="32" t="s">
        <v>15</v>
      </c>
      <c r="E2617" s="31" t="s">
        <v>2869</v>
      </c>
      <c r="F2617" s="161">
        <v>46079.0</v>
      </c>
      <c r="G2617" s="59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5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5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5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5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5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5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5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5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5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5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5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5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5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5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60"/>
      <c r="C2632" s="61" t="s">
        <v>2886</v>
      </c>
      <c r="D2632" s="61" t="s">
        <v>2834</v>
      </c>
      <c r="E2632" s="62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47"/>
      <c r="M2632" s="50"/>
    </row>
    <row r="2633" ht="15.75" customHeight="1">
      <c r="A2633" s="164">
        <v>46058.0</v>
      </c>
      <c r="B2633" s="60"/>
      <c r="C2633" s="61" t="s">
        <v>2374</v>
      </c>
      <c r="D2633" s="61" t="s">
        <v>2834</v>
      </c>
      <c r="E2633" s="62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47"/>
      <c r="M2633" s="50"/>
    </row>
    <row r="2634" ht="15.75" customHeight="1">
      <c r="A2634" s="164">
        <v>46058.0</v>
      </c>
      <c r="B2634" s="60"/>
      <c r="C2634" s="61" t="s">
        <v>2374</v>
      </c>
      <c r="D2634" s="61" t="s">
        <v>2834</v>
      </c>
      <c r="E2634" s="62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47"/>
      <c r="M2634" s="50"/>
    </row>
    <row r="2635" ht="15.75" customHeight="1">
      <c r="A2635" s="164">
        <v>46058.0</v>
      </c>
      <c r="B2635" s="60"/>
      <c r="C2635" s="61" t="s">
        <v>2837</v>
      </c>
      <c r="D2635" s="61" t="s">
        <v>2834</v>
      </c>
      <c r="E2635" s="62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47"/>
      <c r="M2635" s="50"/>
    </row>
    <row r="2636" ht="15.75" customHeight="1">
      <c r="A2636" s="162">
        <v>46058.0</v>
      </c>
      <c r="B2636" s="55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5"/>
      <c r="C2637" s="31" t="s">
        <v>1858</v>
      </c>
      <c r="D2637" s="32" t="s">
        <v>15</v>
      </c>
      <c r="E2637" s="31" t="s">
        <v>2892</v>
      </c>
      <c r="F2637" s="161">
        <v>46079.0</v>
      </c>
      <c r="G2637" s="59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5"/>
      <c r="C2638" s="31" t="s">
        <v>1861</v>
      </c>
      <c r="D2638" s="32" t="s">
        <v>15</v>
      </c>
      <c r="E2638" s="31" t="s">
        <v>2893</v>
      </c>
      <c r="F2638" s="161">
        <v>46079.0</v>
      </c>
      <c r="G2638" s="59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5"/>
      <c r="C2639" s="31" t="s">
        <v>1854</v>
      </c>
      <c r="D2639" s="32" t="s">
        <v>15</v>
      </c>
      <c r="E2639" s="31" t="s">
        <v>2894</v>
      </c>
      <c r="F2639" s="161">
        <v>46079.0</v>
      </c>
      <c r="G2639" s="59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5"/>
      <c r="C2640" s="31" t="s">
        <v>1854</v>
      </c>
      <c r="D2640" s="32" t="s">
        <v>15</v>
      </c>
      <c r="E2640" s="31" t="s">
        <v>2896</v>
      </c>
      <c r="F2640" s="161">
        <v>46079.0</v>
      </c>
      <c r="G2640" s="59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60"/>
      <c r="C2641" s="61" t="s">
        <v>1112</v>
      </c>
      <c r="D2641" s="62" t="s">
        <v>15</v>
      </c>
      <c r="E2641" s="61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47"/>
      <c r="M2641" s="50"/>
    </row>
    <row r="2642" ht="15.75" customHeight="1">
      <c r="A2642" s="162">
        <v>46059.0</v>
      </c>
      <c r="B2642" s="55"/>
      <c r="C2642" s="31" t="s">
        <v>1112</v>
      </c>
      <c r="D2642" s="32" t="s">
        <v>15</v>
      </c>
      <c r="E2642" s="31" t="s">
        <v>2898</v>
      </c>
      <c r="F2642" s="161">
        <v>46079.0</v>
      </c>
      <c r="G2642" s="59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5"/>
      <c r="C2643" s="31" t="s">
        <v>1861</v>
      </c>
      <c r="D2643" s="32" t="s">
        <v>99</v>
      </c>
      <c r="E2643" s="31" t="s">
        <v>2899</v>
      </c>
      <c r="F2643" s="161">
        <v>46079.0</v>
      </c>
      <c r="G2643" s="59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5"/>
      <c r="C2644" s="31" t="s">
        <v>1861</v>
      </c>
      <c r="D2644" s="32" t="s">
        <v>99</v>
      </c>
      <c r="E2644" s="31" t="s">
        <v>2900</v>
      </c>
      <c r="F2644" s="161">
        <v>46079.0</v>
      </c>
      <c r="G2644" s="59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5"/>
      <c r="C2645" s="31" t="s">
        <v>1854</v>
      </c>
      <c r="D2645" s="32" t="s">
        <v>99</v>
      </c>
      <c r="E2645" s="31" t="s">
        <v>2901</v>
      </c>
      <c r="F2645" s="161">
        <v>46079.0</v>
      </c>
      <c r="G2645" s="59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5"/>
      <c r="C2646" s="31" t="s">
        <v>1858</v>
      </c>
      <c r="D2646" s="32" t="s">
        <v>99</v>
      </c>
      <c r="E2646" s="31" t="s">
        <v>2902</v>
      </c>
      <c r="F2646" s="161">
        <v>46079.0</v>
      </c>
      <c r="G2646" s="59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5"/>
      <c r="C2647" s="31" t="s">
        <v>1858</v>
      </c>
      <c r="D2647" s="32" t="s">
        <v>99</v>
      </c>
      <c r="E2647" s="31" t="s">
        <v>2903</v>
      </c>
      <c r="F2647" s="161">
        <v>46079.0</v>
      </c>
      <c r="G2647" s="59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5"/>
      <c r="C2648" s="31" t="s">
        <v>1112</v>
      </c>
      <c r="D2648" s="32" t="s">
        <v>99</v>
      </c>
      <c r="E2648" s="32" t="s">
        <v>2904</v>
      </c>
      <c r="F2648" s="161">
        <v>46079.0</v>
      </c>
      <c r="G2648" s="59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5"/>
      <c r="C2649" s="31" t="s">
        <v>1112</v>
      </c>
      <c r="D2649" s="32" t="s">
        <v>99</v>
      </c>
      <c r="E2649" s="32" t="s">
        <v>2905</v>
      </c>
      <c r="F2649" s="161">
        <v>46079.0</v>
      </c>
      <c r="G2649" s="59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5"/>
      <c r="C2650" s="31" t="s">
        <v>211</v>
      </c>
      <c r="D2650" s="32" t="s">
        <v>99</v>
      </c>
      <c r="E2650" s="31" t="s">
        <v>2906</v>
      </c>
      <c r="F2650" s="161">
        <v>46079.0</v>
      </c>
      <c r="G2650" s="59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5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5"/>
      <c r="C2652" s="31" t="s">
        <v>2221</v>
      </c>
      <c r="D2652" s="32" t="s">
        <v>99</v>
      </c>
      <c r="E2652" s="31" t="s">
        <v>2908</v>
      </c>
      <c r="F2652" s="161">
        <v>46079.0</v>
      </c>
      <c r="G2652" s="59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5"/>
      <c r="C2653" s="31" t="s">
        <v>2221</v>
      </c>
      <c r="D2653" s="32" t="s">
        <v>99</v>
      </c>
      <c r="E2653" s="31" t="s">
        <v>2909</v>
      </c>
      <c r="F2653" s="161">
        <v>46079.0</v>
      </c>
      <c r="G2653" s="59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5"/>
      <c r="C2654" s="31" t="s">
        <v>2221</v>
      </c>
      <c r="D2654" s="32" t="s">
        <v>99</v>
      </c>
      <c r="E2654" s="31" t="s">
        <v>2910</v>
      </c>
      <c r="F2654" s="161">
        <v>46079.0</v>
      </c>
      <c r="G2654" s="59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5"/>
      <c r="C2655" s="31" t="s">
        <v>2221</v>
      </c>
      <c r="D2655" s="32" t="s">
        <v>99</v>
      </c>
      <c r="E2655" s="31" t="s">
        <v>2911</v>
      </c>
      <c r="F2655" s="161">
        <v>46079.0</v>
      </c>
      <c r="G2655" s="59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5"/>
      <c r="C2656" s="31" t="s">
        <v>1275</v>
      </c>
      <c r="D2656" s="32" t="s">
        <v>15</v>
      </c>
      <c r="E2656" s="31" t="s">
        <v>2912</v>
      </c>
      <c r="F2656" s="161">
        <v>46079.0</v>
      </c>
      <c r="G2656" s="59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5"/>
      <c r="C2657" s="31" t="s">
        <v>1275</v>
      </c>
      <c r="D2657" s="32" t="s">
        <v>15</v>
      </c>
      <c r="E2657" s="31" t="s">
        <v>2913</v>
      </c>
      <c r="F2657" s="161">
        <v>46079.0</v>
      </c>
      <c r="G2657" s="59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5"/>
      <c r="C2658" s="31" t="s">
        <v>1275</v>
      </c>
      <c r="D2658" s="32" t="s">
        <v>15</v>
      </c>
      <c r="E2658" s="31" t="s">
        <v>2914</v>
      </c>
      <c r="F2658" s="161">
        <v>46079.0</v>
      </c>
      <c r="G2658" s="59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5"/>
      <c r="C2659" s="31" t="s">
        <v>1275</v>
      </c>
      <c r="D2659" s="32" t="s">
        <v>99</v>
      </c>
      <c r="E2659" s="31" t="s">
        <v>2915</v>
      </c>
      <c r="F2659" s="161">
        <v>46079.0</v>
      </c>
      <c r="G2659" s="59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5"/>
      <c r="C2660" s="31" t="s">
        <v>1275</v>
      </c>
      <c r="D2660" s="32" t="s">
        <v>99</v>
      </c>
      <c r="E2660" s="31" t="s">
        <v>2916</v>
      </c>
      <c r="F2660" s="161">
        <v>46079.0</v>
      </c>
      <c r="G2660" s="59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5"/>
      <c r="C2661" s="31" t="s">
        <v>1277</v>
      </c>
      <c r="D2661" s="32" t="s">
        <v>15</v>
      </c>
      <c r="E2661" s="31" t="s">
        <v>2917</v>
      </c>
      <c r="F2661" s="161">
        <v>46079.0</v>
      </c>
      <c r="G2661" s="59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5"/>
      <c r="C2662" s="31" t="s">
        <v>1277</v>
      </c>
      <c r="D2662" s="32" t="s">
        <v>15</v>
      </c>
      <c r="E2662" s="31" t="s">
        <v>2918</v>
      </c>
      <c r="F2662" s="161">
        <v>46079.0</v>
      </c>
      <c r="G2662" s="59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5"/>
      <c r="C2663" s="31" t="s">
        <v>1277</v>
      </c>
      <c r="D2663" s="32" t="s">
        <v>15</v>
      </c>
      <c r="E2663" s="31" t="s">
        <v>2919</v>
      </c>
      <c r="F2663" s="161">
        <v>46079.0</v>
      </c>
      <c r="G2663" s="59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5"/>
      <c r="C2664" s="31" t="s">
        <v>1277</v>
      </c>
      <c r="D2664" s="32" t="s">
        <v>99</v>
      </c>
      <c r="E2664" s="31" t="s">
        <v>2920</v>
      </c>
      <c r="F2664" s="161">
        <v>46079.0</v>
      </c>
      <c r="G2664" s="59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5"/>
      <c r="C2665" s="31" t="s">
        <v>1277</v>
      </c>
      <c r="D2665" s="32" t="s">
        <v>99</v>
      </c>
      <c r="E2665" s="31" t="s">
        <v>2921</v>
      </c>
      <c r="F2665" s="161">
        <v>46079.0</v>
      </c>
      <c r="G2665" s="59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5"/>
      <c r="C2666" s="31" t="s">
        <v>1279</v>
      </c>
      <c r="D2666" s="32" t="s">
        <v>15</v>
      </c>
      <c r="E2666" s="32" t="s">
        <v>2922</v>
      </c>
      <c r="F2666" s="161">
        <v>46079.0</v>
      </c>
      <c r="G2666" s="59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5"/>
      <c r="C2667" s="31" t="s">
        <v>1279</v>
      </c>
      <c r="D2667" s="32" t="s">
        <v>15</v>
      </c>
      <c r="E2667" s="31" t="s">
        <v>2923</v>
      </c>
      <c r="F2667" s="161">
        <v>46079.0</v>
      </c>
      <c r="G2667" s="59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5"/>
      <c r="C2668" s="31" t="s">
        <v>1279</v>
      </c>
      <c r="D2668" s="32" t="s">
        <v>15</v>
      </c>
      <c r="E2668" s="31" t="s">
        <v>2924</v>
      </c>
      <c r="F2668" s="161">
        <v>46079.0</v>
      </c>
      <c r="G2668" s="59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5"/>
      <c r="C2669" s="31" t="s">
        <v>1279</v>
      </c>
      <c r="D2669" s="32" t="s">
        <v>99</v>
      </c>
      <c r="E2669" s="31" t="s">
        <v>2925</v>
      </c>
      <c r="F2669" s="161">
        <v>46079.0</v>
      </c>
      <c r="G2669" s="59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5"/>
      <c r="C2670" s="31" t="s">
        <v>1279</v>
      </c>
      <c r="D2670" s="32" t="s">
        <v>99</v>
      </c>
      <c r="E2670" s="31" t="s">
        <v>2926</v>
      </c>
      <c r="F2670" s="161">
        <v>46079.0</v>
      </c>
      <c r="G2670" s="59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5"/>
      <c r="C2671" s="31" t="s">
        <v>1283</v>
      </c>
      <c r="D2671" s="32" t="s">
        <v>15</v>
      </c>
      <c r="E2671" s="31" t="s">
        <v>2927</v>
      </c>
      <c r="F2671" s="161">
        <v>46079.0</v>
      </c>
      <c r="G2671" s="59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5"/>
      <c r="C2672" s="31" t="s">
        <v>1283</v>
      </c>
      <c r="D2672" s="32" t="s">
        <v>15</v>
      </c>
      <c r="E2672" s="31" t="s">
        <v>2928</v>
      </c>
      <c r="F2672" s="161">
        <v>46079.0</v>
      </c>
      <c r="G2672" s="59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5"/>
      <c r="C2673" s="31" t="s">
        <v>1283</v>
      </c>
      <c r="D2673" s="32" t="s">
        <v>15</v>
      </c>
      <c r="E2673" s="31" t="s">
        <v>2929</v>
      </c>
      <c r="F2673" s="161">
        <v>46079.0</v>
      </c>
      <c r="G2673" s="59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5"/>
      <c r="C2674" s="31" t="s">
        <v>1283</v>
      </c>
      <c r="D2674" s="32" t="s">
        <v>99</v>
      </c>
      <c r="E2674" s="31" t="s">
        <v>2930</v>
      </c>
      <c r="F2674" s="161">
        <v>46079.0</v>
      </c>
      <c r="G2674" s="59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5"/>
      <c r="C2675" s="31" t="s">
        <v>1283</v>
      </c>
      <c r="D2675" s="32" t="s">
        <v>99</v>
      </c>
      <c r="E2675" s="31" t="s">
        <v>2931</v>
      </c>
      <c r="F2675" s="161">
        <v>46079.0</v>
      </c>
      <c r="G2675" s="59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5"/>
      <c r="C2676" s="31" t="s">
        <v>1312</v>
      </c>
      <c r="D2676" s="32" t="s">
        <v>15</v>
      </c>
      <c r="E2676" s="31" t="s">
        <v>2932</v>
      </c>
      <c r="F2676" s="161">
        <v>46079.0</v>
      </c>
      <c r="G2676" s="59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5"/>
      <c r="C2677" s="31" t="s">
        <v>1312</v>
      </c>
      <c r="D2677" s="32" t="s">
        <v>15</v>
      </c>
      <c r="E2677" s="31" t="s">
        <v>2933</v>
      </c>
      <c r="F2677" s="161">
        <v>46079.0</v>
      </c>
      <c r="G2677" s="59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5"/>
      <c r="C2678" s="31" t="s">
        <v>1312</v>
      </c>
      <c r="D2678" s="32" t="s">
        <v>15</v>
      </c>
      <c r="E2678" s="31" t="s">
        <v>2934</v>
      </c>
      <c r="F2678" s="161">
        <v>46079.0</v>
      </c>
      <c r="G2678" s="59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5"/>
      <c r="C2679" s="31" t="s">
        <v>1312</v>
      </c>
      <c r="D2679" s="32" t="s">
        <v>99</v>
      </c>
      <c r="E2679" s="31" t="s">
        <v>2935</v>
      </c>
      <c r="F2679" s="161">
        <v>46079.0</v>
      </c>
      <c r="G2679" s="59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5"/>
      <c r="C2680" s="31" t="s">
        <v>1312</v>
      </c>
      <c r="D2680" s="32" t="s">
        <v>99</v>
      </c>
      <c r="E2680" s="32" t="s">
        <v>2936</v>
      </c>
      <c r="F2680" s="161">
        <v>46079.0</v>
      </c>
      <c r="G2680" s="59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5"/>
      <c r="C2681" s="31" t="s">
        <v>2221</v>
      </c>
      <c r="D2681" s="32" t="s">
        <v>99</v>
      </c>
      <c r="E2681" s="31" t="s">
        <v>2937</v>
      </c>
      <c r="F2681" s="161">
        <v>46079.0</v>
      </c>
      <c r="G2681" s="59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5"/>
      <c r="C2682" s="31" t="s">
        <v>159</v>
      </c>
      <c r="D2682" s="32" t="s">
        <v>99</v>
      </c>
      <c r="E2682" s="31" t="s">
        <v>2938</v>
      </c>
      <c r="F2682" s="161">
        <v>46079.0</v>
      </c>
      <c r="G2682" s="59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5"/>
      <c r="C2683" s="31" t="s">
        <v>2495</v>
      </c>
      <c r="D2683" s="32" t="s">
        <v>99</v>
      </c>
      <c r="E2683" s="31" t="s">
        <v>2939</v>
      </c>
      <c r="F2683" s="161">
        <v>46079.0</v>
      </c>
      <c r="G2683" s="59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5"/>
      <c r="C2684" s="31" t="s">
        <v>2495</v>
      </c>
      <c r="D2684" s="32" t="s">
        <v>99</v>
      </c>
      <c r="E2684" s="31" t="s">
        <v>2940</v>
      </c>
      <c r="F2684" s="161">
        <v>46079.0</v>
      </c>
      <c r="G2684" s="59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60"/>
      <c r="C2685" s="61" t="s">
        <v>2941</v>
      </c>
      <c r="D2685" s="62" t="s">
        <v>99</v>
      </c>
      <c r="E2685" s="61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47"/>
      <c r="M2685" s="50"/>
    </row>
    <row r="2686" ht="15.75" customHeight="1">
      <c r="A2686" s="162">
        <v>46065.0</v>
      </c>
      <c r="B2686" s="55"/>
      <c r="C2686" s="31" t="s">
        <v>2941</v>
      </c>
      <c r="D2686" s="32" t="s">
        <v>99</v>
      </c>
      <c r="E2686" s="31" t="s">
        <v>2943</v>
      </c>
      <c r="F2686" s="161">
        <v>46079.0</v>
      </c>
      <c r="G2686" s="59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5"/>
      <c r="C2687" s="31" t="s">
        <v>2334</v>
      </c>
      <c r="D2687" s="32" t="s">
        <v>15</v>
      </c>
      <c r="E2687" s="31" t="s">
        <v>2944</v>
      </c>
      <c r="F2687" s="161">
        <v>46079.0</v>
      </c>
      <c r="G2687" s="59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5"/>
      <c r="C2688" s="31" t="s">
        <v>2334</v>
      </c>
      <c r="D2688" s="32" t="s">
        <v>15</v>
      </c>
      <c r="E2688" s="31" t="s">
        <v>2945</v>
      </c>
      <c r="F2688" s="161">
        <v>46079.0</v>
      </c>
      <c r="G2688" s="59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5"/>
      <c r="C2689" s="31" t="s">
        <v>2334</v>
      </c>
      <c r="D2689" s="32" t="s">
        <v>15</v>
      </c>
      <c r="E2689" s="31" t="s">
        <v>2946</v>
      </c>
      <c r="F2689" s="161">
        <v>46079.0</v>
      </c>
      <c r="G2689" s="59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5"/>
      <c r="C2690" s="31" t="s">
        <v>2941</v>
      </c>
      <c r="D2690" s="32" t="s">
        <v>15</v>
      </c>
      <c r="E2690" s="31" t="s">
        <v>2947</v>
      </c>
      <c r="F2690" s="161">
        <v>46079.0</v>
      </c>
      <c r="G2690" s="59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5"/>
      <c r="C2691" s="31" t="s">
        <v>2334</v>
      </c>
      <c r="D2691" s="32" t="s">
        <v>99</v>
      </c>
      <c r="E2691" s="31" t="s">
        <v>2948</v>
      </c>
      <c r="F2691" s="161">
        <v>46079.0</v>
      </c>
      <c r="G2691" s="59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5"/>
      <c r="C2692" s="31" t="s">
        <v>2334</v>
      </c>
      <c r="D2692" s="32" t="s">
        <v>99</v>
      </c>
      <c r="E2692" s="31" t="s">
        <v>2949</v>
      </c>
      <c r="F2692" s="161">
        <v>46079.0</v>
      </c>
      <c r="G2692" s="59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5"/>
      <c r="C2693" s="31" t="s">
        <v>2334</v>
      </c>
      <c r="D2693" s="32" t="s">
        <v>99</v>
      </c>
      <c r="E2693" s="31" t="s">
        <v>2950</v>
      </c>
      <c r="F2693" s="161">
        <v>46079.0</v>
      </c>
      <c r="G2693" s="59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5"/>
      <c r="C2694" s="31" t="s">
        <v>1842</v>
      </c>
      <c r="D2694" s="32" t="s">
        <v>15</v>
      </c>
      <c r="E2694" s="31" t="s">
        <v>2951</v>
      </c>
      <c r="F2694" s="161">
        <v>46079.0</v>
      </c>
      <c r="G2694" s="59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5"/>
      <c r="C2695" s="31" t="s">
        <v>567</v>
      </c>
      <c r="D2695" s="32" t="s">
        <v>15</v>
      </c>
      <c r="E2695" s="31" t="s">
        <v>2952</v>
      </c>
      <c r="F2695" s="161">
        <v>46079.0</v>
      </c>
      <c r="G2695" s="59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5"/>
      <c r="C2696" s="31" t="s">
        <v>567</v>
      </c>
      <c r="D2696" s="32" t="s">
        <v>15</v>
      </c>
      <c r="E2696" s="31" t="s">
        <v>2953</v>
      </c>
      <c r="F2696" s="161">
        <v>46079.0</v>
      </c>
      <c r="G2696" s="59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5"/>
      <c r="C2697" s="31" t="s">
        <v>567</v>
      </c>
      <c r="D2697" s="32" t="s">
        <v>15</v>
      </c>
      <c r="E2697" s="31" t="s">
        <v>2954</v>
      </c>
      <c r="F2697" s="161">
        <v>46079.0</v>
      </c>
      <c r="G2697" s="59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5"/>
      <c r="C2698" s="31" t="s">
        <v>567</v>
      </c>
      <c r="D2698" s="32" t="s">
        <v>99</v>
      </c>
      <c r="E2698" s="31" t="s">
        <v>2955</v>
      </c>
      <c r="F2698" s="161">
        <v>46079.0</v>
      </c>
      <c r="G2698" s="59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5"/>
      <c r="C2699" s="31" t="s">
        <v>567</v>
      </c>
      <c r="D2699" s="32" t="s">
        <v>99</v>
      </c>
      <c r="E2699" s="31" t="s">
        <v>2956</v>
      </c>
      <c r="F2699" s="161">
        <v>46079.0</v>
      </c>
      <c r="G2699" s="59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5"/>
      <c r="C2700" s="31" t="s">
        <v>567</v>
      </c>
      <c r="D2700" s="32" t="s">
        <v>99</v>
      </c>
      <c r="E2700" s="31" t="s">
        <v>2957</v>
      </c>
      <c r="F2700" s="161">
        <v>46079.0</v>
      </c>
      <c r="G2700" s="59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5"/>
      <c r="C2701" s="31" t="s">
        <v>2958</v>
      </c>
      <c r="D2701" s="32" t="s">
        <v>99</v>
      </c>
      <c r="E2701" s="31" t="s">
        <v>2959</v>
      </c>
      <c r="F2701" s="161">
        <v>46079.0</v>
      </c>
      <c r="G2701" s="59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5"/>
      <c r="C2702" s="31" t="s">
        <v>2958</v>
      </c>
      <c r="D2702" s="32" t="s">
        <v>99</v>
      </c>
      <c r="E2702" s="31" t="s">
        <v>2960</v>
      </c>
      <c r="F2702" s="161">
        <v>46079.0</v>
      </c>
      <c r="G2702" s="59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5"/>
      <c r="C2703" s="31" t="s">
        <v>2346</v>
      </c>
      <c r="D2703" s="32" t="s">
        <v>99</v>
      </c>
      <c r="E2703" s="32" t="s">
        <v>2961</v>
      </c>
      <c r="F2703" s="161">
        <v>46079.0</v>
      </c>
      <c r="G2703" s="59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5"/>
      <c r="C2704" s="31" t="s">
        <v>2346</v>
      </c>
      <c r="D2704" s="32" t="s">
        <v>99</v>
      </c>
      <c r="E2704" s="32" t="s">
        <v>2962</v>
      </c>
      <c r="F2704" s="161">
        <v>46079.0</v>
      </c>
      <c r="G2704" s="59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5"/>
      <c r="C2705" s="31" t="s">
        <v>2346</v>
      </c>
      <c r="D2705" s="32" t="s">
        <v>99</v>
      </c>
      <c r="E2705" s="32" t="s">
        <v>2963</v>
      </c>
      <c r="F2705" s="161">
        <v>46079.0</v>
      </c>
      <c r="G2705" s="59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5"/>
      <c r="C2706" s="31" t="s">
        <v>2346</v>
      </c>
      <c r="D2706" s="32" t="s">
        <v>99</v>
      </c>
      <c r="E2706" s="32" t="s">
        <v>2964</v>
      </c>
      <c r="F2706" s="161">
        <v>46079.0</v>
      </c>
      <c r="G2706" s="59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5"/>
      <c r="C2707" s="31" t="s">
        <v>2346</v>
      </c>
      <c r="D2707" s="32" t="s">
        <v>99</v>
      </c>
      <c r="E2707" s="32" t="s">
        <v>2965</v>
      </c>
      <c r="F2707" s="161">
        <v>46079.0</v>
      </c>
      <c r="G2707" s="59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5"/>
      <c r="C2708" s="31" t="s">
        <v>2346</v>
      </c>
      <c r="D2708" s="32" t="s">
        <v>99</v>
      </c>
      <c r="E2708" s="32" t="s">
        <v>2966</v>
      </c>
      <c r="F2708" s="161">
        <v>46079.0</v>
      </c>
      <c r="G2708" s="59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5"/>
      <c r="C2709" s="31" t="s">
        <v>2346</v>
      </c>
      <c r="D2709" s="32" t="s">
        <v>15</v>
      </c>
      <c r="E2709" s="31" t="s">
        <v>2967</v>
      </c>
      <c r="F2709" s="161">
        <v>46079.0</v>
      </c>
      <c r="G2709" s="59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5"/>
      <c r="C2710" s="31" t="s">
        <v>2346</v>
      </c>
      <c r="D2710" s="32" t="s">
        <v>15</v>
      </c>
      <c r="E2710" s="31" t="s">
        <v>2968</v>
      </c>
      <c r="F2710" s="161">
        <v>46079.0</v>
      </c>
      <c r="G2710" s="59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5"/>
      <c r="C2711" s="31" t="s">
        <v>2346</v>
      </c>
      <c r="D2711" s="32" t="s">
        <v>15</v>
      </c>
      <c r="E2711" s="31" t="s">
        <v>2969</v>
      </c>
      <c r="F2711" s="161">
        <v>46079.0</v>
      </c>
      <c r="G2711" s="59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5"/>
      <c r="C2712" s="31" t="s">
        <v>2346</v>
      </c>
      <c r="D2712" s="32" t="s">
        <v>15</v>
      </c>
      <c r="E2712" s="31" t="s">
        <v>2970</v>
      </c>
      <c r="F2712" s="161">
        <v>46079.0</v>
      </c>
      <c r="G2712" s="59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5"/>
      <c r="C2713" s="31" t="s">
        <v>2346</v>
      </c>
      <c r="D2713" s="32" t="s">
        <v>15</v>
      </c>
      <c r="E2713" s="31" t="s">
        <v>2971</v>
      </c>
      <c r="F2713" s="161">
        <v>46079.0</v>
      </c>
      <c r="G2713" s="59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5"/>
      <c r="C2714" s="31" t="s">
        <v>2346</v>
      </c>
      <c r="D2714" s="32" t="s">
        <v>15</v>
      </c>
      <c r="E2714" s="31" t="s">
        <v>2972</v>
      </c>
      <c r="F2714" s="161">
        <v>46079.0</v>
      </c>
      <c r="G2714" s="59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5"/>
      <c r="C2715" s="31" t="s">
        <v>2346</v>
      </c>
      <c r="D2715" s="32" t="s">
        <v>15</v>
      </c>
      <c r="E2715" s="31" t="s">
        <v>2973</v>
      </c>
      <c r="F2715" s="161">
        <v>46079.0</v>
      </c>
      <c r="G2715" s="59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5"/>
      <c r="C2716" s="31" t="s">
        <v>2346</v>
      </c>
      <c r="D2716" s="32" t="s">
        <v>15</v>
      </c>
      <c r="E2716" s="31" t="s">
        <v>2974</v>
      </c>
      <c r="F2716" s="161">
        <v>46079.0</v>
      </c>
      <c r="G2716" s="59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5"/>
      <c r="C2717" s="31" t="s">
        <v>2346</v>
      </c>
      <c r="D2717" s="32" t="s">
        <v>15</v>
      </c>
      <c r="E2717" s="31" t="s">
        <v>2975</v>
      </c>
      <c r="F2717" s="161">
        <v>46079.0</v>
      </c>
      <c r="G2717" s="59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5"/>
      <c r="C2718" s="31" t="s">
        <v>1183</v>
      </c>
      <c r="D2718" s="32" t="s">
        <v>15</v>
      </c>
      <c r="E2718" s="31" t="s">
        <v>2976</v>
      </c>
      <c r="F2718" s="161">
        <v>46079.0</v>
      </c>
      <c r="G2718" s="59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5"/>
      <c r="C2719" s="31" t="s">
        <v>1183</v>
      </c>
      <c r="D2719" s="32" t="s">
        <v>15</v>
      </c>
      <c r="E2719" s="31" t="s">
        <v>2977</v>
      </c>
      <c r="F2719" s="161">
        <v>46079.0</v>
      </c>
      <c r="G2719" s="59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5"/>
      <c r="C2720" s="31" t="s">
        <v>1183</v>
      </c>
      <c r="D2720" s="32" t="s">
        <v>15</v>
      </c>
      <c r="E2720" s="31" t="s">
        <v>2978</v>
      </c>
      <c r="F2720" s="161">
        <v>46079.0</v>
      </c>
      <c r="G2720" s="59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5"/>
      <c r="C2721" s="31" t="s">
        <v>1183</v>
      </c>
      <c r="D2721" s="32" t="s">
        <v>15</v>
      </c>
      <c r="E2721" s="31" t="s">
        <v>2979</v>
      </c>
      <c r="F2721" s="161">
        <v>46079.0</v>
      </c>
      <c r="G2721" s="59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5"/>
      <c r="C2722" s="31" t="s">
        <v>1183</v>
      </c>
      <c r="D2722" s="32" t="s">
        <v>15</v>
      </c>
      <c r="E2722" s="31" t="s">
        <v>2980</v>
      </c>
      <c r="F2722" s="161">
        <v>46079.0</v>
      </c>
      <c r="G2722" s="59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5"/>
      <c r="C2723" s="31" t="s">
        <v>1183</v>
      </c>
      <c r="D2723" s="32" t="s">
        <v>15</v>
      </c>
      <c r="E2723" s="31" t="s">
        <v>2981</v>
      </c>
      <c r="F2723" s="161">
        <v>46079.0</v>
      </c>
      <c r="G2723" s="59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5"/>
      <c r="C2724" s="31" t="s">
        <v>1183</v>
      </c>
      <c r="D2724" s="32" t="s">
        <v>15</v>
      </c>
      <c r="E2724" s="31" t="s">
        <v>2982</v>
      </c>
      <c r="F2724" s="161">
        <v>46079.0</v>
      </c>
      <c r="G2724" s="59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5"/>
      <c r="C2725" s="31" t="s">
        <v>1183</v>
      </c>
      <c r="D2725" s="32" t="s">
        <v>15</v>
      </c>
      <c r="E2725" s="31" t="s">
        <v>2983</v>
      </c>
      <c r="F2725" s="161">
        <v>46079.0</v>
      </c>
      <c r="G2725" s="59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5"/>
      <c r="C2726" s="31" t="s">
        <v>1183</v>
      </c>
      <c r="D2726" s="32" t="s">
        <v>15</v>
      </c>
      <c r="E2726" s="31" t="s">
        <v>2984</v>
      </c>
      <c r="F2726" s="161">
        <v>46079.0</v>
      </c>
      <c r="G2726" s="59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5"/>
      <c r="C2727" s="31" t="s">
        <v>1183</v>
      </c>
      <c r="D2727" s="32" t="s">
        <v>15</v>
      </c>
      <c r="E2727" s="31" t="s">
        <v>2985</v>
      </c>
      <c r="F2727" s="161">
        <v>46079.0</v>
      </c>
      <c r="G2727" s="59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5"/>
      <c r="C2728" s="31" t="s">
        <v>1183</v>
      </c>
      <c r="D2728" s="32" t="s">
        <v>15</v>
      </c>
      <c r="E2728" s="31" t="s">
        <v>2986</v>
      </c>
      <c r="F2728" s="161">
        <v>46079.0</v>
      </c>
      <c r="G2728" s="59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5"/>
      <c r="C2729" s="31" t="s">
        <v>1183</v>
      </c>
      <c r="D2729" s="32" t="s">
        <v>15</v>
      </c>
      <c r="E2729" s="31" t="s">
        <v>2987</v>
      </c>
      <c r="F2729" s="161">
        <v>46079.0</v>
      </c>
      <c r="G2729" s="59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5"/>
      <c r="C2735" s="31" t="s">
        <v>1189</v>
      </c>
      <c r="D2735" s="32" t="s">
        <v>15</v>
      </c>
      <c r="E2735" s="31" t="s">
        <v>2993</v>
      </c>
      <c r="F2735" s="161">
        <v>46079.0</v>
      </c>
      <c r="G2735" s="59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5"/>
      <c r="C2736" s="31" t="s">
        <v>247</v>
      </c>
      <c r="D2736" s="32" t="s">
        <v>15</v>
      </c>
      <c r="E2736" s="31" t="s">
        <v>2994</v>
      </c>
      <c r="F2736" s="161">
        <v>46079.0</v>
      </c>
      <c r="G2736" s="59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5"/>
      <c r="C2737" s="31" t="s">
        <v>247</v>
      </c>
      <c r="D2737" s="32" t="s">
        <v>15</v>
      </c>
      <c r="E2737" s="31" t="s">
        <v>2995</v>
      </c>
      <c r="F2737" s="161">
        <v>46079.0</v>
      </c>
      <c r="G2737" s="59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5"/>
      <c r="C2738" s="31" t="s">
        <v>247</v>
      </c>
      <c r="D2738" s="32" t="s">
        <v>15</v>
      </c>
      <c r="E2738" s="31" t="s">
        <v>2996</v>
      </c>
      <c r="F2738" s="161">
        <v>46079.0</v>
      </c>
      <c r="G2738" s="59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5"/>
      <c r="C2739" s="31" t="s">
        <v>247</v>
      </c>
      <c r="D2739" s="32" t="s">
        <v>15</v>
      </c>
      <c r="E2739" s="31" t="s">
        <v>2997</v>
      </c>
      <c r="F2739" s="161">
        <v>46079.0</v>
      </c>
      <c r="G2739" s="59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5"/>
      <c r="C2740" s="32" t="s">
        <v>122</v>
      </c>
      <c r="D2740" s="32" t="s">
        <v>15</v>
      </c>
      <c r="E2740" s="31" t="s">
        <v>2998</v>
      </c>
      <c r="F2740" s="161">
        <v>46079.0</v>
      </c>
      <c r="G2740" s="59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5"/>
      <c r="C2741" s="31" t="s">
        <v>1285</v>
      </c>
      <c r="D2741" s="32" t="s">
        <v>15</v>
      </c>
      <c r="E2741" s="31" t="s">
        <v>2999</v>
      </c>
      <c r="F2741" s="161">
        <v>46079.0</v>
      </c>
      <c r="G2741" s="59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5"/>
      <c r="C2742" s="31" t="s">
        <v>2318</v>
      </c>
      <c r="D2742" s="31" t="s">
        <v>77</v>
      </c>
      <c r="E2742" s="31" t="s">
        <v>3000</v>
      </c>
      <c r="F2742" s="161">
        <v>46079.0</v>
      </c>
      <c r="G2742" s="59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5"/>
      <c r="C2743" s="31" t="s">
        <v>2318</v>
      </c>
      <c r="D2743" s="31" t="s">
        <v>77</v>
      </c>
      <c r="E2743" s="31" t="s">
        <v>3001</v>
      </c>
      <c r="F2743" s="161">
        <v>46079.0</v>
      </c>
      <c r="G2743" s="59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5"/>
      <c r="C2744" s="31" t="s">
        <v>2318</v>
      </c>
      <c r="D2744" s="31" t="s">
        <v>77</v>
      </c>
      <c r="E2744" s="31" t="s">
        <v>3002</v>
      </c>
      <c r="F2744" s="161">
        <v>46079.0</v>
      </c>
      <c r="G2744" s="59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5"/>
      <c r="C2745" s="31" t="s">
        <v>2318</v>
      </c>
      <c r="D2745" s="31" t="s">
        <v>77</v>
      </c>
      <c r="E2745" s="31" t="s">
        <v>3003</v>
      </c>
      <c r="F2745" s="161">
        <v>46079.0</v>
      </c>
      <c r="G2745" s="59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5"/>
      <c r="C2746" s="31" t="s">
        <v>2318</v>
      </c>
      <c r="D2746" s="31" t="s">
        <v>77</v>
      </c>
      <c r="E2746" s="31" t="s">
        <v>3004</v>
      </c>
      <c r="F2746" s="161">
        <v>46079.0</v>
      </c>
      <c r="G2746" s="59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5"/>
      <c r="C2747" s="31" t="s">
        <v>2318</v>
      </c>
      <c r="D2747" s="31" t="s">
        <v>77</v>
      </c>
      <c r="E2747" s="31" t="s">
        <v>3005</v>
      </c>
      <c r="F2747" s="161">
        <v>46079.0</v>
      </c>
      <c r="G2747" s="59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5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9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5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9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5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9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60"/>
      <c r="C2751" s="61" t="s">
        <v>2374</v>
      </c>
      <c r="D2751" s="61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47"/>
      <c r="M2751" s="50"/>
    </row>
    <row r="2752" ht="15.75" customHeight="1">
      <c r="A2752" s="164">
        <v>46077.0</v>
      </c>
      <c r="B2752" s="60"/>
      <c r="C2752" s="61" t="s">
        <v>2374</v>
      </c>
      <c r="D2752" s="61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47"/>
      <c r="M2752" s="50"/>
    </row>
    <row r="2753" ht="15.75" customHeight="1">
      <c r="A2753" s="164">
        <v>46077.0</v>
      </c>
      <c r="B2753" s="60"/>
      <c r="C2753" s="61" t="s">
        <v>2374</v>
      </c>
      <c r="D2753" s="61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47"/>
      <c r="M2753" s="50"/>
    </row>
    <row r="2754" ht="15.75" customHeight="1">
      <c r="A2754" s="164">
        <v>46077.0</v>
      </c>
      <c r="B2754" s="60"/>
      <c r="C2754" s="61" t="s">
        <v>2837</v>
      </c>
      <c r="D2754" s="61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47"/>
      <c r="M2754" s="50"/>
    </row>
    <row r="2755" ht="15.75" customHeight="1">
      <c r="A2755" s="164">
        <v>46077.0</v>
      </c>
      <c r="B2755" s="60"/>
      <c r="C2755" s="61" t="s">
        <v>2837</v>
      </c>
      <c r="D2755" s="61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47"/>
      <c r="M2755" s="50"/>
    </row>
    <row r="2756" ht="15.75" customHeight="1">
      <c r="A2756" s="164">
        <v>46077.0</v>
      </c>
      <c r="B2756" s="60"/>
      <c r="C2756" s="61" t="s">
        <v>2837</v>
      </c>
      <c r="D2756" s="61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47"/>
      <c r="M2756" s="50"/>
    </row>
    <row r="2757" ht="15.75" customHeight="1">
      <c r="A2757" s="162">
        <v>46077.0</v>
      </c>
      <c r="B2757" s="55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9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5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9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5"/>
      <c r="C2759" s="31" t="s">
        <v>1685</v>
      </c>
      <c r="D2759" s="32" t="s">
        <v>15</v>
      </c>
      <c r="E2759" s="31" t="s">
        <v>3015</v>
      </c>
      <c r="F2759" s="161">
        <v>46079.0</v>
      </c>
      <c r="G2759" s="59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5"/>
      <c r="C2760" s="31" t="s">
        <v>1685</v>
      </c>
      <c r="D2760" s="32" t="s">
        <v>99</v>
      </c>
      <c r="E2760" s="31" t="s">
        <v>3016</v>
      </c>
      <c r="F2760" s="161">
        <v>46079.0</v>
      </c>
      <c r="G2760" s="59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5"/>
      <c r="C2761" s="31" t="s">
        <v>2318</v>
      </c>
      <c r="D2761" s="32" t="s">
        <v>15</v>
      </c>
      <c r="E2761" s="31" t="s">
        <v>3017</v>
      </c>
      <c r="F2761" s="161">
        <v>46079.0</v>
      </c>
      <c r="G2761" s="59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5"/>
      <c r="C2762" s="31" t="s">
        <v>2318</v>
      </c>
      <c r="D2762" s="32" t="s">
        <v>15</v>
      </c>
      <c r="E2762" s="31" t="s">
        <v>3018</v>
      </c>
      <c r="F2762" s="161">
        <v>46079.0</v>
      </c>
      <c r="G2762" s="59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5"/>
      <c r="C2763" s="31" t="s">
        <v>2318</v>
      </c>
      <c r="D2763" s="32" t="s">
        <v>15</v>
      </c>
      <c r="E2763" s="31" t="s">
        <v>3019</v>
      </c>
      <c r="F2763" s="161">
        <v>46079.0</v>
      </c>
      <c r="G2763" s="59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5"/>
      <c r="C2764" s="31" t="s">
        <v>2318</v>
      </c>
      <c r="D2764" s="32" t="s">
        <v>15</v>
      </c>
      <c r="E2764" s="31" t="s">
        <v>3020</v>
      </c>
      <c r="F2764" s="161">
        <v>46079.0</v>
      </c>
      <c r="G2764" s="59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5"/>
      <c r="C2765" s="31" t="s">
        <v>2318</v>
      </c>
      <c r="D2765" s="32" t="s">
        <v>15</v>
      </c>
      <c r="E2765" s="31" t="s">
        <v>3021</v>
      </c>
      <c r="F2765" s="161">
        <v>46079.0</v>
      </c>
      <c r="G2765" s="59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5"/>
      <c r="C2766" s="31" t="s">
        <v>2318</v>
      </c>
      <c r="D2766" s="31" t="s">
        <v>77</v>
      </c>
      <c r="E2766" s="31" t="s">
        <v>3022</v>
      </c>
      <c r="F2766" s="161">
        <v>46079.0</v>
      </c>
      <c r="G2766" s="59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5"/>
      <c r="C2767" s="31" t="s">
        <v>2318</v>
      </c>
      <c r="D2767" s="31" t="s">
        <v>77</v>
      </c>
      <c r="E2767" s="31" t="s">
        <v>3023</v>
      </c>
      <c r="F2767" s="161">
        <v>46079.0</v>
      </c>
      <c r="G2767" s="59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5"/>
      <c r="C2768" s="31" t="s">
        <v>2318</v>
      </c>
      <c r="D2768" s="31" t="s">
        <v>77</v>
      </c>
      <c r="E2768" s="31" t="s">
        <v>3024</v>
      </c>
      <c r="F2768" s="161">
        <v>46079.0</v>
      </c>
      <c r="G2768" s="59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5"/>
      <c r="C2769" s="31" t="s">
        <v>2318</v>
      </c>
      <c r="D2769" s="31" t="s">
        <v>77</v>
      </c>
      <c r="E2769" s="31" t="s">
        <v>3025</v>
      </c>
      <c r="F2769" s="161">
        <v>46079.0</v>
      </c>
      <c r="G2769" s="59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5"/>
      <c r="C2770" s="31" t="s">
        <v>2318</v>
      </c>
      <c r="D2770" s="31" t="s">
        <v>77</v>
      </c>
      <c r="E2770" s="31" t="s">
        <v>3026</v>
      </c>
      <c r="F2770" s="161">
        <v>46079.0</v>
      </c>
      <c r="G2770" s="59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5"/>
      <c r="C2771" s="31" t="s">
        <v>2318</v>
      </c>
      <c r="D2771" s="31" t="s">
        <v>77</v>
      </c>
      <c r="E2771" s="31" t="s">
        <v>3027</v>
      </c>
      <c r="F2771" s="161">
        <v>46079.0</v>
      </c>
      <c r="G2771" s="59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5"/>
      <c r="C2772" s="31" t="s">
        <v>2318</v>
      </c>
      <c r="D2772" s="31" t="s">
        <v>77</v>
      </c>
      <c r="E2772" s="31" t="s">
        <v>3028</v>
      </c>
      <c r="F2772" s="161">
        <v>46079.0</v>
      </c>
      <c r="G2772" s="59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5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9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5"/>
      <c r="C2774" s="31" t="s">
        <v>299</v>
      </c>
      <c r="D2774" s="32" t="s">
        <v>15</v>
      </c>
      <c r="E2774" s="31" t="s">
        <v>3031</v>
      </c>
      <c r="F2774" s="161">
        <v>46079.0</v>
      </c>
      <c r="G2774" s="59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5"/>
      <c r="C2775" s="31" t="s">
        <v>299</v>
      </c>
      <c r="D2775" s="32" t="s">
        <v>15</v>
      </c>
      <c r="E2775" s="31" t="s">
        <v>3032</v>
      </c>
      <c r="F2775" s="161">
        <v>46079.0</v>
      </c>
      <c r="G2775" s="59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5"/>
      <c r="C2776" s="31" t="s">
        <v>299</v>
      </c>
      <c r="D2776" s="32" t="s">
        <v>15</v>
      </c>
      <c r="E2776" s="31" t="s">
        <v>3033</v>
      </c>
      <c r="F2776" s="161">
        <v>46079.0</v>
      </c>
      <c r="G2776" s="59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5"/>
      <c r="C2777" s="31" t="s">
        <v>299</v>
      </c>
      <c r="D2777" s="32" t="s">
        <v>15</v>
      </c>
      <c r="E2777" s="31" t="s">
        <v>3034</v>
      </c>
      <c r="F2777" s="161">
        <v>46079.0</v>
      </c>
      <c r="G2777" s="59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5"/>
      <c r="C2778" s="31" t="s">
        <v>299</v>
      </c>
      <c r="D2778" s="32" t="s">
        <v>15</v>
      </c>
      <c r="E2778" s="31" t="s">
        <v>3035</v>
      </c>
      <c r="F2778" s="161">
        <v>46079.0</v>
      </c>
      <c r="G2778" s="59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5"/>
      <c r="C2779" s="31" t="s">
        <v>497</v>
      </c>
      <c r="D2779" s="32" t="s">
        <v>15</v>
      </c>
      <c r="E2779" s="31" t="s">
        <v>3036</v>
      </c>
      <c r="F2779" s="161">
        <v>46079.0</v>
      </c>
      <c r="G2779" s="59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5"/>
      <c r="C2780" s="31" t="s">
        <v>1275</v>
      </c>
      <c r="D2780" s="32" t="s">
        <v>15</v>
      </c>
      <c r="E2780" s="31" t="s">
        <v>3037</v>
      </c>
      <c r="F2780" s="161">
        <v>46079.0</v>
      </c>
      <c r="G2780" s="59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5"/>
      <c r="C2781" s="31" t="s">
        <v>1275</v>
      </c>
      <c r="D2781" s="32" t="s">
        <v>15</v>
      </c>
      <c r="E2781" s="31" t="s">
        <v>3038</v>
      </c>
      <c r="F2781" s="161">
        <v>46079.0</v>
      </c>
      <c r="G2781" s="59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5"/>
      <c r="C2782" s="31" t="s">
        <v>1275</v>
      </c>
      <c r="D2782" s="32" t="s">
        <v>15</v>
      </c>
      <c r="E2782" s="31" t="s">
        <v>3039</v>
      </c>
      <c r="F2782" s="161">
        <v>46079.0</v>
      </c>
      <c r="G2782" s="59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5"/>
      <c r="C2783" s="31" t="s">
        <v>1275</v>
      </c>
      <c r="D2783" s="32" t="s">
        <v>15</v>
      </c>
      <c r="E2783" s="31" t="s">
        <v>3040</v>
      </c>
      <c r="F2783" s="161">
        <v>46079.0</v>
      </c>
      <c r="G2783" s="59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5"/>
      <c r="C2784" s="31" t="s">
        <v>1277</v>
      </c>
      <c r="D2784" s="32" t="s">
        <v>15</v>
      </c>
      <c r="E2784" s="31" t="s">
        <v>3041</v>
      </c>
      <c r="F2784" s="161">
        <v>46079.0</v>
      </c>
      <c r="G2784" s="59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5"/>
      <c r="C2785" s="31" t="s">
        <v>1277</v>
      </c>
      <c r="D2785" s="32" t="s">
        <v>15</v>
      </c>
      <c r="E2785" s="31" t="s">
        <v>3042</v>
      </c>
      <c r="F2785" s="161">
        <v>46079.0</v>
      </c>
      <c r="G2785" s="59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5"/>
      <c r="C2786" s="31" t="s">
        <v>1277</v>
      </c>
      <c r="D2786" s="32" t="s">
        <v>15</v>
      </c>
      <c r="E2786" s="31" t="s">
        <v>3043</v>
      </c>
      <c r="F2786" s="161">
        <v>46079.0</v>
      </c>
      <c r="G2786" s="59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5"/>
      <c r="C2787" s="31" t="s">
        <v>1277</v>
      </c>
      <c r="D2787" s="32" t="s">
        <v>15</v>
      </c>
      <c r="E2787" s="31" t="s">
        <v>3044</v>
      </c>
      <c r="F2787" s="161">
        <v>46079.0</v>
      </c>
      <c r="G2787" s="59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5"/>
      <c r="C2788" s="31" t="s">
        <v>1283</v>
      </c>
      <c r="D2788" s="32" t="s">
        <v>15</v>
      </c>
      <c r="E2788" s="31" t="s">
        <v>3045</v>
      </c>
      <c r="F2788" s="161">
        <v>46079.0</v>
      </c>
      <c r="G2788" s="59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5"/>
      <c r="C2789" s="31" t="s">
        <v>1283</v>
      </c>
      <c r="D2789" s="32" t="s">
        <v>15</v>
      </c>
      <c r="E2789" s="31" t="s">
        <v>3046</v>
      </c>
      <c r="F2789" s="161">
        <v>46079.0</v>
      </c>
      <c r="G2789" s="59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5"/>
      <c r="C2790" s="31" t="s">
        <v>1283</v>
      </c>
      <c r="D2790" s="32" t="s">
        <v>15</v>
      </c>
      <c r="E2790" s="31" t="s">
        <v>3047</v>
      </c>
      <c r="F2790" s="161">
        <v>46079.0</v>
      </c>
      <c r="G2790" s="59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5"/>
      <c r="C2791" s="31" t="s">
        <v>1283</v>
      </c>
      <c r="D2791" s="32" t="s">
        <v>15</v>
      </c>
      <c r="E2791" s="31" t="s">
        <v>3048</v>
      </c>
      <c r="F2791" s="161">
        <v>46079.0</v>
      </c>
      <c r="G2791" s="59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5"/>
      <c r="C2792" s="31" t="s">
        <v>635</v>
      </c>
      <c r="D2792" s="32" t="s">
        <v>15</v>
      </c>
      <c r="E2792" s="31" t="s">
        <v>3049</v>
      </c>
      <c r="F2792" s="161">
        <v>46079.0</v>
      </c>
      <c r="G2792" s="59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5"/>
      <c r="C2793" s="31" t="s">
        <v>635</v>
      </c>
      <c r="D2793" s="32" t="s">
        <v>15</v>
      </c>
      <c r="E2793" s="31" t="s">
        <v>3050</v>
      </c>
      <c r="F2793" s="161">
        <v>46079.0</v>
      </c>
      <c r="G2793" s="59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5"/>
      <c r="C2794" s="31" t="s">
        <v>635</v>
      </c>
      <c r="D2794" s="32" t="s">
        <v>15</v>
      </c>
      <c r="E2794" s="31" t="s">
        <v>3051</v>
      </c>
      <c r="F2794" s="161">
        <v>46079.0</v>
      </c>
      <c r="G2794" s="59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5"/>
      <c r="C2795" s="31" t="s">
        <v>635</v>
      </c>
      <c r="D2795" s="32" t="s">
        <v>15</v>
      </c>
      <c r="E2795" s="31" t="s">
        <v>3052</v>
      </c>
      <c r="F2795" s="161">
        <v>46079.0</v>
      </c>
      <c r="G2795" s="59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5"/>
      <c r="C2796" s="31" t="s">
        <v>635</v>
      </c>
      <c r="D2796" s="32" t="s">
        <v>15</v>
      </c>
      <c r="E2796" s="31" t="s">
        <v>3053</v>
      </c>
      <c r="F2796" s="161">
        <v>46079.0</v>
      </c>
      <c r="G2796" s="59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5"/>
      <c r="C2798" s="31" t="s">
        <v>635</v>
      </c>
      <c r="D2798" s="32" t="s">
        <v>15</v>
      </c>
      <c r="E2798" s="31" t="s">
        <v>3055</v>
      </c>
      <c r="F2798" s="161">
        <v>46079.0</v>
      </c>
      <c r="G2798" s="59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5"/>
      <c r="C2799" s="31" t="s">
        <v>635</v>
      </c>
      <c r="D2799" s="32" t="s">
        <v>15</v>
      </c>
      <c r="E2799" s="31" t="s">
        <v>3056</v>
      </c>
      <c r="F2799" s="161">
        <v>46079.0</v>
      </c>
      <c r="G2799" s="59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5"/>
      <c r="C2800" s="31" t="s">
        <v>635</v>
      </c>
      <c r="D2800" s="32" t="s">
        <v>15</v>
      </c>
      <c r="E2800" s="31" t="s">
        <v>3057</v>
      </c>
      <c r="F2800" s="161">
        <v>46079.0</v>
      </c>
      <c r="G2800" s="59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5"/>
      <c r="C2801" s="31" t="s">
        <v>635</v>
      </c>
      <c r="D2801" s="32" t="s">
        <v>15</v>
      </c>
      <c r="E2801" s="31" t="s">
        <v>3058</v>
      </c>
      <c r="F2801" s="161">
        <v>46079.0</v>
      </c>
      <c r="G2801" s="59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5"/>
      <c r="C2802" s="31" t="s">
        <v>635</v>
      </c>
      <c r="D2802" s="32" t="s">
        <v>15</v>
      </c>
      <c r="E2802" s="31" t="s">
        <v>3059</v>
      </c>
      <c r="F2802" s="161">
        <v>46079.0</v>
      </c>
      <c r="G2802" s="59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5"/>
      <c r="C2804" s="31" t="s">
        <v>635</v>
      </c>
      <c r="D2804" s="32" t="s">
        <v>15</v>
      </c>
      <c r="E2804" s="31" t="s">
        <v>3061</v>
      </c>
      <c r="F2804" s="161">
        <v>46079.0</v>
      </c>
      <c r="G2804" s="59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5"/>
      <c r="C2805" s="31" t="s">
        <v>635</v>
      </c>
      <c r="D2805" s="32" t="s">
        <v>15</v>
      </c>
      <c r="E2805" s="31" t="s">
        <v>3062</v>
      </c>
      <c r="F2805" s="161">
        <v>46079.0</v>
      </c>
      <c r="G2805" s="59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5"/>
      <c r="C2806" s="31" t="s">
        <v>3063</v>
      </c>
      <c r="D2806" s="32" t="s">
        <v>15</v>
      </c>
      <c r="E2806" s="31" t="s">
        <v>3064</v>
      </c>
      <c r="F2806" s="161">
        <v>46079.0</v>
      </c>
      <c r="G2806" s="59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5"/>
      <c r="C2807" s="31" t="s">
        <v>3063</v>
      </c>
      <c r="D2807" s="32" t="s">
        <v>15</v>
      </c>
      <c r="E2807" s="31" t="s">
        <v>3065</v>
      </c>
      <c r="F2807" s="161">
        <v>46079.0</v>
      </c>
      <c r="G2807" s="59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5"/>
      <c r="C2808" s="31" t="s">
        <v>111</v>
      </c>
      <c r="D2808" s="32" t="s">
        <v>15</v>
      </c>
      <c r="E2808" s="31" t="s">
        <v>3066</v>
      </c>
      <c r="F2808" s="161">
        <v>46079.0</v>
      </c>
      <c r="G2808" s="59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5"/>
      <c r="C2809" s="31" t="s">
        <v>111</v>
      </c>
      <c r="D2809" s="32" t="s">
        <v>15</v>
      </c>
      <c r="E2809" s="31" t="s">
        <v>3067</v>
      </c>
      <c r="F2809" s="161">
        <v>46079.0</v>
      </c>
      <c r="G2809" s="59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5"/>
      <c r="C2810" s="31" t="s">
        <v>3068</v>
      </c>
      <c r="D2810" s="32" t="s">
        <v>99</v>
      </c>
      <c r="E2810" s="31" t="s">
        <v>3069</v>
      </c>
      <c r="F2810" s="161">
        <v>46079.0</v>
      </c>
      <c r="G2810" s="59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5"/>
      <c r="C2811" s="31" t="s">
        <v>1275</v>
      </c>
      <c r="D2811" s="32" t="s">
        <v>99</v>
      </c>
      <c r="E2811" s="31" t="s">
        <v>3070</v>
      </c>
      <c r="F2811" s="161">
        <v>46079.0</v>
      </c>
      <c r="G2811" s="59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5"/>
      <c r="C2812" s="31" t="s">
        <v>1275</v>
      </c>
      <c r="D2812" s="32" t="s">
        <v>99</v>
      </c>
      <c r="E2812" s="31" t="s">
        <v>3071</v>
      </c>
      <c r="F2812" s="161">
        <v>46079.0</v>
      </c>
      <c r="G2812" s="59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5"/>
      <c r="C2813" s="31" t="s">
        <v>1275</v>
      </c>
      <c r="D2813" s="32" t="s">
        <v>99</v>
      </c>
      <c r="E2813" s="31" t="s">
        <v>3072</v>
      </c>
      <c r="F2813" s="161">
        <v>46079.0</v>
      </c>
      <c r="G2813" s="59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5"/>
      <c r="C2814" s="31" t="s">
        <v>1275</v>
      </c>
      <c r="D2814" s="32" t="s">
        <v>99</v>
      </c>
      <c r="E2814" s="31" t="s">
        <v>3073</v>
      </c>
      <c r="F2814" s="161">
        <v>46079.0</v>
      </c>
      <c r="G2814" s="59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5"/>
      <c r="C2815" s="31" t="s">
        <v>1277</v>
      </c>
      <c r="D2815" s="32" t="s">
        <v>99</v>
      </c>
      <c r="E2815" s="31" t="s">
        <v>3074</v>
      </c>
      <c r="F2815" s="161">
        <v>46079.0</v>
      </c>
      <c r="G2815" s="59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5"/>
      <c r="C2816" s="31" t="s">
        <v>1277</v>
      </c>
      <c r="D2816" s="32" t="s">
        <v>99</v>
      </c>
      <c r="E2816" s="31" t="s">
        <v>3075</v>
      </c>
      <c r="F2816" s="161">
        <v>46079.0</v>
      </c>
      <c r="G2816" s="59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5"/>
      <c r="C2817" s="31" t="s">
        <v>1277</v>
      </c>
      <c r="D2817" s="32" t="s">
        <v>99</v>
      </c>
      <c r="E2817" s="31" t="s">
        <v>3076</v>
      </c>
      <c r="F2817" s="161">
        <v>46079.0</v>
      </c>
      <c r="G2817" s="59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5"/>
      <c r="C2818" s="31" t="s">
        <v>1277</v>
      </c>
      <c r="D2818" s="32" t="s">
        <v>99</v>
      </c>
      <c r="E2818" s="31" t="s">
        <v>3077</v>
      </c>
      <c r="F2818" s="161">
        <v>46079.0</v>
      </c>
      <c r="G2818" s="59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5"/>
      <c r="C2819" s="31" t="s">
        <v>1279</v>
      </c>
      <c r="D2819" s="32" t="s">
        <v>99</v>
      </c>
      <c r="E2819" s="31" t="s">
        <v>3078</v>
      </c>
      <c r="F2819" s="161">
        <v>46079.0</v>
      </c>
      <c r="G2819" s="59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5"/>
      <c r="C2820" s="31" t="s">
        <v>1279</v>
      </c>
      <c r="D2820" s="32" t="s">
        <v>99</v>
      </c>
      <c r="E2820" s="31" t="s">
        <v>3079</v>
      </c>
      <c r="F2820" s="161">
        <v>46079.0</v>
      </c>
      <c r="G2820" s="59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5"/>
      <c r="C2821" s="31" t="s">
        <v>1279</v>
      </c>
      <c r="D2821" s="32" t="s">
        <v>99</v>
      </c>
      <c r="E2821" s="31" t="s">
        <v>3080</v>
      </c>
      <c r="F2821" s="161">
        <v>46079.0</v>
      </c>
      <c r="G2821" s="59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5"/>
      <c r="C2822" s="31" t="s">
        <v>1279</v>
      </c>
      <c r="D2822" s="32" t="s">
        <v>99</v>
      </c>
      <c r="E2822" s="31" t="s">
        <v>3081</v>
      </c>
      <c r="F2822" s="161">
        <v>46079.0</v>
      </c>
      <c r="G2822" s="59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5"/>
      <c r="C2823" s="31" t="s">
        <v>1281</v>
      </c>
      <c r="D2823" s="32" t="s">
        <v>99</v>
      </c>
      <c r="E2823" s="31" t="s">
        <v>3082</v>
      </c>
      <c r="F2823" s="161">
        <v>46079.0</v>
      </c>
      <c r="G2823" s="59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5"/>
      <c r="C2824" s="31" t="s">
        <v>1281</v>
      </c>
      <c r="D2824" s="32" t="s">
        <v>99</v>
      </c>
      <c r="E2824" s="31" t="s">
        <v>3083</v>
      </c>
      <c r="F2824" s="161">
        <v>46079.0</v>
      </c>
      <c r="G2824" s="59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5"/>
      <c r="C2825" s="31" t="s">
        <v>1281</v>
      </c>
      <c r="D2825" s="32" t="s">
        <v>99</v>
      </c>
      <c r="E2825" s="31" t="s">
        <v>3084</v>
      </c>
      <c r="F2825" s="161">
        <v>46079.0</v>
      </c>
      <c r="G2825" s="59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5"/>
      <c r="C2826" s="31" t="s">
        <v>1281</v>
      </c>
      <c r="D2826" s="32" t="s">
        <v>99</v>
      </c>
      <c r="E2826" s="31" t="s">
        <v>3085</v>
      </c>
      <c r="F2826" s="161">
        <v>46079.0</v>
      </c>
      <c r="G2826" s="59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5"/>
      <c r="C2827" s="31" t="s">
        <v>1283</v>
      </c>
      <c r="D2827" s="32" t="s">
        <v>99</v>
      </c>
      <c r="E2827" s="31" t="s">
        <v>3086</v>
      </c>
      <c r="F2827" s="161">
        <v>46079.0</v>
      </c>
      <c r="G2827" s="59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5"/>
      <c r="C2828" s="31" t="s">
        <v>1283</v>
      </c>
      <c r="D2828" s="32" t="s">
        <v>99</v>
      </c>
      <c r="E2828" s="31" t="s">
        <v>3087</v>
      </c>
      <c r="F2828" s="161">
        <v>46079.0</v>
      </c>
      <c r="G2828" s="59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5"/>
      <c r="C2829" s="31" t="s">
        <v>1283</v>
      </c>
      <c r="D2829" s="32" t="s">
        <v>99</v>
      </c>
      <c r="E2829" s="31" t="s">
        <v>3088</v>
      </c>
      <c r="F2829" s="161">
        <v>46079.0</v>
      </c>
      <c r="G2829" s="59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5"/>
      <c r="C2830" s="31" t="s">
        <v>1283</v>
      </c>
      <c r="D2830" s="32" t="s">
        <v>99</v>
      </c>
      <c r="E2830" s="31" t="s">
        <v>3089</v>
      </c>
      <c r="F2830" s="161">
        <v>46079.0</v>
      </c>
      <c r="G2830" s="59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5"/>
      <c r="C2831" s="31" t="s">
        <v>111</v>
      </c>
      <c r="D2831" s="32" t="s">
        <v>99</v>
      </c>
      <c r="E2831" s="31" t="s">
        <v>3090</v>
      </c>
      <c r="F2831" s="161">
        <v>46079.0</v>
      </c>
      <c r="G2831" s="59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5"/>
      <c r="C2832" s="31" t="s">
        <v>111</v>
      </c>
      <c r="D2832" s="32" t="s">
        <v>99</v>
      </c>
      <c r="E2832" s="31" t="s">
        <v>3091</v>
      </c>
      <c r="F2832" s="161">
        <v>46079.0</v>
      </c>
      <c r="G2832" s="59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5"/>
      <c r="C2833" s="31" t="s">
        <v>111</v>
      </c>
      <c r="D2833" s="32" t="s">
        <v>99</v>
      </c>
      <c r="E2833" s="31" t="s">
        <v>3092</v>
      </c>
      <c r="F2833" s="161">
        <v>46079.0</v>
      </c>
      <c r="G2833" s="59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5"/>
      <c r="C2834" s="31" t="s">
        <v>423</v>
      </c>
      <c r="D2834" s="32" t="s">
        <v>15</v>
      </c>
      <c r="E2834" s="31" t="s">
        <v>3093</v>
      </c>
      <c r="F2834" s="161">
        <v>46079.0</v>
      </c>
      <c r="G2834" s="59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5"/>
      <c r="C2835" s="31" t="s">
        <v>423</v>
      </c>
      <c r="D2835" s="32" t="s">
        <v>99</v>
      </c>
      <c r="E2835" s="31" t="s">
        <v>3094</v>
      </c>
      <c r="F2835" s="161">
        <v>46079.0</v>
      </c>
      <c r="G2835" s="59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5"/>
      <c r="C2836" s="31" t="s">
        <v>423</v>
      </c>
      <c r="D2836" s="32" t="s">
        <v>15</v>
      </c>
      <c r="E2836" s="31" t="s">
        <v>3095</v>
      </c>
      <c r="F2836" s="161">
        <v>46079.0</v>
      </c>
      <c r="G2836" s="59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5"/>
      <c r="C2837" s="31" t="s">
        <v>423</v>
      </c>
      <c r="D2837" s="32" t="s">
        <v>99</v>
      </c>
      <c r="E2837" s="31" t="s">
        <v>3096</v>
      </c>
      <c r="F2837" s="161">
        <v>46079.0</v>
      </c>
      <c r="G2837" s="59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5"/>
      <c r="C2838" s="31" t="s">
        <v>1279</v>
      </c>
      <c r="D2838" s="32" t="s">
        <v>15</v>
      </c>
      <c r="E2838" s="31" t="s">
        <v>3097</v>
      </c>
      <c r="F2838" s="161">
        <v>46079.0</v>
      </c>
      <c r="G2838" s="59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5"/>
      <c r="C2839" s="31" t="s">
        <v>1279</v>
      </c>
      <c r="D2839" s="32" t="s">
        <v>15</v>
      </c>
      <c r="E2839" s="31" t="s">
        <v>3098</v>
      </c>
      <c r="F2839" s="161">
        <v>46079.0</v>
      </c>
      <c r="G2839" s="59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5"/>
      <c r="C2840" s="31" t="s">
        <v>1279</v>
      </c>
      <c r="D2840" s="32" t="s">
        <v>15</v>
      </c>
      <c r="E2840" s="31" t="s">
        <v>3099</v>
      </c>
      <c r="F2840" s="161">
        <v>46079.0</v>
      </c>
      <c r="G2840" s="59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5"/>
      <c r="C2841" s="31" t="s">
        <v>1279</v>
      </c>
      <c r="D2841" s="32" t="s">
        <v>15</v>
      </c>
      <c r="E2841" s="31" t="s">
        <v>3100</v>
      </c>
      <c r="F2841" s="161">
        <v>46079.0</v>
      </c>
      <c r="G2841" s="59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5"/>
      <c r="C2842" s="31" t="s">
        <v>1281</v>
      </c>
      <c r="D2842" s="32" t="s">
        <v>15</v>
      </c>
      <c r="E2842" s="31" t="s">
        <v>3101</v>
      </c>
      <c r="F2842" s="161">
        <v>46079.0</v>
      </c>
      <c r="G2842" s="59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5"/>
      <c r="C2843" s="31" t="s">
        <v>1281</v>
      </c>
      <c r="D2843" s="32" t="s">
        <v>15</v>
      </c>
      <c r="E2843" s="31" t="s">
        <v>3102</v>
      </c>
      <c r="F2843" s="161">
        <v>46079.0</v>
      </c>
      <c r="G2843" s="59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5"/>
      <c r="C2844" s="31" t="s">
        <v>1281</v>
      </c>
      <c r="D2844" s="32" t="s">
        <v>15</v>
      </c>
      <c r="E2844" s="31" t="s">
        <v>3103</v>
      </c>
      <c r="F2844" s="161">
        <v>46079.0</v>
      </c>
      <c r="G2844" s="59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5"/>
      <c r="C2845" s="31" t="s">
        <v>1281</v>
      </c>
      <c r="D2845" s="32" t="s">
        <v>15</v>
      </c>
      <c r="E2845" s="31" t="s">
        <v>3104</v>
      </c>
      <c r="F2845" s="161">
        <v>46079.0</v>
      </c>
      <c r="G2845" s="59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5"/>
      <c r="C2846" s="31" t="s">
        <v>239</v>
      </c>
      <c r="D2846" s="32" t="s">
        <v>15</v>
      </c>
      <c r="E2846" s="31" t="s">
        <v>3105</v>
      </c>
      <c r="F2846" s="161">
        <v>46079.0</v>
      </c>
      <c r="G2846" s="59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5"/>
      <c r="C2847" s="31" t="s">
        <v>239</v>
      </c>
      <c r="D2847" s="32" t="s">
        <v>15</v>
      </c>
      <c r="E2847" s="31" t="s">
        <v>3106</v>
      </c>
      <c r="F2847" s="161">
        <v>46079.0</v>
      </c>
      <c r="G2847" s="59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5"/>
      <c r="C2853" s="31" t="s">
        <v>1725</v>
      </c>
      <c r="D2853" s="32" t="s">
        <v>15</v>
      </c>
      <c r="E2853" s="31" t="s">
        <v>3112</v>
      </c>
      <c r="F2853" s="161">
        <v>46079.0</v>
      </c>
      <c r="G2853" s="59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5"/>
      <c r="C2854" s="31" t="s">
        <v>22</v>
      </c>
      <c r="D2854" s="32" t="s">
        <v>15</v>
      </c>
      <c r="E2854" s="31" t="s">
        <v>3113</v>
      </c>
      <c r="F2854" s="161">
        <v>46079.0</v>
      </c>
      <c r="G2854" s="59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5"/>
      <c r="C2855" s="31" t="s">
        <v>216</v>
      </c>
      <c r="D2855" s="32" t="s">
        <v>15</v>
      </c>
      <c r="E2855" s="31" t="s">
        <v>3114</v>
      </c>
      <c r="F2855" s="161">
        <v>46079.0</v>
      </c>
      <c r="G2855" s="59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5"/>
      <c r="C2856" s="31" t="s">
        <v>221</v>
      </c>
      <c r="D2856" s="32" t="s">
        <v>15</v>
      </c>
      <c r="E2856" s="31" t="s">
        <v>3115</v>
      </c>
      <c r="F2856" s="161">
        <v>46079.0</v>
      </c>
      <c r="G2856" s="59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5"/>
      <c r="C2857" s="31" t="s">
        <v>2842</v>
      </c>
      <c r="D2857" s="32" t="s">
        <v>15</v>
      </c>
      <c r="E2857" s="31" t="s">
        <v>3116</v>
      </c>
      <c r="F2857" s="161">
        <v>46079.0</v>
      </c>
      <c r="G2857" s="59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5"/>
      <c r="C2858" s="31" t="s">
        <v>3117</v>
      </c>
      <c r="D2858" s="32" t="s">
        <v>15</v>
      </c>
      <c r="E2858" s="31" t="s">
        <v>3118</v>
      </c>
      <c r="F2858" s="161">
        <v>46079.0</v>
      </c>
      <c r="G2858" s="59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5"/>
      <c r="C2859" s="31" t="s">
        <v>3119</v>
      </c>
      <c r="D2859" s="32" t="s">
        <v>15</v>
      </c>
      <c r="E2859" s="31" t="s">
        <v>3120</v>
      </c>
      <c r="F2859" s="161">
        <v>46079.0</v>
      </c>
      <c r="G2859" s="59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5"/>
      <c r="C2860" s="31" t="s">
        <v>1452</v>
      </c>
      <c r="D2860" s="32" t="s">
        <v>15</v>
      </c>
      <c r="E2860" s="31" t="s">
        <v>3121</v>
      </c>
      <c r="F2860" s="161">
        <v>46079.0</v>
      </c>
      <c r="G2860" s="59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5"/>
      <c r="C2861" s="32" t="s">
        <v>2860</v>
      </c>
      <c r="D2861" s="32" t="s">
        <v>15</v>
      </c>
      <c r="E2861" s="31" t="s">
        <v>3122</v>
      </c>
      <c r="F2861" s="161">
        <v>46079.0</v>
      </c>
      <c r="G2861" s="59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5"/>
      <c r="C2862" s="31" t="s">
        <v>3123</v>
      </c>
      <c r="D2862" s="32" t="s">
        <v>15</v>
      </c>
      <c r="E2862" s="31" t="s">
        <v>3124</v>
      </c>
      <c r="F2862" s="161">
        <v>46079.0</v>
      </c>
      <c r="G2862" s="59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5"/>
      <c r="C2863" s="31" t="s">
        <v>3123</v>
      </c>
      <c r="D2863" s="32" t="s">
        <v>15</v>
      </c>
      <c r="E2863" s="31" t="s">
        <v>3125</v>
      </c>
      <c r="F2863" s="161">
        <v>46079.0</v>
      </c>
      <c r="G2863" s="59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5"/>
      <c r="C2864" s="31" t="s">
        <v>3123</v>
      </c>
      <c r="D2864" s="32" t="s">
        <v>15</v>
      </c>
      <c r="E2864" s="31" t="s">
        <v>3126</v>
      </c>
      <c r="F2864" s="161">
        <v>46079.0</v>
      </c>
      <c r="G2864" s="59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5"/>
      <c r="C2865" s="31" t="s">
        <v>3123</v>
      </c>
      <c r="D2865" s="32" t="s">
        <v>15</v>
      </c>
      <c r="E2865" s="31" t="s">
        <v>3127</v>
      </c>
      <c r="F2865" s="161">
        <v>46079.0</v>
      </c>
      <c r="G2865" s="59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5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9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5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9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5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9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5"/>
      <c r="C2869" s="32" t="s">
        <v>2318</v>
      </c>
      <c r="D2869" s="32" t="s">
        <v>77</v>
      </c>
      <c r="E2869" s="32" t="s">
        <v>3132</v>
      </c>
      <c r="F2869" s="161">
        <v>46079.0</v>
      </c>
      <c r="G2869" s="59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5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9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5"/>
      <c r="C2871" s="31" t="s">
        <v>168</v>
      </c>
      <c r="D2871" s="32" t="s">
        <v>99</v>
      </c>
      <c r="E2871" s="31" t="s">
        <v>3134</v>
      </c>
      <c r="F2871" s="161">
        <v>46107.0</v>
      </c>
      <c r="G2871" s="59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5"/>
      <c r="C2872" s="31" t="s">
        <v>16</v>
      </c>
      <c r="D2872" s="32" t="s">
        <v>99</v>
      </c>
      <c r="E2872" s="31" t="s">
        <v>3135</v>
      </c>
      <c r="F2872" s="161">
        <v>46107.0</v>
      </c>
      <c r="G2872" s="59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5"/>
      <c r="C2873" s="31" t="s">
        <v>1942</v>
      </c>
      <c r="D2873" s="32" t="s">
        <v>15</v>
      </c>
      <c r="E2873" s="32" t="s">
        <v>3136</v>
      </c>
      <c r="F2873" s="161">
        <v>46107.0</v>
      </c>
      <c r="G2873" s="59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5"/>
      <c r="C2874" s="31" t="s">
        <v>1136</v>
      </c>
      <c r="D2874" s="32" t="s">
        <v>99</v>
      </c>
      <c r="E2874" s="31" t="s">
        <v>3137</v>
      </c>
      <c r="F2874" s="161">
        <v>46107.0</v>
      </c>
      <c r="G2874" s="59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5"/>
      <c r="C2875" s="31" t="s">
        <v>1136</v>
      </c>
      <c r="D2875" s="32" t="s">
        <v>15</v>
      </c>
      <c r="E2875" s="31" t="s">
        <v>3139</v>
      </c>
      <c r="F2875" s="161">
        <v>46107.0</v>
      </c>
      <c r="G2875" s="59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5"/>
      <c r="C2876" s="31" t="s">
        <v>1136</v>
      </c>
      <c r="D2876" s="32" t="s">
        <v>99</v>
      </c>
      <c r="E2876" s="31" t="s">
        <v>3140</v>
      </c>
      <c r="F2876" s="161">
        <v>46107.0</v>
      </c>
      <c r="G2876" s="59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5"/>
      <c r="C2877" s="31" t="s">
        <v>1136</v>
      </c>
      <c r="D2877" s="32" t="s">
        <v>15</v>
      </c>
      <c r="E2877" s="31" t="s">
        <v>3141</v>
      </c>
      <c r="F2877" s="161">
        <v>46107.0</v>
      </c>
      <c r="G2877" s="59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5"/>
      <c r="C2878" s="31" t="s">
        <v>1136</v>
      </c>
      <c r="D2878" s="32" t="s">
        <v>99</v>
      </c>
      <c r="E2878" s="31" t="s">
        <v>3142</v>
      </c>
      <c r="F2878" s="161">
        <v>46107.0</v>
      </c>
      <c r="G2878" s="59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5"/>
      <c r="C2879" s="31" t="s">
        <v>1136</v>
      </c>
      <c r="D2879" s="32" t="s">
        <v>15</v>
      </c>
      <c r="E2879" s="31" t="s">
        <v>3143</v>
      </c>
      <c r="F2879" s="161">
        <v>46107.0</v>
      </c>
      <c r="G2879" s="59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5"/>
      <c r="C2880" s="31" t="s">
        <v>1136</v>
      </c>
      <c r="D2880" s="32" t="s">
        <v>15</v>
      </c>
      <c r="E2880" s="31" t="s">
        <v>3144</v>
      </c>
      <c r="F2880" s="161">
        <v>46107.0</v>
      </c>
      <c r="G2880" s="59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5"/>
      <c r="C2881" s="31" t="s">
        <v>1136</v>
      </c>
      <c r="D2881" s="32" t="s">
        <v>15</v>
      </c>
      <c r="E2881" s="31" t="s">
        <v>3145</v>
      </c>
      <c r="F2881" s="161">
        <v>46107.0</v>
      </c>
      <c r="G2881" s="59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5"/>
      <c r="C2882" s="31" t="s">
        <v>1842</v>
      </c>
      <c r="D2882" s="32" t="s">
        <v>99</v>
      </c>
      <c r="E2882" s="31" t="s">
        <v>3146</v>
      </c>
      <c r="F2882" s="161">
        <v>46107.0</v>
      </c>
      <c r="G2882" s="59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5"/>
      <c r="C2883" s="31" t="s">
        <v>1842</v>
      </c>
      <c r="D2883" s="32" t="s">
        <v>15</v>
      </c>
      <c r="E2883" s="31" t="s">
        <v>3147</v>
      </c>
      <c r="F2883" s="161">
        <v>46107.0</v>
      </c>
      <c r="G2883" s="59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60"/>
      <c r="C2884" s="61" t="s">
        <v>268</v>
      </c>
      <c r="D2884" s="61" t="s">
        <v>3148</v>
      </c>
      <c r="E2884" s="62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47"/>
      <c r="M2884" s="50"/>
    </row>
    <row r="2885" ht="15.75" customHeight="1">
      <c r="A2885" s="164">
        <v>46086.0</v>
      </c>
      <c r="B2885" s="60"/>
      <c r="C2885" s="61" t="s">
        <v>268</v>
      </c>
      <c r="D2885" s="61" t="s">
        <v>3148</v>
      </c>
      <c r="E2885" s="62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47"/>
      <c r="M2885" s="50"/>
    </row>
    <row r="2886" ht="15.75" customHeight="1">
      <c r="A2886" s="164">
        <v>46086.0</v>
      </c>
      <c r="B2886" s="60"/>
      <c r="C2886" s="61" t="s">
        <v>268</v>
      </c>
      <c r="D2886" s="61" t="s">
        <v>3148</v>
      </c>
      <c r="E2886" s="62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47"/>
      <c r="M2886" s="50"/>
    </row>
    <row r="2887" ht="15.75" customHeight="1">
      <c r="A2887" s="164">
        <v>46086.0</v>
      </c>
      <c r="B2887" s="60"/>
      <c r="C2887" s="61" t="s">
        <v>268</v>
      </c>
      <c r="D2887" s="61" t="s">
        <v>3148</v>
      </c>
      <c r="E2887" s="62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47"/>
      <c r="M2887" s="50"/>
    </row>
    <row r="2888" ht="15.75" customHeight="1">
      <c r="A2888" s="164">
        <v>46086.0</v>
      </c>
      <c r="B2888" s="60"/>
      <c r="C2888" s="61" t="s">
        <v>268</v>
      </c>
      <c r="D2888" s="61" t="s">
        <v>3148</v>
      </c>
      <c r="E2888" s="62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47"/>
      <c r="M2888" s="50"/>
    </row>
    <row r="2889" ht="15.75" customHeight="1">
      <c r="A2889" s="164">
        <v>46086.0</v>
      </c>
      <c r="B2889" s="60"/>
      <c r="C2889" s="61" t="s">
        <v>268</v>
      </c>
      <c r="D2889" s="61" t="s">
        <v>3148</v>
      </c>
      <c r="E2889" s="62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47"/>
      <c r="M2889" s="50"/>
    </row>
    <row r="2890" ht="15.75" customHeight="1">
      <c r="A2890" s="164">
        <v>46086.0</v>
      </c>
      <c r="B2890" s="60"/>
      <c r="C2890" s="61" t="s">
        <v>268</v>
      </c>
      <c r="D2890" s="61" t="s">
        <v>3148</v>
      </c>
      <c r="E2890" s="62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47"/>
      <c r="M2890" s="50"/>
    </row>
    <row r="2891" ht="15.75" customHeight="1">
      <c r="A2891" s="164">
        <v>46086.0</v>
      </c>
      <c r="B2891" s="60"/>
      <c r="C2891" s="61" t="s">
        <v>268</v>
      </c>
      <c r="D2891" s="61" t="s">
        <v>3148</v>
      </c>
      <c r="E2891" s="62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47"/>
      <c r="M2891" s="50"/>
    </row>
    <row r="2892" ht="15.75" customHeight="1">
      <c r="A2892" s="164">
        <v>46086.0</v>
      </c>
      <c r="B2892" s="60"/>
      <c r="C2892" s="61" t="s">
        <v>268</v>
      </c>
      <c r="D2892" s="61" t="s">
        <v>3148</v>
      </c>
      <c r="E2892" s="62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47"/>
      <c r="M2892" s="50"/>
    </row>
    <row r="2893" ht="15.75" customHeight="1">
      <c r="A2893" s="164">
        <v>46086.0</v>
      </c>
      <c r="B2893" s="60"/>
      <c r="C2893" s="61" t="s">
        <v>268</v>
      </c>
      <c r="D2893" s="61" t="s">
        <v>3148</v>
      </c>
      <c r="E2893" s="62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47"/>
      <c r="M2893" s="50"/>
    </row>
    <row r="2894" ht="15.75" customHeight="1">
      <c r="A2894" s="164">
        <v>46086.0</v>
      </c>
      <c r="B2894" s="60"/>
      <c r="C2894" s="61" t="s">
        <v>268</v>
      </c>
      <c r="D2894" s="61" t="s">
        <v>3148</v>
      </c>
      <c r="E2894" s="62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47"/>
      <c r="M2894" s="50"/>
    </row>
    <row r="2895" ht="15.75" customHeight="1">
      <c r="A2895" s="164">
        <v>46086.0</v>
      </c>
      <c r="B2895" s="60"/>
      <c r="C2895" s="61" t="s">
        <v>268</v>
      </c>
      <c r="D2895" s="61" t="s">
        <v>3148</v>
      </c>
      <c r="E2895" s="62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47"/>
      <c r="M2895" s="50"/>
    </row>
    <row r="2896" ht="15.75" customHeight="1">
      <c r="A2896" s="164">
        <v>46086.0</v>
      </c>
      <c r="B2896" s="60"/>
      <c r="C2896" s="61" t="s">
        <v>2318</v>
      </c>
      <c r="D2896" s="62" t="s">
        <v>99</v>
      </c>
      <c r="E2896" s="61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47"/>
      <c r="M2896" s="50"/>
    </row>
    <row r="2897" ht="15.75" customHeight="1">
      <c r="A2897" s="164">
        <v>46086.0</v>
      </c>
      <c r="B2897" s="60"/>
      <c r="C2897" s="61" t="s">
        <v>2318</v>
      </c>
      <c r="D2897" s="62" t="s">
        <v>99</v>
      </c>
      <c r="E2897" s="61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47"/>
      <c r="M2897" s="50"/>
    </row>
    <row r="2898" ht="15.75" customHeight="1">
      <c r="A2898" s="164">
        <v>46086.0</v>
      </c>
      <c r="B2898" s="60"/>
      <c r="C2898" s="61" t="s">
        <v>2318</v>
      </c>
      <c r="D2898" s="62" t="s">
        <v>99</v>
      </c>
      <c r="E2898" s="61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47"/>
      <c r="M2898" s="50"/>
    </row>
    <row r="2899" ht="15.75" customHeight="1">
      <c r="A2899" s="164">
        <v>46086.0</v>
      </c>
      <c r="B2899" s="60"/>
      <c r="C2899" s="61" t="s">
        <v>2318</v>
      </c>
      <c r="D2899" s="62" t="s">
        <v>99</v>
      </c>
      <c r="E2899" s="61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47"/>
      <c r="M2899" s="50"/>
    </row>
    <row r="2900" ht="15.75" customHeight="1">
      <c r="A2900" s="164">
        <v>46086.0</v>
      </c>
      <c r="B2900" s="60"/>
      <c r="C2900" s="61" t="s">
        <v>2318</v>
      </c>
      <c r="D2900" s="62" t="s">
        <v>99</v>
      </c>
      <c r="E2900" s="61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47"/>
      <c r="M2900" s="50"/>
    </row>
    <row r="2901" ht="15.75" customHeight="1">
      <c r="A2901" s="164">
        <v>46086.0</v>
      </c>
      <c r="B2901" s="60"/>
      <c r="C2901" s="61" t="s">
        <v>2318</v>
      </c>
      <c r="D2901" s="62" t="s">
        <v>99</v>
      </c>
      <c r="E2901" s="61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47"/>
      <c r="M2901" s="50"/>
    </row>
    <row r="2902" ht="15.75" customHeight="1">
      <c r="A2902" s="164">
        <v>46086.0</v>
      </c>
      <c r="B2902" s="60"/>
      <c r="C2902" s="61" t="s">
        <v>2318</v>
      </c>
      <c r="D2902" s="62" t="s">
        <v>99</v>
      </c>
      <c r="E2902" s="61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47"/>
      <c r="M2902" s="50"/>
    </row>
    <row r="2903" ht="15.75" customHeight="1">
      <c r="A2903" s="164">
        <v>46086.0</v>
      </c>
      <c r="B2903" s="60"/>
      <c r="C2903" s="61" t="s">
        <v>2318</v>
      </c>
      <c r="D2903" s="62" t="s">
        <v>99</v>
      </c>
      <c r="E2903" s="61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47"/>
      <c r="M2903" s="50"/>
    </row>
    <row r="2904" ht="15.75" customHeight="1">
      <c r="A2904" s="164">
        <v>46086.0</v>
      </c>
      <c r="B2904" s="60"/>
      <c r="C2904" s="61" t="s">
        <v>2318</v>
      </c>
      <c r="D2904" s="62" t="s">
        <v>99</v>
      </c>
      <c r="E2904" s="61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47"/>
      <c r="M2904" s="50"/>
    </row>
    <row r="2905" ht="15.75" customHeight="1">
      <c r="A2905" s="164">
        <v>46086.0</v>
      </c>
      <c r="B2905" s="60"/>
      <c r="C2905" s="61" t="s">
        <v>2318</v>
      </c>
      <c r="D2905" s="62" t="s">
        <v>99</v>
      </c>
      <c r="E2905" s="61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47"/>
      <c r="M2905" s="50"/>
    </row>
    <row r="2906" ht="15.75" customHeight="1">
      <c r="A2906" s="162">
        <v>46086.0</v>
      </c>
      <c r="B2906" s="55"/>
      <c r="C2906" s="31" t="s">
        <v>2221</v>
      </c>
      <c r="D2906" s="32" t="s">
        <v>99</v>
      </c>
      <c r="E2906" s="31" t="s">
        <v>3171</v>
      </c>
      <c r="F2906" s="161">
        <v>46107.0</v>
      </c>
      <c r="G2906" s="59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5"/>
      <c r="C2907" s="31" t="s">
        <v>2221</v>
      </c>
      <c r="D2907" s="32" t="s">
        <v>99</v>
      </c>
      <c r="E2907" s="31" t="s">
        <v>3172</v>
      </c>
      <c r="F2907" s="161">
        <v>46107.0</v>
      </c>
      <c r="G2907" s="59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5"/>
      <c r="C2908" s="31" t="s">
        <v>2221</v>
      </c>
      <c r="D2908" s="32" t="s">
        <v>99</v>
      </c>
      <c r="E2908" s="31" t="s">
        <v>3173</v>
      </c>
      <c r="F2908" s="161">
        <v>46107.0</v>
      </c>
      <c r="G2908" s="59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5"/>
      <c r="C2909" s="31" t="s">
        <v>2221</v>
      </c>
      <c r="D2909" s="32" t="s">
        <v>99</v>
      </c>
      <c r="E2909" s="31" t="s">
        <v>3174</v>
      </c>
      <c r="F2909" s="161">
        <v>46107.0</v>
      </c>
      <c r="G2909" s="59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5"/>
      <c r="C2910" s="31" t="s">
        <v>2221</v>
      </c>
      <c r="D2910" s="32" t="s">
        <v>99</v>
      </c>
      <c r="E2910" s="31" t="s">
        <v>3175</v>
      </c>
      <c r="F2910" s="161">
        <v>46107.0</v>
      </c>
      <c r="G2910" s="59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5"/>
      <c r="C2911" s="31" t="s">
        <v>2221</v>
      </c>
      <c r="D2911" s="32" t="s">
        <v>99</v>
      </c>
      <c r="E2911" s="31" t="s">
        <v>3176</v>
      </c>
      <c r="F2911" s="161">
        <v>46107.0</v>
      </c>
      <c r="G2911" s="59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5"/>
      <c r="C2912" s="31" t="s">
        <v>1861</v>
      </c>
      <c r="D2912" s="32" t="s">
        <v>99</v>
      </c>
      <c r="E2912" s="31" t="s">
        <v>3177</v>
      </c>
      <c r="F2912" s="161">
        <v>46107.0</v>
      </c>
      <c r="G2912" s="59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5"/>
      <c r="C2913" s="31" t="s">
        <v>1861</v>
      </c>
      <c r="D2913" s="32" t="s">
        <v>99</v>
      </c>
      <c r="E2913" s="31" t="s">
        <v>3179</v>
      </c>
      <c r="F2913" s="161">
        <v>46107.0</v>
      </c>
      <c r="G2913" s="59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5"/>
      <c r="C2914" s="31" t="s">
        <v>1858</v>
      </c>
      <c r="D2914" s="32" t="s">
        <v>99</v>
      </c>
      <c r="E2914" s="31" t="s">
        <v>3180</v>
      </c>
      <c r="F2914" s="161">
        <v>46107.0</v>
      </c>
      <c r="G2914" s="59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5"/>
      <c r="C2915" s="31" t="s">
        <v>1858</v>
      </c>
      <c r="D2915" s="32" t="s">
        <v>99</v>
      </c>
      <c r="E2915" s="31" t="s">
        <v>3181</v>
      </c>
      <c r="F2915" s="161">
        <v>46107.0</v>
      </c>
      <c r="G2915" s="59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5"/>
      <c r="C2916" s="31" t="s">
        <v>1854</v>
      </c>
      <c r="D2916" s="32" t="s">
        <v>99</v>
      </c>
      <c r="E2916" s="31" t="s">
        <v>3182</v>
      </c>
      <c r="F2916" s="161">
        <v>46107.0</v>
      </c>
      <c r="G2916" s="59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5"/>
      <c r="C2917" s="31" t="s">
        <v>1854</v>
      </c>
      <c r="D2917" s="32" t="s">
        <v>99</v>
      </c>
      <c r="E2917" s="31" t="s">
        <v>3183</v>
      </c>
      <c r="F2917" s="161">
        <v>46107.0</v>
      </c>
      <c r="G2917" s="59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5"/>
      <c r="C2918" s="31" t="s">
        <v>567</v>
      </c>
      <c r="D2918" s="32" t="s">
        <v>99</v>
      </c>
      <c r="E2918" s="31" t="s">
        <v>3184</v>
      </c>
      <c r="F2918" s="161">
        <v>46107.0</v>
      </c>
      <c r="G2918" s="59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5"/>
      <c r="C2919" s="31" t="s">
        <v>567</v>
      </c>
      <c r="D2919" s="32" t="s">
        <v>99</v>
      </c>
      <c r="E2919" s="31" t="s">
        <v>3185</v>
      </c>
      <c r="F2919" s="161">
        <v>46107.0</v>
      </c>
      <c r="G2919" s="59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5"/>
      <c r="C2920" s="31" t="s">
        <v>567</v>
      </c>
      <c r="D2920" s="32" t="s">
        <v>15</v>
      </c>
      <c r="E2920" s="31" t="s">
        <v>3186</v>
      </c>
      <c r="F2920" s="161">
        <v>46107.0</v>
      </c>
      <c r="G2920" s="59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5"/>
      <c r="C2921" s="31" t="s">
        <v>567</v>
      </c>
      <c r="D2921" s="32" t="s">
        <v>15</v>
      </c>
      <c r="E2921" s="31" t="s">
        <v>3187</v>
      </c>
      <c r="F2921" s="161">
        <v>46107.0</v>
      </c>
      <c r="G2921" s="59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5"/>
      <c r="C2922" s="31" t="s">
        <v>1854</v>
      </c>
      <c r="D2922" s="32" t="s">
        <v>15</v>
      </c>
      <c r="E2922" s="31" t="s">
        <v>3188</v>
      </c>
      <c r="F2922" s="161">
        <v>46107.0</v>
      </c>
      <c r="G2922" s="59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5"/>
      <c r="C2923" s="31" t="s">
        <v>1854</v>
      </c>
      <c r="D2923" s="32" t="s">
        <v>15</v>
      </c>
      <c r="E2923" s="31" t="s">
        <v>3189</v>
      </c>
      <c r="F2923" s="161">
        <v>46107.0</v>
      </c>
      <c r="G2923" s="59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5"/>
      <c r="C2924" s="31" t="s">
        <v>1854</v>
      </c>
      <c r="D2924" s="32" t="s">
        <v>15</v>
      </c>
      <c r="E2924" s="31" t="s">
        <v>3190</v>
      </c>
      <c r="F2924" s="161">
        <v>46107.0</v>
      </c>
      <c r="G2924" s="59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5"/>
      <c r="C2925" s="31" t="s">
        <v>1858</v>
      </c>
      <c r="D2925" s="32" t="s">
        <v>15</v>
      </c>
      <c r="E2925" s="31" t="s">
        <v>3191</v>
      </c>
      <c r="F2925" s="161">
        <v>46107.0</v>
      </c>
      <c r="G2925" s="59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5"/>
      <c r="C2926" s="31" t="s">
        <v>1861</v>
      </c>
      <c r="D2926" s="32" t="s">
        <v>15</v>
      </c>
      <c r="E2926" s="31" t="s">
        <v>3192</v>
      </c>
      <c r="F2926" s="161">
        <v>46107.0</v>
      </c>
      <c r="G2926" s="59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60"/>
      <c r="C2927" s="61" t="s">
        <v>2318</v>
      </c>
      <c r="D2927" s="62" t="s">
        <v>15</v>
      </c>
      <c r="E2927" s="61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47"/>
      <c r="M2927" s="50"/>
    </row>
    <row r="2928" ht="15.75" customHeight="1">
      <c r="A2928" s="164">
        <v>46086.0</v>
      </c>
      <c r="B2928" s="60"/>
      <c r="C2928" s="61" t="s">
        <v>2318</v>
      </c>
      <c r="D2928" s="62" t="s">
        <v>15</v>
      </c>
      <c r="E2928" s="61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47"/>
      <c r="M2928" s="50"/>
    </row>
    <row r="2929" ht="15.75" customHeight="1">
      <c r="A2929" s="164">
        <v>46086.0</v>
      </c>
      <c r="B2929" s="60"/>
      <c r="C2929" s="61" t="s">
        <v>2318</v>
      </c>
      <c r="D2929" s="62" t="s">
        <v>15</v>
      </c>
      <c r="E2929" s="61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47"/>
      <c r="M2929" s="50"/>
    </row>
    <row r="2930" ht="15.75" customHeight="1">
      <c r="A2930" s="164">
        <v>46086.0</v>
      </c>
      <c r="B2930" s="60"/>
      <c r="C2930" s="61" t="s">
        <v>2318</v>
      </c>
      <c r="D2930" s="62" t="s">
        <v>15</v>
      </c>
      <c r="E2930" s="61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47"/>
      <c r="M2930" s="50"/>
    </row>
    <row r="2931" ht="15.75" customHeight="1">
      <c r="A2931" s="164">
        <v>46086.0</v>
      </c>
      <c r="B2931" s="60"/>
      <c r="C2931" s="61" t="s">
        <v>2318</v>
      </c>
      <c r="D2931" s="62" t="s">
        <v>15</v>
      </c>
      <c r="E2931" s="61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47"/>
      <c r="M2931" s="50"/>
    </row>
    <row r="2932" ht="15.75" customHeight="1">
      <c r="A2932" s="164">
        <v>46086.0</v>
      </c>
      <c r="B2932" s="60"/>
      <c r="C2932" s="61" t="s">
        <v>2318</v>
      </c>
      <c r="D2932" s="62" t="s">
        <v>15</v>
      </c>
      <c r="E2932" s="61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47"/>
      <c r="M2932" s="50"/>
    </row>
    <row r="2933" ht="15.75" customHeight="1">
      <c r="A2933" s="164">
        <v>46086.0</v>
      </c>
      <c r="B2933" s="60"/>
      <c r="C2933" s="61" t="s">
        <v>2318</v>
      </c>
      <c r="D2933" s="62" t="s">
        <v>15</v>
      </c>
      <c r="E2933" s="61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47"/>
      <c r="M2933" s="50"/>
    </row>
    <row r="2934" ht="15.75" customHeight="1">
      <c r="A2934" s="164">
        <v>46086.0</v>
      </c>
      <c r="B2934" s="60"/>
      <c r="C2934" s="61" t="s">
        <v>2318</v>
      </c>
      <c r="D2934" s="62" t="s">
        <v>15</v>
      </c>
      <c r="E2934" s="61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47"/>
      <c r="M2934" s="50"/>
    </row>
    <row r="2935" ht="15.75" customHeight="1">
      <c r="A2935" s="164">
        <v>46086.0</v>
      </c>
      <c r="B2935" s="60"/>
      <c r="C2935" s="61" t="s">
        <v>2318</v>
      </c>
      <c r="D2935" s="62" t="s">
        <v>15</v>
      </c>
      <c r="E2935" s="61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47"/>
      <c r="M2935" s="50"/>
    </row>
    <row r="2936" ht="15.75" customHeight="1">
      <c r="A2936" s="164">
        <v>46086.0</v>
      </c>
      <c r="B2936" s="60"/>
      <c r="C2936" s="61" t="s">
        <v>2318</v>
      </c>
      <c r="D2936" s="62" t="s">
        <v>15</v>
      </c>
      <c r="E2936" s="61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47"/>
      <c r="M2936" s="50"/>
    </row>
    <row r="2937" ht="15.75" customHeight="1">
      <c r="A2937" s="164">
        <v>46087.0</v>
      </c>
      <c r="B2937" s="60"/>
      <c r="C2937" s="61" t="s">
        <v>2318</v>
      </c>
      <c r="D2937" s="61" t="s">
        <v>77</v>
      </c>
      <c r="E2937" s="61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47"/>
      <c r="M2937" s="50"/>
    </row>
    <row r="2938" ht="15.75" customHeight="1">
      <c r="A2938" s="164">
        <v>46087.0</v>
      </c>
      <c r="B2938" s="60"/>
      <c r="C2938" s="61" t="s">
        <v>2318</v>
      </c>
      <c r="D2938" s="61" t="s">
        <v>77</v>
      </c>
      <c r="E2938" s="61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47"/>
      <c r="M2938" s="50"/>
    </row>
    <row r="2939" ht="15.75" customHeight="1">
      <c r="A2939" s="164">
        <v>46087.0</v>
      </c>
      <c r="B2939" s="60"/>
      <c r="C2939" s="61" t="s">
        <v>2318</v>
      </c>
      <c r="D2939" s="61" t="s">
        <v>77</v>
      </c>
      <c r="E2939" s="61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47"/>
      <c r="M2939" s="50"/>
    </row>
    <row r="2940" ht="15.75" customHeight="1">
      <c r="A2940" s="164">
        <v>46087.0</v>
      </c>
      <c r="B2940" s="60"/>
      <c r="C2940" s="61" t="s">
        <v>2318</v>
      </c>
      <c r="D2940" s="61" t="s">
        <v>77</v>
      </c>
      <c r="E2940" s="61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47"/>
      <c r="M2940" s="50"/>
    </row>
    <row r="2941" ht="15.75" customHeight="1">
      <c r="A2941" s="164">
        <v>46087.0</v>
      </c>
      <c r="B2941" s="60"/>
      <c r="C2941" s="61" t="s">
        <v>2318</v>
      </c>
      <c r="D2941" s="61" t="s">
        <v>77</v>
      </c>
      <c r="E2941" s="61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47"/>
      <c r="M2941" s="50"/>
    </row>
    <row r="2942" ht="15.75" customHeight="1">
      <c r="A2942" s="164">
        <v>46087.0</v>
      </c>
      <c r="B2942" s="60"/>
      <c r="C2942" s="61" t="s">
        <v>2318</v>
      </c>
      <c r="D2942" s="61" t="s">
        <v>77</v>
      </c>
      <c r="E2942" s="61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47"/>
      <c r="M2942" s="50"/>
    </row>
    <row r="2943" ht="15.75" customHeight="1">
      <c r="A2943" s="164">
        <v>46087.0</v>
      </c>
      <c r="B2943" s="60"/>
      <c r="C2943" s="61" t="s">
        <v>2318</v>
      </c>
      <c r="D2943" s="61" t="s">
        <v>77</v>
      </c>
      <c r="E2943" s="61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47"/>
      <c r="M2943" s="50"/>
    </row>
    <row r="2944" ht="15.75" customHeight="1">
      <c r="A2944" s="164"/>
      <c r="B2944" s="60"/>
      <c r="C2944" s="62" t="s">
        <v>3210</v>
      </c>
      <c r="D2944" s="62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47"/>
      <c r="M2944" s="50"/>
    </row>
    <row r="2945" ht="15.75" customHeight="1">
      <c r="A2945" s="164"/>
      <c r="B2945" s="60"/>
      <c r="C2945" s="62" t="s">
        <v>3212</v>
      </c>
      <c r="D2945" s="62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47"/>
      <c r="M2945" s="50"/>
    </row>
    <row r="2946" ht="15.75" customHeight="1">
      <c r="A2946" s="164"/>
      <c r="B2946" s="60"/>
      <c r="C2946" s="62" t="s">
        <v>3212</v>
      </c>
      <c r="D2946" s="62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47"/>
      <c r="M2946" s="50"/>
    </row>
    <row r="2947" ht="15.75" customHeight="1">
      <c r="A2947" s="164"/>
      <c r="B2947" s="60"/>
      <c r="C2947" s="62" t="s">
        <v>3212</v>
      </c>
      <c r="D2947" s="62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47"/>
      <c r="M2947" s="50"/>
    </row>
    <row r="2948" ht="15.75" customHeight="1">
      <c r="A2948" s="164"/>
      <c r="B2948" s="60"/>
      <c r="C2948" s="62" t="s">
        <v>3213</v>
      </c>
      <c r="D2948" s="62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47"/>
      <c r="M2948" s="50"/>
    </row>
    <row r="2949" ht="15.75" customHeight="1">
      <c r="A2949" s="164"/>
      <c r="B2949" s="60"/>
      <c r="C2949" s="62" t="s">
        <v>3214</v>
      </c>
      <c r="D2949" s="62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47"/>
      <c r="M2949" s="50"/>
    </row>
    <row r="2950" ht="15.75" customHeight="1">
      <c r="A2950" s="164"/>
      <c r="B2950" s="60"/>
      <c r="C2950" s="62" t="s">
        <v>3215</v>
      </c>
      <c r="D2950" s="62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47"/>
      <c r="M2950" s="50"/>
    </row>
    <row r="2951" ht="15.75" customHeight="1">
      <c r="A2951" s="164"/>
      <c r="B2951" s="60"/>
      <c r="C2951" s="62" t="s">
        <v>3216</v>
      </c>
      <c r="D2951" s="62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47"/>
      <c r="M2951" s="50"/>
    </row>
    <row r="2952" ht="15.75" customHeight="1">
      <c r="A2952" s="164">
        <v>46090.0</v>
      </c>
      <c r="B2952" s="60"/>
      <c r="C2952" s="61" t="s">
        <v>2837</v>
      </c>
      <c r="D2952" s="61" t="s">
        <v>2834</v>
      </c>
      <c r="E2952" s="62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47"/>
      <c r="M2952" s="50"/>
    </row>
    <row r="2953" ht="15.75" customHeight="1">
      <c r="A2953" s="164">
        <v>46090.0</v>
      </c>
      <c r="B2953" s="60"/>
      <c r="C2953" s="61" t="s">
        <v>2837</v>
      </c>
      <c r="D2953" s="61" t="s">
        <v>2834</v>
      </c>
      <c r="E2953" s="62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47"/>
      <c r="M2953" s="50"/>
    </row>
    <row r="2954" ht="15.75" customHeight="1">
      <c r="A2954" s="164">
        <v>46090.0</v>
      </c>
      <c r="B2954" s="60"/>
      <c r="C2954" s="61" t="s">
        <v>2374</v>
      </c>
      <c r="D2954" s="61" t="s">
        <v>2834</v>
      </c>
      <c r="E2954" s="62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47"/>
      <c r="M2954" s="50"/>
    </row>
    <row r="2955" ht="15.75" customHeight="1">
      <c r="A2955" s="164">
        <v>46090.0</v>
      </c>
      <c r="B2955" s="60"/>
      <c r="C2955" s="61" t="s">
        <v>2374</v>
      </c>
      <c r="D2955" s="61" t="s">
        <v>2834</v>
      </c>
      <c r="E2955" s="62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47"/>
      <c r="M2955" s="50"/>
    </row>
    <row r="2956" ht="15.75" customHeight="1">
      <c r="A2956" s="164">
        <v>46090.0</v>
      </c>
      <c r="B2956" s="60"/>
      <c r="C2956" s="61" t="s">
        <v>2374</v>
      </c>
      <c r="D2956" s="61" t="s">
        <v>2834</v>
      </c>
      <c r="E2956" s="62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47"/>
      <c r="M2956" s="50"/>
    </row>
    <row r="2957" ht="15.75" customHeight="1">
      <c r="A2957" s="162">
        <v>46091.0</v>
      </c>
      <c r="B2957" s="55"/>
      <c r="C2957" s="31" t="s">
        <v>1112</v>
      </c>
      <c r="D2957" s="32" t="s">
        <v>15</v>
      </c>
      <c r="E2957" s="31" t="s">
        <v>3222</v>
      </c>
      <c r="F2957" s="161">
        <v>46107.0</v>
      </c>
      <c r="G2957" s="59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5"/>
      <c r="C2958" s="31" t="s">
        <v>1112</v>
      </c>
      <c r="D2958" s="32" t="s">
        <v>15</v>
      </c>
      <c r="E2958" s="31" t="s">
        <v>3223</v>
      </c>
      <c r="F2958" s="161">
        <v>46107.0</v>
      </c>
      <c r="G2958" s="59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5"/>
      <c r="C2959" s="31" t="s">
        <v>1112</v>
      </c>
      <c r="D2959" s="32" t="s">
        <v>99</v>
      </c>
      <c r="E2959" s="32" t="s">
        <v>3224</v>
      </c>
      <c r="F2959" s="161">
        <v>46107.0</v>
      </c>
      <c r="G2959" s="59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5"/>
      <c r="C2960" s="31" t="s">
        <v>1112</v>
      </c>
      <c r="D2960" s="32" t="s">
        <v>99</v>
      </c>
      <c r="E2960" s="32" t="s">
        <v>3225</v>
      </c>
      <c r="F2960" s="161">
        <v>46107.0</v>
      </c>
      <c r="G2960" s="59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5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5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5"/>
      <c r="C2963" s="31" t="s">
        <v>1842</v>
      </c>
      <c r="D2963" s="32" t="s">
        <v>15</v>
      </c>
      <c r="E2963" s="31" t="s">
        <v>3228</v>
      </c>
      <c r="F2963" s="161">
        <v>46107.0</v>
      </c>
      <c r="G2963" s="59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5"/>
      <c r="C2964" s="31" t="s">
        <v>443</v>
      </c>
      <c r="D2964" s="32" t="s">
        <v>99</v>
      </c>
      <c r="E2964" s="31" t="s">
        <v>3229</v>
      </c>
      <c r="F2964" s="161">
        <v>46107.0</v>
      </c>
      <c r="G2964" s="59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5"/>
      <c r="C2965" s="31" t="s">
        <v>3230</v>
      </c>
      <c r="D2965" s="32" t="s">
        <v>99</v>
      </c>
      <c r="E2965" s="31" t="s">
        <v>3231</v>
      </c>
      <c r="F2965" s="161">
        <v>46107.0</v>
      </c>
      <c r="G2965" s="59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5"/>
      <c r="C2966" s="31" t="s">
        <v>3230</v>
      </c>
      <c r="D2966" s="32" t="s">
        <v>99</v>
      </c>
      <c r="E2966" s="31" t="s">
        <v>3232</v>
      </c>
      <c r="F2966" s="161">
        <v>46107.0</v>
      </c>
      <c r="G2966" s="59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5"/>
      <c r="C2967" s="31" t="s">
        <v>3230</v>
      </c>
      <c r="D2967" s="32" t="s">
        <v>15</v>
      </c>
      <c r="E2967" s="31" t="s">
        <v>3233</v>
      </c>
      <c r="F2967" s="161">
        <v>46107.0</v>
      </c>
      <c r="G2967" s="59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5"/>
      <c r="C2968" s="31" t="s">
        <v>3230</v>
      </c>
      <c r="D2968" s="32" t="s">
        <v>15</v>
      </c>
      <c r="E2968" s="31" t="s">
        <v>3234</v>
      </c>
      <c r="F2968" s="161">
        <v>46107.0</v>
      </c>
      <c r="G2968" s="59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5"/>
      <c r="C2969" s="31" t="s">
        <v>3230</v>
      </c>
      <c r="D2969" s="32" t="s">
        <v>15</v>
      </c>
      <c r="E2969" s="31" t="s">
        <v>3235</v>
      </c>
      <c r="F2969" s="161">
        <v>46107.0</v>
      </c>
      <c r="G2969" s="59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5"/>
      <c r="C2970" s="31" t="s">
        <v>64</v>
      </c>
      <c r="D2970" s="32" t="s">
        <v>99</v>
      </c>
      <c r="E2970" s="31" t="s">
        <v>3236</v>
      </c>
      <c r="F2970" s="161">
        <v>46107.0</v>
      </c>
      <c r="G2970" s="59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5"/>
      <c r="C2971" s="31" t="s">
        <v>64</v>
      </c>
      <c r="D2971" s="32" t="s">
        <v>15</v>
      </c>
      <c r="E2971" s="31" t="s">
        <v>3237</v>
      </c>
      <c r="F2971" s="161">
        <v>46107.0</v>
      </c>
      <c r="G2971" s="59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5"/>
      <c r="C2972" s="31" t="s">
        <v>1854</v>
      </c>
      <c r="D2972" s="32" t="s">
        <v>15</v>
      </c>
      <c r="E2972" s="31" t="s">
        <v>3238</v>
      </c>
      <c r="F2972" s="161">
        <v>46107.0</v>
      </c>
      <c r="G2972" s="59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47"/>
      <c r="M2972" s="213">
        <v>46099.0</v>
      </c>
    </row>
    <row r="2973" ht="15.75" customHeight="1">
      <c r="A2973" s="162">
        <v>46093.0</v>
      </c>
      <c r="B2973" s="55"/>
      <c r="C2973" s="31" t="s">
        <v>1854</v>
      </c>
      <c r="D2973" s="32" t="s">
        <v>15</v>
      </c>
      <c r="E2973" s="31" t="s">
        <v>3239</v>
      </c>
      <c r="F2973" s="161">
        <v>46107.0</v>
      </c>
      <c r="G2973" s="59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47"/>
      <c r="M2973" s="213">
        <v>46100.0</v>
      </c>
    </row>
    <row r="2974" ht="15.75" customHeight="1">
      <c r="A2974" s="162">
        <v>46093.0</v>
      </c>
      <c r="B2974" s="55"/>
      <c r="C2974" s="31" t="s">
        <v>1854</v>
      </c>
      <c r="D2974" s="32" t="s">
        <v>15</v>
      </c>
      <c r="E2974" s="31" t="s">
        <v>3240</v>
      </c>
      <c r="F2974" s="161">
        <v>46107.0</v>
      </c>
      <c r="G2974" s="59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47"/>
      <c r="M2974" s="213">
        <v>46101.0</v>
      </c>
    </row>
    <row r="2975" ht="15.75" customHeight="1">
      <c r="A2975" s="162">
        <v>46093.0</v>
      </c>
      <c r="B2975" s="55"/>
      <c r="C2975" s="31" t="s">
        <v>1854</v>
      </c>
      <c r="D2975" s="32" t="s">
        <v>15</v>
      </c>
      <c r="E2975" s="31" t="s">
        <v>3241</v>
      </c>
      <c r="F2975" s="161">
        <v>46107.0</v>
      </c>
      <c r="G2975" s="59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47"/>
      <c r="M2975" s="213">
        <v>46101.0</v>
      </c>
    </row>
    <row r="2976" ht="15.75" customHeight="1">
      <c r="A2976" s="162">
        <v>46093.0</v>
      </c>
      <c r="B2976" s="55"/>
      <c r="C2976" s="31" t="s">
        <v>1854</v>
      </c>
      <c r="D2976" s="32" t="s">
        <v>15</v>
      </c>
      <c r="E2976" s="31" t="s">
        <v>3242</v>
      </c>
      <c r="F2976" s="161">
        <v>46107.0</v>
      </c>
      <c r="G2976" s="59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47"/>
      <c r="M2976" s="213">
        <v>46101.0</v>
      </c>
    </row>
    <row r="2977" ht="15.75" customHeight="1">
      <c r="A2977" s="162">
        <v>46093.0</v>
      </c>
      <c r="B2977" s="55"/>
      <c r="C2977" s="31" t="s">
        <v>1854</v>
      </c>
      <c r="D2977" s="32" t="s">
        <v>99</v>
      </c>
      <c r="E2977" s="31" t="s">
        <v>3243</v>
      </c>
      <c r="F2977" s="161">
        <v>46107.0</v>
      </c>
      <c r="G2977" s="59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5"/>
      <c r="C2978" s="31" t="s">
        <v>1854</v>
      </c>
      <c r="D2978" s="32" t="s">
        <v>99</v>
      </c>
      <c r="E2978" s="31" t="s">
        <v>3244</v>
      </c>
      <c r="F2978" s="161">
        <v>46107.0</v>
      </c>
      <c r="G2978" s="59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5"/>
      <c r="C2979" s="31" t="s">
        <v>1854</v>
      </c>
      <c r="D2979" s="32" t="s">
        <v>99</v>
      </c>
      <c r="E2979" s="31" t="s">
        <v>3245</v>
      </c>
      <c r="F2979" s="161">
        <v>46107.0</v>
      </c>
      <c r="G2979" s="59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5"/>
      <c r="C2980" s="31" t="s">
        <v>1854</v>
      </c>
      <c r="D2980" s="32" t="s">
        <v>99</v>
      </c>
      <c r="E2980" s="31" t="s">
        <v>3246</v>
      </c>
      <c r="F2980" s="161">
        <v>46107.0</v>
      </c>
      <c r="G2980" s="59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5"/>
      <c r="C2981" s="31" t="s">
        <v>1854</v>
      </c>
      <c r="D2981" s="32" t="s">
        <v>99</v>
      </c>
      <c r="E2981" s="31" t="s">
        <v>3247</v>
      </c>
      <c r="F2981" s="161">
        <v>46107.0</v>
      </c>
      <c r="G2981" s="59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60"/>
      <c r="C2982" s="61" t="s">
        <v>2318</v>
      </c>
      <c r="D2982" s="62" t="s">
        <v>99</v>
      </c>
      <c r="E2982" s="61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47"/>
      <c r="M2982" s="50"/>
    </row>
    <row r="2983" ht="15.75" customHeight="1">
      <c r="A2983" s="164">
        <v>46093.0</v>
      </c>
      <c r="B2983" s="60"/>
      <c r="C2983" s="61" t="s">
        <v>2318</v>
      </c>
      <c r="D2983" s="62" t="s">
        <v>99</v>
      </c>
      <c r="E2983" s="61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47"/>
      <c r="M2983" s="50"/>
    </row>
    <row r="2984" ht="15.75" customHeight="1">
      <c r="A2984" s="164">
        <v>46093.0</v>
      </c>
      <c r="B2984" s="60"/>
      <c r="C2984" s="61" t="s">
        <v>2318</v>
      </c>
      <c r="D2984" s="62" t="s">
        <v>99</v>
      </c>
      <c r="E2984" s="61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47"/>
      <c r="M2984" s="50"/>
    </row>
    <row r="2985" ht="15.75" customHeight="1">
      <c r="A2985" s="164">
        <v>46093.0</v>
      </c>
      <c r="B2985" s="60"/>
      <c r="C2985" s="61" t="s">
        <v>2318</v>
      </c>
      <c r="D2985" s="62" t="s">
        <v>99</v>
      </c>
      <c r="E2985" s="61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47"/>
      <c r="M2985" s="50"/>
    </row>
    <row r="2986" ht="15.75" customHeight="1">
      <c r="A2986" s="164">
        <v>46093.0</v>
      </c>
      <c r="B2986" s="60"/>
      <c r="C2986" s="61" t="s">
        <v>2318</v>
      </c>
      <c r="D2986" s="62" t="s">
        <v>99</v>
      </c>
      <c r="E2986" s="61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47"/>
      <c r="M2986" s="50"/>
    </row>
    <row r="2987" ht="15.75" customHeight="1">
      <c r="A2987" s="164">
        <v>46093.0</v>
      </c>
      <c r="B2987" s="60"/>
      <c r="C2987" s="61" t="s">
        <v>2318</v>
      </c>
      <c r="D2987" s="62" t="s">
        <v>99</v>
      </c>
      <c r="E2987" s="61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47"/>
      <c r="M2987" s="50"/>
    </row>
    <row r="2988" ht="15.75" customHeight="1">
      <c r="A2988" s="164">
        <v>46093.0</v>
      </c>
      <c r="B2988" s="60"/>
      <c r="C2988" s="61" t="s">
        <v>2318</v>
      </c>
      <c r="D2988" s="62" t="s">
        <v>99</v>
      </c>
      <c r="E2988" s="61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47"/>
      <c r="M2988" s="50"/>
    </row>
    <row r="2989" ht="15.75" customHeight="1">
      <c r="A2989" s="164">
        <v>46093.0</v>
      </c>
      <c r="B2989" s="60"/>
      <c r="C2989" s="61" t="s">
        <v>2318</v>
      </c>
      <c r="D2989" s="62" t="s">
        <v>99</v>
      </c>
      <c r="E2989" s="61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47"/>
      <c r="M2989" s="50"/>
    </row>
    <row r="2990" ht="15.75" customHeight="1">
      <c r="A2990" s="164">
        <v>46093.0</v>
      </c>
      <c r="B2990" s="60"/>
      <c r="C2990" s="61" t="s">
        <v>2318</v>
      </c>
      <c r="D2990" s="62" t="s">
        <v>15</v>
      </c>
      <c r="E2990" s="61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47"/>
      <c r="M2990" s="50"/>
    </row>
    <row r="2991" ht="15.75" customHeight="1">
      <c r="A2991" s="164">
        <v>46093.0</v>
      </c>
      <c r="B2991" s="60"/>
      <c r="C2991" s="61" t="s">
        <v>2318</v>
      </c>
      <c r="D2991" s="62" t="s">
        <v>15</v>
      </c>
      <c r="E2991" s="61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47"/>
      <c r="M2991" s="50"/>
    </row>
    <row r="2992" ht="15.75" customHeight="1">
      <c r="A2992" s="164">
        <v>46093.0</v>
      </c>
      <c r="B2992" s="60"/>
      <c r="C2992" s="61" t="s">
        <v>2318</v>
      </c>
      <c r="D2992" s="62" t="s">
        <v>15</v>
      </c>
      <c r="E2992" s="61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47"/>
      <c r="M2992" s="50"/>
    </row>
    <row r="2993" ht="15.75" customHeight="1">
      <c r="A2993" s="164">
        <v>46093.0</v>
      </c>
      <c r="B2993" s="60"/>
      <c r="C2993" s="61" t="s">
        <v>2318</v>
      </c>
      <c r="D2993" s="62" t="s">
        <v>15</v>
      </c>
      <c r="E2993" s="61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47"/>
      <c r="M2993" s="50"/>
    </row>
    <row r="2994" ht="15.75" customHeight="1">
      <c r="A2994" s="164">
        <v>46093.0</v>
      </c>
      <c r="B2994" s="60"/>
      <c r="C2994" s="61" t="s">
        <v>2318</v>
      </c>
      <c r="D2994" s="62" t="s">
        <v>15</v>
      </c>
      <c r="E2994" s="61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47"/>
      <c r="M2994" s="50"/>
    </row>
    <row r="2995" ht="15.75" customHeight="1">
      <c r="A2995" s="164">
        <v>46093.0</v>
      </c>
      <c r="B2995" s="60"/>
      <c r="C2995" s="61" t="s">
        <v>2318</v>
      </c>
      <c r="D2995" s="62" t="s">
        <v>15</v>
      </c>
      <c r="E2995" s="61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47"/>
      <c r="M2995" s="50"/>
    </row>
    <row r="2996" ht="15.75" customHeight="1">
      <c r="A2996" s="164">
        <v>46093.0</v>
      </c>
      <c r="B2996" s="60"/>
      <c r="C2996" s="61" t="s">
        <v>2318</v>
      </c>
      <c r="D2996" s="62" t="s">
        <v>15</v>
      </c>
      <c r="E2996" s="61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47"/>
      <c r="M2996" s="50"/>
    </row>
    <row r="2997" ht="15.75" customHeight="1">
      <c r="A2997" s="162">
        <v>46093.0</v>
      </c>
      <c r="B2997" s="55"/>
      <c r="C2997" s="31" t="s">
        <v>2958</v>
      </c>
      <c r="D2997" s="32" t="s">
        <v>99</v>
      </c>
      <c r="E2997" s="31" t="s">
        <v>3263</v>
      </c>
      <c r="F2997" s="161">
        <v>46107.0</v>
      </c>
      <c r="G2997" s="59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5"/>
      <c r="C2998" s="31" t="s">
        <v>2958</v>
      </c>
      <c r="D2998" s="32" t="s">
        <v>99</v>
      </c>
      <c r="E2998" s="31" t="s">
        <v>3264</v>
      </c>
      <c r="F2998" s="161">
        <v>46107.0</v>
      </c>
      <c r="G2998" s="59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5"/>
      <c r="C2999" s="31" t="s">
        <v>1285</v>
      </c>
      <c r="D2999" s="32" t="s">
        <v>15</v>
      </c>
      <c r="E2999" s="31" t="s">
        <v>3265</v>
      </c>
      <c r="F2999" s="161">
        <v>46107.0</v>
      </c>
      <c r="G2999" s="59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5"/>
      <c r="C3000" s="31" t="s">
        <v>2346</v>
      </c>
      <c r="D3000" s="32" t="s">
        <v>99</v>
      </c>
      <c r="E3000" s="32" t="s">
        <v>3266</v>
      </c>
      <c r="F3000" s="161">
        <v>46107.0</v>
      </c>
      <c r="G3000" s="59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5"/>
      <c r="C3001" s="31" t="s">
        <v>2346</v>
      </c>
      <c r="D3001" s="32" t="s">
        <v>99</v>
      </c>
      <c r="E3001" s="32" t="s">
        <v>3267</v>
      </c>
      <c r="F3001" s="161">
        <v>46107.0</v>
      </c>
      <c r="G3001" s="59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5"/>
      <c r="C3002" s="31" t="s">
        <v>2346</v>
      </c>
      <c r="D3002" s="32" t="s">
        <v>99</v>
      </c>
      <c r="E3002" s="32" t="s">
        <v>3268</v>
      </c>
      <c r="F3002" s="161">
        <v>46107.0</v>
      </c>
      <c r="G3002" s="59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5"/>
      <c r="C3003" s="31" t="s">
        <v>2346</v>
      </c>
      <c r="D3003" s="32" t="s">
        <v>99</v>
      </c>
      <c r="E3003" s="32" t="s">
        <v>3269</v>
      </c>
      <c r="F3003" s="161">
        <v>46107.0</v>
      </c>
      <c r="G3003" s="59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5"/>
      <c r="C3004" s="31" t="s">
        <v>2346</v>
      </c>
      <c r="D3004" s="32" t="s">
        <v>99</v>
      </c>
      <c r="E3004" s="32" t="s">
        <v>3270</v>
      </c>
      <c r="F3004" s="161">
        <v>46107.0</v>
      </c>
      <c r="G3004" s="59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5"/>
      <c r="C3005" s="31" t="s">
        <v>2346</v>
      </c>
      <c r="D3005" s="32" t="s">
        <v>99</v>
      </c>
      <c r="E3005" s="32" t="s">
        <v>3271</v>
      </c>
      <c r="F3005" s="161">
        <v>46107.0</v>
      </c>
      <c r="G3005" s="59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5"/>
      <c r="C3006" s="31" t="s">
        <v>2346</v>
      </c>
      <c r="D3006" s="32" t="s">
        <v>99</v>
      </c>
      <c r="E3006" s="32" t="s">
        <v>3272</v>
      </c>
      <c r="F3006" s="161">
        <v>46107.0</v>
      </c>
      <c r="G3006" s="59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5"/>
      <c r="C3007" s="31" t="s">
        <v>2346</v>
      </c>
      <c r="D3007" s="32" t="s">
        <v>15</v>
      </c>
      <c r="E3007" s="31" t="s">
        <v>3273</v>
      </c>
      <c r="F3007" s="161">
        <v>46107.0</v>
      </c>
      <c r="G3007" s="59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5"/>
      <c r="C3008" s="31" t="s">
        <v>2346</v>
      </c>
      <c r="D3008" s="32" t="s">
        <v>15</v>
      </c>
      <c r="E3008" s="31" t="s">
        <v>3274</v>
      </c>
      <c r="F3008" s="161">
        <v>46107.0</v>
      </c>
      <c r="G3008" s="59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5"/>
      <c r="C3009" s="31" t="s">
        <v>2346</v>
      </c>
      <c r="D3009" s="32" t="s">
        <v>15</v>
      </c>
      <c r="E3009" s="31" t="s">
        <v>3275</v>
      </c>
      <c r="F3009" s="161">
        <v>46107.0</v>
      </c>
      <c r="G3009" s="59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5"/>
      <c r="C3010" s="31" t="s">
        <v>2346</v>
      </c>
      <c r="D3010" s="32" t="s">
        <v>15</v>
      </c>
      <c r="E3010" s="31" t="s">
        <v>3276</v>
      </c>
      <c r="F3010" s="161">
        <v>46107.0</v>
      </c>
      <c r="G3010" s="59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5"/>
      <c r="C3011" s="31" t="s">
        <v>2346</v>
      </c>
      <c r="D3011" s="32" t="s">
        <v>15</v>
      </c>
      <c r="E3011" s="31" t="s">
        <v>3277</v>
      </c>
      <c r="F3011" s="161">
        <v>46107.0</v>
      </c>
      <c r="G3011" s="59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5"/>
      <c r="C3012" s="31" t="s">
        <v>2346</v>
      </c>
      <c r="D3012" s="32" t="s">
        <v>15</v>
      </c>
      <c r="E3012" s="31" t="s">
        <v>3278</v>
      </c>
      <c r="F3012" s="161">
        <v>46107.0</v>
      </c>
      <c r="G3012" s="59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5"/>
      <c r="C3013" s="31" t="s">
        <v>2346</v>
      </c>
      <c r="D3013" s="32" t="s">
        <v>15</v>
      </c>
      <c r="E3013" s="31" t="s">
        <v>3279</v>
      </c>
      <c r="F3013" s="161">
        <v>46107.0</v>
      </c>
      <c r="G3013" s="59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5"/>
      <c r="C3014" s="31" t="s">
        <v>2346</v>
      </c>
      <c r="D3014" s="32" t="s">
        <v>15</v>
      </c>
      <c r="E3014" s="31" t="s">
        <v>3280</v>
      </c>
      <c r="F3014" s="161">
        <v>46107.0</v>
      </c>
      <c r="G3014" s="59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5"/>
      <c r="C3015" s="31" t="s">
        <v>2346</v>
      </c>
      <c r="D3015" s="32" t="s">
        <v>15</v>
      </c>
      <c r="E3015" s="32" t="s">
        <v>3281</v>
      </c>
      <c r="F3015" s="161">
        <v>46107.0</v>
      </c>
      <c r="G3015" s="59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5"/>
      <c r="C3016" s="31" t="s">
        <v>2346</v>
      </c>
      <c r="D3016" s="32" t="s">
        <v>15</v>
      </c>
      <c r="E3016" s="32" t="s">
        <v>3282</v>
      </c>
      <c r="F3016" s="161">
        <v>46107.0</v>
      </c>
      <c r="G3016" s="59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5"/>
      <c r="C3017" s="31" t="s">
        <v>2346</v>
      </c>
      <c r="D3017" s="32" t="s">
        <v>99</v>
      </c>
      <c r="E3017" s="32" t="s">
        <v>3283</v>
      </c>
      <c r="F3017" s="161">
        <v>46107.0</v>
      </c>
      <c r="G3017" s="59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5"/>
      <c r="C3018" s="31" t="s">
        <v>2346</v>
      </c>
      <c r="D3018" s="32" t="s">
        <v>99</v>
      </c>
      <c r="E3018" s="32" t="s">
        <v>3284</v>
      </c>
      <c r="F3018" s="161">
        <v>46107.0</v>
      </c>
      <c r="G3018" s="59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5"/>
      <c r="C3019" s="31" t="s">
        <v>2346</v>
      </c>
      <c r="D3019" s="32" t="s">
        <v>99</v>
      </c>
      <c r="E3019" s="32" t="s">
        <v>3285</v>
      </c>
      <c r="F3019" s="161">
        <v>46107.0</v>
      </c>
      <c r="G3019" s="59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5"/>
      <c r="C3020" s="31" t="s">
        <v>2346</v>
      </c>
      <c r="D3020" s="32" t="s">
        <v>99</v>
      </c>
      <c r="E3020" s="32" t="s">
        <v>3286</v>
      </c>
      <c r="F3020" s="161">
        <v>46107.0</v>
      </c>
      <c r="G3020" s="59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60"/>
      <c r="C3021" s="61" t="s">
        <v>268</v>
      </c>
      <c r="D3021" s="61" t="s">
        <v>3148</v>
      </c>
      <c r="E3021" s="62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47"/>
      <c r="M3021" s="50"/>
    </row>
    <row r="3022" ht="15.75" customHeight="1">
      <c r="A3022" s="164">
        <v>46097.0</v>
      </c>
      <c r="B3022" s="60"/>
      <c r="C3022" s="61" t="s">
        <v>3288</v>
      </c>
      <c r="D3022" s="61" t="s">
        <v>3029</v>
      </c>
      <c r="E3022" s="61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47"/>
      <c r="M3022" s="50"/>
    </row>
    <row r="3023" ht="15.75" customHeight="1">
      <c r="A3023" s="164">
        <v>46097.0</v>
      </c>
      <c r="B3023" s="60"/>
      <c r="C3023" s="61" t="s">
        <v>3288</v>
      </c>
      <c r="D3023" s="61" t="s">
        <v>3029</v>
      </c>
      <c r="E3023" s="61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47"/>
      <c r="M3023" s="50"/>
    </row>
    <row r="3024" ht="15.75" customHeight="1">
      <c r="A3024" s="164">
        <v>46097.0</v>
      </c>
      <c r="B3024" s="60"/>
      <c r="C3024" s="61" t="s">
        <v>2374</v>
      </c>
      <c r="D3024" s="61" t="s">
        <v>2834</v>
      </c>
      <c r="E3024" s="62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47"/>
      <c r="M3024" s="50"/>
    </row>
    <row r="3025" ht="15.75" customHeight="1">
      <c r="A3025" s="162">
        <v>46098.0</v>
      </c>
      <c r="B3025" s="55"/>
      <c r="C3025" s="31" t="s">
        <v>657</v>
      </c>
      <c r="D3025" s="32" t="s">
        <v>15</v>
      </c>
      <c r="E3025" s="31" t="s">
        <v>3292</v>
      </c>
      <c r="F3025" s="161">
        <v>46107.0</v>
      </c>
      <c r="G3025" s="59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5"/>
      <c r="C3026" s="31" t="s">
        <v>657</v>
      </c>
      <c r="D3026" s="32" t="s">
        <v>15</v>
      </c>
      <c r="E3026" s="31" t="s">
        <v>3293</v>
      </c>
      <c r="F3026" s="161">
        <v>46107.0</v>
      </c>
      <c r="G3026" s="59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5"/>
      <c r="C3027" s="31" t="s">
        <v>397</v>
      </c>
      <c r="D3027" s="32" t="s">
        <v>15</v>
      </c>
      <c r="E3027" s="31" t="s">
        <v>3294</v>
      </c>
      <c r="F3027" s="161">
        <v>46107.0</v>
      </c>
      <c r="G3027" s="59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5"/>
      <c r="C3028" s="31" t="s">
        <v>397</v>
      </c>
      <c r="D3028" s="32" t="s">
        <v>15</v>
      </c>
      <c r="E3028" s="31" t="s">
        <v>3295</v>
      </c>
      <c r="F3028" s="161">
        <v>46107.0</v>
      </c>
      <c r="G3028" s="59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60"/>
      <c r="C3029" s="61" t="s">
        <v>3288</v>
      </c>
      <c r="D3029" s="61" t="s">
        <v>769</v>
      </c>
      <c r="E3029" s="62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47"/>
      <c r="M3029" s="50"/>
    </row>
    <row r="3030" ht="15.75" customHeight="1">
      <c r="A3030" s="164">
        <v>46098.0</v>
      </c>
      <c r="B3030" s="60"/>
      <c r="C3030" s="61" t="s">
        <v>3288</v>
      </c>
      <c r="D3030" s="61" t="s">
        <v>769</v>
      </c>
      <c r="E3030" s="62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47"/>
      <c r="M3030" s="50"/>
    </row>
    <row r="3031" ht="15.75" customHeight="1">
      <c r="A3031" s="164">
        <v>46098.0</v>
      </c>
      <c r="B3031" s="60"/>
      <c r="C3031" s="61" t="s">
        <v>3288</v>
      </c>
      <c r="D3031" s="61" t="s">
        <v>769</v>
      </c>
      <c r="E3031" s="62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47"/>
      <c r="M3031" s="50"/>
    </row>
    <row r="3032" ht="15.75" customHeight="1">
      <c r="A3032" s="164">
        <v>46099.0</v>
      </c>
      <c r="B3032" s="60"/>
      <c r="C3032" s="61" t="s">
        <v>2346</v>
      </c>
      <c r="D3032" s="62" t="s">
        <v>3296</v>
      </c>
      <c r="E3032" s="62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47"/>
      <c r="M3032" s="50"/>
    </row>
    <row r="3033" ht="15.75" customHeight="1">
      <c r="A3033" s="164">
        <v>46099.0</v>
      </c>
      <c r="B3033" s="60"/>
      <c r="C3033" s="61" t="s">
        <v>2346</v>
      </c>
      <c r="D3033" s="62" t="s">
        <v>3296</v>
      </c>
      <c r="E3033" s="62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47"/>
      <c r="M3033" s="50"/>
    </row>
    <row r="3034" ht="15.75" customHeight="1">
      <c r="A3034" s="162">
        <v>46101.0</v>
      </c>
      <c r="B3034" s="55"/>
      <c r="C3034" s="31" t="s">
        <v>171</v>
      </c>
      <c r="D3034" s="32" t="s">
        <v>15</v>
      </c>
      <c r="E3034" s="31" t="s">
        <v>3299</v>
      </c>
      <c r="F3034" s="161">
        <v>46107.0</v>
      </c>
      <c r="G3034" s="59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5"/>
      <c r="C3035" s="31" t="s">
        <v>171</v>
      </c>
      <c r="D3035" s="32" t="s">
        <v>15</v>
      </c>
      <c r="E3035" s="31" t="s">
        <v>3301</v>
      </c>
      <c r="F3035" s="161">
        <v>46107.0</v>
      </c>
      <c r="G3035" s="59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5"/>
      <c r="C3036" s="31" t="s">
        <v>171</v>
      </c>
      <c r="D3036" s="32" t="s">
        <v>15</v>
      </c>
      <c r="E3036" s="31" t="s">
        <v>3302</v>
      </c>
      <c r="F3036" s="161">
        <v>46107.0</v>
      </c>
      <c r="G3036" s="59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60"/>
      <c r="C3037" s="61" t="s">
        <v>3303</v>
      </c>
      <c r="D3037" s="61" t="s">
        <v>1414</v>
      </c>
      <c r="E3037" s="61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47"/>
      <c r="M3037" s="50"/>
    </row>
    <row r="3038" ht="15.75" customHeight="1">
      <c r="A3038" s="162">
        <v>46106.0</v>
      </c>
      <c r="B3038" s="55"/>
      <c r="C3038" s="31" t="s">
        <v>1275</v>
      </c>
      <c r="D3038" s="32" t="s">
        <v>99</v>
      </c>
      <c r="E3038" s="31" t="s">
        <v>3305</v>
      </c>
      <c r="F3038" s="161">
        <v>46107.0</v>
      </c>
      <c r="G3038" s="59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5"/>
      <c r="C3039" s="31" t="s">
        <v>1275</v>
      </c>
      <c r="D3039" s="32" t="s">
        <v>99</v>
      </c>
      <c r="E3039" s="31" t="s">
        <v>3306</v>
      </c>
      <c r="F3039" s="161">
        <v>46107.0</v>
      </c>
      <c r="G3039" s="59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5"/>
      <c r="C3040" s="31" t="s">
        <v>1275</v>
      </c>
      <c r="D3040" s="32" t="s">
        <v>15</v>
      </c>
      <c r="E3040" s="31" t="s">
        <v>3307</v>
      </c>
      <c r="F3040" s="161">
        <v>46107.0</v>
      </c>
      <c r="G3040" s="59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5"/>
      <c r="C3041" s="31" t="s">
        <v>1275</v>
      </c>
      <c r="D3041" s="32" t="s">
        <v>15</v>
      </c>
      <c r="E3041" s="31" t="s">
        <v>3308</v>
      </c>
      <c r="F3041" s="161">
        <v>46107.0</v>
      </c>
      <c r="G3041" s="59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5"/>
      <c r="C3042" s="31" t="s">
        <v>1277</v>
      </c>
      <c r="D3042" s="32" t="s">
        <v>99</v>
      </c>
      <c r="E3042" s="31" t="s">
        <v>3309</v>
      </c>
      <c r="F3042" s="161">
        <v>46107.0</v>
      </c>
      <c r="G3042" s="59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5"/>
      <c r="C3043" s="31" t="s">
        <v>1277</v>
      </c>
      <c r="D3043" s="32" t="s">
        <v>99</v>
      </c>
      <c r="E3043" s="31" t="s">
        <v>3310</v>
      </c>
      <c r="F3043" s="161">
        <v>46107.0</v>
      </c>
      <c r="G3043" s="59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5"/>
      <c r="C3044" s="31" t="s">
        <v>1277</v>
      </c>
      <c r="D3044" s="32" t="s">
        <v>15</v>
      </c>
      <c r="E3044" s="31" t="s">
        <v>3311</v>
      </c>
      <c r="F3044" s="161">
        <v>46107.0</v>
      </c>
      <c r="G3044" s="59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5"/>
      <c r="C3045" s="31" t="s">
        <v>1277</v>
      </c>
      <c r="D3045" s="32" t="s">
        <v>15</v>
      </c>
      <c r="E3045" s="31" t="s">
        <v>3312</v>
      </c>
      <c r="F3045" s="161">
        <v>46107.0</v>
      </c>
      <c r="G3045" s="59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5"/>
      <c r="C3046" s="31" t="s">
        <v>1279</v>
      </c>
      <c r="D3046" s="32" t="s">
        <v>15</v>
      </c>
      <c r="E3046" s="31" t="s">
        <v>3313</v>
      </c>
      <c r="F3046" s="161">
        <v>46107.0</v>
      </c>
      <c r="G3046" s="59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5"/>
      <c r="C3047" s="31" t="s">
        <v>1279</v>
      </c>
      <c r="D3047" s="32" t="s">
        <v>15</v>
      </c>
      <c r="E3047" s="31" t="s">
        <v>3314</v>
      </c>
      <c r="F3047" s="161">
        <v>46107.0</v>
      </c>
      <c r="G3047" s="59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5"/>
      <c r="C3048" s="31" t="s">
        <v>1279</v>
      </c>
      <c r="D3048" s="32" t="s">
        <v>99</v>
      </c>
      <c r="E3048" s="31" t="s">
        <v>3315</v>
      </c>
      <c r="F3048" s="161">
        <v>46107.0</v>
      </c>
      <c r="G3048" s="59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5"/>
      <c r="C3049" s="31" t="s">
        <v>1279</v>
      </c>
      <c r="D3049" s="32" t="s">
        <v>99</v>
      </c>
      <c r="E3049" s="31" t="s">
        <v>3316</v>
      </c>
      <c r="F3049" s="161">
        <v>46107.0</v>
      </c>
      <c r="G3049" s="59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5"/>
      <c r="C3050" s="31" t="s">
        <v>1281</v>
      </c>
      <c r="D3050" s="32" t="s">
        <v>99</v>
      </c>
      <c r="E3050" s="32" t="s">
        <v>3317</v>
      </c>
      <c r="F3050" s="161">
        <v>46107.0</v>
      </c>
      <c r="G3050" s="59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5"/>
      <c r="C3051" s="31" t="s">
        <v>1281</v>
      </c>
      <c r="D3051" s="32" t="s">
        <v>99</v>
      </c>
      <c r="E3051" s="31" t="s">
        <v>3318</v>
      </c>
      <c r="F3051" s="161">
        <v>46107.0</v>
      </c>
      <c r="G3051" s="59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5"/>
      <c r="C3052" s="31" t="s">
        <v>1281</v>
      </c>
      <c r="D3052" s="32" t="s">
        <v>15</v>
      </c>
      <c r="E3052" s="31" t="s">
        <v>3319</v>
      </c>
      <c r="F3052" s="161">
        <v>46107.0</v>
      </c>
      <c r="G3052" s="59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5"/>
      <c r="C3053" s="31" t="s">
        <v>1281</v>
      </c>
      <c r="D3053" s="32" t="s">
        <v>15</v>
      </c>
      <c r="E3053" s="31" t="s">
        <v>3320</v>
      </c>
      <c r="F3053" s="161">
        <v>46107.0</v>
      </c>
      <c r="G3053" s="59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5"/>
      <c r="C3054" s="31" t="s">
        <v>1283</v>
      </c>
      <c r="D3054" s="32" t="s">
        <v>15</v>
      </c>
      <c r="E3054" s="31" t="s">
        <v>3321</v>
      </c>
      <c r="F3054" s="161">
        <v>46107.0</v>
      </c>
      <c r="G3054" s="59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5"/>
      <c r="C3055" s="31" t="s">
        <v>1283</v>
      </c>
      <c r="D3055" s="32" t="s">
        <v>15</v>
      </c>
      <c r="E3055" s="31" t="s">
        <v>3322</v>
      </c>
      <c r="F3055" s="161">
        <v>46107.0</v>
      </c>
      <c r="G3055" s="59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5"/>
      <c r="C3056" s="31" t="s">
        <v>1283</v>
      </c>
      <c r="D3056" s="32" t="s">
        <v>99</v>
      </c>
      <c r="E3056" s="31" t="s">
        <v>3323</v>
      </c>
      <c r="F3056" s="161">
        <v>46107.0</v>
      </c>
      <c r="G3056" s="59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5"/>
      <c r="C3057" s="31" t="s">
        <v>1283</v>
      </c>
      <c r="D3057" s="32" t="s">
        <v>99</v>
      </c>
      <c r="E3057" s="31" t="s">
        <v>3324</v>
      </c>
      <c r="F3057" s="161">
        <v>46107.0</v>
      </c>
      <c r="G3057" s="59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5"/>
      <c r="C3059" s="31" t="s">
        <v>635</v>
      </c>
      <c r="D3059" s="32" t="s">
        <v>99</v>
      </c>
      <c r="E3059" s="31" t="s">
        <v>3326</v>
      </c>
      <c r="F3059" s="161">
        <v>46107.0</v>
      </c>
      <c r="G3059" s="59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5"/>
      <c r="C3061" s="31" t="s">
        <v>635</v>
      </c>
      <c r="D3061" s="32" t="s">
        <v>99</v>
      </c>
      <c r="E3061" s="31" t="s">
        <v>3328</v>
      </c>
      <c r="F3061" s="161">
        <v>46107.0</v>
      </c>
      <c r="G3061" s="59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5"/>
      <c r="C3063" s="31" t="s">
        <v>635</v>
      </c>
      <c r="D3063" s="32" t="s">
        <v>99</v>
      </c>
      <c r="E3063" s="31" t="s">
        <v>3330</v>
      </c>
      <c r="F3063" s="161">
        <v>46107.0</v>
      </c>
      <c r="G3063" s="59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5"/>
      <c r="C3064" s="31" t="s">
        <v>635</v>
      </c>
      <c r="D3064" s="32" t="s">
        <v>99</v>
      </c>
      <c r="E3064" s="31" t="s">
        <v>3331</v>
      </c>
      <c r="F3064" s="161">
        <v>46107.0</v>
      </c>
      <c r="G3064" s="59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5"/>
      <c r="C3065" s="31" t="s">
        <v>635</v>
      </c>
      <c r="D3065" s="32" t="s">
        <v>15</v>
      </c>
      <c r="E3065" s="31" t="s">
        <v>3332</v>
      </c>
      <c r="F3065" s="161">
        <v>46107.0</v>
      </c>
      <c r="G3065" s="59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5"/>
      <c r="C3067" s="31" t="s">
        <v>635</v>
      </c>
      <c r="D3067" s="32" t="s">
        <v>15</v>
      </c>
      <c r="E3067" s="31" t="s">
        <v>3334</v>
      </c>
      <c r="F3067" s="161">
        <v>46107.0</v>
      </c>
      <c r="G3067" s="59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5"/>
      <c r="C3068" s="31" t="s">
        <v>635</v>
      </c>
      <c r="D3068" s="32" t="s">
        <v>15</v>
      </c>
      <c r="E3068" s="31" t="s">
        <v>3335</v>
      </c>
      <c r="F3068" s="161">
        <v>46107.0</v>
      </c>
      <c r="G3068" s="59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5"/>
      <c r="C3069" s="31" t="s">
        <v>635</v>
      </c>
      <c r="D3069" s="32" t="s">
        <v>15</v>
      </c>
      <c r="E3069" s="31" t="s">
        <v>3336</v>
      </c>
      <c r="F3069" s="161">
        <v>46107.0</v>
      </c>
      <c r="G3069" s="59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5"/>
      <c r="C3071" s="31" t="s">
        <v>635</v>
      </c>
      <c r="D3071" s="32" t="s">
        <v>15</v>
      </c>
      <c r="E3071" s="31" t="s">
        <v>3338</v>
      </c>
      <c r="F3071" s="161">
        <v>46107.0</v>
      </c>
      <c r="G3071" s="59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5"/>
      <c r="C3072" s="31" t="s">
        <v>171</v>
      </c>
      <c r="D3072" s="32" t="s">
        <v>15</v>
      </c>
      <c r="E3072" s="31" t="s">
        <v>3339</v>
      </c>
      <c r="F3072" s="161">
        <v>46107.0</v>
      </c>
      <c r="G3072" s="59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5"/>
      <c r="C3073" s="31" t="s">
        <v>171</v>
      </c>
      <c r="D3073" s="32" t="s">
        <v>15</v>
      </c>
      <c r="E3073" s="31" t="s">
        <v>3340</v>
      </c>
      <c r="F3073" s="161">
        <v>46107.0</v>
      </c>
      <c r="G3073" s="59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5"/>
      <c r="C3074" s="31" t="s">
        <v>171</v>
      </c>
      <c r="D3074" s="32" t="s">
        <v>15</v>
      </c>
      <c r="E3074" s="31" t="s">
        <v>3341</v>
      </c>
      <c r="F3074" s="161">
        <v>46107.0</v>
      </c>
      <c r="G3074" s="59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60"/>
      <c r="C3075" s="61" t="s">
        <v>2318</v>
      </c>
      <c r="D3075" s="62" t="s">
        <v>3342</v>
      </c>
      <c r="E3075" s="61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47"/>
      <c r="M3075" s="50"/>
    </row>
    <row r="3076" ht="15.75" customHeight="1">
      <c r="A3076" s="164">
        <v>46106.0</v>
      </c>
      <c r="B3076" s="60"/>
      <c r="C3076" s="61" t="s">
        <v>2318</v>
      </c>
      <c r="D3076" s="62" t="s">
        <v>3342</v>
      </c>
      <c r="E3076" s="61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47"/>
      <c r="M3076" s="50"/>
    </row>
    <row r="3077" ht="15.75" customHeight="1">
      <c r="A3077" s="162">
        <v>46107.0</v>
      </c>
      <c r="B3077" s="55"/>
      <c r="C3077" s="31" t="s">
        <v>2334</v>
      </c>
      <c r="D3077" s="32" t="s">
        <v>99</v>
      </c>
      <c r="E3077" s="31" t="s">
        <v>3345</v>
      </c>
      <c r="F3077" s="161">
        <v>46107.0</v>
      </c>
      <c r="G3077" s="59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5"/>
      <c r="C3078" s="31" t="s">
        <v>2334</v>
      </c>
      <c r="D3078" s="32" t="s">
        <v>99</v>
      </c>
      <c r="E3078" s="31" t="s">
        <v>3346</v>
      </c>
      <c r="F3078" s="161">
        <v>46107.0</v>
      </c>
      <c r="G3078" s="59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5"/>
      <c r="C3079" s="31" t="s">
        <v>2334</v>
      </c>
      <c r="D3079" s="32" t="s">
        <v>99</v>
      </c>
      <c r="E3079" s="31" t="s">
        <v>3347</v>
      </c>
      <c r="F3079" s="161">
        <v>46107.0</v>
      </c>
      <c r="G3079" s="59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5"/>
      <c r="C3080" s="31" t="s">
        <v>2334</v>
      </c>
      <c r="D3080" s="32" t="s">
        <v>99</v>
      </c>
      <c r="E3080" s="31" t="s">
        <v>3348</v>
      </c>
      <c r="F3080" s="161">
        <v>46107.0</v>
      </c>
      <c r="G3080" s="59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5"/>
      <c r="C3081" s="31" t="s">
        <v>2334</v>
      </c>
      <c r="D3081" s="32" t="s">
        <v>15</v>
      </c>
      <c r="E3081" s="31" t="s">
        <v>3349</v>
      </c>
      <c r="F3081" s="161">
        <v>46107.0</v>
      </c>
      <c r="G3081" s="59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5"/>
      <c r="C3082" s="31" t="s">
        <v>2334</v>
      </c>
      <c r="D3082" s="32" t="s">
        <v>15</v>
      </c>
      <c r="E3082" s="31" t="s">
        <v>3350</v>
      </c>
      <c r="F3082" s="161">
        <v>46107.0</v>
      </c>
      <c r="G3082" s="59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5"/>
      <c r="C3083" s="31" t="s">
        <v>2334</v>
      </c>
      <c r="D3083" s="32" t="s">
        <v>15</v>
      </c>
      <c r="E3083" s="31" t="s">
        <v>3351</v>
      </c>
      <c r="F3083" s="161">
        <v>46107.0</v>
      </c>
      <c r="G3083" s="59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5"/>
      <c r="C3084" s="31" t="s">
        <v>2334</v>
      </c>
      <c r="D3084" s="32" t="s">
        <v>15</v>
      </c>
      <c r="E3084" s="31" t="s">
        <v>3352</v>
      </c>
      <c r="F3084" s="161">
        <v>46107.0</v>
      </c>
      <c r="G3084" s="59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5"/>
      <c r="C3085" s="31" t="s">
        <v>171</v>
      </c>
      <c r="D3085" s="32" t="s">
        <v>99</v>
      </c>
      <c r="E3085" s="31" t="s">
        <v>3353</v>
      </c>
      <c r="F3085" s="161">
        <v>46107.0</v>
      </c>
      <c r="G3085" s="59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5"/>
      <c r="C3086" s="31" t="s">
        <v>171</v>
      </c>
      <c r="D3086" s="32" t="s">
        <v>99</v>
      </c>
      <c r="E3086" s="31" t="s">
        <v>3354</v>
      </c>
      <c r="F3086" s="161">
        <v>46107.0</v>
      </c>
      <c r="G3086" s="59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5"/>
      <c r="C3087" s="31" t="s">
        <v>171</v>
      </c>
      <c r="D3087" s="32" t="s">
        <v>99</v>
      </c>
      <c r="E3087" s="31" t="s">
        <v>3355</v>
      </c>
      <c r="F3087" s="161">
        <v>46107.0</v>
      </c>
      <c r="G3087" s="59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5"/>
      <c r="C3088" s="31" t="s">
        <v>171</v>
      </c>
      <c r="D3088" s="32" t="s">
        <v>99</v>
      </c>
      <c r="E3088" s="31" t="s">
        <v>3356</v>
      </c>
      <c r="F3088" s="161">
        <v>46107.0</v>
      </c>
      <c r="G3088" s="59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5"/>
      <c r="C3089" s="31" t="s">
        <v>3357</v>
      </c>
      <c r="D3089" s="32" t="s">
        <v>99</v>
      </c>
      <c r="E3089" s="31" t="s">
        <v>3358</v>
      </c>
      <c r="F3089" s="161">
        <v>46107.0</v>
      </c>
      <c r="G3089" s="59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5"/>
      <c r="C3090" s="31" t="s">
        <v>3357</v>
      </c>
      <c r="D3090" s="32" t="s">
        <v>99</v>
      </c>
      <c r="E3090" s="31" t="s">
        <v>3359</v>
      </c>
      <c r="F3090" s="161">
        <v>46107.0</v>
      </c>
      <c r="G3090" s="59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5"/>
      <c r="C3091" s="31" t="s">
        <v>3357</v>
      </c>
      <c r="D3091" s="32" t="s">
        <v>99</v>
      </c>
      <c r="E3091" s="31" t="s">
        <v>3360</v>
      </c>
      <c r="F3091" s="161">
        <v>46107.0</v>
      </c>
      <c r="G3091" s="59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5"/>
      <c r="C3092" s="31" t="s">
        <v>3357</v>
      </c>
      <c r="D3092" s="32" t="s">
        <v>99</v>
      </c>
      <c r="E3092" s="31" t="s">
        <v>3361</v>
      </c>
      <c r="F3092" s="161">
        <v>46107.0</v>
      </c>
      <c r="G3092" s="59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5"/>
      <c r="C3093" s="31" t="s">
        <v>3357</v>
      </c>
      <c r="D3093" s="32" t="s">
        <v>99</v>
      </c>
      <c r="E3093" s="31" t="s">
        <v>3362</v>
      </c>
      <c r="F3093" s="161">
        <v>46107.0</v>
      </c>
      <c r="G3093" s="59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5"/>
      <c r="C3094" s="31" t="s">
        <v>3357</v>
      </c>
      <c r="D3094" s="32" t="s">
        <v>99</v>
      </c>
      <c r="E3094" s="31" t="s">
        <v>3363</v>
      </c>
      <c r="F3094" s="161">
        <v>46107.0</v>
      </c>
      <c r="G3094" s="59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5"/>
      <c r="C3095" s="31" t="s">
        <v>3364</v>
      </c>
      <c r="D3095" s="32" t="s">
        <v>99</v>
      </c>
      <c r="E3095" s="31" t="s">
        <v>3365</v>
      </c>
      <c r="F3095" s="161">
        <v>46107.0</v>
      </c>
      <c r="G3095" s="59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5"/>
      <c r="C3096" s="31" t="s">
        <v>1564</v>
      </c>
      <c r="D3096" s="32" t="s">
        <v>99</v>
      </c>
      <c r="E3096" s="31" t="s">
        <v>3366</v>
      </c>
      <c r="F3096" s="161">
        <v>46107.0</v>
      </c>
      <c r="G3096" s="59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5"/>
      <c r="C3097" s="31" t="s">
        <v>1564</v>
      </c>
      <c r="D3097" s="32" t="s">
        <v>99</v>
      </c>
      <c r="E3097" s="31" t="s">
        <v>3367</v>
      </c>
      <c r="F3097" s="161">
        <v>46107.0</v>
      </c>
      <c r="G3097" s="59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5"/>
      <c r="C3098" s="31" t="s">
        <v>1564</v>
      </c>
      <c r="D3098" s="32" t="s">
        <v>99</v>
      </c>
      <c r="E3098" s="31" t="s">
        <v>3368</v>
      </c>
      <c r="F3098" s="161">
        <v>46107.0</v>
      </c>
      <c r="G3098" s="59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5"/>
      <c r="C3099" s="31" t="s">
        <v>1564</v>
      </c>
      <c r="D3099" s="32" t="s">
        <v>99</v>
      </c>
      <c r="E3099" s="31" t="s">
        <v>3369</v>
      </c>
      <c r="F3099" s="161">
        <v>46107.0</v>
      </c>
      <c r="G3099" s="59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5"/>
      <c r="C3100" s="31" t="s">
        <v>1564</v>
      </c>
      <c r="D3100" s="32" t="s">
        <v>99</v>
      </c>
      <c r="E3100" s="31" t="s">
        <v>3370</v>
      </c>
      <c r="F3100" s="161">
        <v>46107.0</v>
      </c>
      <c r="G3100" s="59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5"/>
      <c r="C3101" s="31" t="s">
        <v>1564</v>
      </c>
      <c r="D3101" s="32" t="s">
        <v>99</v>
      </c>
      <c r="E3101" s="31" t="s">
        <v>3371</v>
      </c>
      <c r="F3101" s="161">
        <v>46107.0</v>
      </c>
      <c r="G3101" s="59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5"/>
      <c r="C3102" s="31" t="s">
        <v>2004</v>
      </c>
      <c r="D3102" s="32" t="s">
        <v>99</v>
      </c>
      <c r="E3102" s="31" t="s">
        <v>3372</v>
      </c>
      <c r="F3102" s="161">
        <v>46107.0</v>
      </c>
      <c r="G3102" s="59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5"/>
      <c r="C3103" s="31" t="s">
        <v>2004</v>
      </c>
      <c r="D3103" s="32" t="s">
        <v>99</v>
      </c>
      <c r="E3103" s="31" t="s">
        <v>3373</v>
      </c>
      <c r="F3103" s="161">
        <v>46107.0</v>
      </c>
      <c r="G3103" s="59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5"/>
      <c r="C3104" s="31" t="s">
        <v>2004</v>
      </c>
      <c r="D3104" s="32" t="s">
        <v>99</v>
      </c>
      <c r="E3104" s="31" t="s">
        <v>3374</v>
      </c>
      <c r="F3104" s="161">
        <v>46107.0</v>
      </c>
      <c r="G3104" s="59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5"/>
      <c r="C3105" s="31" t="s">
        <v>2004</v>
      </c>
      <c r="D3105" s="32" t="s">
        <v>99</v>
      </c>
      <c r="E3105" s="31" t="s">
        <v>3375</v>
      </c>
      <c r="F3105" s="161">
        <v>46107.0</v>
      </c>
      <c r="G3105" s="59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5"/>
      <c r="C3106" s="31" t="s">
        <v>2004</v>
      </c>
      <c r="D3106" s="32" t="s">
        <v>99</v>
      </c>
      <c r="E3106" s="31" t="s">
        <v>3376</v>
      </c>
      <c r="F3106" s="161">
        <v>46107.0</v>
      </c>
      <c r="G3106" s="59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5"/>
      <c r="C3107" s="31" t="s">
        <v>2004</v>
      </c>
      <c r="D3107" s="32" t="s">
        <v>99</v>
      </c>
      <c r="E3107" s="31" t="s">
        <v>3377</v>
      </c>
      <c r="F3107" s="161">
        <v>46107.0</v>
      </c>
      <c r="G3107" s="59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60"/>
      <c r="C3108" s="61" t="s">
        <v>159</v>
      </c>
      <c r="D3108" s="62" t="s">
        <v>99</v>
      </c>
      <c r="E3108" s="61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47"/>
      <c r="M3108" s="50"/>
    </row>
    <row r="3109" ht="15.75" customHeight="1">
      <c r="A3109" s="164">
        <v>46107.0</v>
      </c>
      <c r="B3109" s="60"/>
      <c r="C3109" s="61" t="s">
        <v>159</v>
      </c>
      <c r="D3109" s="62" t="s">
        <v>15</v>
      </c>
      <c r="E3109" s="61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47"/>
      <c r="M3109" s="50"/>
    </row>
    <row r="3110" ht="15.75" customHeight="1">
      <c r="A3110" s="164">
        <v>46108.0</v>
      </c>
      <c r="B3110" s="60"/>
      <c r="C3110" s="61" t="s">
        <v>3288</v>
      </c>
      <c r="D3110" s="62" t="s">
        <v>3029</v>
      </c>
      <c r="E3110" s="61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47"/>
      <c r="M3110" s="50"/>
    </row>
    <row r="3111" ht="15.75" customHeight="1">
      <c r="A3111" s="164">
        <v>46108.0</v>
      </c>
      <c r="B3111" s="60"/>
      <c r="C3111" s="61" t="s">
        <v>3288</v>
      </c>
      <c r="D3111" s="62" t="s">
        <v>3029</v>
      </c>
      <c r="E3111" s="61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47"/>
      <c r="M3111" s="50"/>
    </row>
    <row r="3112" ht="15.75" customHeight="1">
      <c r="A3112" s="164">
        <v>46108.0</v>
      </c>
      <c r="B3112" s="60"/>
      <c r="C3112" s="61" t="s">
        <v>3288</v>
      </c>
      <c r="D3112" s="62" t="s">
        <v>3029</v>
      </c>
      <c r="E3112" s="61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47"/>
      <c r="M3112" s="50"/>
    </row>
    <row r="3113" ht="15.75" customHeight="1">
      <c r="A3113" s="164">
        <v>46108.0</v>
      </c>
      <c r="B3113" s="60"/>
      <c r="C3113" s="61" t="s">
        <v>3288</v>
      </c>
      <c r="D3113" s="62" t="s">
        <v>3029</v>
      </c>
      <c r="E3113" s="61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47"/>
      <c r="M3113" s="50"/>
    </row>
    <row r="3114" ht="15.75" customHeight="1">
      <c r="A3114" s="162">
        <v>46109.0</v>
      </c>
      <c r="B3114" s="55"/>
      <c r="C3114" s="31" t="s">
        <v>171</v>
      </c>
      <c r="D3114" s="32" t="s">
        <v>99</v>
      </c>
      <c r="E3114" s="31" t="s">
        <v>3384</v>
      </c>
      <c r="F3114" s="161">
        <v>46107.0</v>
      </c>
      <c r="G3114" s="59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60"/>
      <c r="C3115" s="61" t="s">
        <v>3385</v>
      </c>
      <c r="D3115" s="62" t="s">
        <v>3211</v>
      </c>
      <c r="E3115" s="62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47"/>
      <c r="M3115" s="50"/>
    </row>
    <row r="3116" ht="15.75" customHeight="1">
      <c r="A3116" s="162">
        <v>46112.0</v>
      </c>
      <c r="B3116" s="55"/>
      <c r="C3116" s="31" t="s">
        <v>239</v>
      </c>
      <c r="D3116" s="32" t="s">
        <v>15</v>
      </c>
      <c r="E3116" s="31" t="s">
        <v>3387</v>
      </c>
      <c r="F3116" s="161">
        <v>46107.0</v>
      </c>
      <c r="G3116" s="59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5"/>
      <c r="C3117" s="31" t="s">
        <v>239</v>
      </c>
      <c r="D3117" s="32" t="s">
        <v>15</v>
      </c>
      <c r="E3117" s="31" t="s">
        <v>3388</v>
      </c>
      <c r="F3117" s="161">
        <v>46107.0</v>
      </c>
      <c r="G3117" s="59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5"/>
      <c r="C3118" s="31" t="s">
        <v>567</v>
      </c>
      <c r="D3118" s="32" t="s">
        <v>15</v>
      </c>
      <c r="E3118" s="31" t="s">
        <v>3389</v>
      </c>
      <c r="F3118" s="161">
        <v>46107.0</v>
      </c>
      <c r="G3118" s="59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5"/>
      <c r="C3119" s="31" t="s">
        <v>567</v>
      </c>
      <c r="D3119" s="32" t="s">
        <v>15</v>
      </c>
      <c r="E3119" s="31" t="s">
        <v>3390</v>
      </c>
      <c r="F3119" s="161">
        <v>46107.0</v>
      </c>
      <c r="G3119" s="59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5"/>
      <c r="C3120" s="31" t="s">
        <v>567</v>
      </c>
      <c r="D3120" s="32" t="s">
        <v>15</v>
      </c>
      <c r="E3120" s="31" t="s">
        <v>3391</v>
      </c>
      <c r="F3120" s="161">
        <v>46107.0</v>
      </c>
      <c r="G3120" s="59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5"/>
      <c r="C3121" s="31" t="s">
        <v>567</v>
      </c>
      <c r="D3121" s="32" t="s">
        <v>15</v>
      </c>
      <c r="E3121" s="31" t="s">
        <v>3392</v>
      </c>
      <c r="F3121" s="161">
        <v>46107.0</v>
      </c>
      <c r="G3121" s="59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5"/>
      <c r="C3122" s="31" t="s">
        <v>3385</v>
      </c>
      <c r="D3122" s="32" t="s">
        <v>15</v>
      </c>
      <c r="E3122" s="31" t="s">
        <v>3393</v>
      </c>
      <c r="F3122" s="161">
        <v>46107.0</v>
      </c>
      <c r="G3122" s="59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5"/>
      <c r="C3123" s="31" t="s">
        <v>3385</v>
      </c>
      <c r="D3123" s="32" t="s">
        <v>15</v>
      </c>
      <c r="E3123" s="31" t="s">
        <v>3394</v>
      </c>
      <c r="F3123" s="161">
        <v>46107.0</v>
      </c>
      <c r="G3123" s="59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5"/>
      <c r="C3124" s="31" t="s">
        <v>3385</v>
      </c>
      <c r="D3124" s="32" t="s">
        <v>15</v>
      </c>
      <c r="E3124" s="31" t="s">
        <v>3395</v>
      </c>
      <c r="F3124" s="161">
        <v>46107.0</v>
      </c>
      <c r="G3124" s="59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5"/>
      <c r="C3125" s="31" t="s">
        <v>1564</v>
      </c>
      <c r="D3125" s="32" t="s">
        <v>15</v>
      </c>
      <c r="E3125" s="31" t="s">
        <v>3396</v>
      </c>
      <c r="F3125" s="161">
        <v>46107.0</v>
      </c>
      <c r="G3125" s="59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5"/>
      <c r="C3126" s="31" t="s">
        <v>1564</v>
      </c>
      <c r="D3126" s="32" t="s">
        <v>15</v>
      </c>
      <c r="E3126" s="31" t="s">
        <v>3397</v>
      </c>
      <c r="F3126" s="161">
        <v>46107.0</v>
      </c>
      <c r="G3126" s="59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5"/>
      <c r="C3127" s="31" t="s">
        <v>1564</v>
      </c>
      <c r="D3127" s="32" t="s">
        <v>15</v>
      </c>
      <c r="E3127" s="31" t="s">
        <v>3398</v>
      </c>
      <c r="F3127" s="161">
        <v>46107.0</v>
      </c>
      <c r="G3127" s="59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5"/>
      <c r="C3128" s="31" t="s">
        <v>2004</v>
      </c>
      <c r="D3128" s="32" t="s">
        <v>15</v>
      </c>
      <c r="E3128" s="31" t="s">
        <v>3399</v>
      </c>
      <c r="F3128" s="161">
        <v>46107.0</v>
      </c>
      <c r="G3128" s="59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5"/>
      <c r="C3129" s="31" t="s">
        <v>2004</v>
      </c>
      <c r="D3129" s="32" t="s">
        <v>15</v>
      </c>
      <c r="E3129" s="31" t="s">
        <v>3400</v>
      </c>
      <c r="F3129" s="161">
        <v>46107.0</v>
      </c>
      <c r="G3129" s="59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5"/>
      <c r="C3130" s="31" t="s">
        <v>2004</v>
      </c>
      <c r="D3130" s="32" t="s">
        <v>15</v>
      </c>
      <c r="E3130" s="31" t="s">
        <v>3401</v>
      </c>
      <c r="F3130" s="161">
        <v>46107.0</v>
      </c>
      <c r="G3130" s="59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5"/>
      <c r="C3131" s="31" t="s">
        <v>1972</v>
      </c>
      <c r="D3131" s="32" t="s">
        <v>15</v>
      </c>
      <c r="E3131" s="31" t="s">
        <v>3402</v>
      </c>
      <c r="F3131" s="161">
        <v>46107.0</v>
      </c>
      <c r="G3131" s="59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5"/>
      <c r="C3132" s="31" t="s">
        <v>1972</v>
      </c>
      <c r="D3132" s="32" t="s">
        <v>15</v>
      </c>
      <c r="E3132" s="31" t="s">
        <v>3403</v>
      </c>
      <c r="F3132" s="161">
        <v>46107.0</v>
      </c>
      <c r="G3132" s="59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5"/>
      <c r="C3133" s="31" t="s">
        <v>1972</v>
      </c>
      <c r="D3133" s="32" t="s">
        <v>15</v>
      </c>
      <c r="E3133" s="31" t="s">
        <v>3404</v>
      </c>
      <c r="F3133" s="161">
        <v>46107.0</v>
      </c>
      <c r="G3133" s="59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60"/>
      <c r="C3134" s="61" t="s">
        <v>538</v>
      </c>
      <c r="D3134" s="61" t="s">
        <v>2834</v>
      </c>
      <c r="E3134" s="62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47"/>
      <c r="M3134" s="50"/>
    </row>
    <row r="3135" ht="15.75" customHeight="1">
      <c r="A3135" s="164">
        <v>46112.0</v>
      </c>
      <c r="B3135" s="60"/>
      <c r="C3135" s="61" t="s">
        <v>538</v>
      </c>
      <c r="D3135" s="61" t="s">
        <v>2834</v>
      </c>
      <c r="E3135" s="62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47"/>
      <c r="M3135" s="50"/>
    </row>
    <row r="3136" ht="15.75" customHeight="1">
      <c r="A3136" s="164">
        <v>46112.0</v>
      </c>
      <c r="B3136" s="60"/>
      <c r="C3136" s="61" t="s">
        <v>893</v>
      </c>
      <c r="D3136" s="61" t="s">
        <v>2834</v>
      </c>
      <c r="E3136" s="62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47"/>
      <c r="M3136" s="50"/>
    </row>
    <row r="3137" ht="15.75" customHeight="1">
      <c r="A3137" s="164">
        <v>46112.0</v>
      </c>
      <c r="B3137" s="60"/>
      <c r="C3137" s="61" t="s">
        <v>893</v>
      </c>
      <c r="D3137" s="61" t="s">
        <v>2834</v>
      </c>
      <c r="E3137" s="62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47"/>
      <c r="M3137" s="50"/>
    </row>
    <row r="3138" ht="15.75" customHeight="1">
      <c r="A3138" s="164">
        <v>46112.0</v>
      </c>
      <c r="B3138" s="60"/>
      <c r="C3138" s="61" t="s">
        <v>893</v>
      </c>
      <c r="D3138" s="61" t="s">
        <v>2834</v>
      </c>
      <c r="E3138" s="62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47"/>
      <c r="M3138" s="50"/>
    </row>
    <row r="3139" ht="15.75" customHeight="1">
      <c r="A3139" s="164">
        <v>46112.0</v>
      </c>
      <c r="B3139" s="60"/>
      <c r="C3139" s="61" t="s">
        <v>893</v>
      </c>
      <c r="D3139" s="61" t="s">
        <v>2834</v>
      </c>
      <c r="E3139" s="62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47"/>
      <c r="M3139" s="50"/>
    </row>
    <row r="3140" ht="15.75" customHeight="1">
      <c r="A3140" s="164">
        <v>46112.0</v>
      </c>
      <c r="B3140" s="60"/>
      <c r="C3140" s="61" t="s">
        <v>2837</v>
      </c>
      <c r="D3140" s="61" t="s">
        <v>2834</v>
      </c>
      <c r="E3140" s="62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47"/>
      <c r="M3140" s="50"/>
    </row>
    <row r="3141" ht="15.75" customHeight="1">
      <c r="A3141" s="164">
        <v>46112.0</v>
      </c>
      <c r="B3141" s="60"/>
      <c r="C3141" s="61" t="s">
        <v>3412</v>
      </c>
      <c r="D3141" s="62" t="s">
        <v>1021</v>
      </c>
      <c r="E3141" s="61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47"/>
      <c r="M3141" s="50"/>
    </row>
    <row r="3142" ht="15.75" customHeight="1">
      <c r="A3142" s="164">
        <v>46112.0</v>
      </c>
      <c r="B3142" s="60"/>
      <c r="C3142" s="61" t="s">
        <v>3412</v>
      </c>
      <c r="D3142" s="62" t="s">
        <v>1021</v>
      </c>
      <c r="E3142" s="61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47"/>
      <c r="M3142" s="50"/>
    </row>
    <row r="3143" ht="15.75" customHeight="1">
      <c r="A3143" s="164">
        <v>46112.0</v>
      </c>
      <c r="B3143" s="60"/>
      <c r="C3143" s="61" t="s">
        <v>3412</v>
      </c>
      <c r="D3143" s="62" t="s">
        <v>1021</v>
      </c>
      <c r="E3143" s="61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47"/>
      <c r="M3143" s="50"/>
    </row>
    <row r="3144" ht="15.75" customHeight="1">
      <c r="A3144" s="164">
        <v>46112.0</v>
      </c>
      <c r="B3144" s="60"/>
      <c r="C3144" s="61" t="s">
        <v>3412</v>
      </c>
      <c r="D3144" s="62" t="s">
        <v>1021</v>
      </c>
      <c r="E3144" s="61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47"/>
      <c r="M3144" s="50"/>
    </row>
    <row r="3145" ht="15.75" customHeight="1">
      <c r="A3145" s="164">
        <v>46112.0</v>
      </c>
      <c r="B3145" s="60"/>
      <c r="C3145" s="61" t="s">
        <v>3412</v>
      </c>
      <c r="D3145" s="62" t="s">
        <v>1021</v>
      </c>
      <c r="E3145" s="61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47"/>
      <c r="M3145" s="50"/>
    </row>
    <row r="3146" ht="15.75" customHeight="1">
      <c r="A3146" s="162">
        <v>46114.0</v>
      </c>
      <c r="B3146" s="55"/>
      <c r="C3146" s="31" t="s">
        <v>1727</v>
      </c>
      <c r="D3146" s="32" t="s">
        <v>15</v>
      </c>
      <c r="E3146" s="31" t="s">
        <v>3418</v>
      </c>
      <c r="F3146" s="134">
        <v>46138.0</v>
      </c>
      <c r="G3146" s="59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60"/>
      <c r="C3147" s="61" t="s">
        <v>969</v>
      </c>
      <c r="D3147" s="61" t="s">
        <v>2863</v>
      </c>
      <c r="E3147" s="62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47"/>
      <c r="M3147" s="50"/>
    </row>
    <row r="3148" ht="15.75" customHeight="1">
      <c r="A3148" s="164">
        <v>46118.0</v>
      </c>
      <c r="B3148" s="60"/>
      <c r="C3148" s="61" t="s">
        <v>969</v>
      </c>
      <c r="D3148" s="61" t="s">
        <v>2863</v>
      </c>
      <c r="E3148" s="62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47"/>
      <c r="M3148" s="50"/>
    </row>
    <row r="3149" ht="15.75" customHeight="1">
      <c r="A3149" s="162">
        <v>46118.0</v>
      </c>
      <c r="B3149" s="55"/>
      <c r="C3149" s="31" t="s">
        <v>16</v>
      </c>
      <c r="D3149" s="32" t="s">
        <v>99</v>
      </c>
      <c r="E3149" s="31" t="s">
        <v>3421</v>
      </c>
      <c r="F3149" s="134">
        <v>46138.0</v>
      </c>
      <c r="G3149" s="59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5"/>
      <c r="C3150" s="32" t="s">
        <v>53</v>
      </c>
      <c r="D3150" s="32" t="s">
        <v>15</v>
      </c>
      <c r="E3150" s="31" t="s">
        <v>3422</v>
      </c>
      <c r="F3150" s="134">
        <v>46138.0</v>
      </c>
      <c r="G3150" s="59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5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5"/>
      <c r="C3152" s="31" t="s">
        <v>1112</v>
      </c>
      <c r="D3152" s="32" t="s">
        <v>99</v>
      </c>
      <c r="E3152" s="32" t="s">
        <v>3424</v>
      </c>
      <c r="F3152" s="134">
        <v>46138.0</v>
      </c>
      <c r="G3152" s="59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5"/>
      <c r="C3153" s="31" t="s">
        <v>1112</v>
      </c>
      <c r="D3153" s="32" t="s">
        <v>99</v>
      </c>
      <c r="E3153" s="32" t="s">
        <v>3425</v>
      </c>
      <c r="F3153" s="134">
        <v>46138.0</v>
      </c>
      <c r="G3153" s="59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5"/>
      <c r="C3154" s="31" t="s">
        <v>1112</v>
      </c>
      <c r="D3154" s="32" t="s">
        <v>99</v>
      </c>
      <c r="E3154" s="32" t="s">
        <v>3426</v>
      </c>
      <c r="F3154" s="134">
        <v>46138.0</v>
      </c>
      <c r="G3154" s="59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5"/>
      <c r="C3155" s="31" t="s">
        <v>1112</v>
      </c>
      <c r="D3155" s="32" t="s">
        <v>15</v>
      </c>
      <c r="E3155" s="31" t="s">
        <v>3427</v>
      </c>
      <c r="F3155" s="134">
        <v>46138.0</v>
      </c>
      <c r="G3155" s="59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5"/>
      <c r="C3156" s="31" t="s">
        <v>1112</v>
      </c>
      <c r="D3156" s="32" t="s">
        <v>15</v>
      </c>
      <c r="E3156" s="31" t="s">
        <v>3428</v>
      </c>
      <c r="F3156" s="134">
        <v>46138.0</v>
      </c>
      <c r="G3156" s="59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5"/>
      <c r="C3157" s="31" t="s">
        <v>1112</v>
      </c>
      <c r="D3157" s="32" t="s">
        <v>15</v>
      </c>
      <c r="E3157" s="31" t="s">
        <v>3429</v>
      </c>
      <c r="F3157" s="134">
        <v>46138.0</v>
      </c>
      <c r="G3157" s="59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5"/>
      <c r="C3158" s="31" t="s">
        <v>1564</v>
      </c>
      <c r="D3158" s="32" t="s">
        <v>99</v>
      </c>
      <c r="E3158" s="31" t="s">
        <v>3430</v>
      </c>
      <c r="F3158" s="134">
        <v>46138.0</v>
      </c>
      <c r="G3158" s="59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5"/>
      <c r="C3159" s="31" t="s">
        <v>1564</v>
      </c>
      <c r="D3159" s="32" t="s">
        <v>99</v>
      </c>
      <c r="E3159" s="31" t="s">
        <v>3431</v>
      </c>
      <c r="F3159" s="134">
        <v>46138.0</v>
      </c>
      <c r="G3159" s="59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5"/>
      <c r="C3160" s="31" t="s">
        <v>1564</v>
      </c>
      <c r="D3160" s="32" t="s">
        <v>99</v>
      </c>
      <c r="E3160" s="31" t="s">
        <v>3432</v>
      </c>
      <c r="F3160" s="134">
        <v>46138.0</v>
      </c>
      <c r="G3160" s="59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5"/>
      <c r="C3161" s="31" t="s">
        <v>1564</v>
      </c>
      <c r="D3161" s="32" t="s">
        <v>99</v>
      </c>
      <c r="E3161" s="31" t="s">
        <v>3433</v>
      </c>
      <c r="F3161" s="134">
        <v>46138.0</v>
      </c>
      <c r="G3161" s="59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5"/>
      <c r="C3162" s="31" t="s">
        <v>1564</v>
      </c>
      <c r="D3162" s="32" t="s">
        <v>99</v>
      </c>
      <c r="E3162" s="31" t="s">
        <v>3434</v>
      </c>
      <c r="F3162" s="134">
        <v>46138.0</v>
      </c>
      <c r="G3162" s="59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60"/>
      <c r="C3163" s="61" t="s">
        <v>3435</v>
      </c>
      <c r="D3163" s="62" t="s">
        <v>99</v>
      </c>
      <c r="E3163" s="61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47"/>
      <c r="M3163" s="50"/>
    </row>
    <row r="3164" ht="15.75" customHeight="1">
      <c r="A3164" s="164">
        <v>46119.0</v>
      </c>
      <c r="B3164" s="60"/>
      <c r="C3164" s="61" t="s">
        <v>3435</v>
      </c>
      <c r="D3164" s="62" t="s">
        <v>99</v>
      </c>
      <c r="E3164" s="61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47"/>
      <c r="M3164" s="50"/>
    </row>
    <row r="3165" ht="15.75" customHeight="1">
      <c r="A3165" s="164">
        <v>46119.0</v>
      </c>
      <c r="B3165" s="60"/>
      <c r="C3165" s="61" t="s">
        <v>3435</v>
      </c>
      <c r="D3165" s="62" t="s">
        <v>99</v>
      </c>
      <c r="E3165" s="61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47"/>
      <c r="M3165" s="50"/>
    </row>
    <row r="3166" ht="15.75" customHeight="1">
      <c r="A3166" s="164">
        <v>46119.0</v>
      </c>
      <c r="B3166" s="60"/>
      <c r="C3166" s="61" t="s">
        <v>3435</v>
      </c>
      <c r="D3166" s="62" t="s">
        <v>99</v>
      </c>
      <c r="E3166" s="61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47"/>
      <c r="M3166" s="50"/>
    </row>
    <row r="3167" ht="15.75" customHeight="1">
      <c r="A3167" s="164">
        <v>46119.0</v>
      </c>
      <c r="B3167" s="60"/>
      <c r="C3167" s="61" t="s">
        <v>3435</v>
      </c>
      <c r="D3167" s="62" t="s">
        <v>99</v>
      </c>
      <c r="E3167" s="61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47"/>
      <c r="M3167" s="50"/>
    </row>
    <row r="3168" ht="15.75" customHeight="1">
      <c r="A3168" s="162">
        <v>46120.0</v>
      </c>
      <c r="B3168" s="55"/>
      <c r="C3168" s="31" t="s">
        <v>1854</v>
      </c>
      <c r="D3168" s="32" t="s">
        <v>99</v>
      </c>
      <c r="E3168" s="31" t="s">
        <v>3441</v>
      </c>
      <c r="F3168" s="134">
        <v>46138.0</v>
      </c>
      <c r="G3168" s="59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47"/>
      <c r="M3168" s="50"/>
    </row>
    <row r="3169" ht="15.75" customHeight="1">
      <c r="A3169" s="162">
        <v>46120.0</v>
      </c>
      <c r="B3169" s="55"/>
      <c r="C3169" s="31" t="s">
        <v>1854</v>
      </c>
      <c r="D3169" s="32" t="s">
        <v>99</v>
      </c>
      <c r="E3169" s="31" t="s">
        <v>3442</v>
      </c>
      <c r="F3169" s="134">
        <v>46138.0</v>
      </c>
      <c r="G3169" s="59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47"/>
      <c r="M3169" s="50"/>
    </row>
    <row r="3170" ht="15.75" customHeight="1">
      <c r="A3170" s="162">
        <v>46120.0</v>
      </c>
      <c r="B3170" s="55"/>
      <c r="C3170" s="31" t="s">
        <v>1854</v>
      </c>
      <c r="D3170" s="32" t="s">
        <v>99</v>
      </c>
      <c r="E3170" s="31" t="s">
        <v>3443</v>
      </c>
      <c r="F3170" s="134">
        <v>46138.0</v>
      </c>
      <c r="G3170" s="59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47"/>
      <c r="M3170" s="50"/>
    </row>
    <row r="3171" ht="15.75" customHeight="1">
      <c r="A3171" s="162">
        <v>46120.0</v>
      </c>
      <c r="B3171" s="55"/>
      <c r="C3171" s="31" t="s">
        <v>1854</v>
      </c>
      <c r="D3171" s="32" t="s">
        <v>99</v>
      </c>
      <c r="E3171" s="31" t="s">
        <v>3444</v>
      </c>
      <c r="F3171" s="134">
        <v>46138.0</v>
      </c>
      <c r="G3171" s="59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47"/>
      <c r="M3171" s="50"/>
    </row>
    <row r="3172" ht="15.75" customHeight="1">
      <c r="A3172" s="162">
        <v>46120.0</v>
      </c>
      <c r="B3172" s="55"/>
      <c r="C3172" s="31" t="s">
        <v>1854</v>
      </c>
      <c r="D3172" s="32" t="s">
        <v>99</v>
      </c>
      <c r="E3172" s="31" t="s">
        <v>3445</v>
      </c>
      <c r="F3172" s="134">
        <v>46138.0</v>
      </c>
      <c r="G3172" s="59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47"/>
      <c r="M3172" s="50"/>
    </row>
    <row r="3173" ht="15.75" customHeight="1">
      <c r="A3173" s="162">
        <v>46120.0</v>
      </c>
      <c r="B3173" s="55"/>
      <c r="C3173" s="31" t="s">
        <v>1854</v>
      </c>
      <c r="D3173" s="32" t="s">
        <v>99</v>
      </c>
      <c r="E3173" s="31" t="s">
        <v>3446</v>
      </c>
      <c r="F3173" s="134">
        <v>46138.0</v>
      </c>
      <c r="G3173" s="59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47"/>
      <c r="M3173" s="50"/>
    </row>
    <row r="3174" ht="15.75" customHeight="1">
      <c r="A3174" s="162">
        <v>46120.0</v>
      </c>
      <c r="B3174" s="55"/>
      <c r="C3174" s="31" t="s">
        <v>1854</v>
      </c>
      <c r="D3174" s="32" t="s">
        <v>99</v>
      </c>
      <c r="E3174" s="31" t="s">
        <v>3447</v>
      </c>
      <c r="F3174" s="134">
        <v>46138.0</v>
      </c>
      <c r="G3174" s="59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47"/>
      <c r="M3174" s="50"/>
    </row>
    <row r="3175" ht="15.75" customHeight="1">
      <c r="A3175" s="162">
        <v>46120.0</v>
      </c>
      <c r="B3175" s="55"/>
      <c r="C3175" s="31" t="s">
        <v>1854</v>
      </c>
      <c r="D3175" s="32" t="s">
        <v>15</v>
      </c>
      <c r="E3175" s="31" t="s">
        <v>3448</v>
      </c>
      <c r="F3175" s="134">
        <v>46138.0</v>
      </c>
      <c r="G3175" s="59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47"/>
      <c r="M3175" s="50"/>
    </row>
    <row r="3176" ht="15.75" customHeight="1">
      <c r="A3176" s="162">
        <v>46120.0</v>
      </c>
      <c r="B3176" s="55"/>
      <c r="C3176" s="31" t="s">
        <v>1854</v>
      </c>
      <c r="D3176" s="32" t="s">
        <v>15</v>
      </c>
      <c r="E3176" s="31" t="s">
        <v>3449</v>
      </c>
      <c r="F3176" s="134">
        <v>46138.0</v>
      </c>
      <c r="G3176" s="59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47"/>
      <c r="M3176" s="50"/>
    </row>
    <row r="3177" ht="15.75" customHeight="1">
      <c r="A3177" s="162">
        <v>46120.0</v>
      </c>
      <c r="B3177" s="55"/>
      <c r="C3177" s="31" t="s">
        <v>1854</v>
      </c>
      <c r="D3177" s="32" t="s">
        <v>15</v>
      </c>
      <c r="E3177" s="31" t="s">
        <v>3450</v>
      </c>
      <c r="F3177" s="134">
        <v>46138.0</v>
      </c>
      <c r="G3177" s="59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47"/>
      <c r="M3177" s="50"/>
    </row>
    <row r="3178" ht="15.75" customHeight="1">
      <c r="A3178" s="162">
        <v>46120.0</v>
      </c>
      <c r="B3178" s="55"/>
      <c r="C3178" s="31" t="s">
        <v>1854</v>
      </c>
      <c r="D3178" s="32" t="s">
        <v>15</v>
      </c>
      <c r="E3178" s="31" t="s">
        <v>3451</v>
      </c>
      <c r="F3178" s="134">
        <v>46138.0</v>
      </c>
      <c r="G3178" s="59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47"/>
      <c r="M3178" s="50"/>
    </row>
    <row r="3179" ht="15.75" customHeight="1">
      <c r="A3179" s="162">
        <v>46120.0</v>
      </c>
      <c r="B3179" s="55"/>
      <c r="C3179" s="31" t="s">
        <v>1854</v>
      </c>
      <c r="D3179" s="32" t="s">
        <v>15</v>
      </c>
      <c r="E3179" s="31" t="s">
        <v>3452</v>
      </c>
      <c r="F3179" s="134">
        <v>46138.0</v>
      </c>
      <c r="G3179" s="59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47"/>
      <c r="M3179" s="50"/>
    </row>
    <row r="3180" ht="15.75" customHeight="1">
      <c r="A3180" s="162">
        <v>46120.0</v>
      </c>
      <c r="B3180" s="55"/>
      <c r="C3180" s="31" t="s">
        <v>1854</v>
      </c>
      <c r="D3180" s="32" t="s">
        <v>15</v>
      </c>
      <c r="E3180" s="31" t="s">
        <v>3453</v>
      </c>
      <c r="F3180" s="134">
        <v>46138.0</v>
      </c>
      <c r="G3180" s="59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47"/>
      <c r="M3180" s="50"/>
    </row>
    <row r="3181" ht="15.75" customHeight="1">
      <c r="A3181" s="162">
        <v>46120.0</v>
      </c>
      <c r="B3181" s="55"/>
      <c r="C3181" s="31" t="s">
        <v>1854</v>
      </c>
      <c r="D3181" s="32" t="s">
        <v>15</v>
      </c>
      <c r="E3181" s="31" t="s">
        <v>3454</v>
      </c>
      <c r="F3181" s="134">
        <v>46138.0</v>
      </c>
      <c r="G3181" s="59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47"/>
      <c r="M3181" s="50"/>
    </row>
    <row r="3182" ht="15.75" customHeight="1">
      <c r="A3182" s="162">
        <v>46120.0</v>
      </c>
      <c r="B3182" s="55"/>
      <c r="C3182" s="31" t="s">
        <v>1854</v>
      </c>
      <c r="D3182" s="32" t="s">
        <v>15</v>
      </c>
      <c r="E3182" s="31" t="s">
        <v>3455</v>
      </c>
      <c r="F3182" s="134">
        <v>46138.0</v>
      </c>
      <c r="G3182" s="59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47"/>
      <c r="M3182" s="50"/>
    </row>
    <row r="3183" ht="15.75" customHeight="1">
      <c r="A3183" s="162">
        <v>46120.0</v>
      </c>
      <c r="B3183" s="55"/>
      <c r="C3183" s="31" t="s">
        <v>1858</v>
      </c>
      <c r="D3183" s="32" t="s">
        <v>99</v>
      </c>
      <c r="E3183" s="31" t="s">
        <v>3456</v>
      </c>
      <c r="F3183" s="134">
        <v>46138.0</v>
      </c>
      <c r="G3183" s="59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5"/>
      <c r="C3184" s="31" t="s">
        <v>1858</v>
      </c>
      <c r="D3184" s="32" t="s">
        <v>99</v>
      </c>
      <c r="E3184" s="31" t="s">
        <v>3457</v>
      </c>
      <c r="F3184" s="134">
        <v>46138.0</v>
      </c>
      <c r="G3184" s="59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5"/>
      <c r="C3185" s="31" t="s">
        <v>1858</v>
      </c>
      <c r="D3185" s="32" t="s">
        <v>15</v>
      </c>
      <c r="E3185" s="31" t="s">
        <v>3458</v>
      </c>
      <c r="F3185" s="134">
        <v>46138.0</v>
      </c>
      <c r="G3185" s="59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5"/>
      <c r="C3186" s="31" t="s">
        <v>1861</v>
      </c>
      <c r="D3186" s="32" t="s">
        <v>99</v>
      </c>
      <c r="E3186" s="31" t="s">
        <v>3459</v>
      </c>
      <c r="F3186" s="134">
        <v>46138.0</v>
      </c>
      <c r="G3186" s="59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5"/>
      <c r="C3187" s="31" t="s">
        <v>1861</v>
      </c>
      <c r="D3187" s="32" t="s">
        <v>15</v>
      </c>
      <c r="E3187" s="31" t="s">
        <v>3460</v>
      </c>
      <c r="F3187" s="134">
        <v>46138.0</v>
      </c>
      <c r="G3187" s="59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5"/>
      <c r="C3188" s="31" t="s">
        <v>1861</v>
      </c>
      <c r="D3188" s="32" t="s">
        <v>15</v>
      </c>
      <c r="E3188" s="31" t="s">
        <v>3461</v>
      </c>
      <c r="F3188" s="134">
        <v>46138.0</v>
      </c>
      <c r="G3188" s="59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5"/>
      <c r="C3189" s="31" t="s">
        <v>3462</v>
      </c>
      <c r="D3189" s="32" t="s">
        <v>99</v>
      </c>
      <c r="E3189" s="31" t="s">
        <v>3463</v>
      </c>
      <c r="F3189" s="134">
        <v>46138.0</v>
      </c>
      <c r="G3189" s="59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5"/>
      <c r="C3190" s="31" t="s">
        <v>3462</v>
      </c>
      <c r="D3190" s="32" t="s">
        <v>99</v>
      </c>
      <c r="E3190" s="31" t="s">
        <v>3464</v>
      </c>
      <c r="F3190" s="134">
        <v>46138.0</v>
      </c>
      <c r="G3190" s="59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5"/>
      <c r="C3191" s="31" t="s">
        <v>3462</v>
      </c>
      <c r="D3191" s="32" t="s">
        <v>99</v>
      </c>
      <c r="E3191" s="31" t="s">
        <v>3465</v>
      </c>
      <c r="F3191" s="134">
        <v>46138.0</v>
      </c>
      <c r="G3191" s="59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5"/>
      <c r="C3192" s="32" t="s">
        <v>122</v>
      </c>
      <c r="D3192" s="32" t="s">
        <v>15</v>
      </c>
      <c r="E3192" s="31" t="s">
        <v>3466</v>
      </c>
      <c r="F3192" s="134">
        <v>46138.0</v>
      </c>
      <c r="G3192" s="59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5"/>
      <c r="C3193" s="31" t="s">
        <v>22</v>
      </c>
      <c r="D3193" s="32" t="s">
        <v>15</v>
      </c>
      <c r="E3193" s="31" t="s">
        <v>3467</v>
      </c>
      <c r="F3193" s="134">
        <v>46138.0</v>
      </c>
      <c r="G3193" s="59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5"/>
      <c r="C3194" s="31" t="s">
        <v>22</v>
      </c>
      <c r="D3194" s="32" t="s">
        <v>15</v>
      </c>
      <c r="E3194" s="31" t="s">
        <v>3468</v>
      </c>
      <c r="F3194" s="134">
        <v>46138.0</v>
      </c>
      <c r="G3194" s="59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5"/>
      <c r="C3195" s="31" t="s">
        <v>22</v>
      </c>
      <c r="D3195" s="32" t="s">
        <v>15</v>
      </c>
      <c r="E3195" s="31" t="s">
        <v>3469</v>
      </c>
      <c r="F3195" s="134">
        <v>46138.0</v>
      </c>
      <c r="G3195" s="59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5"/>
      <c r="C3196" s="31" t="s">
        <v>22</v>
      </c>
      <c r="D3196" s="32" t="s">
        <v>15</v>
      </c>
      <c r="E3196" s="31" t="s">
        <v>3470</v>
      </c>
      <c r="F3196" s="134">
        <v>46138.0</v>
      </c>
      <c r="G3196" s="59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5"/>
      <c r="C3197" s="31" t="s">
        <v>216</v>
      </c>
      <c r="D3197" s="32" t="s">
        <v>15</v>
      </c>
      <c r="E3197" s="31" t="s">
        <v>3471</v>
      </c>
      <c r="F3197" s="134">
        <v>46138.0</v>
      </c>
      <c r="G3197" s="59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5"/>
      <c r="C3198" s="31" t="s">
        <v>216</v>
      </c>
      <c r="D3198" s="32" t="s">
        <v>15</v>
      </c>
      <c r="E3198" s="31" t="s">
        <v>3472</v>
      </c>
      <c r="F3198" s="134">
        <v>46138.0</v>
      </c>
      <c r="G3198" s="59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5"/>
      <c r="C3199" s="31" t="s">
        <v>216</v>
      </c>
      <c r="D3199" s="32" t="s">
        <v>15</v>
      </c>
      <c r="E3199" s="31" t="s">
        <v>3473</v>
      </c>
      <c r="F3199" s="134">
        <v>46138.0</v>
      </c>
      <c r="G3199" s="59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5"/>
      <c r="C3200" s="31" t="s">
        <v>216</v>
      </c>
      <c r="D3200" s="32" t="s">
        <v>15</v>
      </c>
      <c r="E3200" s="31" t="s">
        <v>3474</v>
      </c>
      <c r="F3200" s="134">
        <v>46138.0</v>
      </c>
      <c r="G3200" s="59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5"/>
      <c r="C3201" s="31" t="s">
        <v>221</v>
      </c>
      <c r="D3201" s="32" t="s">
        <v>15</v>
      </c>
      <c r="E3201" s="31" t="s">
        <v>3475</v>
      </c>
      <c r="F3201" s="134">
        <v>46138.0</v>
      </c>
      <c r="G3201" s="59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5"/>
      <c r="C3202" s="31" t="s">
        <v>221</v>
      </c>
      <c r="D3202" s="32" t="s">
        <v>15</v>
      </c>
      <c r="E3202" s="31" t="s">
        <v>3476</v>
      </c>
      <c r="F3202" s="134">
        <v>46138.0</v>
      </c>
      <c r="G3202" s="59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5"/>
      <c r="C3203" s="31" t="s">
        <v>221</v>
      </c>
      <c r="D3203" s="32" t="s">
        <v>15</v>
      </c>
      <c r="E3203" s="31" t="s">
        <v>3477</v>
      </c>
      <c r="F3203" s="134">
        <v>46138.0</v>
      </c>
      <c r="G3203" s="59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5"/>
      <c r="C3204" s="31" t="s">
        <v>221</v>
      </c>
      <c r="D3204" s="32" t="s">
        <v>15</v>
      </c>
      <c r="E3204" s="31" t="s">
        <v>3478</v>
      </c>
      <c r="F3204" s="134">
        <v>46138.0</v>
      </c>
      <c r="G3204" s="59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5"/>
      <c r="C3205" s="31" t="s">
        <v>2842</v>
      </c>
      <c r="D3205" s="32" t="s">
        <v>15</v>
      </c>
      <c r="E3205" s="31" t="s">
        <v>3479</v>
      </c>
      <c r="F3205" s="134">
        <v>46138.0</v>
      </c>
      <c r="G3205" s="59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5"/>
      <c r="C3206" s="31" t="s">
        <v>541</v>
      </c>
      <c r="D3206" s="32" t="s">
        <v>15</v>
      </c>
      <c r="E3206" s="31" t="s">
        <v>3480</v>
      </c>
      <c r="F3206" s="134">
        <v>46138.0</v>
      </c>
      <c r="G3206" s="59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5"/>
      <c r="C3207" s="31" t="s">
        <v>2842</v>
      </c>
      <c r="D3207" s="32" t="s">
        <v>15</v>
      </c>
      <c r="E3207" s="31" t="s">
        <v>3481</v>
      </c>
      <c r="F3207" s="134">
        <v>46138.0</v>
      </c>
      <c r="G3207" s="59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5"/>
      <c r="C3208" s="31" t="s">
        <v>216</v>
      </c>
      <c r="D3208" s="32" t="s">
        <v>15</v>
      </c>
      <c r="E3208" s="31" t="s">
        <v>3482</v>
      </c>
      <c r="F3208" s="134">
        <v>46138.0</v>
      </c>
      <c r="G3208" s="59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5"/>
      <c r="C3209" s="31" t="s">
        <v>22</v>
      </c>
      <c r="D3209" s="32" t="s">
        <v>15</v>
      </c>
      <c r="E3209" s="31" t="s">
        <v>3483</v>
      </c>
      <c r="F3209" s="134">
        <v>46138.0</v>
      </c>
      <c r="G3209" s="59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5"/>
      <c r="C3210" s="31" t="s">
        <v>221</v>
      </c>
      <c r="D3210" s="32" t="s">
        <v>15</v>
      </c>
      <c r="E3210" s="31" t="s">
        <v>3484</v>
      </c>
      <c r="F3210" s="134">
        <v>46138.0</v>
      </c>
      <c r="G3210" s="59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5"/>
      <c r="C3211" s="31" t="s">
        <v>64</v>
      </c>
      <c r="D3211" s="32" t="s">
        <v>99</v>
      </c>
      <c r="E3211" s="31" t="s">
        <v>3485</v>
      </c>
      <c r="F3211" s="134">
        <v>46138.0</v>
      </c>
      <c r="G3211" s="59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5"/>
      <c r="C3212" s="31" t="s">
        <v>1685</v>
      </c>
      <c r="D3212" s="32" t="s">
        <v>15</v>
      </c>
      <c r="E3212" s="31" t="s">
        <v>3486</v>
      </c>
      <c r="F3212" s="134">
        <v>46138.0</v>
      </c>
      <c r="G3212" s="59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5"/>
      <c r="C3213" s="31" t="s">
        <v>22</v>
      </c>
      <c r="D3213" s="32" t="s">
        <v>99</v>
      </c>
      <c r="E3213" s="31" t="s">
        <v>3487</v>
      </c>
      <c r="F3213" s="134">
        <v>46138.0</v>
      </c>
      <c r="G3213" s="59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5"/>
      <c r="C3214" s="31" t="s">
        <v>22</v>
      </c>
      <c r="D3214" s="32" t="s">
        <v>99</v>
      </c>
      <c r="E3214" s="31" t="s">
        <v>3488</v>
      </c>
      <c r="F3214" s="134">
        <v>46138.0</v>
      </c>
      <c r="G3214" s="59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5"/>
      <c r="C3215" s="31" t="s">
        <v>22</v>
      </c>
      <c r="D3215" s="32" t="s">
        <v>99</v>
      </c>
      <c r="E3215" s="31" t="s">
        <v>3489</v>
      </c>
      <c r="F3215" s="134">
        <v>46138.0</v>
      </c>
      <c r="G3215" s="59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5"/>
      <c r="C3216" s="31" t="s">
        <v>221</v>
      </c>
      <c r="D3216" s="32" t="s">
        <v>99</v>
      </c>
      <c r="E3216" s="31" t="s">
        <v>3490</v>
      </c>
      <c r="F3216" s="134">
        <v>46138.0</v>
      </c>
      <c r="G3216" s="59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5"/>
      <c r="C3217" s="31" t="s">
        <v>221</v>
      </c>
      <c r="D3217" s="32" t="s">
        <v>99</v>
      </c>
      <c r="E3217" s="31" t="s">
        <v>3491</v>
      </c>
      <c r="F3217" s="134">
        <v>46138.0</v>
      </c>
      <c r="G3217" s="59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5"/>
      <c r="C3218" s="31" t="s">
        <v>221</v>
      </c>
      <c r="D3218" s="32" t="s">
        <v>99</v>
      </c>
      <c r="E3218" s="31" t="s">
        <v>3492</v>
      </c>
      <c r="F3218" s="134">
        <v>46138.0</v>
      </c>
      <c r="G3218" s="59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5"/>
      <c r="C3219" s="31" t="s">
        <v>216</v>
      </c>
      <c r="D3219" s="32" t="s">
        <v>99</v>
      </c>
      <c r="E3219" s="31" t="s">
        <v>3493</v>
      </c>
      <c r="F3219" s="134">
        <v>46138.0</v>
      </c>
      <c r="G3219" s="59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5"/>
      <c r="C3220" s="31" t="s">
        <v>216</v>
      </c>
      <c r="D3220" s="32" t="s">
        <v>99</v>
      </c>
      <c r="E3220" s="31" t="s">
        <v>3494</v>
      </c>
      <c r="F3220" s="134">
        <v>46138.0</v>
      </c>
      <c r="G3220" s="59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5"/>
      <c r="C3221" s="31" t="s">
        <v>216</v>
      </c>
      <c r="D3221" s="32" t="s">
        <v>99</v>
      </c>
      <c r="E3221" s="31" t="s">
        <v>3495</v>
      </c>
      <c r="F3221" s="134">
        <v>46138.0</v>
      </c>
      <c r="G3221" s="59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5"/>
      <c r="C3222" s="31" t="s">
        <v>567</v>
      </c>
      <c r="D3222" s="32" t="s">
        <v>99</v>
      </c>
      <c r="E3222" s="31" t="s">
        <v>3496</v>
      </c>
      <c r="F3222" s="134">
        <v>46138.0</v>
      </c>
      <c r="G3222" s="59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5"/>
      <c r="C3223" s="31" t="s">
        <v>567</v>
      </c>
      <c r="D3223" s="32" t="s">
        <v>99</v>
      </c>
      <c r="E3223" s="31" t="s">
        <v>3497</v>
      </c>
      <c r="F3223" s="134">
        <v>46138.0</v>
      </c>
      <c r="G3223" s="59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5"/>
      <c r="C3224" s="31" t="s">
        <v>567</v>
      </c>
      <c r="D3224" s="32" t="s">
        <v>99</v>
      </c>
      <c r="E3224" s="31" t="s">
        <v>3498</v>
      </c>
      <c r="F3224" s="134">
        <v>46138.0</v>
      </c>
      <c r="G3224" s="59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5"/>
      <c r="C3225" s="31" t="s">
        <v>1842</v>
      </c>
      <c r="D3225" s="32" t="s">
        <v>99</v>
      </c>
      <c r="E3225" s="31" t="s">
        <v>3499</v>
      </c>
      <c r="F3225" s="134">
        <v>46138.0</v>
      </c>
      <c r="G3225" s="59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5"/>
      <c r="C3226" s="31" t="s">
        <v>2842</v>
      </c>
      <c r="D3226" s="32" t="s">
        <v>99</v>
      </c>
      <c r="E3226" s="31" t="s">
        <v>3500</v>
      </c>
      <c r="F3226" s="134">
        <v>46138.0</v>
      </c>
      <c r="G3226" s="59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5"/>
      <c r="C3227" s="31" t="s">
        <v>2842</v>
      </c>
      <c r="D3227" s="32" t="s">
        <v>99</v>
      </c>
      <c r="E3227" s="31" t="s">
        <v>3501</v>
      </c>
      <c r="F3227" s="134">
        <v>46138.0</v>
      </c>
      <c r="G3227" s="59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5"/>
      <c r="C3242" s="31" t="s">
        <v>1183</v>
      </c>
      <c r="D3242" s="32" t="s">
        <v>15</v>
      </c>
      <c r="E3242" s="31" t="s">
        <v>3516</v>
      </c>
      <c r="F3242" s="134">
        <v>46138.0</v>
      </c>
      <c r="G3242" s="59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5"/>
      <c r="C3243" s="31" t="s">
        <v>1183</v>
      </c>
      <c r="D3243" s="32" t="s">
        <v>15</v>
      </c>
      <c r="E3243" s="31" t="s">
        <v>3517</v>
      </c>
      <c r="F3243" s="134">
        <v>46138.0</v>
      </c>
      <c r="G3243" s="59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5"/>
      <c r="C3244" s="31" t="s">
        <v>1183</v>
      </c>
      <c r="D3244" s="32" t="s">
        <v>99</v>
      </c>
      <c r="E3244" s="31" t="s">
        <v>3518</v>
      </c>
      <c r="F3244" s="134">
        <v>46138.0</v>
      </c>
      <c r="G3244" s="59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5"/>
      <c r="C3245" s="32" t="s">
        <v>171</v>
      </c>
      <c r="D3245" s="32" t="s">
        <v>15</v>
      </c>
      <c r="E3245" s="31" t="s">
        <v>3519</v>
      </c>
      <c r="F3245" s="134">
        <v>46138.0</v>
      </c>
      <c r="G3245" s="59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5"/>
      <c r="C3246" s="32" t="s">
        <v>171</v>
      </c>
      <c r="D3246" s="32" t="s">
        <v>15</v>
      </c>
      <c r="E3246" s="31" t="s">
        <v>3520</v>
      </c>
      <c r="F3246" s="134">
        <v>46138.0</v>
      </c>
      <c r="G3246" s="59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5"/>
      <c r="C3247" s="32" t="s">
        <v>171</v>
      </c>
      <c r="D3247" s="32" t="s">
        <v>15</v>
      </c>
      <c r="E3247" s="31" t="s">
        <v>3521</v>
      </c>
      <c r="F3247" s="134">
        <v>46138.0</v>
      </c>
      <c r="G3247" s="59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5"/>
      <c r="C3248" s="32" t="s">
        <v>171</v>
      </c>
      <c r="D3248" s="32" t="s">
        <v>15</v>
      </c>
      <c r="E3248" s="31" t="s">
        <v>3522</v>
      </c>
      <c r="F3248" s="134">
        <v>46138.0</v>
      </c>
      <c r="G3248" s="59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5"/>
      <c r="C3249" s="31" t="s">
        <v>1136</v>
      </c>
      <c r="D3249" s="32" t="s">
        <v>99</v>
      </c>
      <c r="E3249" s="31" t="s">
        <v>3523</v>
      </c>
      <c r="F3249" s="134">
        <v>46138.0</v>
      </c>
      <c r="G3249" s="59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5"/>
      <c r="C3250" s="31" t="s">
        <v>1136</v>
      </c>
      <c r="D3250" s="32" t="s">
        <v>15</v>
      </c>
      <c r="E3250" s="31" t="s">
        <v>3524</v>
      </c>
      <c r="F3250" s="134">
        <v>46138.0</v>
      </c>
      <c r="G3250" s="59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5"/>
      <c r="C3251" s="31" t="s">
        <v>1136</v>
      </c>
      <c r="D3251" s="32" t="s">
        <v>15</v>
      </c>
      <c r="E3251" s="31" t="s">
        <v>3525</v>
      </c>
      <c r="F3251" s="134">
        <v>46138.0</v>
      </c>
      <c r="G3251" s="59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5"/>
      <c r="C3252" s="31" t="s">
        <v>1136</v>
      </c>
      <c r="D3252" s="32" t="s">
        <v>99</v>
      </c>
      <c r="E3252" s="31" t="s">
        <v>3526</v>
      </c>
      <c r="F3252" s="134">
        <v>46138.0</v>
      </c>
      <c r="G3252" s="59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5"/>
      <c r="C3253" s="31" t="s">
        <v>1136</v>
      </c>
      <c r="D3253" s="32" t="s">
        <v>99</v>
      </c>
      <c r="E3253" s="31" t="s">
        <v>3527</v>
      </c>
      <c r="F3253" s="134">
        <v>46138.0</v>
      </c>
      <c r="G3253" s="59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5"/>
      <c r="C3254" s="31" t="s">
        <v>1136</v>
      </c>
      <c r="D3254" s="32" t="s">
        <v>15</v>
      </c>
      <c r="E3254" s="31" t="s">
        <v>3528</v>
      </c>
      <c r="F3254" s="134">
        <v>46138.0</v>
      </c>
      <c r="G3254" s="59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5"/>
      <c r="C3255" s="31" t="s">
        <v>1285</v>
      </c>
      <c r="D3255" s="32" t="s">
        <v>15</v>
      </c>
      <c r="E3255" s="31" t="s">
        <v>3529</v>
      </c>
      <c r="F3255" s="134">
        <v>46138.0</v>
      </c>
      <c r="G3255" s="59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5"/>
      <c r="C3256" s="31" t="s">
        <v>2221</v>
      </c>
      <c r="D3256" s="32" t="s">
        <v>99</v>
      </c>
      <c r="E3256" s="31" t="s">
        <v>3530</v>
      </c>
      <c r="F3256" s="134">
        <v>46138.0</v>
      </c>
      <c r="G3256" s="59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5"/>
      <c r="C3257" s="31" t="s">
        <v>2221</v>
      </c>
      <c r="D3257" s="32" t="s">
        <v>99</v>
      </c>
      <c r="E3257" s="31" t="s">
        <v>3531</v>
      </c>
      <c r="F3257" s="134">
        <v>46138.0</v>
      </c>
      <c r="G3257" s="59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5"/>
      <c r="C3258" s="31" t="s">
        <v>1312</v>
      </c>
      <c r="D3258" s="32" t="s">
        <v>15</v>
      </c>
      <c r="E3258" s="31" t="s">
        <v>3532</v>
      </c>
      <c r="F3258" s="134">
        <v>46138.0</v>
      </c>
      <c r="G3258" s="59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5"/>
      <c r="C3259" s="31" t="s">
        <v>1312</v>
      </c>
      <c r="D3259" s="32" t="s">
        <v>15</v>
      </c>
      <c r="E3259" s="31" t="s">
        <v>3533</v>
      </c>
      <c r="F3259" s="134">
        <v>46138.0</v>
      </c>
      <c r="G3259" s="59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5"/>
      <c r="C3260" s="31" t="s">
        <v>1312</v>
      </c>
      <c r="D3260" s="32" t="s">
        <v>99</v>
      </c>
      <c r="E3260" s="31" t="s">
        <v>3534</v>
      </c>
      <c r="F3260" s="134">
        <v>46138.0</v>
      </c>
      <c r="G3260" s="59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5"/>
      <c r="C3261" s="31" t="s">
        <v>1312</v>
      </c>
      <c r="D3261" s="32" t="s">
        <v>99</v>
      </c>
      <c r="E3261" s="31" t="s">
        <v>3535</v>
      </c>
      <c r="F3261" s="134">
        <v>46138.0</v>
      </c>
      <c r="G3261" s="59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5"/>
      <c r="C3262" s="31" t="s">
        <v>3536</v>
      </c>
      <c r="D3262" s="32" t="s">
        <v>15</v>
      </c>
      <c r="E3262" s="31" t="s">
        <v>3537</v>
      </c>
      <c r="F3262" s="134">
        <v>46138.0</v>
      </c>
      <c r="G3262" s="59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5"/>
      <c r="C3263" s="31" t="s">
        <v>3536</v>
      </c>
      <c r="D3263" s="32" t="s">
        <v>15</v>
      </c>
      <c r="E3263" s="31" t="s">
        <v>3538</v>
      </c>
      <c r="F3263" s="134">
        <v>46138.0</v>
      </c>
      <c r="G3263" s="59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5"/>
      <c r="C3264" s="31" t="s">
        <v>3536</v>
      </c>
      <c r="D3264" s="32" t="s">
        <v>99</v>
      </c>
      <c r="E3264" s="31" t="s">
        <v>3539</v>
      </c>
      <c r="F3264" s="134">
        <v>46138.0</v>
      </c>
      <c r="G3264" s="59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5"/>
      <c r="C3265" s="31" t="s">
        <v>3536</v>
      </c>
      <c r="D3265" s="32" t="s">
        <v>99</v>
      </c>
      <c r="E3265" s="31" t="s">
        <v>3540</v>
      </c>
      <c r="F3265" s="134">
        <v>46138.0</v>
      </c>
      <c r="G3265" s="59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5"/>
      <c r="C3266" s="31" t="s">
        <v>1277</v>
      </c>
      <c r="D3266" s="32" t="s">
        <v>15</v>
      </c>
      <c r="E3266" s="31" t="s">
        <v>3541</v>
      </c>
      <c r="F3266" s="134">
        <v>46138.0</v>
      </c>
      <c r="G3266" s="59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5"/>
      <c r="C3267" s="31" t="s">
        <v>1277</v>
      </c>
      <c r="D3267" s="32" t="s">
        <v>15</v>
      </c>
      <c r="E3267" s="31" t="s">
        <v>3542</v>
      </c>
      <c r="F3267" s="134">
        <v>46138.0</v>
      </c>
      <c r="G3267" s="59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5"/>
      <c r="C3268" s="31" t="s">
        <v>1277</v>
      </c>
      <c r="D3268" s="32" t="s">
        <v>99</v>
      </c>
      <c r="E3268" s="31" t="s">
        <v>3543</v>
      </c>
      <c r="F3268" s="134">
        <v>46138.0</v>
      </c>
      <c r="G3268" s="59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5"/>
      <c r="C3269" s="31" t="s">
        <v>1277</v>
      </c>
      <c r="D3269" s="32" t="s">
        <v>99</v>
      </c>
      <c r="E3269" s="31" t="s">
        <v>3544</v>
      </c>
      <c r="F3269" s="134">
        <v>46138.0</v>
      </c>
      <c r="G3269" s="59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5"/>
      <c r="C3270" s="31" t="s">
        <v>1279</v>
      </c>
      <c r="D3270" s="32" t="s">
        <v>15</v>
      </c>
      <c r="E3270" s="31" t="s">
        <v>3545</v>
      </c>
      <c r="F3270" s="134">
        <v>46138.0</v>
      </c>
      <c r="G3270" s="59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5"/>
      <c r="C3271" s="31" t="s">
        <v>1279</v>
      </c>
      <c r="D3271" s="32" t="s">
        <v>15</v>
      </c>
      <c r="E3271" s="31" t="s">
        <v>3546</v>
      </c>
      <c r="F3271" s="134">
        <v>46138.0</v>
      </c>
      <c r="G3271" s="59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5"/>
      <c r="C3272" s="31" t="s">
        <v>1279</v>
      </c>
      <c r="D3272" s="32" t="s">
        <v>99</v>
      </c>
      <c r="E3272" s="31" t="s">
        <v>3547</v>
      </c>
      <c r="F3272" s="134">
        <v>46138.0</v>
      </c>
      <c r="G3272" s="59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5"/>
      <c r="C3273" s="31" t="s">
        <v>1279</v>
      </c>
      <c r="D3273" s="32" t="s">
        <v>99</v>
      </c>
      <c r="E3273" s="31" t="s">
        <v>3548</v>
      </c>
      <c r="F3273" s="134">
        <v>46138.0</v>
      </c>
      <c r="G3273" s="59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5"/>
      <c r="C3274" s="31" t="s">
        <v>1281</v>
      </c>
      <c r="D3274" s="32" t="s">
        <v>15</v>
      </c>
      <c r="E3274" s="31" t="s">
        <v>3549</v>
      </c>
      <c r="F3274" s="134">
        <v>46138.0</v>
      </c>
      <c r="G3274" s="59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5"/>
      <c r="C3275" s="31" t="s">
        <v>1281</v>
      </c>
      <c r="D3275" s="32" t="s">
        <v>15</v>
      </c>
      <c r="E3275" s="31" t="s">
        <v>3550</v>
      </c>
      <c r="F3275" s="134">
        <v>46138.0</v>
      </c>
      <c r="G3275" s="59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5"/>
      <c r="C3276" s="31" t="s">
        <v>1281</v>
      </c>
      <c r="D3276" s="32" t="s">
        <v>99</v>
      </c>
      <c r="E3276" s="31" t="s">
        <v>3551</v>
      </c>
      <c r="F3276" s="134">
        <v>46138.0</v>
      </c>
      <c r="G3276" s="59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5"/>
      <c r="C3277" s="31" t="s">
        <v>1281</v>
      </c>
      <c r="D3277" s="32" t="s">
        <v>99</v>
      </c>
      <c r="E3277" s="31" t="s">
        <v>3552</v>
      </c>
      <c r="F3277" s="134">
        <v>46138.0</v>
      </c>
      <c r="G3277" s="59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5"/>
      <c r="C3278" s="31" t="s">
        <v>1283</v>
      </c>
      <c r="D3278" s="32" t="s">
        <v>15</v>
      </c>
      <c r="E3278" s="31" t="s">
        <v>3553</v>
      </c>
      <c r="F3278" s="134">
        <v>46138.0</v>
      </c>
      <c r="G3278" s="59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5"/>
      <c r="C3279" s="31" t="s">
        <v>1283</v>
      </c>
      <c r="D3279" s="32" t="s">
        <v>15</v>
      </c>
      <c r="E3279" s="31" t="s">
        <v>3554</v>
      </c>
      <c r="F3279" s="134">
        <v>46138.0</v>
      </c>
      <c r="G3279" s="59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5"/>
      <c r="C3280" s="31" t="s">
        <v>1283</v>
      </c>
      <c r="D3280" s="32" t="s">
        <v>99</v>
      </c>
      <c r="E3280" s="31" t="s">
        <v>3555</v>
      </c>
      <c r="F3280" s="134">
        <v>46138.0</v>
      </c>
      <c r="G3280" s="59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5"/>
      <c r="C3281" s="31" t="s">
        <v>1283</v>
      </c>
      <c r="D3281" s="32" t="s">
        <v>99</v>
      </c>
      <c r="E3281" s="31" t="s">
        <v>3556</v>
      </c>
      <c r="F3281" s="134">
        <v>46138.0</v>
      </c>
      <c r="G3281" s="59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5"/>
      <c r="C3282" s="32" t="s">
        <v>171</v>
      </c>
      <c r="D3282" s="32" t="s">
        <v>99</v>
      </c>
      <c r="E3282" s="31" t="s">
        <v>3557</v>
      </c>
      <c r="F3282" s="134">
        <v>46138.0</v>
      </c>
      <c r="G3282" s="59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5"/>
      <c r="C3283" s="32" t="s">
        <v>171</v>
      </c>
      <c r="D3283" s="32" t="s">
        <v>99</v>
      </c>
      <c r="E3283" s="31" t="s">
        <v>3558</v>
      </c>
      <c r="F3283" s="134">
        <v>46138.0</v>
      </c>
      <c r="G3283" s="59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5"/>
      <c r="C3284" s="31" t="s">
        <v>3559</v>
      </c>
      <c r="D3284" s="32" t="s">
        <v>99</v>
      </c>
      <c r="E3284" s="31" t="s">
        <v>3560</v>
      </c>
      <c r="F3284" s="134">
        <v>46138.0</v>
      </c>
      <c r="G3284" s="59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5"/>
      <c r="C3285" s="31" t="s">
        <v>3561</v>
      </c>
      <c r="D3285" s="32" t="s">
        <v>15</v>
      </c>
      <c r="E3285" s="31" t="s">
        <v>3562</v>
      </c>
      <c r="F3285" s="134">
        <v>46138.0</v>
      </c>
      <c r="G3285" s="59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5"/>
      <c r="C3286" s="31" t="s">
        <v>3559</v>
      </c>
      <c r="D3286" s="32" t="s">
        <v>15</v>
      </c>
      <c r="E3286" s="31" t="s">
        <v>3563</v>
      </c>
      <c r="F3286" s="134">
        <v>46138.0</v>
      </c>
      <c r="G3286" s="59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5"/>
      <c r="C3287" s="31" t="s">
        <v>497</v>
      </c>
      <c r="D3287" s="32" t="s">
        <v>15</v>
      </c>
      <c r="E3287" s="31" t="s">
        <v>3564</v>
      </c>
      <c r="F3287" s="134">
        <v>46138.0</v>
      </c>
      <c r="G3287" s="59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5"/>
      <c r="C3288" s="31" t="s">
        <v>491</v>
      </c>
      <c r="D3288" s="32" t="s">
        <v>99</v>
      </c>
      <c r="E3288" s="31" t="s">
        <v>3565</v>
      </c>
      <c r="F3288" s="134">
        <v>46138.0</v>
      </c>
      <c r="G3288" s="59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5"/>
      <c r="C3289" s="31" t="s">
        <v>491</v>
      </c>
      <c r="D3289" s="32" t="s">
        <v>99</v>
      </c>
      <c r="E3289" s="31" t="s">
        <v>3566</v>
      </c>
      <c r="F3289" s="134">
        <v>46138.0</v>
      </c>
      <c r="G3289" s="59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5"/>
      <c r="C3290" s="31" t="s">
        <v>491</v>
      </c>
      <c r="D3290" s="32" t="s">
        <v>99</v>
      </c>
      <c r="E3290" s="31" t="s">
        <v>3567</v>
      </c>
      <c r="F3290" s="134">
        <v>46138.0</v>
      </c>
      <c r="G3290" s="59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5"/>
      <c r="C3291" s="31" t="s">
        <v>491</v>
      </c>
      <c r="D3291" s="32" t="s">
        <v>15</v>
      </c>
      <c r="E3291" s="31" t="s">
        <v>3568</v>
      </c>
      <c r="F3291" s="134">
        <v>46138.0</v>
      </c>
      <c r="G3291" s="59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5"/>
      <c r="C3292" s="31" t="s">
        <v>491</v>
      </c>
      <c r="D3292" s="32" t="s">
        <v>15</v>
      </c>
      <c r="E3292" s="31" t="s">
        <v>3569</v>
      </c>
      <c r="F3292" s="134">
        <v>46138.0</v>
      </c>
      <c r="G3292" s="59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5"/>
      <c r="C3293" s="31" t="s">
        <v>491</v>
      </c>
      <c r="D3293" s="32" t="s">
        <v>15</v>
      </c>
      <c r="E3293" s="31" t="s">
        <v>3570</v>
      </c>
      <c r="F3293" s="134">
        <v>46138.0</v>
      </c>
      <c r="G3293" s="59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5"/>
      <c r="C3294" s="31" t="s">
        <v>2004</v>
      </c>
      <c r="D3294" s="32" t="s">
        <v>99</v>
      </c>
      <c r="E3294" s="31" t="s">
        <v>3571</v>
      </c>
      <c r="F3294" s="134">
        <v>46138.0</v>
      </c>
      <c r="G3294" s="59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5"/>
      <c r="C3295" s="31" t="s">
        <v>2004</v>
      </c>
      <c r="D3295" s="32" t="s">
        <v>99</v>
      </c>
      <c r="E3295" s="31" t="s">
        <v>3572</v>
      </c>
      <c r="F3295" s="134">
        <v>46138.0</v>
      </c>
      <c r="G3295" s="59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5"/>
      <c r="C3296" s="31" t="s">
        <v>2004</v>
      </c>
      <c r="D3296" s="32" t="s">
        <v>99</v>
      </c>
      <c r="E3296" s="31" t="s">
        <v>3573</v>
      </c>
      <c r="F3296" s="134">
        <v>46138.0</v>
      </c>
      <c r="G3296" s="59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5"/>
      <c r="C3297" s="31" t="s">
        <v>1564</v>
      </c>
      <c r="D3297" s="32" t="s">
        <v>99</v>
      </c>
      <c r="E3297" s="31" t="s">
        <v>3574</v>
      </c>
      <c r="F3297" s="134">
        <v>46138.0</v>
      </c>
      <c r="G3297" s="59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5"/>
      <c r="C3298" s="31" t="s">
        <v>1564</v>
      </c>
      <c r="D3298" s="32" t="s">
        <v>99</v>
      </c>
      <c r="E3298" s="31" t="s">
        <v>3575</v>
      </c>
      <c r="F3298" s="134">
        <v>46138.0</v>
      </c>
      <c r="G3298" s="59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5"/>
      <c r="C3299" s="31" t="s">
        <v>1564</v>
      </c>
      <c r="D3299" s="32" t="s">
        <v>99</v>
      </c>
      <c r="E3299" s="31" t="s">
        <v>3576</v>
      </c>
      <c r="F3299" s="134">
        <v>46138.0</v>
      </c>
      <c r="G3299" s="59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5"/>
      <c r="C3300" s="31" t="s">
        <v>1972</v>
      </c>
      <c r="D3300" s="32" t="s">
        <v>99</v>
      </c>
      <c r="E3300" s="31" t="s">
        <v>3577</v>
      </c>
      <c r="F3300" s="134">
        <v>46138.0</v>
      </c>
      <c r="G3300" s="59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5"/>
      <c r="C3301" s="31" t="s">
        <v>1972</v>
      </c>
      <c r="D3301" s="32" t="s">
        <v>99</v>
      </c>
      <c r="E3301" s="31" t="s">
        <v>3578</v>
      </c>
      <c r="F3301" s="134">
        <v>46138.0</v>
      </c>
      <c r="G3301" s="59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5"/>
      <c r="C3302" s="31" t="s">
        <v>1972</v>
      </c>
      <c r="D3302" s="32" t="s">
        <v>99</v>
      </c>
      <c r="E3302" s="31" t="s">
        <v>3579</v>
      </c>
      <c r="F3302" s="134">
        <v>46138.0</v>
      </c>
      <c r="G3302" s="59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5"/>
      <c r="C3303" s="31" t="s">
        <v>3580</v>
      </c>
      <c r="D3303" s="32" t="s">
        <v>99</v>
      </c>
      <c r="E3303" s="31" t="s">
        <v>3581</v>
      </c>
      <c r="F3303" s="134">
        <v>46138.0</v>
      </c>
      <c r="G3303" s="59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5"/>
      <c r="C3304" s="31" t="s">
        <v>3580</v>
      </c>
      <c r="D3304" s="32" t="s">
        <v>15</v>
      </c>
      <c r="E3304" s="31" t="s">
        <v>3582</v>
      </c>
      <c r="F3304" s="134">
        <v>46138.0</v>
      </c>
      <c r="G3304" s="59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5"/>
      <c r="C3305" s="31" t="s">
        <v>3580</v>
      </c>
      <c r="D3305" s="32" t="s">
        <v>15</v>
      </c>
      <c r="E3305" s="31" t="s">
        <v>3583</v>
      </c>
      <c r="F3305" s="134">
        <v>46138.0</v>
      </c>
      <c r="G3305" s="59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5"/>
      <c r="C3306" s="31" t="s">
        <v>3580</v>
      </c>
      <c r="D3306" s="32" t="s">
        <v>99</v>
      </c>
      <c r="E3306" s="31" t="s">
        <v>3584</v>
      </c>
      <c r="F3306" s="134">
        <v>46138.0</v>
      </c>
      <c r="G3306" s="59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5"/>
      <c r="C3307" s="31" t="s">
        <v>3580</v>
      </c>
      <c r="D3307" s="32" t="s">
        <v>15</v>
      </c>
      <c r="E3307" s="31" t="s">
        <v>3585</v>
      </c>
      <c r="F3307" s="134">
        <v>46138.0</v>
      </c>
      <c r="G3307" s="59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5"/>
      <c r="C3308" s="31" t="s">
        <v>3580</v>
      </c>
      <c r="D3308" s="32" t="s">
        <v>99</v>
      </c>
      <c r="E3308" s="31" t="s">
        <v>3586</v>
      </c>
      <c r="F3308" s="134">
        <v>46138.0</v>
      </c>
      <c r="G3308" s="59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5"/>
      <c r="C3309" s="31" t="s">
        <v>3580</v>
      </c>
      <c r="D3309" s="32" t="s">
        <v>99</v>
      </c>
      <c r="E3309" s="31" t="s">
        <v>3587</v>
      </c>
      <c r="F3309" s="134">
        <v>46138.0</v>
      </c>
      <c r="G3309" s="59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5"/>
      <c r="C3310" s="31" t="s">
        <v>3580</v>
      </c>
      <c r="D3310" s="32" t="s">
        <v>99</v>
      </c>
      <c r="E3310" s="31" t="s">
        <v>3588</v>
      </c>
      <c r="F3310" s="134">
        <v>46138.0</v>
      </c>
      <c r="G3310" s="59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5"/>
      <c r="C3311" s="31" t="s">
        <v>3580</v>
      </c>
      <c r="D3311" s="32" t="s">
        <v>15</v>
      </c>
      <c r="E3311" s="31" t="s">
        <v>3589</v>
      </c>
      <c r="F3311" s="134">
        <v>46138.0</v>
      </c>
      <c r="G3311" s="59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5"/>
      <c r="C3312" s="31" t="s">
        <v>1842</v>
      </c>
      <c r="D3312" s="32" t="s">
        <v>15</v>
      </c>
      <c r="E3312" s="31" t="s">
        <v>3590</v>
      </c>
      <c r="F3312" s="134">
        <v>46138.0</v>
      </c>
      <c r="G3312" s="59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5"/>
      <c r="C3313" s="31" t="s">
        <v>1842</v>
      </c>
      <c r="D3313" s="32" t="s">
        <v>15</v>
      </c>
      <c r="E3313" s="31" t="s">
        <v>3591</v>
      </c>
      <c r="F3313" s="134">
        <v>46138.0</v>
      </c>
      <c r="G3313" s="59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5"/>
      <c r="C3314" s="31" t="s">
        <v>3592</v>
      </c>
      <c r="D3314" s="32" t="s">
        <v>99</v>
      </c>
      <c r="E3314" s="31" t="s">
        <v>3593</v>
      </c>
      <c r="F3314" s="134">
        <v>46138.0</v>
      </c>
      <c r="G3314" s="59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5"/>
      <c r="C3315" s="31" t="s">
        <v>3594</v>
      </c>
      <c r="D3315" s="32" t="s">
        <v>99</v>
      </c>
      <c r="E3315" s="31" t="s">
        <v>3595</v>
      </c>
      <c r="F3315" s="134">
        <v>46138.0</v>
      </c>
      <c r="G3315" s="59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5"/>
      <c r="C3316" s="31" t="s">
        <v>3596</v>
      </c>
      <c r="D3316" s="32" t="s">
        <v>99</v>
      </c>
      <c r="E3316" s="31" t="s">
        <v>3597</v>
      </c>
      <c r="F3316" s="134">
        <v>46138.0</v>
      </c>
      <c r="G3316" s="59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5"/>
      <c r="C3317" s="31" t="s">
        <v>3596</v>
      </c>
      <c r="D3317" s="32" t="s">
        <v>99</v>
      </c>
      <c r="E3317" s="31" t="s">
        <v>3598</v>
      </c>
      <c r="F3317" s="134">
        <v>46138.0</v>
      </c>
      <c r="G3317" s="59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5"/>
      <c r="C3318" s="31" t="s">
        <v>3068</v>
      </c>
      <c r="D3318" s="32" t="s">
        <v>99</v>
      </c>
      <c r="E3318" s="31" t="s">
        <v>3599</v>
      </c>
      <c r="F3318" s="134">
        <v>46138.0</v>
      </c>
      <c r="G3318" s="59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60"/>
      <c r="C3319" s="61" t="s">
        <v>171</v>
      </c>
      <c r="D3319" s="62" t="s">
        <v>99</v>
      </c>
      <c r="E3319" s="61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47"/>
      <c r="M3319" s="50"/>
    </row>
    <row r="3320" ht="15.75" customHeight="1">
      <c r="A3320" s="162">
        <v>46135.0</v>
      </c>
      <c r="B3320" s="55"/>
      <c r="C3320" s="31" t="s">
        <v>171</v>
      </c>
      <c r="D3320" s="32" t="s">
        <v>15</v>
      </c>
      <c r="E3320" s="31" t="s">
        <v>3601</v>
      </c>
      <c r="F3320" s="134">
        <v>46138.0</v>
      </c>
      <c r="G3320" s="59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60"/>
      <c r="C3321" s="62" t="s">
        <v>3602</v>
      </c>
      <c r="D3321" s="62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47"/>
      <c r="M3321" s="50"/>
    </row>
    <row r="3322" ht="15.75" customHeight="1">
      <c r="A3322" s="164">
        <v>46135.0</v>
      </c>
      <c r="B3322" s="60"/>
      <c r="C3322" s="62" t="s">
        <v>3604</v>
      </c>
      <c r="D3322" s="62" t="s">
        <v>3605</v>
      </c>
      <c r="E3322" s="61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47"/>
      <c r="M3322" s="50"/>
    </row>
    <row r="3323" ht="15.75" customHeight="1">
      <c r="A3323" s="162">
        <v>46136.0</v>
      </c>
      <c r="B3323" s="55"/>
      <c r="C3323" s="31" t="s">
        <v>2958</v>
      </c>
      <c r="D3323" s="32" t="s">
        <v>15</v>
      </c>
      <c r="E3323" s="31" t="s">
        <v>3607</v>
      </c>
      <c r="F3323" s="134">
        <v>46138.0</v>
      </c>
      <c r="G3323" s="59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5"/>
      <c r="C3324" s="31" t="s">
        <v>2958</v>
      </c>
      <c r="D3324" s="32" t="s">
        <v>15</v>
      </c>
      <c r="E3324" s="31" t="s">
        <v>3608</v>
      </c>
      <c r="F3324" s="134">
        <v>46138.0</v>
      </c>
      <c r="G3324" s="59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60"/>
      <c r="C3325" s="61" t="s">
        <v>45</v>
      </c>
      <c r="D3325" s="62" t="s">
        <v>15</v>
      </c>
      <c r="E3325" s="61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47"/>
      <c r="M3325" s="50"/>
    </row>
    <row r="3326" ht="15.75" customHeight="1">
      <c r="A3326" s="164">
        <v>46136.0</v>
      </c>
      <c r="B3326" s="60"/>
      <c r="C3326" s="62" t="s">
        <v>3604</v>
      </c>
      <c r="D3326" s="62" t="s">
        <v>3605</v>
      </c>
      <c r="E3326" s="61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47"/>
      <c r="M3326" s="50"/>
    </row>
    <row r="3327" ht="15.75" customHeight="1">
      <c r="A3327" s="162">
        <v>46140.0</v>
      </c>
      <c r="B3327" s="55"/>
      <c r="C3327" s="31" t="s">
        <v>3063</v>
      </c>
      <c r="D3327" s="32" t="s">
        <v>15</v>
      </c>
      <c r="E3327" s="31" t="s">
        <v>3611</v>
      </c>
      <c r="F3327" s="134">
        <v>46138.0</v>
      </c>
      <c r="G3327" s="59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5"/>
      <c r="C3328" s="31" t="s">
        <v>3063</v>
      </c>
      <c r="D3328" s="32" t="s">
        <v>15</v>
      </c>
      <c r="E3328" s="31" t="s">
        <v>3612</v>
      </c>
      <c r="F3328" s="134">
        <v>46138.0</v>
      </c>
      <c r="G3328" s="59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5"/>
      <c r="C3329" s="31" t="s">
        <v>3063</v>
      </c>
      <c r="D3329" s="32" t="s">
        <v>15</v>
      </c>
      <c r="E3329" s="31" t="s">
        <v>3613</v>
      </c>
      <c r="F3329" s="134">
        <v>46138.0</v>
      </c>
      <c r="G3329" s="59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60"/>
      <c r="C3330" s="61" t="s">
        <v>3364</v>
      </c>
      <c r="D3330" s="62" t="s">
        <v>15</v>
      </c>
      <c r="E3330" s="61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47"/>
      <c r="M3330" s="50"/>
    </row>
    <row r="3331" ht="15.75" customHeight="1">
      <c r="A3331" s="162">
        <v>46140.0</v>
      </c>
      <c r="B3331" s="55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9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5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9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5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9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5"/>
      <c r="C3334" s="31" t="s">
        <v>239</v>
      </c>
      <c r="D3334" s="32" t="s">
        <v>15</v>
      </c>
      <c r="E3334" s="31" t="s">
        <v>3618</v>
      </c>
      <c r="F3334" s="134">
        <v>46138.0</v>
      </c>
      <c r="G3334" s="59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5"/>
      <c r="C3335" s="31" t="s">
        <v>239</v>
      </c>
      <c r="D3335" s="32" t="s">
        <v>15</v>
      </c>
      <c r="E3335" s="31" t="s">
        <v>3619</v>
      </c>
      <c r="F3335" s="134">
        <v>46138.0</v>
      </c>
      <c r="G3335" s="59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5"/>
      <c r="C3336" s="31" t="s">
        <v>239</v>
      </c>
      <c r="D3336" s="32" t="s">
        <v>15</v>
      </c>
      <c r="E3336" s="31" t="s">
        <v>3620</v>
      </c>
      <c r="F3336" s="134">
        <v>46138.0</v>
      </c>
      <c r="G3336" s="59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5"/>
      <c r="C3337" s="31" t="s">
        <v>239</v>
      </c>
      <c r="D3337" s="32" t="s">
        <v>15</v>
      </c>
      <c r="E3337" s="31" t="s">
        <v>3621</v>
      </c>
      <c r="F3337" s="134">
        <v>46138.0</v>
      </c>
      <c r="G3337" s="59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5"/>
      <c r="C3338" s="31" t="s">
        <v>2346</v>
      </c>
      <c r="D3338" s="32" t="s">
        <v>99</v>
      </c>
      <c r="E3338" s="32" t="s">
        <v>3622</v>
      </c>
      <c r="F3338" s="134">
        <v>46138.0</v>
      </c>
      <c r="G3338" s="59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5"/>
      <c r="C3339" s="31" t="s">
        <v>2346</v>
      </c>
      <c r="D3339" s="32" t="s">
        <v>99</v>
      </c>
      <c r="E3339" s="32" t="s">
        <v>3623</v>
      </c>
      <c r="F3339" s="134">
        <v>46138.0</v>
      </c>
      <c r="G3339" s="59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5"/>
      <c r="C3340" s="31" t="s">
        <v>2346</v>
      </c>
      <c r="D3340" s="32" t="s">
        <v>99</v>
      </c>
      <c r="E3340" s="32" t="s">
        <v>3624</v>
      </c>
      <c r="F3340" s="134">
        <v>46138.0</v>
      </c>
      <c r="G3340" s="59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5"/>
      <c r="C3341" s="31" t="s">
        <v>2346</v>
      </c>
      <c r="D3341" s="32" t="s">
        <v>99</v>
      </c>
      <c r="E3341" s="32" t="s">
        <v>3625</v>
      </c>
      <c r="F3341" s="134">
        <v>46138.0</v>
      </c>
      <c r="G3341" s="59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5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9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5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9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5"/>
      <c r="C3344" s="31" t="s">
        <v>2447</v>
      </c>
      <c r="D3344" s="32" t="s">
        <v>99</v>
      </c>
      <c r="E3344" s="32" t="s">
        <v>3629</v>
      </c>
      <c r="F3344" s="134">
        <v>46138.0</v>
      </c>
      <c r="G3344" s="59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5"/>
      <c r="C3345" s="31" t="s">
        <v>2447</v>
      </c>
      <c r="D3345" s="32" t="s">
        <v>99</v>
      </c>
      <c r="E3345" s="31" t="s">
        <v>3630</v>
      </c>
      <c r="F3345" s="134">
        <v>46138.0</v>
      </c>
      <c r="G3345" s="59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5"/>
      <c r="C3346" s="31" t="s">
        <v>2447</v>
      </c>
      <c r="D3346" s="32" t="s">
        <v>99</v>
      </c>
      <c r="E3346" s="32" t="s">
        <v>3631</v>
      </c>
      <c r="F3346" s="134">
        <v>46138.0</v>
      </c>
      <c r="G3346" s="59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5"/>
      <c r="C3347" s="31" t="s">
        <v>2447</v>
      </c>
      <c r="D3347" s="32" t="s">
        <v>99</v>
      </c>
      <c r="E3347" s="32" t="s">
        <v>3632</v>
      </c>
      <c r="F3347" s="134">
        <v>46138.0</v>
      </c>
      <c r="G3347" s="59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5"/>
      <c r="C3348" s="31" t="s">
        <v>2447</v>
      </c>
      <c r="D3348" s="32" t="s">
        <v>99</v>
      </c>
      <c r="E3348" s="32" t="s">
        <v>3633</v>
      </c>
      <c r="F3348" s="134">
        <v>46138.0</v>
      </c>
      <c r="G3348" s="59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5"/>
      <c r="C3349" s="31" t="s">
        <v>2447</v>
      </c>
      <c r="D3349" s="32" t="s">
        <v>99</v>
      </c>
      <c r="E3349" s="32" t="s">
        <v>3634</v>
      </c>
      <c r="F3349" s="134">
        <v>46138.0</v>
      </c>
      <c r="G3349" s="59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60"/>
      <c r="C3350" s="61" t="s">
        <v>2753</v>
      </c>
      <c r="D3350" s="62" t="s">
        <v>15</v>
      </c>
      <c r="E3350" s="61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47"/>
      <c r="M3350" s="50"/>
    </row>
    <row r="3351" ht="15.75" customHeight="1">
      <c r="A3351" s="162">
        <v>46142.0</v>
      </c>
      <c r="B3351" s="55"/>
      <c r="C3351" s="31" t="s">
        <v>1136</v>
      </c>
      <c r="D3351" s="32" t="s">
        <v>15</v>
      </c>
      <c r="E3351" s="31" t="s">
        <v>3636</v>
      </c>
      <c r="F3351" s="134">
        <v>46138.0</v>
      </c>
      <c r="G3351" s="59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5"/>
      <c r="C3352" s="31" t="s">
        <v>1136</v>
      </c>
      <c r="D3352" s="32" t="s">
        <v>15</v>
      </c>
      <c r="E3352" s="31" t="s">
        <v>3637</v>
      </c>
      <c r="F3352" s="134">
        <v>46138.0</v>
      </c>
      <c r="G3352" s="59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5"/>
      <c r="C3353" s="31" t="s">
        <v>1136</v>
      </c>
      <c r="D3353" s="32" t="s">
        <v>15</v>
      </c>
      <c r="E3353" s="31" t="s">
        <v>3638</v>
      </c>
      <c r="F3353" s="134">
        <v>46138.0</v>
      </c>
      <c r="G3353" s="59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5"/>
      <c r="C3354" s="31" t="s">
        <v>2613</v>
      </c>
      <c r="D3354" s="32" t="s">
        <v>15</v>
      </c>
      <c r="E3354" s="31" t="s">
        <v>3639</v>
      </c>
      <c r="F3354" s="134">
        <v>46138.0</v>
      </c>
      <c r="G3354" s="59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60"/>
      <c r="C3355" s="61" t="s">
        <v>111</v>
      </c>
      <c r="D3355" s="62" t="s">
        <v>15</v>
      </c>
      <c r="E3355" s="62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47"/>
      <c r="M3355" s="50"/>
    </row>
    <row r="3356" ht="15.75" customHeight="1">
      <c r="A3356" s="164">
        <v>46142.0</v>
      </c>
      <c r="B3356" s="60"/>
      <c r="C3356" s="61" t="s">
        <v>159</v>
      </c>
      <c r="D3356" s="62" t="s">
        <v>15</v>
      </c>
      <c r="E3356" s="62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47"/>
      <c r="M3356" s="50"/>
    </row>
    <row r="3357" ht="15.75" customHeight="1">
      <c r="A3357" s="164">
        <v>46142.0</v>
      </c>
      <c r="B3357" s="60"/>
      <c r="C3357" s="61" t="s">
        <v>111</v>
      </c>
      <c r="D3357" s="62" t="s">
        <v>15</v>
      </c>
      <c r="E3357" s="62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47"/>
      <c r="M3357" s="50"/>
    </row>
    <row r="3358" ht="15.75" customHeight="1">
      <c r="A3358" s="162">
        <v>46142.0</v>
      </c>
      <c r="B3358" s="55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47"/>
      <c r="M3358" s="50"/>
    </row>
    <row r="3359" ht="15.75" customHeight="1">
      <c r="A3359" s="164">
        <v>46142.0</v>
      </c>
      <c r="B3359" s="60"/>
      <c r="C3359" s="61" t="s">
        <v>111</v>
      </c>
      <c r="D3359" s="62" t="s">
        <v>15</v>
      </c>
      <c r="E3359" s="62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47"/>
      <c r="M3359" s="50"/>
    </row>
    <row r="3360" ht="15.75" customHeight="1">
      <c r="A3360" s="164">
        <v>46142.0</v>
      </c>
      <c r="B3360" s="60"/>
      <c r="C3360" s="61" t="s">
        <v>111</v>
      </c>
      <c r="D3360" s="62" t="s">
        <v>15</v>
      </c>
      <c r="E3360" s="62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47"/>
      <c r="M3360" s="50"/>
    </row>
    <row r="3361" ht="15.75" customHeight="1">
      <c r="A3361" s="162">
        <v>46142.0</v>
      </c>
      <c r="B3361" s="55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60"/>
      <c r="C3362" s="61" t="s">
        <v>111</v>
      </c>
      <c r="D3362" s="62" t="s">
        <v>15</v>
      </c>
      <c r="E3362" s="62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47"/>
      <c r="M3362" s="50"/>
    </row>
    <row r="3363" ht="15.75" customHeight="1">
      <c r="A3363" s="162">
        <v>46142.0</v>
      </c>
      <c r="B3363" s="55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5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60"/>
      <c r="C3365" s="61" t="s">
        <v>111</v>
      </c>
      <c r="D3365" s="62" t="s">
        <v>15</v>
      </c>
      <c r="E3365" s="62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47"/>
      <c r="M3365" s="50"/>
    </row>
    <row r="3366" ht="15.75" customHeight="1">
      <c r="A3366" s="162">
        <v>46142.0</v>
      </c>
      <c r="B3366" s="55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5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5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5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9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5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9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5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9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5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9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5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9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5"/>
      <c r="C3374" s="31" t="s">
        <v>2318</v>
      </c>
      <c r="D3374" s="32" t="s">
        <v>77</v>
      </c>
      <c r="E3374" s="31" t="s">
        <v>3657</v>
      </c>
      <c r="F3374" s="139">
        <v>46138.0</v>
      </c>
      <c r="G3374" s="59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5"/>
      <c r="C3375" s="31" t="s">
        <v>2318</v>
      </c>
      <c r="D3375" s="32" t="s">
        <v>77</v>
      </c>
      <c r="E3375" s="31" t="s">
        <v>3658</v>
      </c>
      <c r="F3375" s="139">
        <v>46138.0</v>
      </c>
      <c r="G3375" s="59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5"/>
      <c r="C3376" s="31" t="s">
        <v>2318</v>
      </c>
      <c r="D3376" s="32" t="s">
        <v>77</v>
      </c>
      <c r="E3376" s="31" t="s">
        <v>3659</v>
      </c>
      <c r="F3376" s="139">
        <v>46138.0</v>
      </c>
      <c r="G3376" s="59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5"/>
      <c r="C3377" s="31" t="s">
        <v>2318</v>
      </c>
      <c r="D3377" s="32" t="s">
        <v>77</v>
      </c>
      <c r="E3377" s="31" t="s">
        <v>3660</v>
      </c>
      <c r="F3377" s="139">
        <v>46138.0</v>
      </c>
      <c r="G3377" s="59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5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9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5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9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5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5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5"/>
      <c r="C3382" s="31" t="s">
        <v>1842</v>
      </c>
      <c r="D3382" s="32" t="s">
        <v>15</v>
      </c>
      <c r="E3382" s="31" t="s">
        <v>3665</v>
      </c>
      <c r="F3382" s="139">
        <v>46168.0</v>
      </c>
      <c r="G3382" s="59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5"/>
      <c r="C3383" s="31" t="s">
        <v>1842</v>
      </c>
      <c r="D3383" s="32" t="s">
        <v>15</v>
      </c>
      <c r="E3383" s="31" t="s">
        <v>3666</v>
      </c>
      <c r="F3383" s="139">
        <v>46168.0</v>
      </c>
      <c r="G3383" s="59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5"/>
      <c r="C3384" s="31" t="s">
        <v>1842</v>
      </c>
      <c r="D3384" s="32" t="s">
        <v>99</v>
      </c>
      <c r="E3384" s="31" t="s">
        <v>3667</v>
      </c>
      <c r="F3384" s="139">
        <v>46168.0</v>
      </c>
      <c r="G3384" s="59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5"/>
      <c r="C3385" s="31" t="s">
        <v>171</v>
      </c>
      <c r="D3385" s="32" t="s">
        <v>99</v>
      </c>
      <c r="E3385" s="31" t="s">
        <v>3668</v>
      </c>
      <c r="F3385" s="139">
        <v>46168.0</v>
      </c>
      <c r="G3385" s="59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5"/>
      <c r="C3386" s="31" t="s">
        <v>171</v>
      </c>
      <c r="D3386" s="32" t="s">
        <v>99</v>
      </c>
      <c r="E3386" s="31" t="s">
        <v>3669</v>
      </c>
      <c r="F3386" s="139">
        <v>46168.0</v>
      </c>
      <c r="G3386" s="59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5"/>
      <c r="C3387" s="31" t="s">
        <v>171</v>
      </c>
      <c r="D3387" s="32" t="s">
        <v>99</v>
      </c>
      <c r="E3387" s="31" t="s">
        <v>3670</v>
      </c>
      <c r="F3387" s="139">
        <v>46168.0</v>
      </c>
      <c r="G3387" s="59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5"/>
      <c r="C3388" s="31" t="s">
        <v>171</v>
      </c>
      <c r="D3388" s="32" t="s">
        <v>99</v>
      </c>
      <c r="E3388" s="31" t="s">
        <v>3671</v>
      </c>
      <c r="F3388" s="139">
        <v>46168.0</v>
      </c>
      <c r="G3388" s="59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5"/>
      <c r="C3389" s="31" t="s">
        <v>1854</v>
      </c>
      <c r="D3389" s="32" t="s">
        <v>99</v>
      </c>
      <c r="E3389" s="31" t="s">
        <v>3672</v>
      </c>
      <c r="F3389" s="139">
        <v>46168.0</v>
      </c>
      <c r="G3389" s="59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5"/>
      <c r="C3390" s="31" t="s">
        <v>1854</v>
      </c>
      <c r="D3390" s="32" t="s">
        <v>99</v>
      </c>
      <c r="E3390" s="31" t="s">
        <v>3673</v>
      </c>
      <c r="F3390" s="139">
        <v>46168.0</v>
      </c>
      <c r="G3390" s="59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5"/>
      <c r="C3391" s="31" t="s">
        <v>1854</v>
      </c>
      <c r="D3391" s="32" t="s">
        <v>99</v>
      </c>
      <c r="E3391" s="31" t="s">
        <v>3674</v>
      </c>
      <c r="F3391" s="139">
        <v>46168.0</v>
      </c>
      <c r="G3391" s="59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5"/>
      <c r="C3392" s="31" t="s">
        <v>1854</v>
      </c>
      <c r="D3392" s="32" t="s">
        <v>99</v>
      </c>
      <c r="E3392" s="31" t="s">
        <v>3675</v>
      </c>
      <c r="F3392" s="139">
        <v>46168.0</v>
      </c>
      <c r="G3392" s="59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5"/>
      <c r="C3393" s="31" t="s">
        <v>1854</v>
      </c>
      <c r="D3393" s="32" t="s">
        <v>15</v>
      </c>
      <c r="E3393" s="31" t="s">
        <v>3676</v>
      </c>
      <c r="F3393" s="139">
        <v>46168.0</v>
      </c>
      <c r="G3393" s="59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5"/>
      <c r="C3394" s="31" t="s">
        <v>1854</v>
      </c>
      <c r="D3394" s="32" t="s">
        <v>15</v>
      </c>
      <c r="E3394" s="31" t="s">
        <v>3677</v>
      </c>
      <c r="F3394" s="139">
        <v>46168.0</v>
      </c>
      <c r="G3394" s="59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5"/>
      <c r="C3395" s="31" t="s">
        <v>1854</v>
      </c>
      <c r="D3395" s="32" t="s">
        <v>15</v>
      </c>
      <c r="E3395" s="31" t="s">
        <v>3678</v>
      </c>
      <c r="F3395" s="139">
        <v>46168.0</v>
      </c>
      <c r="G3395" s="59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5"/>
      <c r="C3396" s="31" t="s">
        <v>1854</v>
      </c>
      <c r="D3396" s="32" t="s">
        <v>15</v>
      </c>
      <c r="E3396" s="31" t="s">
        <v>3679</v>
      </c>
      <c r="F3396" s="139">
        <v>46168.0</v>
      </c>
      <c r="G3396" s="59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5"/>
      <c r="C3397" s="31" t="s">
        <v>1854</v>
      </c>
      <c r="D3397" s="32" t="s">
        <v>15</v>
      </c>
      <c r="E3397" s="31" t="s">
        <v>3680</v>
      </c>
      <c r="F3397" s="139">
        <v>46168.0</v>
      </c>
      <c r="G3397" s="59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5"/>
      <c r="C3398" s="31" t="s">
        <v>1854</v>
      </c>
      <c r="D3398" s="32" t="s">
        <v>15</v>
      </c>
      <c r="E3398" s="31" t="s">
        <v>3681</v>
      </c>
      <c r="F3398" s="139">
        <v>46168.0</v>
      </c>
      <c r="G3398" s="59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5"/>
      <c r="C3399" s="31" t="s">
        <v>1854</v>
      </c>
      <c r="D3399" s="32" t="s">
        <v>15</v>
      </c>
      <c r="E3399" s="31" t="s">
        <v>3682</v>
      </c>
      <c r="F3399" s="139">
        <v>46168.0</v>
      </c>
      <c r="G3399" s="59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5"/>
      <c r="C3400" s="31" t="s">
        <v>1854</v>
      </c>
      <c r="D3400" s="32" t="s">
        <v>15</v>
      </c>
      <c r="E3400" s="31" t="s">
        <v>3683</v>
      </c>
      <c r="F3400" s="139">
        <v>46168.0</v>
      </c>
      <c r="G3400" s="59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5"/>
      <c r="C3401" s="31" t="s">
        <v>1854</v>
      </c>
      <c r="D3401" s="32" t="s">
        <v>15</v>
      </c>
      <c r="E3401" s="31" t="s">
        <v>3684</v>
      </c>
      <c r="F3401" s="139">
        <v>46168.0</v>
      </c>
      <c r="G3401" s="59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5"/>
      <c r="C3402" s="31" t="s">
        <v>1854</v>
      </c>
      <c r="D3402" s="32" t="s">
        <v>15</v>
      </c>
      <c r="E3402" s="31" t="s">
        <v>3685</v>
      </c>
      <c r="F3402" s="139">
        <v>46168.0</v>
      </c>
      <c r="G3402" s="59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5"/>
      <c r="C3403" s="31" t="s">
        <v>1854</v>
      </c>
      <c r="D3403" s="32" t="s">
        <v>15</v>
      </c>
      <c r="E3403" s="31" t="s">
        <v>3686</v>
      </c>
      <c r="F3403" s="139">
        <v>46168.0</v>
      </c>
      <c r="G3403" s="59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5"/>
      <c r="C3404" s="31" t="s">
        <v>1854</v>
      </c>
      <c r="D3404" s="32" t="s">
        <v>15</v>
      </c>
      <c r="E3404" s="31" t="s">
        <v>3687</v>
      </c>
      <c r="F3404" s="139">
        <v>46168.0</v>
      </c>
      <c r="G3404" s="59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5"/>
      <c r="C3405" s="31" t="s">
        <v>1854</v>
      </c>
      <c r="D3405" s="32" t="s">
        <v>15</v>
      </c>
      <c r="E3405" s="31" t="s">
        <v>3688</v>
      </c>
      <c r="F3405" s="139">
        <v>46168.0</v>
      </c>
      <c r="G3405" s="59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50"/>
    </row>
    <row r="3406" ht="15.75" customHeight="1">
      <c r="A3406" s="162">
        <v>46147.0</v>
      </c>
      <c r="B3406" s="55"/>
      <c r="C3406" s="31" t="s">
        <v>1858</v>
      </c>
      <c r="D3406" s="32" t="s">
        <v>15</v>
      </c>
      <c r="E3406" s="31" t="s">
        <v>3689</v>
      </c>
      <c r="F3406" s="139">
        <v>46168.0</v>
      </c>
      <c r="G3406" s="59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5"/>
      <c r="C3407" s="31" t="s">
        <v>1858</v>
      </c>
      <c r="D3407" s="32" t="s">
        <v>15</v>
      </c>
      <c r="E3407" s="31" t="s">
        <v>3690</v>
      </c>
      <c r="F3407" s="139">
        <v>46168.0</v>
      </c>
      <c r="G3407" s="59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5"/>
      <c r="C3408" s="31" t="s">
        <v>1858</v>
      </c>
      <c r="D3408" s="32" t="s">
        <v>15</v>
      </c>
      <c r="E3408" s="31" t="s">
        <v>3691</v>
      </c>
      <c r="F3408" s="139">
        <v>46168.0</v>
      </c>
      <c r="G3408" s="59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47"/>
      <c r="M3408" s="50"/>
    </row>
    <row r="3409" ht="15.75" customHeight="1">
      <c r="A3409" s="162">
        <v>46147.0</v>
      </c>
      <c r="B3409" s="55"/>
      <c r="C3409" s="31" t="s">
        <v>1858</v>
      </c>
      <c r="D3409" s="32" t="s">
        <v>15</v>
      </c>
      <c r="E3409" s="31" t="s">
        <v>3692</v>
      </c>
      <c r="F3409" s="139">
        <v>46168.0</v>
      </c>
      <c r="G3409" s="59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47"/>
      <c r="M3409" s="50"/>
    </row>
    <row r="3410" ht="15.75" customHeight="1">
      <c r="A3410" s="162">
        <v>46147.0</v>
      </c>
      <c r="B3410" s="55"/>
      <c r="C3410" s="31" t="s">
        <v>1861</v>
      </c>
      <c r="D3410" s="32" t="s">
        <v>99</v>
      </c>
      <c r="E3410" s="31" t="s">
        <v>3693</v>
      </c>
      <c r="F3410" s="139">
        <v>46168.0</v>
      </c>
      <c r="G3410" s="59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5"/>
      <c r="C3411" s="31" t="s">
        <v>1861</v>
      </c>
      <c r="D3411" s="32" t="s">
        <v>99</v>
      </c>
      <c r="E3411" s="31" t="s">
        <v>3694</v>
      </c>
      <c r="F3411" s="139">
        <v>46168.0</v>
      </c>
      <c r="G3411" s="59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47"/>
      <c r="M3411" s="50"/>
    </row>
    <row r="3412" ht="15.75" customHeight="1">
      <c r="A3412" s="162">
        <v>46147.0</v>
      </c>
      <c r="B3412" s="55"/>
      <c r="C3412" s="31" t="s">
        <v>1861</v>
      </c>
      <c r="D3412" s="32" t="s">
        <v>99</v>
      </c>
      <c r="E3412" s="31" t="s">
        <v>3695</v>
      </c>
      <c r="F3412" s="139">
        <v>46168.0</v>
      </c>
      <c r="G3412" s="59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5"/>
      <c r="C3413" s="31" t="s">
        <v>211</v>
      </c>
      <c r="D3413" s="32" t="s">
        <v>99</v>
      </c>
      <c r="E3413" s="31" t="s">
        <v>3696</v>
      </c>
      <c r="F3413" s="139">
        <v>46168.0</v>
      </c>
      <c r="G3413" s="59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5"/>
      <c r="C3414" s="31" t="s">
        <v>211</v>
      </c>
      <c r="D3414" s="32" t="s">
        <v>99</v>
      </c>
      <c r="E3414" s="31" t="s">
        <v>3697</v>
      </c>
      <c r="F3414" s="139">
        <v>46168.0</v>
      </c>
      <c r="G3414" s="59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60"/>
      <c r="C3415" s="61" t="s">
        <v>2318</v>
      </c>
      <c r="D3415" s="61" t="s">
        <v>3626</v>
      </c>
      <c r="E3415" s="62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47"/>
      <c r="M3415" s="50"/>
    </row>
    <row r="3416" ht="15.75" customHeight="1">
      <c r="A3416" s="162">
        <v>46148.0</v>
      </c>
      <c r="B3416" s="55"/>
      <c r="C3416" s="31" t="s">
        <v>1112</v>
      </c>
      <c r="D3416" s="32" t="s">
        <v>99</v>
      </c>
      <c r="E3416" s="32" t="s">
        <v>3699</v>
      </c>
      <c r="F3416" s="139">
        <v>46168.0</v>
      </c>
      <c r="G3416" s="59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5"/>
      <c r="C3417" s="31" t="s">
        <v>1112</v>
      </c>
      <c r="D3417" s="32" t="s">
        <v>99</v>
      </c>
      <c r="E3417" s="32" t="s">
        <v>3700</v>
      </c>
      <c r="F3417" s="139">
        <v>46168.0</v>
      </c>
      <c r="G3417" s="59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5"/>
      <c r="C3418" s="31" t="s">
        <v>1112</v>
      </c>
      <c r="D3418" s="32" t="s">
        <v>99</v>
      </c>
      <c r="E3418" s="32" t="s">
        <v>3701</v>
      </c>
      <c r="F3418" s="139">
        <v>46168.0</v>
      </c>
      <c r="G3418" s="59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60"/>
      <c r="C3419" s="61" t="s">
        <v>2126</v>
      </c>
      <c r="D3419" s="61" t="s">
        <v>2834</v>
      </c>
      <c r="E3419" s="62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47"/>
      <c r="M3419" s="50"/>
    </row>
    <row r="3420" ht="15.75" customHeight="1">
      <c r="A3420" s="217">
        <v>46149.0</v>
      </c>
      <c r="B3420" s="60"/>
      <c r="C3420" s="61" t="s">
        <v>2126</v>
      </c>
      <c r="D3420" s="61" t="s">
        <v>2834</v>
      </c>
      <c r="E3420" s="62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47"/>
      <c r="M3420" s="50"/>
    </row>
    <row r="3421" ht="15.75" customHeight="1">
      <c r="A3421" s="217">
        <v>46149.0</v>
      </c>
      <c r="B3421" s="60"/>
      <c r="C3421" s="61" t="s">
        <v>2126</v>
      </c>
      <c r="D3421" s="61" t="s">
        <v>2834</v>
      </c>
      <c r="E3421" s="62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47"/>
      <c r="M3421" s="50"/>
    </row>
    <row r="3422" ht="15.75" customHeight="1">
      <c r="A3422" s="217">
        <v>46149.0</v>
      </c>
      <c r="B3422" s="60"/>
      <c r="C3422" s="61" t="s">
        <v>2126</v>
      </c>
      <c r="D3422" s="61" t="s">
        <v>2834</v>
      </c>
      <c r="E3422" s="62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47"/>
      <c r="M3422" s="50"/>
    </row>
    <row r="3423" ht="15.75" customHeight="1">
      <c r="A3423" s="162">
        <v>46149.0</v>
      </c>
      <c r="B3423" s="55"/>
      <c r="C3423" s="31" t="s">
        <v>2221</v>
      </c>
      <c r="D3423" s="32" t="s">
        <v>99</v>
      </c>
      <c r="E3423" s="31" t="s">
        <v>3706</v>
      </c>
      <c r="F3423" s="139">
        <v>46168.0</v>
      </c>
      <c r="G3423" s="59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5"/>
      <c r="C3424" s="31" t="s">
        <v>2221</v>
      </c>
      <c r="D3424" s="32" t="s">
        <v>99</v>
      </c>
      <c r="E3424" s="31" t="s">
        <v>3707</v>
      </c>
      <c r="F3424" s="139">
        <v>46168.0</v>
      </c>
      <c r="G3424" s="59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5"/>
      <c r="C3425" s="31" t="s">
        <v>2221</v>
      </c>
      <c r="D3425" s="32" t="s">
        <v>99</v>
      </c>
      <c r="E3425" s="31" t="s">
        <v>3708</v>
      </c>
      <c r="F3425" s="139">
        <v>46168.0</v>
      </c>
      <c r="G3425" s="59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5"/>
      <c r="C3426" s="31" t="s">
        <v>2221</v>
      </c>
      <c r="D3426" s="32" t="s">
        <v>99</v>
      </c>
      <c r="E3426" s="31" t="s">
        <v>3709</v>
      </c>
      <c r="F3426" s="139">
        <v>46168.0</v>
      </c>
      <c r="G3426" s="59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5"/>
      <c r="C3427" s="31" t="s">
        <v>567</v>
      </c>
      <c r="D3427" s="32" t="s">
        <v>99</v>
      </c>
      <c r="E3427" s="31" t="s">
        <v>3710</v>
      </c>
      <c r="F3427" s="139">
        <v>46168.0</v>
      </c>
      <c r="G3427" s="59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5"/>
      <c r="C3428" s="31" t="s">
        <v>567</v>
      </c>
      <c r="D3428" s="32" t="s">
        <v>99</v>
      </c>
      <c r="E3428" s="31" t="s">
        <v>3711</v>
      </c>
      <c r="F3428" s="139">
        <v>46168.0</v>
      </c>
      <c r="G3428" s="59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5"/>
      <c r="C3429" s="31" t="s">
        <v>491</v>
      </c>
      <c r="D3429" s="32" t="s">
        <v>15</v>
      </c>
      <c r="E3429" s="31" t="s">
        <v>3712</v>
      </c>
      <c r="F3429" s="139">
        <v>46168.0</v>
      </c>
      <c r="G3429" s="59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5"/>
      <c r="C3430" s="31" t="s">
        <v>491</v>
      </c>
      <c r="D3430" s="32" t="s">
        <v>15</v>
      </c>
      <c r="E3430" s="31" t="s">
        <v>3713</v>
      </c>
      <c r="F3430" s="139">
        <v>46168.0</v>
      </c>
      <c r="G3430" s="59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5"/>
      <c r="C3431" s="31" t="s">
        <v>491</v>
      </c>
      <c r="D3431" s="32" t="s">
        <v>15</v>
      </c>
      <c r="E3431" s="31" t="s">
        <v>3714</v>
      </c>
      <c r="F3431" s="139">
        <v>46168.0</v>
      </c>
      <c r="G3431" s="59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5"/>
      <c r="C3432" s="31" t="s">
        <v>491</v>
      </c>
      <c r="D3432" s="32" t="s">
        <v>15</v>
      </c>
      <c r="E3432" s="31" t="s">
        <v>3715</v>
      </c>
      <c r="F3432" s="139">
        <v>46168.0</v>
      </c>
      <c r="G3432" s="59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5"/>
      <c r="C3433" s="31" t="s">
        <v>491</v>
      </c>
      <c r="D3433" s="32" t="s">
        <v>15</v>
      </c>
      <c r="E3433" s="31" t="s">
        <v>3716</v>
      </c>
      <c r="F3433" s="139">
        <v>46168.0</v>
      </c>
      <c r="G3433" s="59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5"/>
      <c r="C3434" s="31" t="s">
        <v>567</v>
      </c>
      <c r="D3434" s="32" t="s">
        <v>15</v>
      </c>
      <c r="E3434" s="31" t="s">
        <v>3717</v>
      </c>
      <c r="F3434" s="139">
        <v>46168.0</v>
      </c>
      <c r="G3434" s="59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5"/>
      <c r="C3435" s="31" t="s">
        <v>567</v>
      </c>
      <c r="D3435" s="32" t="s">
        <v>15</v>
      </c>
      <c r="E3435" s="31" t="s">
        <v>3718</v>
      </c>
      <c r="F3435" s="139">
        <v>46168.0</v>
      </c>
      <c r="G3435" s="59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5"/>
      <c r="C3436" s="31" t="s">
        <v>1112</v>
      </c>
      <c r="D3436" s="32" t="s">
        <v>15</v>
      </c>
      <c r="E3436" s="31" t="s">
        <v>3719</v>
      </c>
      <c r="F3436" s="139">
        <v>46168.0</v>
      </c>
      <c r="G3436" s="59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5"/>
      <c r="C3437" s="31" t="s">
        <v>1112</v>
      </c>
      <c r="D3437" s="32" t="s">
        <v>15</v>
      </c>
      <c r="E3437" s="31" t="s">
        <v>3720</v>
      </c>
      <c r="F3437" s="139">
        <v>46168.0</v>
      </c>
      <c r="G3437" s="59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5"/>
      <c r="C3438" s="31" t="s">
        <v>1112</v>
      </c>
      <c r="D3438" s="32" t="s">
        <v>15</v>
      </c>
      <c r="E3438" s="31" t="s">
        <v>3721</v>
      </c>
      <c r="F3438" s="139">
        <v>46168.0</v>
      </c>
      <c r="G3438" s="59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5"/>
      <c r="C3439" s="31" t="s">
        <v>1183</v>
      </c>
      <c r="D3439" s="32" t="s">
        <v>15</v>
      </c>
      <c r="E3439" s="31" t="s">
        <v>3722</v>
      </c>
      <c r="F3439" s="139">
        <v>46168.0</v>
      </c>
      <c r="G3439" s="59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5"/>
      <c r="C3440" s="31" t="s">
        <v>1183</v>
      </c>
      <c r="D3440" s="32" t="s">
        <v>15</v>
      </c>
      <c r="E3440" s="31" t="s">
        <v>3723</v>
      </c>
      <c r="F3440" s="139">
        <v>46168.0</v>
      </c>
      <c r="G3440" s="59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5"/>
      <c r="C3441" s="31" t="s">
        <v>1183</v>
      </c>
      <c r="D3441" s="32" t="s">
        <v>15</v>
      </c>
      <c r="E3441" s="31" t="s">
        <v>3724</v>
      </c>
      <c r="F3441" s="139">
        <v>46168.0</v>
      </c>
      <c r="G3441" s="59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5"/>
      <c r="C3442" s="31" t="s">
        <v>1183</v>
      </c>
      <c r="D3442" s="32" t="s">
        <v>15</v>
      </c>
      <c r="E3442" s="31" t="s">
        <v>3725</v>
      </c>
      <c r="F3442" s="139">
        <v>46168.0</v>
      </c>
      <c r="G3442" s="59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5"/>
      <c r="C3443" s="32" t="s">
        <v>2318</v>
      </c>
      <c r="D3443" s="32" t="s">
        <v>3626</v>
      </c>
      <c r="E3443" s="32">
        <v>464.0</v>
      </c>
      <c r="F3443" s="161">
        <v>46138.0</v>
      </c>
      <c r="G3443" s="59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5"/>
      <c r="C3444" s="31" t="s">
        <v>1136</v>
      </c>
      <c r="D3444" s="32" t="s">
        <v>15</v>
      </c>
      <c r="E3444" s="31" t="s">
        <v>3726</v>
      </c>
      <c r="F3444" s="139">
        <v>46168.0</v>
      </c>
      <c r="G3444" s="59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5"/>
      <c r="C3445" s="31" t="s">
        <v>1136</v>
      </c>
      <c r="D3445" s="32" t="s">
        <v>15</v>
      </c>
      <c r="E3445" s="31" t="s">
        <v>3727</v>
      </c>
      <c r="F3445" s="139">
        <v>46168.0</v>
      </c>
      <c r="G3445" s="59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5"/>
      <c r="C3446" s="31" t="s">
        <v>1136</v>
      </c>
      <c r="D3446" s="32" t="s">
        <v>15</v>
      </c>
      <c r="E3446" s="31" t="s">
        <v>3728</v>
      </c>
      <c r="F3446" s="139">
        <v>46168.0</v>
      </c>
      <c r="G3446" s="59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5"/>
      <c r="C3447" s="31" t="s">
        <v>1136</v>
      </c>
      <c r="D3447" s="32" t="s">
        <v>99</v>
      </c>
      <c r="E3447" s="31" t="s">
        <v>3729</v>
      </c>
      <c r="F3447" s="139">
        <v>46168.0</v>
      </c>
      <c r="G3447" s="59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5"/>
      <c r="C3448" s="31" t="s">
        <v>1136</v>
      </c>
      <c r="D3448" s="32" t="s">
        <v>99</v>
      </c>
      <c r="E3448" s="31" t="s">
        <v>3730</v>
      </c>
      <c r="F3448" s="139">
        <v>46168.0</v>
      </c>
      <c r="G3448" s="59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5"/>
      <c r="C3449" s="31" t="s">
        <v>1136</v>
      </c>
      <c r="D3449" s="32" t="s">
        <v>99</v>
      </c>
      <c r="E3449" s="31" t="s">
        <v>3731</v>
      </c>
      <c r="F3449" s="139">
        <v>46168.0</v>
      </c>
      <c r="G3449" s="59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5"/>
      <c r="C3450" s="31" t="s">
        <v>1136</v>
      </c>
      <c r="D3450" s="32" t="s">
        <v>99</v>
      </c>
      <c r="E3450" s="32" t="s">
        <v>3732</v>
      </c>
      <c r="F3450" s="139">
        <v>46168.0</v>
      </c>
      <c r="G3450" s="59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5"/>
      <c r="C3451" s="31" t="s">
        <v>611</v>
      </c>
      <c r="D3451" s="32" t="s">
        <v>99</v>
      </c>
      <c r="E3451" s="31" t="s">
        <v>3733</v>
      </c>
      <c r="F3451" s="139">
        <v>46168.0</v>
      </c>
      <c r="G3451" s="59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5"/>
      <c r="C3452" s="31" t="s">
        <v>611</v>
      </c>
      <c r="D3452" s="32" t="s">
        <v>99</v>
      </c>
      <c r="E3452" s="31" t="s">
        <v>3734</v>
      </c>
      <c r="F3452" s="139">
        <v>46168.0</v>
      </c>
      <c r="G3452" s="59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5"/>
      <c r="C3453" s="31" t="s">
        <v>611</v>
      </c>
      <c r="D3453" s="32" t="s">
        <v>99</v>
      </c>
      <c r="E3453" s="31" t="s">
        <v>3735</v>
      </c>
      <c r="F3453" s="139">
        <v>46168.0</v>
      </c>
      <c r="G3453" s="59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5"/>
      <c r="C3454" s="31" t="s">
        <v>611</v>
      </c>
      <c r="D3454" s="32" t="s">
        <v>99</v>
      </c>
      <c r="E3454" s="31" t="s">
        <v>3736</v>
      </c>
      <c r="F3454" s="139">
        <v>46168.0</v>
      </c>
      <c r="G3454" s="59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5"/>
      <c r="C3455" s="31" t="s">
        <v>611</v>
      </c>
      <c r="D3455" s="32" t="s">
        <v>99</v>
      </c>
      <c r="E3455" s="31" t="s">
        <v>3737</v>
      </c>
      <c r="F3455" s="139">
        <v>46168.0</v>
      </c>
      <c r="G3455" s="59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5"/>
      <c r="C3456" s="31" t="s">
        <v>611</v>
      </c>
      <c r="D3456" s="32" t="s">
        <v>99</v>
      </c>
      <c r="E3456" s="31" t="s">
        <v>3738</v>
      </c>
      <c r="F3456" s="139">
        <v>46168.0</v>
      </c>
      <c r="G3456" s="59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5"/>
      <c r="C3457" s="31" t="s">
        <v>2221</v>
      </c>
      <c r="D3457" s="32" t="s">
        <v>99</v>
      </c>
      <c r="E3457" s="31" t="s">
        <v>3739</v>
      </c>
      <c r="F3457" s="139">
        <v>46168.0</v>
      </c>
      <c r="G3457" s="59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5"/>
      <c r="C3458" s="31" t="s">
        <v>2221</v>
      </c>
      <c r="D3458" s="32" t="s">
        <v>99</v>
      </c>
      <c r="E3458" s="31" t="s">
        <v>3740</v>
      </c>
      <c r="F3458" s="139">
        <v>46168.0</v>
      </c>
      <c r="G3458" s="59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5"/>
      <c r="C3459" s="31" t="s">
        <v>171</v>
      </c>
      <c r="D3459" s="32" t="s">
        <v>15</v>
      </c>
      <c r="E3459" s="31" t="s">
        <v>3741</v>
      </c>
      <c r="F3459" s="139">
        <v>46168.0</v>
      </c>
      <c r="G3459" s="59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5"/>
      <c r="C3460" s="31" t="s">
        <v>171</v>
      </c>
      <c r="D3460" s="32" t="s">
        <v>15</v>
      </c>
      <c r="E3460" s="31" t="s">
        <v>3742</v>
      </c>
      <c r="F3460" s="139">
        <v>46168.0</v>
      </c>
      <c r="G3460" s="59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5"/>
      <c r="C3461" s="31" t="s">
        <v>171</v>
      </c>
      <c r="D3461" s="32" t="s">
        <v>15</v>
      </c>
      <c r="E3461" s="31" t="s">
        <v>3743</v>
      </c>
      <c r="F3461" s="139">
        <v>46168.0</v>
      </c>
      <c r="G3461" s="59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5"/>
      <c r="C3462" s="31" t="s">
        <v>171</v>
      </c>
      <c r="D3462" s="32" t="s">
        <v>15</v>
      </c>
      <c r="E3462" s="31" t="s">
        <v>3744</v>
      </c>
      <c r="F3462" s="139">
        <v>46168.0</v>
      </c>
      <c r="G3462" s="59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5"/>
      <c r="C3463" s="31" t="s">
        <v>2221</v>
      </c>
      <c r="D3463" s="32" t="s">
        <v>99</v>
      </c>
      <c r="E3463" s="31" t="s">
        <v>3745</v>
      </c>
      <c r="F3463" s="139">
        <v>46168.0</v>
      </c>
      <c r="G3463" s="59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60"/>
      <c r="C3464" s="61" t="s">
        <v>2221</v>
      </c>
      <c r="D3464" s="62" t="s">
        <v>99</v>
      </c>
      <c r="E3464" s="61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47"/>
      <c r="M3464" s="50"/>
    </row>
    <row r="3465" ht="15.75" customHeight="1">
      <c r="A3465" s="162">
        <v>46157.0</v>
      </c>
      <c r="B3465" s="55"/>
      <c r="C3465" s="31" t="s">
        <v>973</v>
      </c>
      <c r="D3465" s="32" t="s">
        <v>99</v>
      </c>
      <c r="E3465" s="32" t="s">
        <v>3747</v>
      </c>
      <c r="F3465" s="139">
        <v>46168.0</v>
      </c>
      <c r="G3465" s="59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5"/>
      <c r="C3466" s="31" t="s">
        <v>973</v>
      </c>
      <c r="D3466" s="32" t="s">
        <v>99</v>
      </c>
      <c r="E3466" s="32" t="s">
        <v>3748</v>
      </c>
      <c r="F3466" s="139">
        <v>46168.0</v>
      </c>
      <c r="G3466" s="59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5"/>
      <c r="C3467" s="31" t="s">
        <v>973</v>
      </c>
      <c r="D3467" s="32" t="s">
        <v>99</v>
      </c>
      <c r="E3467" s="32" t="s">
        <v>3749</v>
      </c>
      <c r="F3467" s="139">
        <v>46168.0</v>
      </c>
      <c r="G3467" s="59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5"/>
      <c r="C3468" s="31" t="s">
        <v>973</v>
      </c>
      <c r="D3468" s="32" t="s">
        <v>99</v>
      </c>
      <c r="E3468" s="32" t="s">
        <v>3750</v>
      </c>
      <c r="F3468" s="139">
        <v>46168.0</v>
      </c>
      <c r="G3468" s="59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5"/>
      <c r="C3469" s="31" t="s">
        <v>973</v>
      </c>
      <c r="D3469" s="32" t="s">
        <v>99</v>
      </c>
      <c r="E3469" s="32" t="s">
        <v>3751</v>
      </c>
      <c r="F3469" s="139">
        <v>46168.0</v>
      </c>
      <c r="G3469" s="59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5"/>
      <c r="C3470" s="31" t="s">
        <v>973</v>
      </c>
      <c r="D3470" s="32" t="s">
        <v>99</v>
      </c>
      <c r="E3470" s="32" t="s">
        <v>3752</v>
      </c>
      <c r="F3470" s="139">
        <v>46168.0</v>
      </c>
      <c r="G3470" s="59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5"/>
      <c r="C3471" s="31" t="s">
        <v>973</v>
      </c>
      <c r="D3471" s="32" t="s">
        <v>99</v>
      </c>
      <c r="E3471" s="32" t="s">
        <v>3753</v>
      </c>
      <c r="F3471" s="139">
        <v>46168.0</v>
      </c>
      <c r="G3471" s="59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5"/>
      <c r="C3472" s="31" t="s">
        <v>973</v>
      </c>
      <c r="D3472" s="32" t="s">
        <v>99</v>
      </c>
      <c r="E3472" s="32" t="s">
        <v>3754</v>
      </c>
      <c r="F3472" s="139">
        <v>46168.0</v>
      </c>
      <c r="G3472" s="59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5"/>
      <c r="C3473" s="31" t="s">
        <v>2334</v>
      </c>
      <c r="D3473" s="32" t="s">
        <v>99</v>
      </c>
      <c r="E3473" s="31" t="s">
        <v>3755</v>
      </c>
      <c r="F3473" s="139">
        <v>46168.0</v>
      </c>
      <c r="G3473" s="59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5"/>
      <c r="C3474" s="31" t="s">
        <v>2334</v>
      </c>
      <c r="D3474" s="32" t="s">
        <v>99</v>
      </c>
      <c r="E3474" s="31" t="s">
        <v>3756</v>
      </c>
      <c r="F3474" s="139">
        <v>46168.0</v>
      </c>
      <c r="G3474" s="59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5"/>
      <c r="C3475" s="31" t="s">
        <v>2334</v>
      </c>
      <c r="D3475" s="32" t="s">
        <v>99</v>
      </c>
      <c r="E3475" s="31" t="s">
        <v>3757</v>
      </c>
      <c r="F3475" s="139">
        <v>46168.0</v>
      </c>
      <c r="G3475" s="59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5"/>
      <c r="C3476" s="31" t="s">
        <v>2334</v>
      </c>
      <c r="D3476" s="32" t="s">
        <v>99</v>
      </c>
      <c r="E3476" s="31" t="s">
        <v>3758</v>
      </c>
      <c r="F3476" s="139">
        <v>46168.0</v>
      </c>
      <c r="G3476" s="59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5"/>
      <c r="C3477" s="31" t="s">
        <v>1285</v>
      </c>
      <c r="D3477" s="32" t="s">
        <v>99</v>
      </c>
      <c r="E3477" s="31" t="s">
        <v>3759</v>
      </c>
      <c r="F3477" s="139">
        <v>46168.0</v>
      </c>
      <c r="G3477" s="59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5"/>
      <c r="C3478" s="32" t="s">
        <v>3760</v>
      </c>
      <c r="D3478" s="32" t="s">
        <v>99</v>
      </c>
      <c r="E3478" s="31" t="s">
        <v>3761</v>
      </c>
      <c r="F3478" s="139">
        <v>46168.0</v>
      </c>
      <c r="G3478" s="59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5"/>
      <c r="C3479" s="31" t="s">
        <v>3385</v>
      </c>
      <c r="D3479" s="32" t="s">
        <v>15</v>
      </c>
      <c r="E3479" s="31" t="s">
        <v>3762</v>
      </c>
      <c r="F3479" s="139">
        <v>46168.0</v>
      </c>
      <c r="G3479" s="59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5"/>
      <c r="C3480" s="31" t="s">
        <v>64</v>
      </c>
      <c r="D3480" s="32" t="s">
        <v>99</v>
      </c>
      <c r="E3480" s="31" t="s">
        <v>3763</v>
      </c>
      <c r="F3480" s="139">
        <v>46168.0</v>
      </c>
      <c r="G3480" s="59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5"/>
      <c r="C3481" s="31" t="s">
        <v>64</v>
      </c>
      <c r="D3481" s="32" t="s">
        <v>15</v>
      </c>
      <c r="E3481" s="31" t="s">
        <v>3764</v>
      </c>
      <c r="F3481" s="139">
        <v>46168.0</v>
      </c>
      <c r="G3481" s="59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60"/>
      <c r="C3482" s="62" t="s">
        <v>3765</v>
      </c>
      <c r="D3482" s="62" t="s">
        <v>3605</v>
      </c>
      <c r="E3482" s="62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47"/>
      <c r="M3482" s="50"/>
    </row>
    <row r="3483" ht="15.75" customHeight="1">
      <c r="A3483" s="162">
        <v>46162.0</v>
      </c>
      <c r="B3483" s="55"/>
      <c r="C3483" s="31" t="s">
        <v>1136</v>
      </c>
      <c r="D3483" s="32" t="s">
        <v>99</v>
      </c>
      <c r="E3483" s="31" t="s">
        <v>3767</v>
      </c>
      <c r="F3483" s="139">
        <v>46168.0</v>
      </c>
      <c r="G3483" s="59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5"/>
      <c r="C3484" s="31" t="s">
        <v>1136</v>
      </c>
      <c r="D3484" s="32" t="s">
        <v>99</v>
      </c>
      <c r="E3484" s="31" t="s">
        <v>3768</v>
      </c>
      <c r="F3484" s="139">
        <v>46168.0</v>
      </c>
      <c r="G3484" s="59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5"/>
      <c r="C3485" s="31" t="s">
        <v>1136</v>
      </c>
      <c r="D3485" s="32" t="s">
        <v>99</v>
      </c>
      <c r="E3485" s="31" t="s">
        <v>3769</v>
      </c>
      <c r="F3485" s="139">
        <v>46168.0</v>
      </c>
      <c r="G3485" s="59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5"/>
      <c r="C3486" s="31" t="s">
        <v>1136</v>
      </c>
      <c r="D3486" s="32" t="s">
        <v>99</v>
      </c>
      <c r="E3486" s="31" t="s">
        <v>3770</v>
      </c>
      <c r="F3486" s="139">
        <v>46168.0</v>
      </c>
      <c r="G3486" s="59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5"/>
      <c r="C3487" s="31" t="s">
        <v>1283</v>
      </c>
      <c r="D3487" s="32" t="s">
        <v>99</v>
      </c>
      <c r="E3487" s="31" t="s">
        <v>3771</v>
      </c>
      <c r="F3487" s="139">
        <v>46168.0</v>
      </c>
      <c r="G3487" s="59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5"/>
      <c r="C3488" s="31" t="s">
        <v>1281</v>
      </c>
      <c r="D3488" s="32" t="s">
        <v>99</v>
      </c>
      <c r="E3488" s="31" t="s">
        <v>3772</v>
      </c>
      <c r="F3488" s="139">
        <v>46168.0</v>
      </c>
      <c r="G3488" s="59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5"/>
      <c r="C3489" s="31" t="s">
        <v>1279</v>
      </c>
      <c r="D3489" s="32" t="s">
        <v>99</v>
      </c>
      <c r="E3489" s="31" t="s">
        <v>3773</v>
      </c>
      <c r="F3489" s="139">
        <v>46168.0</v>
      </c>
      <c r="G3489" s="59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5"/>
      <c r="C3490" s="31" t="s">
        <v>1277</v>
      </c>
      <c r="D3490" s="32" t="s">
        <v>99</v>
      </c>
      <c r="E3490" s="31" t="s">
        <v>3774</v>
      </c>
      <c r="F3490" s="139">
        <v>46168.0</v>
      </c>
      <c r="G3490" s="59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5"/>
      <c r="C3491" s="31" t="s">
        <v>1312</v>
      </c>
      <c r="D3491" s="32" t="s">
        <v>99</v>
      </c>
      <c r="E3491" s="31" t="s">
        <v>3775</v>
      </c>
      <c r="F3491" s="139">
        <v>46168.0</v>
      </c>
      <c r="G3491" s="59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5"/>
      <c r="C3492" s="31" t="s">
        <v>1136</v>
      </c>
      <c r="D3492" s="32" t="s">
        <v>15</v>
      </c>
      <c r="E3492" s="31" t="s">
        <v>3776</v>
      </c>
      <c r="F3492" s="139">
        <v>46168.0</v>
      </c>
      <c r="G3492" s="59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5"/>
      <c r="C3493" s="31" t="s">
        <v>1136</v>
      </c>
      <c r="D3493" s="32" t="s">
        <v>15</v>
      </c>
      <c r="E3493" s="31" t="s">
        <v>3777</v>
      </c>
      <c r="F3493" s="139">
        <v>46168.0</v>
      </c>
      <c r="G3493" s="59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5"/>
      <c r="C3494" s="31" t="s">
        <v>1136</v>
      </c>
      <c r="D3494" s="32" t="s">
        <v>15</v>
      </c>
      <c r="E3494" s="31" t="s">
        <v>3778</v>
      </c>
      <c r="F3494" s="139">
        <v>46168.0</v>
      </c>
      <c r="G3494" s="59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5"/>
      <c r="C3495" s="31" t="s">
        <v>1136</v>
      </c>
      <c r="D3495" s="32" t="s">
        <v>15</v>
      </c>
      <c r="E3495" s="31" t="s">
        <v>3779</v>
      </c>
      <c r="F3495" s="139">
        <v>46168.0</v>
      </c>
      <c r="G3495" s="59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5"/>
      <c r="C3496" s="31" t="s">
        <v>1312</v>
      </c>
      <c r="D3496" s="32" t="s">
        <v>15</v>
      </c>
      <c r="E3496" s="31" t="s">
        <v>3780</v>
      </c>
      <c r="F3496" s="139">
        <v>46168.0</v>
      </c>
      <c r="G3496" s="59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5"/>
      <c r="C3497" s="31" t="s">
        <v>1277</v>
      </c>
      <c r="D3497" s="32" t="s">
        <v>15</v>
      </c>
      <c r="E3497" s="31" t="s">
        <v>3781</v>
      </c>
      <c r="F3497" s="139">
        <v>46168.0</v>
      </c>
      <c r="G3497" s="59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5"/>
      <c r="C3498" s="31" t="s">
        <v>1279</v>
      </c>
      <c r="D3498" s="32" t="s">
        <v>15</v>
      </c>
      <c r="E3498" s="31" t="s">
        <v>3782</v>
      </c>
      <c r="F3498" s="139">
        <v>46168.0</v>
      </c>
      <c r="G3498" s="59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5"/>
      <c r="C3499" s="31" t="s">
        <v>1281</v>
      </c>
      <c r="D3499" s="32" t="s">
        <v>15</v>
      </c>
      <c r="E3499" s="31" t="s">
        <v>3783</v>
      </c>
      <c r="F3499" s="139">
        <v>46168.0</v>
      </c>
      <c r="G3499" s="59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5"/>
      <c r="C3500" s="31" t="s">
        <v>1283</v>
      </c>
      <c r="D3500" s="32" t="s">
        <v>15</v>
      </c>
      <c r="E3500" s="31" t="s">
        <v>3784</v>
      </c>
      <c r="F3500" s="139">
        <v>46168.0</v>
      </c>
      <c r="G3500" s="59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5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9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5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9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5"/>
      <c r="C3503" s="31" t="s">
        <v>2346</v>
      </c>
      <c r="D3503" s="32" t="s">
        <v>99</v>
      </c>
      <c r="E3503" s="32" t="s">
        <v>3787</v>
      </c>
      <c r="F3503" s="139">
        <v>46168.0</v>
      </c>
      <c r="G3503" s="59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5"/>
      <c r="C3504" s="31" t="s">
        <v>2346</v>
      </c>
      <c r="D3504" s="32" t="s">
        <v>99</v>
      </c>
      <c r="E3504" s="32" t="s">
        <v>3788</v>
      </c>
      <c r="F3504" s="139">
        <v>46168.0</v>
      </c>
      <c r="G3504" s="59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5"/>
      <c r="C3505" s="31" t="s">
        <v>2346</v>
      </c>
      <c r="D3505" s="32" t="s">
        <v>99</v>
      </c>
      <c r="E3505" s="32" t="s">
        <v>3789</v>
      </c>
      <c r="F3505" s="139">
        <v>46168.0</v>
      </c>
      <c r="G3505" s="59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5"/>
      <c r="C3506" s="31" t="s">
        <v>2346</v>
      </c>
      <c r="D3506" s="32" t="s">
        <v>99</v>
      </c>
      <c r="E3506" s="32" t="s">
        <v>3790</v>
      </c>
      <c r="F3506" s="139">
        <v>46168.0</v>
      </c>
      <c r="G3506" s="59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5"/>
      <c r="C3507" s="31" t="s">
        <v>2346</v>
      </c>
      <c r="D3507" s="32" t="s">
        <v>99</v>
      </c>
      <c r="E3507" s="32" t="s">
        <v>3791</v>
      </c>
      <c r="F3507" s="139">
        <v>46168.0</v>
      </c>
      <c r="G3507" s="59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5"/>
      <c r="C3508" s="31" t="s">
        <v>2346</v>
      </c>
      <c r="D3508" s="32" t="s">
        <v>99</v>
      </c>
      <c r="E3508" s="32" t="s">
        <v>3792</v>
      </c>
      <c r="F3508" s="139">
        <v>46168.0</v>
      </c>
      <c r="G3508" s="59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5"/>
      <c r="C3509" s="31" t="s">
        <v>2346</v>
      </c>
      <c r="D3509" s="32" t="s">
        <v>99</v>
      </c>
      <c r="E3509" s="32" t="s">
        <v>3793</v>
      </c>
      <c r="F3509" s="139">
        <v>46168.0</v>
      </c>
      <c r="G3509" s="59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5"/>
      <c r="C3510" s="31" t="s">
        <v>2346</v>
      </c>
      <c r="D3510" s="32" t="s">
        <v>99</v>
      </c>
      <c r="E3510" s="32" t="s">
        <v>3794</v>
      </c>
      <c r="F3510" s="139">
        <v>46168.0</v>
      </c>
      <c r="G3510" s="59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5"/>
      <c r="C3511" s="31" t="s">
        <v>2346</v>
      </c>
      <c r="D3511" s="32" t="s">
        <v>99</v>
      </c>
      <c r="E3511" s="32" t="s">
        <v>3795</v>
      </c>
      <c r="F3511" s="139">
        <v>46168.0</v>
      </c>
      <c r="G3511" s="59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5"/>
      <c r="C3512" s="31" t="s">
        <v>2346</v>
      </c>
      <c r="D3512" s="32" t="s">
        <v>15</v>
      </c>
      <c r="E3512" s="31" t="s">
        <v>3796</v>
      </c>
      <c r="F3512" s="139">
        <v>46168.0</v>
      </c>
      <c r="G3512" s="59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5"/>
      <c r="C3513" s="31" t="s">
        <v>2346</v>
      </c>
      <c r="D3513" s="32" t="s">
        <v>15</v>
      </c>
      <c r="E3513" s="31" t="s">
        <v>3797</v>
      </c>
      <c r="F3513" s="139">
        <v>46168.0</v>
      </c>
      <c r="G3513" s="59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5"/>
      <c r="C3514" s="31" t="s">
        <v>2346</v>
      </c>
      <c r="D3514" s="32" t="s">
        <v>15</v>
      </c>
      <c r="E3514" s="31" t="s">
        <v>3798</v>
      </c>
      <c r="F3514" s="139">
        <v>46168.0</v>
      </c>
      <c r="G3514" s="59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5"/>
      <c r="C3515" s="31" t="s">
        <v>2346</v>
      </c>
      <c r="D3515" s="32" t="s">
        <v>15</v>
      </c>
      <c r="E3515" s="31" t="s">
        <v>3799</v>
      </c>
      <c r="F3515" s="139">
        <v>46168.0</v>
      </c>
      <c r="G3515" s="59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5"/>
      <c r="C3516" s="31" t="s">
        <v>2346</v>
      </c>
      <c r="D3516" s="32" t="s">
        <v>15</v>
      </c>
      <c r="E3516" s="31" t="s">
        <v>3800</v>
      </c>
      <c r="F3516" s="139">
        <v>46168.0</v>
      </c>
      <c r="G3516" s="59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5"/>
      <c r="C3517" s="31" t="s">
        <v>2346</v>
      </c>
      <c r="D3517" s="32" t="s">
        <v>15</v>
      </c>
      <c r="E3517" s="31" t="s">
        <v>3801</v>
      </c>
      <c r="F3517" s="139">
        <v>46168.0</v>
      </c>
      <c r="G3517" s="59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5"/>
      <c r="C3518" s="31" t="s">
        <v>2346</v>
      </c>
      <c r="D3518" s="32" t="s">
        <v>15</v>
      </c>
      <c r="E3518" s="31" t="s">
        <v>3802</v>
      </c>
      <c r="F3518" s="139">
        <v>46168.0</v>
      </c>
      <c r="G3518" s="59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5"/>
      <c r="C3519" s="31" t="s">
        <v>2346</v>
      </c>
      <c r="D3519" s="32" t="s">
        <v>15</v>
      </c>
      <c r="E3519" s="31" t="s">
        <v>3803</v>
      </c>
      <c r="F3519" s="139">
        <v>46168.0</v>
      </c>
      <c r="G3519" s="59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5"/>
      <c r="C3520" s="31" t="s">
        <v>2346</v>
      </c>
      <c r="D3520" s="32" t="s">
        <v>15</v>
      </c>
      <c r="E3520" s="32" t="s">
        <v>3804</v>
      </c>
      <c r="F3520" s="139">
        <v>46168.0</v>
      </c>
      <c r="G3520" s="59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5"/>
      <c r="C3521" s="31" t="s">
        <v>171</v>
      </c>
      <c r="D3521" s="32" t="s">
        <v>15</v>
      </c>
      <c r="E3521" s="31" t="s">
        <v>3805</v>
      </c>
      <c r="F3521" s="139">
        <v>46168.0</v>
      </c>
      <c r="G3521" s="59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5"/>
      <c r="C3522" s="31" t="s">
        <v>171</v>
      </c>
      <c r="D3522" s="32" t="s">
        <v>99</v>
      </c>
      <c r="E3522" s="31" t="s">
        <v>3806</v>
      </c>
      <c r="F3522" s="139">
        <v>46168.0</v>
      </c>
      <c r="G3522" s="59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5"/>
      <c r="C3523" s="31" t="s">
        <v>1685</v>
      </c>
      <c r="D3523" s="32" t="s">
        <v>99</v>
      </c>
      <c r="E3523" s="31" t="s">
        <v>3807</v>
      </c>
      <c r="F3523" s="139">
        <v>46168.0</v>
      </c>
      <c r="G3523" s="59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5"/>
      <c r="C3524" s="31" t="s">
        <v>2221</v>
      </c>
      <c r="D3524" s="32" t="s">
        <v>99</v>
      </c>
      <c r="E3524" s="31" t="s">
        <v>3808</v>
      </c>
      <c r="F3524" s="139">
        <v>46168.0</v>
      </c>
      <c r="G3524" s="59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5"/>
      <c r="C3525" s="31" t="s">
        <v>2221</v>
      </c>
      <c r="D3525" s="32" t="s">
        <v>99</v>
      </c>
      <c r="E3525" s="31" t="s">
        <v>3809</v>
      </c>
      <c r="F3525" s="139">
        <v>46168.0</v>
      </c>
      <c r="G3525" s="59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5"/>
      <c r="C3526" s="31" t="s">
        <v>2221</v>
      </c>
      <c r="D3526" s="32" t="s">
        <v>99</v>
      </c>
      <c r="E3526" s="31" t="s">
        <v>3810</v>
      </c>
      <c r="F3526" s="139">
        <v>46168.0</v>
      </c>
      <c r="G3526" s="59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5"/>
      <c r="C3527" s="31" t="s">
        <v>2221</v>
      </c>
      <c r="D3527" s="32" t="s">
        <v>99</v>
      </c>
      <c r="E3527" s="31" t="s">
        <v>3811</v>
      </c>
      <c r="F3527" s="139">
        <v>46168.0</v>
      </c>
      <c r="G3527" s="59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5"/>
      <c r="C3528" s="31" t="s">
        <v>3812</v>
      </c>
      <c r="D3528" s="32" t="s">
        <v>99</v>
      </c>
      <c r="E3528" s="31" t="s">
        <v>3813</v>
      </c>
      <c r="F3528" s="139">
        <v>46168.0</v>
      </c>
      <c r="G3528" s="59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60"/>
      <c r="C3529" s="61" t="s">
        <v>3814</v>
      </c>
      <c r="D3529" s="62" t="s">
        <v>3815</v>
      </c>
      <c r="E3529" s="61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47"/>
      <c r="M3529" s="50"/>
    </row>
    <row r="3530" ht="15.75" customHeight="1">
      <c r="A3530" s="218">
        <v>46168.0</v>
      </c>
      <c r="B3530" s="60"/>
      <c r="C3530" s="61" t="s">
        <v>3817</v>
      </c>
      <c r="D3530" s="62" t="s">
        <v>3605</v>
      </c>
      <c r="E3530" s="61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47"/>
      <c r="M3530" s="50"/>
    </row>
    <row r="3531" ht="15.75" customHeight="1">
      <c r="A3531" s="162">
        <v>46170.0</v>
      </c>
      <c r="B3531" s="55"/>
      <c r="C3531" s="31" t="s">
        <v>2221</v>
      </c>
      <c r="D3531" s="32" t="s">
        <v>99</v>
      </c>
      <c r="E3531" s="31" t="s">
        <v>3819</v>
      </c>
      <c r="F3531" s="139">
        <v>46168.0</v>
      </c>
      <c r="G3531" s="59">
        <v>1.298761705E7</v>
      </c>
      <c r="H3531" s="14">
        <f t="shared" ref="H3531:H4778" si="11">G3531*0.21</f>
        <v>2727399.581</v>
      </c>
      <c r="I3531" s="22">
        <v>389628.51</v>
      </c>
      <c r="J3531" s="22"/>
      <c r="K3531" s="15">
        <f t="shared" ref="K3531:K4778" si="12">SUM(G3531:J3531)</f>
        <v>16104645.14</v>
      </c>
      <c r="L3531" s="45"/>
      <c r="M3531" s="6"/>
    </row>
    <row r="3532" ht="15.75" customHeight="1">
      <c r="A3532" s="162">
        <v>46170.0</v>
      </c>
      <c r="B3532" s="55"/>
      <c r="C3532" s="31" t="s">
        <v>2221</v>
      </c>
      <c r="D3532" s="32" t="s">
        <v>99</v>
      </c>
      <c r="E3532" s="31" t="s">
        <v>3820</v>
      </c>
      <c r="F3532" s="139">
        <v>46168.0</v>
      </c>
      <c r="G3532" s="59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5"/>
      <c r="C3533" s="31" t="s">
        <v>2221</v>
      </c>
      <c r="D3533" s="32" t="s">
        <v>99</v>
      </c>
      <c r="E3533" s="31" t="s">
        <v>3821</v>
      </c>
      <c r="F3533" s="139">
        <v>46168.0</v>
      </c>
      <c r="G3533" s="59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5"/>
      <c r="C3534" s="31" t="s">
        <v>2221</v>
      </c>
      <c r="D3534" s="32" t="s">
        <v>99</v>
      </c>
      <c r="E3534" s="31" t="s">
        <v>3822</v>
      </c>
      <c r="F3534" s="139">
        <v>46168.0</v>
      </c>
      <c r="G3534" s="59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5"/>
      <c r="C3535" s="31" t="s">
        <v>2221</v>
      </c>
      <c r="D3535" s="32" t="s">
        <v>99</v>
      </c>
      <c r="E3535" s="31" t="s">
        <v>3823</v>
      </c>
      <c r="F3535" s="139">
        <v>46168.0</v>
      </c>
      <c r="G3535" s="59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5"/>
      <c r="C3536" s="31" t="s">
        <v>2221</v>
      </c>
      <c r="D3536" s="32" t="s">
        <v>99</v>
      </c>
      <c r="E3536" s="31" t="s">
        <v>3824</v>
      </c>
      <c r="F3536" s="139">
        <v>46168.0</v>
      </c>
      <c r="G3536" s="59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5"/>
      <c r="C3537" s="31" t="s">
        <v>2221</v>
      </c>
      <c r="D3537" s="32" t="s">
        <v>99</v>
      </c>
      <c r="E3537" s="31" t="s">
        <v>3825</v>
      </c>
      <c r="F3537" s="139">
        <v>46168.0</v>
      </c>
      <c r="G3537" s="59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5"/>
      <c r="C3538" s="31" t="s">
        <v>3596</v>
      </c>
      <c r="D3538" s="32" t="s">
        <v>99</v>
      </c>
      <c r="E3538" s="31" t="s">
        <v>3826</v>
      </c>
      <c r="F3538" s="139">
        <v>46168.0</v>
      </c>
      <c r="G3538" s="59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5"/>
      <c r="C3539" s="31" t="s">
        <v>3596</v>
      </c>
      <c r="D3539" s="32" t="s">
        <v>99</v>
      </c>
      <c r="E3539" s="31" t="s">
        <v>3827</v>
      </c>
      <c r="F3539" s="139">
        <v>46168.0</v>
      </c>
      <c r="G3539" s="59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60"/>
      <c r="C3540" s="61" t="s">
        <v>3828</v>
      </c>
      <c r="D3540" s="62" t="s">
        <v>99</v>
      </c>
      <c r="E3540" s="61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47"/>
      <c r="M3540" s="50"/>
    </row>
    <row r="3541" ht="15.75" customHeight="1">
      <c r="A3541" s="218">
        <v>46170.0</v>
      </c>
      <c r="B3541" s="60"/>
      <c r="C3541" s="61" t="s">
        <v>3828</v>
      </c>
      <c r="D3541" s="62" t="s">
        <v>99</v>
      </c>
      <c r="E3541" s="61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47"/>
      <c r="M3541" s="50"/>
    </row>
    <row r="3542" ht="15.75" customHeight="1">
      <c r="A3542" s="218">
        <v>46170.0</v>
      </c>
      <c r="B3542" s="60"/>
      <c r="C3542" s="61" t="s">
        <v>3828</v>
      </c>
      <c r="D3542" s="62" t="s">
        <v>99</v>
      </c>
      <c r="E3542" s="61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47"/>
      <c r="M3542" s="50"/>
    </row>
    <row r="3543" ht="15.75" customHeight="1">
      <c r="A3543" s="218">
        <v>46170.0</v>
      </c>
      <c r="B3543" s="60"/>
      <c r="C3543" s="61" t="s">
        <v>3828</v>
      </c>
      <c r="D3543" s="62" t="s">
        <v>99</v>
      </c>
      <c r="E3543" s="61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47"/>
      <c r="M3543" s="50"/>
    </row>
    <row r="3544" ht="15.75" customHeight="1">
      <c r="A3544" s="162">
        <v>46170.0</v>
      </c>
      <c r="B3544" s="55"/>
      <c r="C3544" s="31" t="s">
        <v>3828</v>
      </c>
      <c r="D3544" s="32" t="s">
        <v>15</v>
      </c>
      <c r="E3544" s="31" t="s">
        <v>3833</v>
      </c>
      <c r="F3544" s="139">
        <v>46168.0</v>
      </c>
      <c r="G3544" s="59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5"/>
      <c r="C3545" s="31" t="s">
        <v>3828</v>
      </c>
      <c r="D3545" s="32" t="s">
        <v>15</v>
      </c>
      <c r="E3545" s="31" t="s">
        <v>3834</v>
      </c>
      <c r="F3545" s="139">
        <v>46168.0</v>
      </c>
      <c r="G3545" s="59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5"/>
      <c r="C3546" s="31" t="s">
        <v>3828</v>
      </c>
      <c r="D3546" s="32" t="s">
        <v>15</v>
      </c>
      <c r="E3546" s="31" t="s">
        <v>3835</v>
      </c>
      <c r="F3546" s="139">
        <v>46168.0</v>
      </c>
      <c r="G3546" s="59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5"/>
      <c r="C3547" s="31" t="s">
        <v>3836</v>
      </c>
      <c r="D3547" s="32" t="s">
        <v>99</v>
      </c>
      <c r="E3547" s="31" t="s">
        <v>3837</v>
      </c>
      <c r="F3547" s="139">
        <v>46168.0</v>
      </c>
      <c r="G3547" s="59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5"/>
      <c r="C3548" s="31" t="s">
        <v>3838</v>
      </c>
      <c r="D3548" s="32" t="s">
        <v>99</v>
      </c>
      <c r="E3548" s="31" t="s">
        <v>3839</v>
      </c>
      <c r="F3548" s="139">
        <v>46168.0</v>
      </c>
      <c r="G3548" s="59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5"/>
      <c r="C3549" s="31" t="s">
        <v>3838</v>
      </c>
      <c r="D3549" s="32" t="s">
        <v>99</v>
      </c>
      <c r="E3549" s="31" t="s">
        <v>3840</v>
      </c>
      <c r="F3549" s="139">
        <v>46168.0</v>
      </c>
      <c r="G3549" s="59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5"/>
      <c r="C3550" s="31" t="s">
        <v>3838</v>
      </c>
      <c r="D3550" s="32" t="s">
        <v>99</v>
      </c>
      <c r="E3550" s="31" t="s">
        <v>3841</v>
      </c>
      <c r="F3550" s="139">
        <v>46168.0</v>
      </c>
      <c r="G3550" s="59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5"/>
      <c r="C3551" s="31" t="s">
        <v>3838</v>
      </c>
      <c r="D3551" s="32" t="s">
        <v>99</v>
      </c>
      <c r="E3551" s="31" t="s">
        <v>3842</v>
      </c>
      <c r="F3551" s="139">
        <v>46168.0</v>
      </c>
      <c r="G3551" s="59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5"/>
      <c r="C3552" s="31" t="s">
        <v>3838</v>
      </c>
      <c r="D3552" s="32" t="s">
        <v>15</v>
      </c>
      <c r="E3552" s="31" t="s">
        <v>3843</v>
      </c>
      <c r="F3552" s="139">
        <v>46168.0</v>
      </c>
      <c r="G3552" s="59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5"/>
      <c r="C3553" s="31" t="s">
        <v>3838</v>
      </c>
      <c r="D3553" s="32" t="s">
        <v>15</v>
      </c>
      <c r="E3553" s="31" t="s">
        <v>3844</v>
      </c>
      <c r="F3553" s="139">
        <v>46168.0</v>
      </c>
      <c r="G3553" s="59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5"/>
      <c r="C3554" s="31" t="s">
        <v>3845</v>
      </c>
      <c r="D3554" s="32" t="s">
        <v>15</v>
      </c>
      <c r="E3554" s="31" t="s">
        <v>3846</v>
      </c>
      <c r="F3554" s="139">
        <v>46168.0</v>
      </c>
      <c r="G3554" s="59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5"/>
      <c r="C3555" s="31" t="s">
        <v>3845</v>
      </c>
      <c r="D3555" s="32" t="s">
        <v>15</v>
      </c>
      <c r="E3555" s="31" t="s">
        <v>3847</v>
      </c>
      <c r="F3555" s="139">
        <v>46168.0</v>
      </c>
      <c r="G3555" s="59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5"/>
      <c r="C3556" s="31" t="s">
        <v>3845</v>
      </c>
      <c r="D3556" s="32" t="s">
        <v>15</v>
      </c>
      <c r="E3556" s="31" t="s">
        <v>3848</v>
      </c>
      <c r="F3556" s="139">
        <v>46168.0</v>
      </c>
      <c r="G3556" s="59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5"/>
      <c r="C3557" s="31" t="s">
        <v>3845</v>
      </c>
      <c r="D3557" s="32" t="s">
        <v>15</v>
      </c>
      <c r="E3557" s="31" t="s">
        <v>3849</v>
      </c>
      <c r="F3557" s="139">
        <v>46168.0</v>
      </c>
      <c r="G3557" s="59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5"/>
      <c r="C3558" s="31" t="s">
        <v>231</v>
      </c>
      <c r="D3558" s="32" t="s">
        <v>15</v>
      </c>
      <c r="E3558" s="31" t="s">
        <v>3850</v>
      </c>
      <c r="F3558" s="139">
        <v>46168.0</v>
      </c>
      <c r="G3558" s="59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5"/>
      <c r="C3559" s="31" t="s">
        <v>231</v>
      </c>
      <c r="D3559" s="32" t="s">
        <v>15</v>
      </c>
      <c r="E3559" s="31" t="s">
        <v>3851</v>
      </c>
      <c r="F3559" s="139">
        <v>46168.0</v>
      </c>
      <c r="G3559" s="59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5"/>
      <c r="C3560" s="32" t="s">
        <v>122</v>
      </c>
      <c r="D3560" s="32" t="s">
        <v>15</v>
      </c>
      <c r="E3560" s="31" t="s">
        <v>3852</v>
      </c>
      <c r="F3560" s="139">
        <v>46168.0</v>
      </c>
      <c r="G3560" s="59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5"/>
      <c r="C3561" s="31" t="s">
        <v>1179</v>
      </c>
      <c r="D3561" s="32" t="s">
        <v>99</v>
      </c>
      <c r="E3561" s="31" t="s">
        <v>3853</v>
      </c>
      <c r="F3561" s="139">
        <v>46168.0</v>
      </c>
      <c r="G3561" s="59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5"/>
      <c r="C3562" s="31" t="s">
        <v>1179</v>
      </c>
      <c r="D3562" s="32" t="s">
        <v>99</v>
      </c>
      <c r="E3562" s="31" t="s">
        <v>3854</v>
      </c>
      <c r="F3562" s="139">
        <v>46168.0</v>
      </c>
      <c r="G3562" s="59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5"/>
      <c r="C3563" s="31" t="s">
        <v>3117</v>
      </c>
      <c r="D3563" s="32" t="s">
        <v>99</v>
      </c>
      <c r="E3563" s="31" t="s">
        <v>3855</v>
      </c>
      <c r="F3563" s="139">
        <v>46168.0</v>
      </c>
      <c r="G3563" s="59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60"/>
      <c r="C3564" s="61" t="s">
        <v>1452</v>
      </c>
      <c r="D3564" s="62" t="s">
        <v>99</v>
      </c>
      <c r="E3564" s="61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47"/>
      <c r="M3564" s="50"/>
    </row>
    <row r="3565" ht="15.75" customHeight="1">
      <c r="A3565" s="218">
        <v>46171.0</v>
      </c>
      <c r="B3565" s="60"/>
      <c r="C3565" s="61" t="s">
        <v>1719</v>
      </c>
      <c r="D3565" s="62" t="s">
        <v>99</v>
      </c>
      <c r="E3565" s="61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47"/>
      <c r="M3565" s="50"/>
    </row>
    <row r="3566" ht="15.75" customHeight="1">
      <c r="A3566" s="162">
        <v>46171.0</v>
      </c>
      <c r="B3566" s="55"/>
      <c r="C3566" s="31" t="s">
        <v>1721</v>
      </c>
      <c r="D3566" s="32" t="s">
        <v>99</v>
      </c>
      <c r="E3566" s="31" t="s">
        <v>3858</v>
      </c>
      <c r="F3566" s="139">
        <v>46168.0</v>
      </c>
      <c r="G3566" s="59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218">
        <v>46171.0</v>
      </c>
      <c r="B3567" s="60"/>
      <c r="C3567" s="61" t="s">
        <v>3859</v>
      </c>
      <c r="D3567" s="62" t="s">
        <v>99</v>
      </c>
      <c r="E3567" s="61" t="s">
        <v>3860</v>
      </c>
      <c r="F3567" s="136">
        <v>46168.0</v>
      </c>
      <c r="G3567" s="155">
        <v>2.033393241E7</v>
      </c>
      <c r="H3567" s="9">
        <f t="shared" si="11"/>
        <v>4270125.806</v>
      </c>
      <c r="I3567" s="44">
        <v>610017.97</v>
      </c>
      <c r="J3567" s="44">
        <v>305008.99</v>
      </c>
      <c r="K3567" s="10">
        <f t="shared" si="12"/>
        <v>25519085.18</v>
      </c>
      <c r="L3567" s="47"/>
      <c r="M3567" s="50"/>
    </row>
    <row r="3568" ht="15.75" customHeight="1">
      <c r="A3568" s="162">
        <v>46171.0</v>
      </c>
      <c r="B3568" s="55"/>
      <c r="C3568" s="31" t="s">
        <v>538</v>
      </c>
      <c r="D3568" s="32" t="s">
        <v>99</v>
      </c>
      <c r="E3568" s="31" t="s">
        <v>3861</v>
      </c>
      <c r="F3568" s="139">
        <v>46168.0</v>
      </c>
      <c r="G3568" s="59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47"/>
      <c r="M3568" s="50"/>
    </row>
    <row r="3569" ht="15.75" customHeight="1">
      <c r="A3569" s="218">
        <v>46171.0</v>
      </c>
      <c r="B3569" s="60"/>
      <c r="C3569" s="61" t="s">
        <v>3068</v>
      </c>
      <c r="D3569" s="62" t="s">
        <v>99</v>
      </c>
      <c r="E3569" s="61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47"/>
      <c r="M3569" s="50"/>
    </row>
    <row r="3570" ht="15.75" customHeight="1">
      <c r="A3570" s="218">
        <v>46171.0</v>
      </c>
      <c r="B3570" s="60"/>
      <c r="C3570" s="61" t="s">
        <v>3068</v>
      </c>
      <c r="D3570" s="62" t="s">
        <v>99</v>
      </c>
      <c r="E3570" s="61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47"/>
      <c r="M3570" s="50"/>
    </row>
    <row r="3571" ht="15.75" customHeight="1">
      <c r="A3571" s="218">
        <v>46171.0</v>
      </c>
      <c r="B3571" s="60"/>
      <c r="C3571" s="61" t="s">
        <v>3068</v>
      </c>
      <c r="D3571" s="62" t="s">
        <v>99</v>
      </c>
      <c r="E3571" s="61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47"/>
      <c r="M3571" s="50"/>
    </row>
    <row r="3572" ht="15.75" customHeight="1">
      <c r="A3572" s="218">
        <v>46171.0</v>
      </c>
      <c r="B3572" s="60"/>
      <c r="C3572" s="61" t="s">
        <v>3068</v>
      </c>
      <c r="D3572" s="62" t="s">
        <v>99</v>
      </c>
      <c r="E3572" s="61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47"/>
      <c r="M3572" s="50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5"/>
      <c r="C3574" s="31" t="s">
        <v>1179</v>
      </c>
      <c r="D3574" s="32" t="s">
        <v>15</v>
      </c>
      <c r="E3574" s="31" t="s">
        <v>3868</v>
      </c>
      <c r="F3574" s="139">
        <v>46168.0</v>
      </c>
      <c r="G3574" s="59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5"/>
      <c r="C3575" s="31" t="s">
        <v>1179</v>
      </c>
      <c r="D3575" s="32" t="s">
        <v>15</v>
      </c>
      <c r="E3575" s="31" t="s">
        <v>3869</v>
      </c>
      <c r="F3575" s="139">
        <v>46168.0</v>
      </c>
      <c r="G3575" s="59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5"/>
      <c r="C3576" s="31" t="s">
        <v>538</v>
      </c>
      <c r="D3576" s="32" t="s">
        <v>15</v>
      </c>
      <c r="E3576" s="31" t="s">
        <v>3870</v>
      </c>
      <c r="F3576" s="139">
        <v>46168.0</v>
      </c>
      <c r="G3576" s="59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47"/>
      <c r="M3576" s="50"/>
    </row>
    <row r="3577" ht="15.75" customHeight="1">
      <c r="A3577" s="162">
        <v>46171.0</v>
      </c>
      <c r="B3577" s="55"/>
      <c r="C3577" s="31" t="s">
        <v>538</v>
      </c>
      <c r="D3577" s="32" t="s">
        <v>15</v>
      </c>
      <c r="E3577" s="31" t="s">
        <v>3871</v>
      </c>
      <c r="F3577" s="139">
        <v>46168.0</v>
      </c>
      <c r="G3577" s="59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47"/>
      <c r="M3577" s="50"/>
    </row>
    <row r="3578" ht="15.75" customHeight="1">
      <c r="A3578" s="162">
        <v>46171.0</v>
      </c>
      <c r="B3578" s="55"/>
      <c r="C3578" s="31" t="s">
        <v>1842</v>
      </c>
      <c r="D3578" s="32" t="s">
        <v>15</v>
      </c>
      <c r="E3578" s="31" t="s">
        <v>3872</v>
      </c>
      <c r="F3578" s="139">
        <v>46168.0</v>
      </c>
      <c r="G3578" s="59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218">
        <v>46171.0</v>
      </c>
      <c r="B3579" s="60"/>
      <c r="C3579" s="61" t="s">
        <v>3873</v>
      </c>
      <c r="D3579" s="62" t="s">
        <v>15</v>
      </c>
      <c r="E3579" s="61" t="s">
        <v>3874</v>
      </c>
      <c r="F3579" s="136">
        <v>46168.0</v>
      </c>
      <c r="G3579" s="155">
        <v>5972460.15</v>
      </c>
      <c r="H3579" s="9">
        <f t="shared" si="11"/>
        <v>1254216.632</v>
      </c>
      <c r="I3579" s="44"/>
      <c r="J3579" s="44"/>
      <c r="K3579" s="10">
        <f t="shared" si="12"/>
        <v>7226676.782</v>
      </c>
      <c r="L3579" s="47"/>
      <c r="M3579" s="50"/>
    </row>
    <row r="3580" ht="15.75" customHeight="1">
      <c r="A3580" s="218">
        <v>46171.0</v>
      </c>
      <c r="B3580" s="60"/>
      <c r="C3580" s="61" t="s">
        <v>3873</v>
      </c>
      <c r="D3580" s="62" t="s">
        <v>15</v>
      </c>
      <c r="E3580" s="61" t="s">
        <v>3875</v>
      </c>
      <c r="F3580" s="136">
        <v>46168.0</v>
      </c>
      <c r="G3580" s="155">
        <v>8721360.42</v>
      </c>
      <c r="H3580" s="9">
        <f t="shared" si="11"/>
        <v>1831485.688</v>
      </c>
      <c r="I3580" s="44"/>
      <c r="J3580" s="44"/>
      <c r="K3580" s="10">
        <f t="shared" si="12"/>
        <v>10552846.11</v>
      </c>
      <c r="L3580" s="47"/>
      <c r="M3580" s="50"/>
    </row>
    <row r="3581" ht="15.75" customHeight="1">
      <c r="A3581" s="162">
        <v>46171.0</v>
      </c>
      <c r="B3581" s="55"/>
      <c r="C3581" s="31" t="s">
        <v>3873</v>
      </c>
      <c r="D3581" s="32" t="s">
        <v>15</v>
      </c>
      <c r="E3581" s="31" t="s">
        <v>3876</v>
      </c>
      <c r="F3581" s="139">
        <v>46168.0</v>
      </c>
      <c r="G3581" s="59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60"/>
      <c r="C3583" s="61" t="s">
        <v>969</v>
      </c>
      <c r="D3583" s="61" t="s">
        <v>1543</v>
      </c>
      <c r="E3583" s="62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47"/>
      <c r="M3583" s="50"/>
    </row>
    <row r="3584" ht="15.75" customHeight="1">
      <c r="A3584" s="218">
        <v>46172.0</v>
      </c>
      <c r="B3584" s="60"/>
      <c r="C3584" s="61" t="s">
        <v>2126</v>
      </c>
      <c r="D3584" s="61" t="s">
        <v>1543</v>
      </c>
      <c r="E3584" s="62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47"/>
      <c r="M3584" s="50"/>
    </row>
    <row r="3585" ht="15.75" customHeight="1">
      <c r="A3585" s="218">
        <v>46172.0</v>
      </c>
      <c r="B3585" s="60"/>
      <c r="C3585" s="61" t="s">
        <v>3881</v>
      </c>
      <c r="D3585" s="61" t="s">
        <v>1543</v>
      </c>
      <c r="E3585" s="62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47"/>
      <c r="M3585" s="50"/>
    </row>
    <row r="3586" ht="15.75" customHeight="1">
      <c r="A3586" s="162">
        <v>46172.0</v>
      </c>
      <c r="B3586" s="55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5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5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60"/>
      <c r="C3590" s="61" t="s">
        <v>3891</v>
      </c>
      <c r="D3590" s="61" t="s">
        <v>1543</v>
      </c>
      <c r="E3590" s="62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47"/>
      <c r="M3590" s="50"/>
    </row>
    <row r="3591" ht="15.75" customHeight="1">
      <c r="A3591" s="218">
        <v>46172.0</v>
      </c>
      <c r="B3591" s="60"/>
      <c r="C3591" s="61" t="s">
        <v>3893</v>
      </c>
      <c r="D3591" s="61" t="s">
        <v>1543</v>
      </c>
      <c r="E3591" s="62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47"/>
      <c r="M3591" s="50"/>
    </row>
    <row r="3592" ht="15.75" customHeight="1">
      <c r="A3592" s="218">
        <v>46172.0</v>
      </c>
      <c r="B3592" s="60"/>
      <c r="C3592" s="61" t="s">
        <v>3895</v>
      </c>
      <c r="D3592" s="61" t="s">
        <v>1543</v>
      </c>
      <c r="E3592" s="62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47"/>
      <c r="M3592" s="50"/>
    </row>
    <row r="3593" ht="15.75" customHeight="1">
      <c r="A3593" s="218">
        <v>46172.0</v>
      </c>
      <c r="B3593" s="60"/>
      <c r="C3593" s="61" t="s">
        <v>3897</v>
      </c>
      <c r="D3593" s="61" t="s">
        <v>1543</v>
      </c>
      <c r="E3593" s="62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47"/>
      <c r="M3593" s="50"/>
    </row>
    <row r="3594" ht="15.75" customHeight="1">
      <c r="A3594" s="218">
        <v>46172.0</v>
      </c>
      <c r="B3594" s="60"/>
      <c r="C3594" s="61" t="s">
        <v>3899</v>
      </c>
      <c r="D3594" s="61" t="s">
        <v>1543</v>
      </c>
      <c r="E3594" s="62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47"/>
      <c r="M3594" s="50"/>
    </row>
    <row r="3595" ht="15.75" customHeight="1">
      <c r="A3595" s="218">
        <v>46172.0</v>
      </c>
      <c r="B3595" s="60"/>
      <c r="C3595" s="61" t="s">
        <v>3901</v>
      </c>
      <c r="D3595" s="61" t="s">
        <v>1543</v>
      </c>
      <c r="E3595" s="62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47"/>
      <c r="M3595" s="50"/>
    </row>
    <row r="3596" ht="15.75" customHeight="1">
      <c r="A3596" s="162">
        <v>46172.0</v>
      </c>
      <c r="B3596" s="55"/>
      <c r="C3596" s="31" t="s">
        <v>1136</v>
      </c>
      <c r="D3596" s="32" t="s">
        <v>99</v>
      </c>
      <c r="E3596" s="32" t="s">
        <v>3903</v>
      </c>
      <c r="F3596" s="139">
        <v>46168.0</v>
      </c>
      <c r="G3596" s="59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60"/>
      <c r="C3597" s="61" t="s">
        <v>3889</v>
      </c>
      <c r="D3597" s="62" t="s">
        <v>99</v>
      </c>
      <c r="E3597" s="61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47"/>
      <c r="M3597" s="50"/>
    </row>
    <row r="3598" ht="15.75" customHeight="1">
      <c r="A3598" s="218">
        <v>46172.0</v>
      </c>
      <c r="B3598" s="60"/>
      <c r="C3598" s="61" t="s">
        <v>3889</v>
      </c>
      <c r="D3598" s="62" t="s">
        <v>99</v>
      </c>
      <c r="E3598" s="61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47"/>
      <c r="M3598" s="50"/>
    </row>
    <row r="3599" ht="15.75" customHeight="1">
      <c r="A3599" s="218">
        <v>46172.0</v>
      </c>
      <c r="B3599" s="60"/>
      <c r="C3599" s="61" t="s">
        <v>3889</v>
      </c>
      <c r="D3599" s="62" t="s">
        <v>99</v>
      </c>
      <c r="E3599" s="61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47"/>
      <c r="M3599" s="50"/>
    </row>
    <row r="3600" ht="15.75" customHeight="1">
      <c r="A3600" s="218">
        <v>46172.0</v>
      </c>
      <c r="B3600" s="60"/>
      <c r="C3600" s="61" t="s">
        <v>3889</v>
      </c>
      <c r="D3600" s="62" t="s">
        <v>99</v>
      </c>
      <c r="E3600" s="62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47"/>
      <c r="M3600" s="50"/>
    </row>
    <row r="3601" ht="15.75" customHeight="1">
      <c r="A3601" s="162">
        <v>46172.0</v>
      </c>
      <c r="B3601" s="55"/>
      <c r="C3601" s="31" t="s">
        <v>2613</v>
      </c>
      <c r="D3601" s="32" t="s">
        <v>15</v>
      </c>
      <c r="E3601" s="31" t="s">
        <v>3908</v>
      </c>
      <c r="F3601" s="139">
        <v>46168.0</v>
      </c>
      <c r="G3601" s="59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5"/>
      <c r="C3602" s="31" t="s">
        <v>2958</v>
      </c>
      <c r="D3602" s="32" t="s">
        <v>15</v>
      </c>
      <c r="E3602" s="31" t="s">
        <v>3909</v>
      </c>
      <c r="F3602" s="139">
        <v>46168.0</v>
      </c>
      <c r="G3602" s="59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5"/>
      <c r="C3603" s="31" t="s">
        <v>2958</v>
      </c>
      <c r="D3603" s="32" t="s">
        <v>15</v>
      </c>
      <c r="E3603" s="31" t="s">
        <v>3910</v>
      </c>
      <c r="F3603" s="139">
        <v>46168.0</v>
      </c>
      <c r="G3603" s="59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5"/>
      <c r="C3604" s="31" t="s">
        <v>3911</v>
      </c>
      <c r="D3604" s="32" t="s">
        <v>15</v>
      </c>
      <c r="E3604" s="31" t="s">
        <v>3912</v>
      </c>
      <c r="F3604" s="139">
        <v>46168.0</v>
      </c>
      <c r="G3604" s="59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5"/>
      <c r="C3605" s="31" t="s">
        <v>3911</v>
      </c>
      <c r="D3605" s="32" t="s">
        <v>15</v>
      </c>
      <c r="E3605" s="31" t="s">
        <v>3913</v>
      </c>
      <c r="F3605" s="139">
        <v>46168.0</v>
      </c>
      <c r="G3605" s="59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5"/>
      <c r="C3606" s="31" t="s">
        <v>3914</v>
      </c>
      <c r="D3606" s="32" t="s">
        <v>15</v>
      </c>
      <c r="E3606" s="31" t="s">
        <v>3915</v>
      </c>
      <c r="F3606" s="139">
        <v>46168.0</v>
      </c>
      <c r="G3606" s="59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5"/>
      <c r="C3607" s="31" t="s">
        <v>3914</v>
      </c>
      <c r="D3607" s="32" t="s">
        <v>15</v>
      </c>
      <c r="E3607" s="31" t="s">
        <v>3916</v>
      </c>
      <c r="F3607" s="139">
        <v>46168.0</v>
      </c>
      <c r="G3607" s="59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5"/>
      <c r="C3608" s="31" t="s">
        <v>3883</v>
      </c>
      <c r="D3608" s="32" t="s">
        <v>15</v>
      </c>
      <c r="E3608" s="31" t="s">
        <v>3917</v>
      </c>
      <c r="F3608" s="139">
        <v>46168.0</v>
      </c>
      <c r="G3608" s="59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5"/>
      <c r="C3609" s="31" t="s">
        <v>3883</v>
      </c>
      <c r="D3609" s="32" t="s">
        <v>15</v>
      </c>
      <c r="E3609" s="31" t="s">
        <v>3918</v>
      </c>
      <c r="F3609" s="139">
        <v>46168.0</v>
      </c>
      <c r="G3609" s="59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5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5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5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5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5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5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5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5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5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5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5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60"/>
      <c r="C3621" s="61" t="s">
        <v>3889</v>
      </c>
      <c r="D3621" s="62" t="s">
        <v>99</v>
      </c>
      <c r="E3621" s="62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47"/>
      <c r="M3621" s="50"/>
    </row>
    <row r="3622" ht="15.75" customHeight="1">
      <c r="A3622" s="218">
        <v>46172.0</v>
      </c>
      <c r="B3622" s="60"/>
      <c r="C3622" s="62" t="s">
        <v>784</v>
      </c>
      <c r="D3622" s="62" t="s">
        <v>3605</v>
      </c>
      <c r="E3622" s="62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47"/>
      <c r="M3622" s="50"/>
    </row>
    <row r="3623" ht="15.75" customHeight="1">
      <c r="A3623" s="218">
        <v>46172.0</v>
      </c>
      <c r="B3623" s="60"/>
      <c r="C3623" s="62" t="s">
        <v>3817</v>
      </c>
      <c r="D3623" s="62" t="s">
        <v>3605</v>
      </c>
      <c r="E3623" s="62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47"/>
      <c r="M3623" s="50"/>
    </row>
    <row r="3624" ht="15.75" customHeight="1">
      <c r="A3624" s="162">
        <v>46175.0</v>
      </c>
      <c r="B3624" s="55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5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5"/>
      <c r="C3626" s="31" t="s">
        <v>1842</v>
      </c>
      <c r="D3626" s="32" t="s">
        <v>99</v>
      </c>
      <c r="E3626" s="31" t="s">
        <v>3931</v>
      </c>
      <c r="F3626" s="134">
        <v>46199.0</v>
      </c>
      <c r="G3626" s="59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5"/>
      <c r="C3627" s="31" t="s">
        <v>1842</v>
      </c>
      <c r="D3627" s="32" t="s">
        <v>15</v>
      </c>
      <c r="E3627" s="31" t="s">
        <v>3932</v>
      </c>
      <c r="F3627" s="134">
        <v>46199.0</v>
      </c>
      <c r="G3627" s="59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5"/>
      <c r="C3628" s="31" t="s">
        <v>1842</v>
      </c>
      <c r="D3628" s="32" t="s">
        <v>15</v>
      </c>
      <c r="E3628" s="31" t="s">
        <v>3933</v>
      </c>
      <c r="F3628" s="134">
        <v>46199.0</v>
      </c>
      <c r="G3628" s="59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5"/>
      <c r="C3629" s="31" t="s">
        <v>1854</v>
      </c>
      <c r="D3629" s="32" t="s">
        <v>99</v>
      </c>
      <c r="E3629" s="31" t="s">
        <v>3934</v>
      </c>
      <c r="F3629" s="134">
        <v>46199.0</v>
      </c>
      <c r="G3629" s="59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47"/>
      <c r="M3629" s="50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47"/>
      <c r="M3630" s="50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47"/>
      <c r="M3631" s="50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47"/>
      <c r="M3632" s="50"/>
    </row>
    <row r="3633" ht="15.75" customHeight="1">
      <c r="A3633" s="162">
        <v>46176.0</v>
      </c>
      <c r="B3633" s="55"/>
      <c r="C3633" s="32" t="s">
        <v>1854</v>
      </c>
      <c r="D3633" s="32" t="s">
        <v>99</v>
      </c>
      <c r="E3633" s="31" t="s">
        <v>3938</v>
      </c>
      <c r="F3633" s="134">
        <v>46199.0</v>
      </c>
      <c r="G3633" s="59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47"/>
      <c r="M3633" s="50"/>
    </row>
    <row r="3634" ht="15.75" customHeight="1">
      <c r="A3634" s="162">
        <v>46176.0</v>
      </c>
      <c r="B3634" s="55"/>
      <c r="C3634" s="31" t="s">
        <v>1854</v>
      </c>
      <c r="D3634" s="32" t="s">
        <v>99</v>
      </c>
      <c r="E3634" s="31" t="s">
        <v>3939</v>
      </c>
      <c r="F3634" s="134">
        <v>46199.0</v>
      </c>
      <c r="G3634" s="59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47"/>
      <c r="M3634" s="50"/>
    </row>
    <row r="3635" ht="15.75" customHeight="1">
      <c r="A3635" s="162">
        <v>46176.0</v>
      </c>
      <c r="B3635" s="55"/>
      <c r="C3635" s="31" t="s">
        <v>1854</v>
      </c>
      <c r="D3635" s="32" t="s">
        <v>99</v>
      </c>
      <c r="E3635" s="31" t="s">
        <v>3940</v>
      </c>
      <c r="F3635" s="134">
        <v>46199.0</v>
      </c>
      <c r="G3635" s="59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47"/>
      <c r="M3635" s="50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47"/>
      <c r="M3636" s="50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47"/>
      <c r="M3637" s="50"/>
    </row>
    <row r="3638" ht="15.75" customHeight="1">
      <c r="A3638" s="162">
        <v>46176.0</v>
      </c>
      <c r="B3638" s="55"/>
      <c r="C3638" s="31" t="s">
        <v>1854</v>
      </c>
      <c r="D3638" s="32" t="s">
        <v>15</v>
      </c>
      <c r="E3638" s="31" t="s">
        <v>3943</v>
      </c>
      <c r="F3638" s="134">
        <v>46199.0</v>
      </c>
      <c r="G3638" s="59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47"/>
      <c r="M3638" s="50"/>
    </row>
    <row r="3639" ht="15.75" customHeight="1">
      <c r="A3639" s="162">
        <v>46176.0</v>
      </c>
      <c r="B3639" s="55"/>
      <c r="C3639" s="31" t="s">
        <v>1854</v>
      </c>
      <c r="D3639" s="32" t="s">
        <v>15</v>
      </c>
      <c r="E3639" s="31" t="s">
        <v>3944</v>
      </c>
      <c r="F3639" s="134">
        <v>46199.0</v>
      </c>
      <c r="G3639" s="59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47"/>
      <c r="M3639" s="50"/>
    </row>
    <row r="3640" ht="15.75" customHeight="1">
      <c r="A3640" s="162">
        <v>46176.0</v>
      </c>
      <c r="B3640" s="55"/>
      <c r="C3640" s="31" t="s">
        <v>1854</v>
      </c>
      <c r="D3640" s="32" t="s">
        <v>15</v>
      </c>
      <c r="E3640" s="31" t="s">
        <v>3945</v>
      </c>
      <c r="F3640" s="134">
        <v>46199.0</v>
      </c>
      <c r="G3640" s="59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47"/>
      <c r="M3640" s="50"/>
    </row>
    <row r="3641" ht="15.75" customHeight="1">
      <c r="A3641" s="162">
        <v>46176.0</v>
      </c>
      <c r="B3641" s="55"/>
      <c r="C3641" s="31" t="s">
        <v>1854</v>
      </c>
      <c r="D3641" s="32" t="s">
        <v>15</v>
      </c>
      <c r="E3641" s="31" t="s">
        <v>3946</v>
      </c>
      <c r="F3641" s="134">
        <v>46199.0</v>
      </c>
      <c r="G3641" s="59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47"/>
      <c r="M3641" s="50"/>
    </row>
    <row r="3642" ht="15.75" customHeight="1">
      <c r="A3642" s="162">
        <v>46176.0</v>
      </c>
      <c r="B3642" s="55"/>
      <c r="C3642" s="31" t="s">
        <v>1854</v>
      </c>
      <c r="D3642" s="32" t="s">
        <v>15</v>
      </c>
      <c r="E3642" s="31" t="s">
        <v>3947</v>
      </c>
      <c r="F3642" s="134">
        <v>46199.0</v>
      </c>
      <c r="G3642" s="59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47"/>
      <c r="M3642" s="50"/>
    </row>
    <row r="3643" ht="15.75" customHeight="1">
      <c r="A3643" s="162">
        <v>46176.0</v>
      </c>
      <c r="B3643" s="55"/>
      <c r="C3643" s="31" t="s">
        <v>1854</v>
      </c>
      <c r="D3643" s="32" t="s">
        <v>15</v>
      </c>
      <c r="E3643" s="31" t="s">
        <v>3948</v>
      </c>
      <c r="F3643" s="134">
        <v>46199.0</v>
      </c>
      <c r="G3643" s="59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47"/>
      <c r="M3643" s="50"/>
    </row>
    <row r="3644" ht="15.75" customHeight="1">
      <c r="A3644" s="162">
        <v>46176.0</v>
      </c>
      <c r="B3644" s="55"/>
      <c r="C3644" s="31" t="s">
        <v>1854</v>
      </c>
      <c r="D3644" s="32" t="s">
        <v>15</v>
      </c>
      <c r="E3644" s="31" t="s">
        <v>3949</v>
      </c>
      <c r="F3644" s="134">
        <v>46199.0</v>
      </c>
      <c r="G3644" s="59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47"/>
      <c r="M3644" s="50"/>
    </row>
    <row r="3645" ht="15.75" customHeight="1">
      <c r="A3645" s="162">
        <v>46176.0</v>
      </c>
      <c r="B3645" s="55"/>
      <c r="C3645" s="31" t="s">
        <v>1854</v>
      </c>
      <c r="D3645" s="32" t="s">
        <v>15</v>
      </c>
      <c r="E3645" s="31" t="s">
        <v>3950</v>
      </c>
      <c r="F3645" s="134">
        <v>46199.0</v>
      </c>
      <c r="G3645" s="59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47"/>
      <c r="M3645" s="50"/>
    </row>
    <row r="3646" ht="15.75" customHeight="1">
      <c r="A3646" s="162">
        <v>46176.0</v>
      </c>
      <c r="B3646" s="55"/>
      <c r="C3646" s="31" t="s">
        <v>1858</v>
      </c>
      <c r="D3646" s="32" t="s">
        <v>15</v>
      </c>
      <c r="E3646" s="31" t="s">
        <v>3951</v>
      </c>
      <c r="F3646" s="134">
        <v>46199.0</v>
      </c>
      <c r="G3646" s="59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5"/>
      <c r="C3647" s="31" t="s">
        <v>1858</v>
      </c>
      <c r="D3647" s="32" t="s">
        <v>15</v>
      </c>
      <c r="E3647" s="31" t="s">
        <v>3952</v>
      </c>
      <c r="F3647" s="134">
        <v>46199.0</v>
      </c>
      <c r="G3647" s="59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5"/>
      <c r="C3648" s="31" t="s">
        <v>1858</v>
      </c>
      <c r="D3648" s="32" t="s">
        <v>15</v>
      </c>
      <c r="E3648" s="31" t="s">
        <v>3953</v>
      </c>
      <c r="F3648" s="134">
        <v>46199.0</v>
      </c>
      <c r="G3648" s="59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5"/>
      <c r="C3649" s="31" t="s">
        <v>1858</v>
      </c>
      <c r="D3649" s="32" t="s">
        <v>99</v>
      </c>
      <c r="E3649" s="31" t="s">
        <v>3954</v>
      </c>
      <c r="F3649" s="134">
        <v>46199.0</v>
      </c>
      <c r="G3649" s="59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5"/>
      <c r="C3650" s="31" t="s">
        <v>1861</v>
      </c>
      <c r="D3650" s="32" t="s">
        <v>99</v>
      </c>
      <c r="E3650" s="31" t="s">
        <v>3955</v>
      </c>
      <c r="F3650" s="134">
        <v>46199.0</v>
      </c>
      <c r="G3650" s="59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5"/>
      <c r="C3651" s="31" t="s">
        <v>1861</v>
      </c>
      <c r="D3651" s="32" t="s">
        <v>99</v>
      </c>
      <c r="E3651" s="31" t="s">
        <v>3956</v>
      </c>
      <c r="F3651" s="134">
        <v>46199.0</v>
      </c>
      <c r="G3651" s="59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5"/>
      <c r="C3652" s="31" t="s">
        <v>1861</v>
      </c>
      <c r="D3652" s="32" t="s">
        <v>99</v>
      </c>
      <c r="E3652" s="31" t="s">
        <v>3957</v>
      </c>
      <c r="F3652" s="134">
        <v>46199.0</v>
      </c>
      <c r="G3652" s="59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5"/>
      <c r="C3653" s="31" t="s">
        <v>1861</v>
      </c>
      <c r="D3653" s="32" t="s">
        <v>99</v>
      </c>
      <c r="E3653" s="31" t="s">
        <v>3958</v>
      </c>
      <c r="F3653" s="134">
        <v>46199.0</v>
      </c>
      <c r="G3653" s="59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5"/>
      <c r="C3654" s="31" t="s">
        <v>1861</v>
      </c>
      <c r="D3654" s="32" t="s">
        <v>15</v>
      </c>
      <c r="E3654" s="31" t="s">
        <v>3959</v>
      </c>
      <c r="F3654" s="134">
        <v>46199.0</v>
      </c>
      <c r="G3654" s="59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5"/>
      <c r="C3655" s="31" t="s">
        <v>1861</v>
      </c>
      <c r="D3655" s="32" t="s">
        <v>15</v>
      </c>
      <c r="E3655" s="31" t="s">
        <v>3960</v>
      </c>
      <c r="F3655" s="134">
        <v>46199.0</v>
      </c>
      <c r="G3655" s="59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5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60"/>
      <c r="C3657" s="61" t="s">
        <v>2616</v>
      </c>
      <c r="D3657" s="62" t="s">
        <v>1543</v>
      </c>
      <c r="E3657" s="62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47"/>
      <c r="M3657" s="50"/>
    </row>
    <row r="3658" ht="15.75" customHeight="1">
      <c r="A3658" s="218">
        <v>46177.0</v>
      </c>
      <c r="B3658" s="60"/>
      <c r="C3658" s="61" t="s">
        <v>3885</v>
      </c>
      <c r="D3658" s="62" t="s">
        <v>15</v>
      </c>
      <c r="E3658" s="62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47"/>
      <c r="M3658" s="50"/>
    </row>
    <row r="3659" ht="15.75" customHeight="1">
      <c r="A3659" s="218">
        <v>46177.0</v>
      </c>
      <c r="B3659" s="60"/>
      <c r="C3659" s="61" t="s">
        <v>3885</v>
      </c>
      <c r="D3659" s="62" t="s">
        <v>15</v>
      </c>
      <c r="E3659" s="62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47"/>
      <c r="M3659" s="50"/>
    </row>
    <row r="3660" ht="15.75" customHeight="1">
      <c r="A3660" s="218">
        <v>46177.0</v>
      </c>
      <c r="B3660" s="60"/>
      <c r="C3660" s="61" t="s">
        <v>3885</v>
      </c>
      <c r="D3660" s="62" t="s">
        <v>15</v>
      </c>
      <c r="E3660" s="62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47"/>
      <c r="M3660" s="50"/>
    </row>
    <row r="3661" ht="15.75" customHeight="1">
      <c r="A3661" s="162">
        <v>46177.0</v>
      </c>
      <c r="B3661" s="55"/>
      <c r="C3661" s="31" t="s">
        <v>171</v>
      </c>
      <c r="D3661" s="32" t="s">
        <v>15</v>
      </c>
      <c r="E3661" s="31" t="s">
        <v>3966</v>
      </c>
      <c r="F3661" s="134">
        <v>46199.0</v>
      </c>
      <c r="G3661" s="59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5"/>
      <c r="C3662" s="31" t="s">
        <v>171</v>
      </c>
      <c r="D3662" s="32" t="s">
        <v>15</v>
      </c>
      <c r="E3662" s="31" t="s">
        <v>3967</v>
      </c>
      <c r="F3662" s="134">
        <v>46199.0</v>
      </c>
      <c r="G3662" s="59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5"/>
      <c r="C3663" s="31" t="s">
        <v>171</v>
      </c>
      <c r="D3663" s="32" t="s">
        <v>15</v>
      </c>
      <c r="E3663" s="31" t="s">
        <v>3968</v>
      </c>
      <c r="F3663" s="134">
        <v>46199.0</v>
      </c>
      <c r="G3663" s="59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5"/>
      <c r="C3664" s="31" t="s">
        <v>171</v>
      </c>
      <c r="D3664" s="32" t="s">
        <v>99</v>
      </c>
      <c r="E3664" s="31" t="s">
        <v>3969</v>
      </c>
      <c r="F3664" s="134">
        <v>46199.0</v>
      </c>
      <c r="G3664" s="59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5"/>
      <c r="C3665" s="31" t="s">
        <v>171</v>
      </c>
      <c r="D3665" s="32" t="s">
        <v>99</v>
      </c>
      <c r="E3665" s="31" t="s">
        <v>3970</v>
      </c>
      <c r="F3665" s="134">
        <v>46199.0</v>
      </c>
      <c r="G3665" s="59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5"/>
      <c r="C3666" s="31" t="s">
        <v>171</v>
      </c>
      <c r="D3666" s="32" t="s">
        <v>99</v>
      </c>
      <c r="E3666" s="31" t="s">
        <v>3971</v>
      </c>
      <c r="F3666" s="134">
        <v>46199.0</v>
      </c>
      <c r="G3666" s="59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5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5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5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5"/>
      <c r="C3670" s="31" t="s">
        <v>3976</v>
      </c>
      <c r="D3670" s="32" t="s">
        <v>15</v>
      </c>
      <c r="E3670" s="31" t="s">
        <v>3977</v>
      </c>
      <c r="F3670" s="134">
        <v>46199.0</v>
      </c>
      <c r="G3670" s="59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5"/>
      <c r="C3671" s="31" t="s">
        <v>2221</v>
      </c>
      <c r="D3671" s="32" t="s">
        <v>99</v>
      </c>
      <c r="E3671" s="31" t="s">
        <v>3978</v>
      </c>
      <c r="F3671" s="134">
        <v>46199.0</v>
      </c>
      <c r="G3671" s="59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5"/>
      <c r="C3672" s="31" t="s">
        <v>2221</v>
      </c>
      <c r="D3672" s="32" t="s">
        <v>99</v>
      </c>
      <c r="E3672" s="31" t="s">
        <v>3979</v>
      </c>
      <c r="F3672" s="134">
        <v>46199.0</v>
      </c>
      <c r="G3672" s="59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5"/>
      <c r="C3673" s="31" t="s">
        <v>2221</v>
      </c>
      <c r="D3673" s="32" t="s">
        <v>99</v>
      </c>
      <c r="E3673" s="31" t="s">
        <v>3980</v>
      </c>
      <c r="F3673" s="134">
        <v>46199.0</v>
      </c>
      <c r="G3673" s="59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5"/>
      <c r="C3674" s="31" t="s">
        <v>2221</v>
      </c>
      <c r="D3674" s="32" t="s">
        <v>99</v>
      </c>
      <c r="E3674" s="31" t="s">
        <v>3981</v>
      </c>
      <c r="F3674" s="134">
        <v>46199.0</v>
      </c>
      <c r="G3674" s="59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5"/>
      <c r="C3675" s="31" t="s">
        <v>2221</v>
      </c>
      <c r="D3675" s="32" t="s">
        <v>99</v>
      </c>
      <c r="E3675" s="31" t="s">
        <v>3982</v>
      </c>
      <c r="F3675" s="134">
        <v>46199.0</v>
      </c>
      <c r="G3675" s="59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5"/>
      <c r="C3676" s="31" t="s">
        <v>16</v>
      </c>
      <c r="D3676" s="32" t="s">
        <v>99</v>
      </c>
      <c r="E3676" s="31" t="s">
        <v>3983</v>
      </c>
      <c r="F3676" s="134">
        <v>46199.0</v>
      </c>
      <c r="G3676" s="59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5"/>
      <c r="C3677" s="31" t="s">
        <v>168</v>
      </c>
      <c r="D3677" s="32" t="s">
        <v>99</v>
      </c>
      <c r="E3677" s="31" t="s">
        <v>3984</v>
      </c>
      <c r="F3677" s="134">
        <v>46199.0</v>
      </c>
      <c r="G3677" s="59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5"/>
      <c r="C3678" s="31" t="s">
        <v>3596</v>
      </c>
      <c r="D3678" s="32" t="s">
        <v>99</v>
      </c>
      <c r="E3678" s="31" t="s">
        <v>3985</v>
      </c>
      <c r="F3678" s="134">
        <v>46199.0</v>
      </c>
      <c r="G3678" s="59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5"/>
      <c r="C3679" s="31" t="s">
        <v>1112</v>
      </c>
      <c r="D3679" s="32" t="s">
        <v>15</v>
      </c>
      <c r="E3679" s="31" t="s">
        <v>3986</v>
      </c>
      <c r="F3679" s="134">
        <v>46199.0</v>
      </c>
      <c r="G3679" s="59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5"/>
      <c r="C3680" s="31" t="s">
        <v>1112</v>
      </c>
      <c r="D3680" s="32" t="s">
        <v>15</v>
      </c>
      <c r="E3680" s="31" t="s">
        <v>3987</v>
      </c>
      <c r="F3680" s="134">
        <v>46199.0</v>
      </c>
      <c r="G3680" s="59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5"/>
      <c r="C3681" s="31" t="s">
        <v>1112</v>
      </c>
      <c r="D3681" s="32" t="s">
        <v>15</v>
      </c>
      <c r="E3681" s="31" t="s">
        <v>3988</v>
      </c>
      <c r="F3681" s="134">
        <v>46199.0</v>
      </c>
      <c r="G3681" s="59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5"/>
      <c r="C3682" s="31" t="s">
        <v>1112</v>
      </c>
      <c r="D3682" s="32" t="s">
        <v>99</v>
      </c>
      <c r="E3682" s="32" t="s">
        <v>3989</v>
      </c>
      <c r="F3682" s="134">
        <v>46199.0</v>
      </c>
      <c r="G3682" s="59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5"/>
      <c r="C3683" s="31" t="s">
        <v>1112</v>
      </c>
      <c r="D3683" s="32" t="s">
        <v>99</v>
      </c>
      <c r="E3683" s="32" t="s">
        <v>3990</v>
      </c>
      <c r="F3683" s="134">
        <v>46199.0</v>
      </c>
      <c r="G3683" s="59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5"/>
      <c r="C3684" s="31" t="s">
        <v>1112</v>
      </c>
      <c r="D3684" s="32" t="s">
        <v>99</v>
      </c>
      <c r="E3684" s="32" t="s">
        <v>3991</v>
      </c>
      <c r="F3684" s="134">
        <v>46199.0</v>
      </c>
      <c r="G3684" s="59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60"/>
      <c r="C3685" s="61" t="s">
        <v>3412</v>
      </c>
      <c r="D3685" s="61" t="s">
        <v>1021</v>
      </c>
      <c r="E3685" s="61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47"/>
      <c r="M3685" s="50"/>
    </row>
    <row r="3686" ht="15.75" customHeight="1">
      <c r="A3686" s="218">
        <v>46182.0</v>
      </c>
      <c r="B3686" s="60"/>
      <c r="C3686" s="61" t="s">
        <v>3412</v>
      </c>
      <c r="D3686" s="61" t="s">
        <v>1021</v>
      </c>
      <c r="E3686" s="61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47"/>
      <c r="M3686" s="50"/>
    </row>
    <row r="3687" ht="15.75" customHeight="1">
      <c r="A3687" s="218">
        <v>46182.0</v>
      </c>
      <c r="B3687" s="60"/>
      <c r="C3687" s="61" t="s">
        <v>3412</v>
      </c>
      <c r="D3687" s="61" t="s">
        <v>1021</v>
      </c>
      <c r="E3687" s="61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47"/>
      <c r="M3687" s="50"/>
    </row>
    <row r="3688" ht="15.75" customHeight="1">
      <c r="A3688" s="218">
        <v>46182.0</v>
      </c>
      <c r="B3688" s="60"/>
      <c r="C3688" s="61" t="s">
        <v>3412</v>
      </c>
      <c r="D3688" s="61" t="s">
        <v>1021</v>
      </c>
      <c r="E3688" s="61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47"/>
      <c r="M3688" s="50"/>
    </row>
    <row r="3689" ht="15.75" customHeight="1">
      <c r="A3689" s="162">
        <v>46184.0</v>
      </c>
      <c r="B3689" s="55"/>
      <c r="C3689" s="31" t="s">
        <v>567</v>
      </c>
      <c r="D3689" s="32" t="s">
        <v>15</v>
      </c>
      <c r="E3689" s="31" t="s">
        <v>3996</v>
      </c>
      <c r="F3689" s="134">
        <v>46199.0</v>
      </c>
      <c r="G3689" s="59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5"/>
      <c r="C3690" s="31" t="s">
        <v>567</v>
      </c>
      <c r="D3690" s="32" t="s">
        <v>15</v>
      </c>
      <c r="E3690" s="31" t="s">
        <v>3997</v>
      </c>
      <c r="F3690" s="134">
        <v>46199.0</v>
      </c>
      <c r="G3690" s="59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5"/>
      <c r="C3691" s="31" t="s">
        <v>567</v>
      </c>
      <c r="D3691" s="32" t="s">
        <v>99</v>
      </c>
      <c r="E3691" s="31" t="s">
        <v>3998</v>
      </c>
      <c r="F3691" s="134">
        <v>46199.0</v>
      </c>
      <c r="G3691" s="59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5"/>
      <c r="C3692" s="31" t="s">
        <v>567</v>
      </c>
      <c r="D3692" s="32" t="s">
        <v>99</v>
      </c>
      <c r="E3692" s="31" t="s">
        <v>3999</v>
      </c>
      <c r="F3692" s="134">
        <v>46199.0</v>
      </c>
      <c r="G3692" s="59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5"/>
      <c r="C3693" s="31" t="s">
        <v>4000</v>
      </c>
      <c r="D3693" s="32" t="s">
        <v>99</v>
      </c>
      <c r="E3693" s="32" t="s">
        <v>4001</v>
      </c>
      <c r="F3693" s="134">
        <v>46199.0</v>
      </c>
      <c r="G3693" s="59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5"/>
      <c r="C3694" s="31" t="s">
        <v>4000</v>
      </c>
      <c r="D3694" s="32" t="s">
        <v>99</v>
      </c>
      <c r="E3694" s="32" t="s">
        <v>4002</v>
      </c>
      <c r="F3694" s="134">
        <v>46199.0</v>
      </c>
      <c r="G3694" s="59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5"/>
      <c r="C3695" s="31" t="s">
        <v>4000</v>
      </c>
      <c r="D3695" s="32" t="s">
        <v>99</v>
      </c>
      <c r="E3695" s="32" t="s">
        <v>4003</v>
      </c>
      <c r="F3695" s="134">
        <v>46199.0</v>
      </c>
      <c r="G3695" s="59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5"/>
      <c r="C3696" s="31" t="s">
        <v>4000</v>
      </c>
      <c r="D3696" s="32" t="s">
        <v>99</v>
      </c>
      <c r="E3696" s="32" t="s">
        <v>4004</v>
      </c>
      <c r="F3696" s="134">
        <v>46199.0</v>
      </c>
      <c r="G3696" s="59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5"/>
      <c r="C3697" s="31" t="s">
        <v>4000</v>
      </c>
      <c r="D3697" s="32" t="s">
        <v>99</v>
      </c>
      <c r="E3697" s="32" t="s">
        <v>4005</v>
      </c>
      <c r="F3697" s="134">
        <v>46199.0</v>
      </c>
      <c r="G3697" s="59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5"/>
      <c r="C3698" s="31" t="s">
        <v>4000</v>
      </c>
      <c r="D3698" s="32" t="s">
        <v>99</v>
      </c>
      <c r="E3698" s="32" t="s">
        <v>4006</v>
      </c>
      <c r="F3698" s="134">
        <v>46199.0</v>
      </c>
      <c r="G3698" s="59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5"/>
      <c r="C3699" s="31" t="s">
        <v>4000</v>
      </c>
      <c r="D3699" s="32" t="s">
        <v>99</v>
      </c>
      <c r="E3699" s="32" t="s">
        <v>4007</v>
      </c>
      <c r="F3699" s="134">
        <v>46199.0</v>
      </c>
      <c r="G3699" s="59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5"/>
      <c r="C3700" s="31" t="s">
        <v>4000</v>
      </c>
      <c r="D3700" s="32" t="s">
        <v>99</v>
      </c>
      <c r="E3700" s="32" t="s">
        <v>4008</v>
      </c>
      <c r="F3700" s="134">
        <v>46199.0</v>
      </c>
      <c r="G3700" s="59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5"/>
      <c r="C3701" s="31" t="s">
        <v>491</v>
      </c>
      <c r="D3701" s="32" t="s">
        <v>99</v>
      </c>
      <c r="E3701" s="31" t="s">
        <v>4009</v>
      </c>
      <c r="F3701" s="134">
        <v>46199.0</v>
      </c>
      <c r="G3701" s="59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47"/>
      <c r="M3701" s="50"/>
    </row>
    <row r="3702" ht="15.75" customHeight="1">
      <c r="A3702" s="162">
        <v>46184.0</v>
      </c>
      <c r="B3702" s="55"/>
      <c r="C3702" s="31" t="s">
        <v>491</v>
      </c>
      <c r="D3702" s="32" t="s">
        <v>99</v>
      </c>
      <c r="E3702" s="31" t="s">
        <v>4010</v>
      </c>
      <c r="F3702" s="134">
        <v>46199.0</v>
      </c>
      <c r="G3702" s="59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47"/>
      <c r="M3702" s="50"/>
    </row>
    <row r="3703" ht="15.75" customHeight="1">
      <c r="A3703" s="162">
        <v>46184.0</v>
      </c>
      <c r="B3703" s="55"/>
      <c r="C3703" s="31" t="s">
        <v>491</v>
      </c>
      <c r="D3703" s="32" t="s">
        <v>99</v>
      </c>
      <c r="E3703" s="31" t="s">
        <v>4011</v>
      </c>
      <c r="F3703" s="134">
        <v>46199.0</v>
      </c>
      <c r="G3703" s="59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47"/>
      <c r="M3703" s="50"/>
    </row>
    <row r="3704" ht="15.75" customHeight="1">
      <c r="A3704" s="162">
        <v>46184.0</v>
      </c>
      <c r="B3704" s="55"/>
      <c r="C3704" s="31" t="s">
        <v>491</v>
      </c>
      <c r="D3704" s="32" t="s">
        <v>15</v>
      </c>
      <c r="E3704" s="31" t="s">
        <v>4012</v>
      </c>
      <c r="F3704" s="134">
        <v>46199.0</v>
      </c>
      <c r="G3704" s="59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47"/>
      <c r="M3704" s="50"/>
    </row>
    <row r="3705" ht="15.75" customHeight="1">
      <c r="A3705" s="162">
        <v>46184.0</v>
      </c>
      <c r="B3705" s="55"/>
      <c r="C3705" s="31" t="s">
        <v>491</v>
      </c>
      <c r="D3705" s="32" t="s">
        <v>15</v>
      </c>
      <c r="E3705" s="31" t="s">
        <v>4013</v>
      </c>
      <c r="F3705" s="134">
        <v>46199.0</v>
      </c>
      <c r="G3705" s="59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47"/>
      <c r="M3705" s="50"/>
    </row>
    <row r="3706" ht="15.75" customHeight="1">
      <c r="A3706" s="162">
        <v>46184.0</v>
      </c>
      <c r="B3706" s="55"/>
      <c r="C3706" s="31" t="s">
        <v>491</v>
      </c>
      <c r="D3706" s="32" t="s">
        <v>15</v>
      </c>
      <c r="E3706" s="31" t="s">
        <v>4014</v>
      </c>
      <c r="F3706" s="134">
        <v>46199.0</v>
      </c>
      <c r="G3706" s="59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47"/>
      <c r="M3706" s="50"/>
    </row>
    <row r="3707" ht="15.75" customHeight="1">
      <c r="A3707" s="162">
        <v>46184.0</v>
      </c>
      <c r="B3707" s="55"/>
      <c r="C3707" s="31" t="s">
        <v>491</v>
      </c>
      <c r="D3707" s="32" t="s">
        <v>15</v>
      </c>
      <c r="E3707" s="31" t="s">
        <v>4015</v>
      </c>
      <c r="F3707" s="134">
        <v>46199.0</v>
      </c>
      <c r="G3707" s="59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47"/>
      <c r="M3707" s="50"/>
    </row>
    <row r="3708" ht="15.75" customHeight="1">
      <c r="A3708" s="162">
        <v>46184.0</v>
      </c>
      <c r="B3708" s="55"/>
      <c r="C3708" s="31" t="s">
        <v>1285</v>
      </c>
      <c r="D3708" s="32" t="s">
        <v>15</v>
      </c>
      <c r="E3708" s="31" t="s">
        <v>4016</v>
      </c>
      <c r="F3708" s="134">
        <v>46199.0</v>
      </c>
      <c r="G3708" s="59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218">
        <v>46185.0</v>
      </c>
      <c r="B3709" s="60"/>
      <c r="C3709" s="61" t="s">
        <v>1189</v>
      </c>
      <c r="D3709" s="62" t="s">
        <v>99</v>
      </c>
      <c r="E3709" s="61" t="s">
        <v>4017</v>
      </c>
      <c r="F3709" s="137">
        <v>46199.0</v>
      </c>
      <c r="G3709" s="155">
        <v>2.001147023E7</v>
      </c>
      <c r="H3709" s="9">
        <f t="shared" si="11"/>
        <v>4202408.748</v>
      </c>
      <c r="I3709" s="44">
        <v>600344.11</v>
      </c>
      <c r="J3709" s="44"/>
      <c r="K3709" s="10">
        <f t="shared" si="12"/>
        <v>24814223.09</v>
      </c>
      <c r="L3709" s="47"/>
      <c r="M3709" s="50"/>
    </row>
    <row r="3710" ht="15.75" customHeight="1">
      <c r="A3710" s="162">
        <v>46185.0</v>
      </c>
      <c r="B3710" s="55"/>
      <c r="C3710" s="31" t="s">
        <v>1183</v>
      </c>
      <c r="D3710" s="32" t="s">
        <v>15</v>
      </c>
      <c r="E3710" s="31" t="s">
        <v>4018</v>
      </c>
      <c r="F3710" s="134">
        <v>46199.0</v>
      </c>
      <c r="G3710" s="59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5"/>
      <c r="C3711" s="31" t="s">
        <v>1183</v>
      </c>
      <c r="D3711" s="32" t="s">
        <v>15</v>
      </c>
      <c r="E3711" s="31" t="s">
        <v>4019</v>
      </c>
      <c r="F3711" s="134">
        <v>46199.0</v>
      </c>
      <c r="G3711" s="59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5"/>
      <c r="C3712" s="31" t="s">
        <v>1183</v>
      </c>
      <c r="D3712" s="32" t="s">
        <v>15</v>
      </c>
      <c r="E3712" s="31" t="s">
        <v>4020</v>
      </c>
      <c r="F3712" s="134">
        <v>46199.0</v>
      </c>
      <c r="G3712" s="59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5"/>
      <c r="C3713" s="31" t="s">
        <v>1183</v>
      </c>
      <c r="D3713" s="32" t="s">
        <v>15</v>
      </c>
      <c r="E3713" s="31" t="s">
        <v>4021</v>
      </c>
      <c r="F3713" s="134">
        <v>46199.0</v>
      </c>
      <c r="G3713" s="59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5"/>
      <c r="C3714" s="31" t="s">
        <v>1183</v>
      </c>
      <c r="D3714" s="32" t="s">
        <v>15</v>
      </c>
      <c r="E3714" s="31" t="s">
        <v>4022</v>
      </c>
      <c r="F3714" s="134">
        <v>46199.0</v>
      </c>
      <c r="G3714" s="59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5"/>
      <c r="C3715" s="31" t="s">
        <v>1183</v>
      </c>
      <c r="D3715" s="32" t="s">
        <v>15</v>
      </c>
      <c r="E3715" s="31" t="s">
        <v>4023</v>
      </c>
      <c r="F3715" s="134">
        <v>46199.0</v>
      </c>
      <c r="G3715" s="59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5"/>
      <c r="C3716" s="31" t="s">
        <v>3580</v>
      </c>
      <c r="D3716" s="32" t="s">
        <v>99</v>
      </c>
      <c r="E3716" s="31" t="s">
        <v>4024</v>
      </c>
      <c r="F3716" s="134">
        <v>46199.0</v>
      </c>
      <c r="G3716" s="59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5"/>
      <c r="C3717" s="31" t="s">
        <v>3580</v>
      </c>
      <c r="D3717" s="32" t="s">
        <v>99</v>
      </c>
      <c r="E3717" s="31" t="s">
        <v>4025</v>
      </c>
      <c r="F3717" s="134">
        <v>46199.0</v>
      </c>
      <c r="G3717" s="59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5"/>
      <c r="C3718" s="32" t="s">
        <v>53</v>
      </c>
      <c r="D3718" s="32" t="s">
        <v>15</v>
      </c>
      <c r="E3718" s="31" t="s">
        <v>4026</v>
      </c>
      <c r="F3718" s="134">
        <v>46199.0</v>
      </c>
      <c r="G3718" s="59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5"/>
      <c r="C3719" s="32" t="s">
        <v>53</v>
      </c>
      <c r="D3719" s="32" t="s">
        <v>15</v>
      </c>
      <c r="E3719" s="31" t="s">
        <v>4027</v>
      </c>
      <c r="F3719" s="134">
        <v>46199.0</v>
      </c>
      <c r="G3719" s="59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5"/>
      <c r="C3720" s="31" t="s">
        <v>4028</v>
      </c>
      <c r="D3720" s="32" t="s">
        <v>15</v>
      </c>
      <c r="E3720" s="31" t="s">
        <v>4029</v>
      </c>
      <c r="F3720" s="134">
        <v>46199.0</v>
      </c>
      <c r="G3720" s="59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5"/>
      <c r="C3721" s="31" t="s">
        <v>3385</v>
      </c>
      <c r="D3721" s="32" t="s">
        <v>15</v>
      </c>
      <c r="E3721" s="31" t="s">
        <v>4030</v>
      </c>
      <c r="F3721" s="134">
        <v>46199.0</v>
      </c>
      <c r="G3721" s="59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5"/>
      <c r="C3722" s="31" t="s">
        <v>2495</v>
      </c>
      <c r="D3722" s="32" t="s">
        <v>99</v>
      </c>
      <c r="E3722" s="31" t="s">
        <v>4031</v>
      </c>
      <c r="F3722" s="134">
        <v>46199.0</v>
      </c>
      <c r="G3722" s="59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5"/>
      <c r="C3723" s="31" t="s">
        <v>2495</v>
      </c>
      <c r="D3723" s="32" t="s">
        <v>99</v>
      </c>
      <c r="E3723" s="31" t="s">
        <v>4032</v>
      </c>
      <c r="F3723" s="134">
        <v>46199.0</v>
      </c>
      <c r="G3723" s="59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5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5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5"/>
      <c r="C3726" s="31" t="s">
        <v>124</v>
      </c>
      <c r="D3726" s="32" t="s">
        <v>15</v>
      </c>
      <c r="E3726" s="31" t="s">
        <v>4035</v>
      </c>
      <c r="F3726" s="134">
        <v>46199.0</v>
      </c>
      <c r="G3726" s="59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5"/>
      <c r="C3727" s="31" t="s">
        <v>124</v>
      </c>
      <c r="D3727" s="32" t="s">
        <v>15</v>
      </c>
      <c r="E3727" s="31" t="s">
        <v>4036</v>
      </c>
      <c r="F3727" s="134">
        <v>46199.0</v>
      </c>
      <c r="G3727" s="59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5"/>
      <c r="C3728" s="31" t="s">
        <v>1183</v>
      </c>
      <c r="D3728" s="32" t="s">
        <v>15</v>
      </c>
      <c r="E3728" s="31" t="s">
        <v>4037</v>
      </c>
      <c r="F3728" s="134">
        <v>46199.0</v>
      </c>
      <c r="G3728" s="59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5"/>
      <c r="C3729" s="31" t="s">
        <v>1183</v>
      </c>
      <c r="D3729" s="32" t="s">
        <v>15</v>
      </c>
      <c r="E3729" s="31" t="s">
        <v>4038</v>
      </c>
      <c r="F3729" s="134">
        <v>46199.0</v>
      </c>
      <c r="G3729" s="59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5"/>
      <c r="C3730" s="31" t="s">
        <v>1183</v>
      </c>
      <c r="D3730" s="32" t="s">
        <v>15</v>
      </c>
      <c r="E3730" s="31" t="s">
        <v>4039</v>
      </c>
      <c r="F3730" s="134">
        <v>46199.0</v>
      </c>
      <c r="G3730" s="59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5"/>
      <c r="C3731" s="31" t="s">
        <v>1183</v>
      </c>
      <c r="D3731" s="32" t="s">
        <v>15</v>
      </c>
      <c r="E3731" s="31" t="s">
        <v>4040</v>
      </c>
      <c r="F3731" s="134">
        <v>46199.0</v>
      </c>
      <c r="G3731" s="59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5"/>
      <c r="C3732" s="31" t="s">
        <v>1183</v>
      </c>
      <c r="D3732" s="32" t="s">
        <v>15</v>
      </c>
      <c r="E3732" s="31" t="s">
        <v>4041</v>
      </c>
      <c r="F3732" s="134">
        <v>46199.0</v>
      </c>
      <c r="G3732" s="59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5"/>
      <c r="C3733" s="31" t="s">
        <v>1183</v>
      </c>
      <c r="D3733" s="32" t="s">
        <v>15</v>
      </c>
      <c r="E3733" s="31" t="s">
        <v>4042</v>
      </c>
      <c r="F3733" s="134">
        <v>46199.0</v>
      </c>
      <c r="G3733" s="59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5"/>
      <c r="C3734" s="31" t="s">
        <v>1183</v>
      </c>
      <c r="D3734" s="32" t="s">
        <v>15</v>
      </c>
      <c r="E3734" s="31" t="s">
        <v>4043</v>
      </c>
      <c r="F3734" s="134">
        <v>46199.0</v>
      </c>
      <c r="G3734" s="59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5"/>
      <c r="C3735" s="31" t="s">
        <v>3385</v>
      </c>
      <c r="D3735" s="32" t="s">
        <v>15</v>
      </c>
      <c r="E3735" s="31" t="s">
        <v>4044</v>
      </c>
      <c r="F3735" s="134">
        <v>46199.0</v>
      </c>
      <c r="G3735" s="59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5"/>
      <c r="C3736" s="31" t="s">
        <v>3385</v>
      </c>
      <c r="D3736" s="32" t="s">
        <v>15</v>
      </c>
      <c r="E3736" s="31" t="s">
        <v>4045</v>
      </c>
      <c r="F3736" s="134">
        <v>46199.0</v>
      </c>
      <c r="G3736" s="59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5"/>
      <c r="C3737" s="31" t="s">
        <v>3385</v>
      </c>
      <c r="D3737" s="32" t="s">
        <v>15</v>
      </c>
      <c r="E3737" s="31" t="s">
        <v>4046</v>
      </c>
      <c r="F3737" s="134">
        <v>46199.0</v>
      </c>
      <c r="G3737" s="59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5"/>
      <c r="C3738" s="32" t="s">
        <v>4047</v>
      </c>
      <c r="D3738" s="32" t="s">
        <v>15</v>
      </c>
      <c r="E3738" s="31" t="s">
        <v>4048</v>
      </c>
      <c r="F3738" s="134">
        <v>46199.0</v>
      </c>
      <c r="G3738" s="59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5"/>
      <c r="C3739" s="31" t="s">
        <v>196</v>
      </c>
      <c r="D3739" s="32" t="s">
        <v>15</v>
      </c>
      <c r="E3739" s="31" t="s">
        <v>4049</v>
      </c>
      <c r="F3739" s="134">
        <v>46199.0</v>
      </c>
      <c r="G3739" s="59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5"/>
      <c r="C3740" s="31" t="s">
        <v>1285</v>
      </c>
      <c r="D3740" s="32" t="s">
        <v>15</v>
      </c>
      <c r="E3740" s="31" t="s">
        <v>4050</v>
      </c>
      <c r="F3740" s="134">
        <v>46199.0</v>
      </c>
      <c r="G3740" s="59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5"/>
      <c r="C3741" s="144" t="s">
        <v>973</v>
      </c>
      <c r="D3741" s="32" t="s">
        <v>15</v>
      </c>
      <c r="E3741" s="31" t="s">
        <v>4051</v>
      </c>
      <c r="F3741" s="134">
        <v>46199.0</v>
      </c>
      <c r="G3741" s="59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5"/>
      <c r="C3742" s="144" t="s">
        <v>973</v>
      </c>
      <c r="D3742" s="32" t="s">
        <v>15</v>
      </c>
      <c r="E3742" s="31" t="s">
        <v>4052</v>
      </c>
      <c r="F3742" s="134">
        <v>46199.0</v>
      </c>
      <c r="G3742" s="59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5"/>
      <c r="C3743" s="144" t="s">
        <v>973</v>
      </c>
      <c r="D3743" s="32" t="s">
        <v>15</v>
      </c>
      <c r="E3743" s="31" t="s">
        <v>4053</v>
      </c>
      <c r="F3743" s="134">
        <v>46199.0</v>
      </c>
      <c r="G3743" s="59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5"/>
      <c r="C3744" s="31" t="s">
        <v>973</v>
      </c>
      <c r="D3744" s="32" t="s">
        <v>15</v>
      </c>
      <c r="E3744" s="31" t="s">
        <v>4054</v>
      </c>
      <c r="F3744" s="134">
        <v>46199.0</v>
      </c>
      <c r="G3744" s="59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5"/>
      <c r="C3745" s="31" t="s">
        <v>973</v>
      </c>
      <c r="D3745" s="32" t="s">
        <v>99</v>
      </c>
      <c r="E3745" s="32" t="s">
        <v>4055</v>
      </c>
      <c r="F3745" s="134">
        <v>46199.0</v>
      </c>
      <c r="G3745" s="59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5"/>
      <c r="C3746" s="31" t="s">
        <v>973</v>
      </c>
      <c r="D3746" s="32" t="s">
        <v>99</v>
      </c>
      <c r="E3746" s="32" t="s">
        <v>4056</v>
      </c>
      <c r="F3746" s="134">
        <v>46199.0</v>
      </c>
      <c r="G3746" s="59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5"/>
      <c r="C3747" s="31" t="s">
        <v>973</v>
      </c>
      <c r="D3747" s="32" t="s">
        <v>99</v>
      </c>
      <c r="E3747" s="32" t="s">
        <v>4057</v>
      </c>
      <c r="F3747" s="134">
        <v>46199.0</v>
      </c>
      <c r="G3747" s="59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5"/>
      <c r="C3748" s="31" t="s">
        <v>973</v>
      </c>
      <c r="D3748" s="32" t="s">
        <v>99</v>
      </c>
      <c r="E3748" s="32" t="s">
        <v>4058</v>
      </c>
      <c r="F3748" s="134">
        <v>46199.0</v>
      </c>
      <c r="G3748" s="59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5"/>
      <c r="C3749" s="31" t="s">
        <v>1183</v>
      </c>
      <c r="D3749" s="32" t="s">
        <v>15</v>
      </c>
      <c r="E3749" s="31" t="s">
        <v>4059</v>
      </c>
      <c r="F3749" s="134">
        <v>46199.0</v>
      </c>
      <c r="G3749" s="59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5"/>
      <c r="C3750" s="31" t="s">
        <v>1183</v>
      </c>
      <c r="D3750" s="32" t="s">
        <v>15</v>
      </c>
      <c r="E3750" s="31" t="s">
        <v>4060</v>
      </c>
      <c r="F3750" s="134">
        <v>46199.0</v>
      </c>
      <c r="G3750" s="59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5"/>
      <c r="C3751" s="31" t="s">
        <v>1183</v>
      </c>
      <c r="D3751" s="32" t="s">
        <v>15</v>
      </c>
      <c r="E3751" s="31" t="s">
        <v>4061</v>
      </c>
      <c r="F3751" s="134">
        <v>46199.0</v>
      </c>
      <c r="G3751" s="59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5"/>
      <c r="C3752" s="31" t="s">
        <v>171</v>
      </c>
      <c r="D3752" s="32" t="s">
        <v>99</v>
      </c>
      <c r="E3752" s="32" t="s">
        <v>4062</v>
      </c>
      <c r="F3752" s="134">
        <v>46199.0</v>
      </c>
      <c r="G3752" s="59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5"/>
      <c r="C3753" s="31" t="s">
        <v>171</v>
      </c>
      <c r="D3753" s="32" t="s">
        <v>15</v>
      </c>
      <c r="E3753" s="31" t="s">
        <v>4063</v>
      </c>
      <c r="F3753" s="134">
        <v>46199.0</v>
      </c>
      <c r="G3753" s="59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5"/>
      <c r="C3754" s="31" t="s">
        <v>1283</v>
      </c>
      <c r="D3754" s="32" t="s">
        <v>99</v>
      </c>
      <c r="E3754" s="31" t="s">
        <v>4064</v>
      </c>
      <c r="F3754" s="134">
        <v>46199.0</v>
      </c>
      <c r="G3754" s="59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5"/>
      <c r="C3755" s="31" t="s">
        <v>1283</v>
      </c>
      <c r="D3755" s="32" t="s">
        <v>99</v>
      </c>
      <c r="E3755" s="31" t="s">
        <v>4065</v>
      </c>
      <c r="F3755" s="134">
        <v>46199.0</v>
      </c>
      <c r="G3755" s="59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5"/>
      <c r="C3756" s="31" t="s">
        <v>1281</v>
      </c>
      <c r="D3756" s="32" t="s">
        <v>99</v>
      </c>
      <c r="E3756" s="31" t="s">
        <v>4066</v>
      </c>
      <c r="F3756" s="134">
        <v>46199.0</v>
      </c>
      <c r="G3756" s="59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5"/>
      <c r="C3757" s="31" t="s">
        <v>1281</v>
      </c>
      <c r="D3757" s="32" t="s">
        <v>99</v>
      </c>
      <c r="E3757" s="31" t="s">
        <v>4067</v>
      </c>
      <c r="F3757" s="134">
        <v>46199.0</v>
      </c>
      <c r="G3757" s="59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5"/>
      <c r="C3758" s="31" t="s">
        <v>1279</v>
      </c>
      <c r="D3758" s="32" t="s">
        <v>99</v>
      </c>
      <c r="E3758" s="31" t="s">
        <v>4068</v>
      </c>
      <c r="F3758" s="134">
        <v>46199.0</v>
      </c>
      <c r="G3758" s="59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5"/>
      <c r="C3759" s="31" t="s">
        <v>1279</v>
      </c>
      <c r="D3759" s="32" t="s">
        <v>99</v>
      </c>
      <c r="E3759" s="31" t="s">
        <v>4069</v>
      </c>
      <c r="F3759" s="134">
        <v>46199.0</v>
      </c>
      <c r="G3759" s="59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5"/>
      <c r="C3760" s="31" t="s">
        <v>1279</v>
      </c>
      <c r="D3760" s="32" t="s">
        <v>99</v>
      </c>
      <c r="E3760" s="31" t="s">
        <v>4070</v>
      </c>
      <c r="F3760" s="134">
        <v>46199.0</v>
      </c>
      <c r="G3760" s="59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5"/>
      <c r="C3761" s="31" t="s">
        <v>1277</v>
      </c>
      <c r="D3761" s="32" t="s">
        <v>99</v>
      </c>
      <c r="E3761" s="31" t="s">
        <v>4071</v>
      </c>
      <c r="F3761" s="134">
        <v>46199.0</v>
      </c>
      <c r="G3761" s="59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5"/>
      <c r="C3762" s="31" t="s">
        <v>1277</v>
      </c>
      <c r="D3762" s="32" t="s">
        <v>99</v>
      </c>
      <c r="E3762" s="31" t="s">
        <v>4072</v>
      </c>
      <c r="F3762" s="134">
        <v>46199.0</v>
      </c>
      <c r="G3762" s="59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5"/>
      <c r="C3763" s="31" t="s">
        <v>1312</v>
      </c>
      <c r="D3763" s="32" t="s">
        <v>99</v>
      </c>
      <c r="E3763" s="31" t="s">
        <v>4073</v>
      </c>
      <c r="F3763" s="134">
        <v>46199.0</v>
      </c>
      <c r="G3763" s="59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5"/>
      <c r="C3764" s="31" t="s">
        <v>1312</v>
      </c>
      <c r="D3764" s="32" t="s">
        <v>99</v>
      </c>
      <c r="E3764" s="31" t="s">
        <v>4074</v>
      </c>
      <c r="F3764" s="134">
        <v>46199.0</v>
      </c>
      <c r="G3764" s="59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5"/>
      <c r="C3765" s="31" t="s">
        <v>1285</v>
      </c>
      <c r="D3765" s="32" t="s">
        <v>15</v>
      </c>
      <c r="E3765" s="31" t="s">
        <v>4075</v>
      </c>
      <c r="F3765" s="134">
        <v>46199.0</v>
      </c>
      <c r="G3765" s="59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5"/>
      <c r="C3766" s="31" t="s">
        <v>64</v>
      </c>
      <c r="D3766" s="32" t="s">
        <v>99</v>
      </c>
      <c r="E3766" s="31" t="s">
        <v>4076</v>
      </c>
      <c r="F3766" s="134">
        <v>46199.0</v>
      </c>
      <c r="G3766" s="59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5"/>
      <c r="C3767" s="31" t="s">
        <v>64</v>
      </c>
      <c r="D3767" s="32" t="s">
        <v>15</v>
      </c>
      <c r="E3767" s="31" t="s">
        <v>4077</v>
      </c>
      <c r="F3767" s="134">
        <v>46199.0</v>
      </c>
      <c r="G3767" s="59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5"/>
      <c r="C3768" s="31" t="s">
        <v>1179</v>
      </c>
      <c r="D3768" s="32" t="s">
        <v>99</v>
      </c>
      <c r="E3768" s="31" t="s">
        <v>4078</v>
      </c>
      <c r="F3768" s="134">
        <v>46199.0</v>
      </c>
      <c r="G3768" s="59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5"/>
      <c r="C3769" s="31" t="s">
        <v>1179</v>
      </c>
      <c r="D3769" s="32" t="s">
        <v>99</v>
      </c>
      <c r="E3769" s="31" t="s">
        <v>4079</v>
      </c>
      <c r="F3769" s="134">
        <v>46199.0</v>
      </c>
      <c r="G3769" s="59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5"/>
      <c r="C3770" s="31" t="s">
        <v>1179</v>
      </c>
      <c r="D3770" s="32" t="s">
        <v>99</v>
      </c>
      <c r="E3770" s="31" t="s">
        <v>4080</v>
      </c>
      <c r="F3770" s="134">
        <v>46199.0</v>
      </c>
      <c r="G3770" s="59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218">
        <v>46198.0</v>
      </c>
      <c r="B3771" s="60"/>
      <c r="C3771" s="61" t="s">
        <v>1179</v>
      </c>
      <c r="D3771" s="62" t="s">
        <v>15</v>
      </c>
      <c r="E3771" s="61" t="s">
        <v>4081</v>
      </c>
      <c r="F3771" s="137">
        <v>46199.0</v>
      </c>
      <c r="G3771" s="155">
        <v>1.444928062E7</v>
      </c>
      <c r="H3771" s="9">
        <f t="shared" si="11"/>
        <v>3034348.93</v>
      </c>
      <c r="I3771" s="44"/>
      <c r="J3771" s="44">
        <v>288985.61</v>
      </c>
      <c r="K3771" s="10">
        <f t="shared" si="12"/>
        <v>17772615.16</v>
      </c>
      <c r="L3771" s="47"/>
      <c r="M3771" s="50"/>
    </row>
    <row r="3772" ht="15.75" customHeight="1">
      <c r="A3772" s="218">
        <v>46198.0</v>
      </c>
      <c r="B3772" s="60"/>
      <c r="C3772" s="61" t="s">
        <v>1179</v>
      </c>
      <c r="D3772" s="62" t="s">
        <v>15</v>
      </c>
      <c r="E3772" s="61" t="s">
        <v>4082</v>
      </c>
      <c r="F3772" s="137">
        <v>46199.0</v>
      </c>
      <c r="G3772" s="155">
        <v>1.337835007E7</v>
      </c>
      <c r="H3772" s="9">
        <f t="shared" si="11"/>
        <v>2809453.515</v>
      </c>
      <c r="I3772" s="44"/>
      <c r="J3772" s="44">
        <v>267567.0</v>
      </c>
      <c r="K3772" s="10">
        <f t="shared" si="12"/>
        <v>16455370.58</v>
      </c>
      <c r="L3772" s="47"/>
      <c r="M3772" s="50"/>
    </row>
    <row r="3773" ht="15.75" customHeight="1">
      <c r="A3773" s="218">
        <v>46198.0</v>
      </c>
      <c r="B3773" s="60"/>
      <c r="C3773" s="61" t="s">
        <v>1179</v>
      </c>
      <c r="D3773" s="62" t="s">
        <v>15</v>
      </c>
      <c r="E3773" s="61" t="s">
        <v>4083</v>
      </c>
      <c r="F3773" s="137">
        <v>46199.0</v>
      </c>
      <c r="G3773" s="155">
        <v>1.418644085E7</v>
      </c>
      <c r="H3773" s="9">
        <f t="shared" si="11"/>
        <v>2979152.579</v>
      </c>
      <c r="I3773" s="44"/>
      <c r="J3773" s="44">
        <v>283728.82</v>
      </c>
      <c r="K3773" s="10">
        <f t="shared" si="12"/>
        <v>17449322.25</v>
      </c>
      <c r="L3773" s="47"/>
      <c r="M3773" s="50"/>
    </row>
    <row r="3774" ht="15.75" customHeight="1">
      <c r="A3774" s="162">
        <v>46198.0</v>
      </c>
      <c r="B3774" s="55"/>
      <c r="C3774" s="31" t="s">
        <v>1183</v>
      </c>
      <c r="D3774" s="32" t="s">
        <v>15</v>
      </c>
      <c r="E3774" s="31" t="s">
        <v>4084</v>
      </c>
      <c r="F3774" s="134">
        <v>46199.0</v>
      </c>
      <c r="G3774" s="59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5"/>
      <c r="C3775" s="31" t="s">
        <v>1183</v>
      </c>
      <c r="D3775" s="32" t="s">
        <v>15</v>
      </c>
      <c r="E3775" s="31" t="s">
        <v>4085</v>
      </c>
      <c r="F3775" s="134">
        <v>46199.0</v>
      </c>
      <c r="G3775" s="59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5"/>
      <c r="C3776" s="31" t="s">
        <v>1183</v>
      </c>
      <c r="D3776" s="32" t="s">
        <v>15</v>
      </c>
      <c r="E3776" s="31" t="s">
        <v>4086</v>
      </c>
      <c r="F3776" s="134">
        <v>46199.0</v>
      </c>
      <c r="G3776" s="59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5"/>
      <c r="C3777" s="31" t="s">
        <v>1183</v>
      </c>
      <c r="D3777" s="32" t="s">
        <v>15</v>
      </c>
      <c r="E3777" s="31" t="s">
        <v>4087</v>
      </c>
      <c r="F3777" s="134">
        <v>46199.0</v>
      </c>
      <c r="G3777" s="59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5"/>
      <c r="C3778" s="31" t="s">
        <v>1183</v>
      </c>
      <c r="D3778" s="32" t="s">
        <v>15</v>
      </c>
      <c r="E3778" s="31" t="s">
        <v>4088</v>
      </c>
      <c r="F3778" s="134">
        <v>46199.0</v>
      </c>
      <c r="G3778" s="59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5"/>
      <c r="C3779" s="31" t="s">
        <v>1183</v>
      </c>
      <c r="D3779" s="32" t="s">
        <v>15</v>
      </c>
      <c r="E3779" s="31" t="s">
        <v>4089</v>
      </c>
      <c r="F3779" s="134">
        <v>46199.0</v>
      </c>
      <c r="G3779" s="59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5"/>
      <c r="C3780" s="31" t="s">
        <v>1183</v>
      </c>
      <c r="D3780" s="32" t="s">
        <v>15</v>
      </c>
      <c r="E3780" s="31" t="s">
        <v>4090</v>
      </c>
      <c r="F3780" s="134">
        <v>46199.0</v>
      </c>
      <c r="G3780" s="59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5"/>
      <c r="C3781" s="31" t="s">
        <v>1183</v>
      </c>
      <c r="D3781" s="32" t="s">
        <v>15</v>
      </c>
      <c r="E3781" s="31" t="s">
        <v>4091</v>
      </c>
      <c r="F3781" s="134">
        <v>46199.0</v>
      </c>
      <c r="G3781" s="59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5"/>
      <c r="C3782" s="31" t="s">
        <v>1183</v>
      </c>
      <c r="D3782" s="32" t="s">
        <v>15</v>
      </c>
      <c r="E3782" s="31" t="s">
        <v>4092</v>
      </c>
      <c r="F3782" s="134">
        <v>46199.0</v>
      </c>
      <c r="G3782" s="59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5"/>
      <c r="C3783" s="31" t="s">
        <v>1183</v>
      </c>
      <c r="D3783" s="32" t="s">
        <v>15</v>
      </c>
      <c r="E3783" s="31" t="s">
        <v>4093</v>
      </c>
      <c r="F3783" s="134">
        <v>46199.0</v>
      </c>
      <c r="G3783" s="59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5"/>
      <c r="C3784" s="31" t="s">
        <v>2346</v>
      </c>
      <c r="D3784" s="32" t="s">
        <v>15</v>
      </c>
      <c r="E3784" s="31" t="s">
        <v>4094</v>
      </c>
      <c r="F3784" s="134">
        <v>46199.0</v>
      </c>
      <c r="G3784" s="59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5"/>
      <c r="C3785" s="31" t="s">
        <v>2346</v>
      </c>
      <c r="D3785" s="32" t="s">
        <v>15</v>
      </c>
      <c r="E3785" s="31" t="s">
        <v>4095</v>
      </c>
      <c r="F3785" s="134">
        <v>46199.0</v>
      </c>
      <c r="G3785" s="59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5"/>
      <c r="C3786" s="31" t="s">
        <v>2346</v>
      </c>
      <c r="D3786" s="32" t="s">
        <v>15</v>
      </c>
      <c r="E3786" s="31" t="s">
        <v>4096</v>
      </c>
      <c r="F3786" s="134">
        <v>46199.0</v>
      </c>
      <c r="G3786" s="59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5"/>
      <c r="C3787" s="31" t="s">
        <v>2346</v>
      </c>
      <c r="D3787" s="32" t="s">
        <v>15</v>
      </c>
      <c r="E3787" s="31" t="s">
        <v>4097</v>
      </c>
      <c r="F3787" s="134">
        <v>46199.0</v>
      </c>
      <c r="G3787" s="59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5"/>
      <c r="C3788" s="31" t="s">
        <v>2346</v>
      </c>
      <c r="D3788" s="32" t="s">
        <v>15</v>
      </c>
      <c r="E3788" s="31" t="s">
        <v>4098</v>
      </c>
      <c r="F3788" s="134">
        <v>46199.0</v>
      </c>
      <c r="G3788" s="59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5"/>
      <c r="C3789" s="31" t="s">
        <v>2346</v>
      </c>
      <c r="D3789" s="32" t="s">
        <v>15</v>
      </c>
      <c r="E3789" s="31" t="s">
        <v>4099</v>
      </c>
      <c r="F3789" s="134">
        <v>46199.0</v>
      </c>
      <c r="G3789" s="59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5"/>
      <c r="C3790" s="31" t="s">
        <v>2346</v>
      </c>
      <c r="D3790" s="32" t="s">
        <v>15</v>
      </c>
      <c r="E3790" s="31" t="s">
        <v>4100</v>
      </c>
      <c r="F3790" s="134">
        <v>46199.0</v>
      </c>
      <c r="G3790" s="59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5"/>
      <c r="C3791" s="31" t="s">
        <v>2346</v>
      </c>
      <c r="D3791" s="32" t="s">
        <v>15</v>
      </c>
      <c r="E3791" s="31" t="s">
        <v>4101</v>
      </c>
      <c r="F3791" s="134">
        <v>46199.0</v>
      </c>
      <c r="G3791" s="59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5"/>
      <c r="C3792" s="31" t="s">
        <v>2346</v>
      </c>
      <c r="D3792" s="32" t="s">
        <v>15</v>
      </c>
      <c r="E3792" s="31" t="s">
        <v>4102</v>
      </c>
      <c r="F3792" s="134">
        <v>46199.0</v>
      </c>
      <c r="G3792" s="59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5"/>
      <c r="C3793" s="31" t="s">
        <v>2346</v>
      </c>
      <c r="D3793" s="32" t="s">
        <v>15</v>
      </c>
      <c r="E3793" s="31" t="s">
        <v>4103</v>
      </c>
      <c r="F3793" s="134">
        <v>46199.0</v>
      </c>
      <c r="G3793" s="59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5"/>
      <c r="C3794" s="31" t="s">
        <v>2346</v>
      </c>
      <c r="D3794" s="32" t="s">
        <v>15</v>
      </c>
      <c r="E3794" s="31" t="s">
        <v>4104</v>
      </c>
      <c r="F3794" s="134">
        <v>46199.0</v>
      </c>
      <c r="G3794" s="59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5"/>
      <c r="C3795" s="31" t="s">
        <v>2346</v>
      </c>
      <c r="D3795" s="32" t="s">
        <v>15</v>
      </c>
      <c r="E3795" s="31" t="s">
        <v>4105</v>
      </c>
      <c r="F3795" s="134">
        <v>46199.0</v>
      </c>
      <c r="G3795" s="59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5"/>
      <c r="C3796" s="31" t="s">
        <v>2346</v>
      </c>
      <c r="D3796" s="32" t="s">
        <v>15</v>
      </c>
      <c r="E3796" s="31" t="s">
        <v>4106</v>
      </c>
      <c r="F3796" s="134">
        <v>46199.0</v>
      </c>
      <c r="G3796" s="59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5"/>
      <c r="C3797" s="31" t="s">
        <v>2346</v>
      </c>
      <c r="D3797" s="32" t="s">
        <v>99</v>
      </c>
      <c r="E3797" s="32" t="s">
        <v>4107</v>
      </c>
      <c r="F3797" s="134">
        <v>46199.0</v>
      </c>
      <c r="G3797" s="59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5"/>
      <c r="C3798" s="31" t="s">
        <v>2346</v>
      </c>
      <c r="D3798" s="32" t="s">
        <v>99</v>
      </c>
      <c r="E3798" s="32" t="s">
        <v>4108</v>
      </c>
      <c r="F3798" s="134">
        <v>46199.0</v>
      </c>
      <c r="G3798" s="59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5"/>
      <c r="C3799" s="31" t="s">
        <v>2346</v>
      </c>
      <c r="D3799" s="32" t="s">
        <v>99</v>
      </c>
      <c r="E3799" s="32" t="s">
        <v>4109</v>
      </c>
      <c r="F3799" s="134">
        <v>46199.0</v>
      </c>
      <c r="G3799" s="59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5"/>
      <c r="C3800" s="31" t="s">
        <v>2346</v>
      </c>
      <c r="D3800" s="32" t="s">
        <v>99</v>
      </c>
      <c r="E3800" s="32" t="s">
        <v>4110</v>
      </c>
      <c r="F3800" s="134">
        <v>46199.0</v>
      </c>
      <c r="G3800" s="59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5"/>
      <c r="C3801" s="31" t="s">
        <v>2346</v>
      </c>
      <c r="D3801" s="32" t="s">
        <v>99</v>
      </c>
      <c r="E3801" s="32" t="s">
        <v>4111</v>
      </c>
      <c r="F3801" s="134">
        <v>46199.0</v>
      </c>
      <c r="G3801" s="59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5"/>
      <c r="C3802" s="31" t="s">
        <v>2346</v>
      </c>
      <c r="D3802" s="32" t="s">
        <v>99</v>
      </c>
      <c r="E3802" s="32" t="s">
        <v>4112</v>
      </c>
      <c r="F3802" s="134">
        <v>46199.0</v>
      </c>
      <c r="G3802" s="59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5"/>
      <c r="C3803" s="31" t="s">
        <v>2346</v>
      </c>
      <c r="D3803" s="32" t="s">
        <v>99</v>
      </c>
      <c r="E3803" s="32" t="s">
        <v>4113</v>
      </c>
      <c r="F3803" s="134">
        <v>46199.0</v>
      </c>
      <c r="G3803" s="59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5"/>
      <c r="C3806" s="31" t="s">
        <v>2447</v>
      </c>
      <c r="D3806" s="32" t="s">
        <v>99</v>
      </c>
      <c r="E3806" s="31" t="s">
        <v>4116</v>
      </c>
      <c r="F3806" s="134">
        <v>46199.0</v>
      </c>
      <c r="G3806" s="59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5"/>
      <c r="C3807" s="31" t="s">
        <v>2447</v>
      </c>
      <c r="D3807" s="32" t="s">
        <v>99</v>
      </c>
      <c r="E3807" s="31" t="s">
        <v>4117</v>
      </c>
      <c r="F3807" s="134">
        <v>46199.0</v>
      </c>
      <c r="G3807" s="59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5"/>
      <c r="C3808" s="31" t="s">
        <v>2447</v>
      </c>
      <c r="D3808" s="32" t="s">
        <v>99</v>
      </c>
      <c r="E3808" s="31" t="s">
        <v>4118</v>
      </c>
      <c r="F3808" s="134">
        <v>46199.0</v>
      </c>
      <c r="G3808" s="59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5"/>
      <c r="C3809" s="31" t="s">
        <v>2447</v>
      </c>
      <c r="D3809" s="32" t="s">
        <v>99</v>
      </c>
      <c r="E3809" s="31" t="s">
        <v>4119</v>
      </c>
      <c r="F3809" s="134">
        <v>46199.0</v>
      </c>
      <c r="G3809" s="59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5"/>
      <c r="C3810" s="31" t="s">
        <v>2447</v>
      </c>
      <c r="D3810" s="32" t="s">
        <v>99</v>
      </c>
      <c r="E3810" s="31" t="s">
        <v>4120</v>
      </c>
      <c r="F3810" s="134">
        <v>46199.0</v>
      </c>
      <c r="G3810" s="59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5"/>
      <c r="C3811" s="31" t="s">
        <v>2447</v>
      </c>
      <c r="D3811" s="32" t="s">
        <v>99</v>
      </c>
      <c r="E3811" s="31" t="s">
        <v>4121</v>
      </c>
      <c r="F3811" s="134">
        <v>46199.0</v>
      </c>
      <c r="G3811" s="59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5"/>
      <c r="C3812" s="31" t="s">
        <v>3866</v>
      </c>
      <c r="D3812" s="32" t="s">
        <v>99</v>
      </c>
      <c r="E3812" s="31" t="s">
        <v>4122</v>
      </c>
      <c r="F3812" s="134">
        <v>46199.0</v>
      </c>
      <c r="G3812" s="59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5"/>
      <c r="C3813" s="31" t="s">
        <v>3866</v>
      </c>
      <c r="D3813" s="32" t="s">
        <v>99</v>
      </c>
      <c r="E3813" s="31" t="s">
        <v>4123</v>
      </c>
      <c r="F3813" s="134">
        <v>46199.0</v>
      </c>
      <c r="G3813" s="59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5"/>
      <c r="C3814" s="31" t="s">
        <v>2447</v>
      </c>
      <c r="D3814" s="32" t="s">
        <v>15</v>
      </c>
      <c r="E3814" s="31" t="s">
        <v>4124</v>
      </c>
      <c r="F3814" s="134">
        <v>46199.0</v>
      </c>
      <c r="G3814" s="59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5"/>
      <c r="C3815" s="31" t="s">
        <v>2447</v>
      </c>
      <c r="D3815" s="32" t="s">
        <v>15</v>
      </c>
      <c r="E3815" s="31" t="s">
        <v>4125</v>
      </c>
      <c r="F3815" s="134">
        <v>46199.0</v>
      </c>
      <c r="G3815" s="59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5"/>
      <c r="C3816" s="31" t="s">
        <v>2447</v>
      </c>
      <c r="D3816" s="32" t="s">
        <v>15</v>
      </c>
      <c r="E3816" s="31" t="s">
        <v>4126</v>
      </c>
      <c r="F3816" s="134">
        <v>46199.0</v>
      </c>
      <c r="G3816" s="59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5"/>
      <c r="C3817" s="31" t="s">
        <v>2447</v>
      </c>
      <c r="D3817" s="32" t="s">
        <v>15</v>
      </c>
      <c r="E3817" s="31" t="s">
        <v>4127</v>
      </c>
      <c r="F3817" s="134">
        <v>46199.0</v>
      </c>
      <c r="G3817" s="59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5"/>
      <c r="C3818" s="31" t="s">
        <v>2447</v>
      </c>
      <c r="D3818" s="32" t="s">
        <v>15</v>
      </c>
      <c r="E3818" s="32" t="s">
        <v>4128</v>
      </c>
      <c r="F3818" s="134">
        <v>46199.0</v>
      </c>
      <c r="G3818" s="59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5"/>
      <c r="C3819" s="31" t="s">
        <v>2447</v>
      </c>
      <c r="D3819" s="32" t="s">
        <v>15</v>
      </c>
      <c r="E3819" s="32" t="s">
        <v>4129</v>
      </c>
      <c r="F3819" s="134">
        <v>46199.0</v>
      </c>
      <c r="G3819" s="59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5"/>
      <c r="C3820" s="31" t="s">
        <v>2447</v>
      </c>
      <c r="D3820" s="32" t="s">
        <v>15</v>
      </c>
      <c r="E3820" s="31" t="s">
        <v>4130</v>
      </c>
      <c r="F3820" s="134">
        <v>46199.0</v>
      </c>
      <c r="G3820" s="59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5"/>
      <c r="C3821" s="31" t="s">
        <v>2447</v>
      </c>
      <c r="D3821" s="32" t="s">
        <v>15</v>
      </c>
      <c r="E3821" s="31" t="s">
        <v>4131</v>
      </c>
      <c r="F3821" s="134">
        <v>46199.0</v>
      </c>
      <c r="G3821" s="59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5"/>
      <c r="C3822" s="31" t="s">
        <v>2447</v>
      </c>
      <c r="D3822" s="32" t="s">
        <v>15</v>
      </c>
      <c r="E3822" s="32" t="s">
        <v>4132</v>
      </c>
      <c r="F3822" s="134">
        <v>46199.0</v>
      </c>
      <c r="G3822" s="59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5"/>
      <c r="C3823" s="31" t="s">
        <v>2447</v>
      </c>
      <c r="D3823" s="32" t="s">
        <v>15</v>
      </c>
      <c r="E3823" s="31" t="s">
        <v>4133</v>
      </c>
      <c r="F3823" s="134">
        <v>46199.0</v>
      </c>
      <c r="G3823" s="59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5"/>
      <c r="C3824" s="31" t="s">
        <v>2447</v>
      </c>
      <c r="D3824" s="32" t="s">
        <v>15</v>
      </c>
      <c r="E3824" s="31" t="s">
        <v>4134</v>
      </c>
      <c r="F3824" s="134">
        <v>46199.0</v>
      </c>
      <c r="G3824" s="59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5"/>
      <c r="C3825" s="31" t="s">
        <v>2447</v>
      </c>
      <c r="D3825" s="32" t="s">
        <v>15</v>
      </c>
      <c r="E3825" s="32" t="s">
        <v>4135</v>
      </c>
      <c r="F3825" s="134">
        <v>46199.0</v>
      </c>
      <c r="G3825" s="59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5"/>
      <c r="C3826" s="31" t="s">
        <v>2447</v>
      </c>
      <c r="D3826" s="32" t="s">
        <v>99</v>
      </c>
      <c r="E3826" s="31" t="s">
        <v>4136</v>
      </c>
      <c r="F3826" s="134">
        <v>46199.0</v>
      </c>
      <c r="G3826" s="59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5"/>
      <c r="C3827" s="31" t="s">
        <v>2447</v>
      </c>
      <c r="D3827" s="32" t="s">
        <v>99</v>
      </c>
      <c r="E3827" s="31" t="s">
        <v>4137</v>
      </c>
      <c r="F3827" s="134">
        <v>46199.0</v>
      </c>
      <c r="G3827" s="59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5"/>
      <c r="C3828" s="31" t="s">
        <v>2447</v>
      </c>
      <c r="D3828" s="32" t="s">
        <v>99</v>
      </c>
      <c r="E3828" s="31" t="s">
        <v>4138</v>
      </c>
      <c r="F3828" s="134">
        <v>46199.0</v>
      </c>
      <c r="G3828" s="59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5"/>
      <c r="C3829" s="31" t="s">
        <v>2447</v>
      </c>
      <c r="D3829" s="32" t="s">
        <v>99</v>
      </c>
      <c r="E3829" s="31" t="s">
        <v>4139</v>
      </c>
      <c r="F3829" s="134">
        <v>46199.0</v>
      </c>
      <c r="G3829" s="59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5"/>
      <c r="C3830" s="31" t="s">
        <v>2447</v>
      </c>
      <c r="D3830" s="32" t="s">
        <v>99</v>
      </c>
      <c r="E3830" s="31" t="s">
        <v>4140</v>
      </c>
      <c r="F3830" s="134">
        <v>46199.0</v>
      </c>
      <c r="G3830" s="59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5"/>
      <c r="C3831" s="31" t="s">
        <v>2447</v>
      </c>
      <c r="D3831" s="32" t="s">
        <v>99</v>
      </c>
      <c r="E3831" s="31" t="s">
        <v>4141</v>
      </c>
      <c r="F3831" s="134">
        <v>46199.0</v>
      </c>
      <c r="G3831" s="59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5"/>
      <c r="C3832" s="31" t="s">
        <v>2447</v>
      </c>
      <c r="D3832" s="32" t="s">
        <v>99</v>
      </c>
      <c r="E3832" s="31" t="s">
        <v>4142</v>
      </c>
      <c r="F3832" s="134">
        <v>46199.0</v>
      </c>
      <c r="G3832" s="59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5"/>
      <c r="C3833" s="31" t="s">
        <v>2447</v>
      </c>
      <c r="D3833" s="32" t="s">
        <v>99</v>
      </c>
      <c r="E3833" s="31" t="s">
        <v>4143</v>
      </c>
      <c r="F3833" s="134">
        <v>46199.0</v>
      </c>
      <c r="G3833" s="59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5"/>
      <c r="C3834" s="31" t="s">
        <v>2447</v>
      </c>
      <c r="D3834" s="32" t="s">
        <v>99</v>
      </c>
      <c r="E3834" s="31" t="s">
        <v>4144</v>
      </c>
      <c r="F3834" s="134">
        <v>46199.0</v>
      </c>
      <c r="G3834" s="59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5"/>
      <c r="C3835" s="31" t="s">
        <v>2447</v>
      </c>
      <c r="D3835" s="32" t="s">
        <v>15</v>
      </c>
      <c r="E3835" s="31" t="s">
        <v>4145</v>
      </c>
      <c r="F3835" s="134">
        <v>46199.0</v>
      </c>
      <c r="G3835" s="59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5"/>
      <c r="C3836" s="31" t="s">
        <v>2447</v>
      </c>
      <c r="D3836" s="32" t="s">
        <v>15</v>
      </c>
      <c r="E3836" s="31" t="s">
        <v>4146</v>
      </c>
      <c r="F3836" s="134">
        <v>46199.0</v>
      </c>
      <c r="G3836" s="59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5"/>
      <c r="C3837" s="31" t="s">
        <v>2447</v>
      </c>
      <c r="D3837" s="32" t="s">
        <v>15</v>
      </c>
      <c r="E3837" s="31" t="s">
        <v>4147</v>
      </c>
      <c r="F3837" s="134">
        <v>46199.0</v>
      </c>
      <c r="G3837" s="59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5"/>
      <c r="C3838" s="31" t="s">
        <v>2447</v>
      </c>
      <c r="D3838" s="32" t="s">
        <v>15</v>
      </c>
      <c r="E3838" s="31" t="s">
        <v>4148</v>
      </c>
      <c r="F3838" s="134">
        <v>46199.0</v>
      </c>
      <c r="G3838" s="59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5"/>
      <c r="C3839" s="31" t="s">
        <v>2447</v>
      </c>
      <c r="D3839" s="32" t="s">
        <v>15</v>
      </c>
      <c r="E3839" s="31" t="s">
        <v>4149</v>
      </c>
      <c r="F3839" s="134">
        <v>46199.0</v>
      </c>
      <c r="G3839" s="59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5"/>
      <c r="C3840" s="31" t="s">
        <v>2447</v>
      </c>
      <c r="D3840" s="32" t="s">
        <v>15</v>
      </c>
      <c r="E3840" s="31" t="s">
        <v>4150</v>
      </c>
      <c r="F3840" s="134">
        <v>46199.0</v>
      </c>
      <c r="G3840" s="59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5"/>
      <c r="C3841" s="31" t="s">
        <v>2447</v>
      </c>
      <c r="D3841" s="32" t="s">
        <v>15</v>
      </c>
      <c r="E3841" s="31" t="s">
        <v>4151</v>
      </c>
      <c r="F3841" s="134">
        <v>46199.0</v>
      </c>
      <c r="G3841" s="59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5"/>
      <c r="C3842" s="31" t="s">
        <v>2447</v>
      </c>
      <c r="D3842" s="32" t="s">
        <v>15</v>
      </c>
      <c r="E3842" s="32" t="s">
        <v>4152</v>
      </c>
      <c r="F3842" s="134">
        <v>46199.0</v>
      </c>
      <c r="G3842" s="59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60"/>
      <c r="C3843" s="61" t="s">
        <v>2495</v>
      </c>
      <c r="D3843" s="62" t="s">
        <v>99</v>
      </c>
      <c r="E3843" s="61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47"/>
      <c r="M3843" s="50"/>
    </row>
    <row r="3844" ht="15.75" customHeight="1">
      <c r="A3844" s="162">
        <v>46202.0</v>
      </c>
      <c r="B3844" s="55"/>
      <c r="C3844" s="31" t="s">
        <v>3919</v>
      </c>
      <c r="D3844" s="32" t="s">
        <v>99</v>
      </c>
      <c r="E3844" s="31" t="s">
        <v>4154</v>
      </c>
      <c r="F3844" s="134">
        <v>46199.0</v>
      </c>
      <c r="G3844" s="59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5"/>
      <c r="C3845" s="31" t="s">
        <v>3919</v>
      </c>
      <c r="D3845" s="32" t="s">
        <v>99</v>
      </c>
      <c r="E3845" s="31" t="s">
        <v>4155</v>
      </c>
      <c r="F3845" s="134">
        <v>46199.0</v>
      </c>
      <c r="G3845" s="59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5"/>
      <c r="C3846" s="31" t="s">
        <v>3919</v>
      </c>
      <c r="D3846" s="32" t="s">
        <v>15</v>
      </c>
      <c r="E3846" s="31" t="s">
        <v>4156</v>
      </c>
      <c r="F3846" s="134">
        <v>46199.0</v>
      </c>
      <c r="G3846" s="59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5"/>
      <c r="C3847" s="31" t="s">
        <v>3919</v>
      </c>
      <c r="D3847" s="32" t="s">
        <v>15</v>
      </c>
      <c r="E3847" s="31" t="s">
        <v>4157</v>
      </c>
      <c r="F3847" s="134">
        <v>46199.0</v>
      </c>
      <c r="G3847" s="59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5"/>
      <c r="C3848" s="31" t="s">
        <v>2434</v>
      </c>
      <c r="D3848" s="32" t="s">
        <v>15</v>
      </c>
      <c r="E3848" s="31" t="s">
        <v>4158</v>
      </c>
      <c r="F3848" s="134">
        <v>46199.0</v>
      </c>
      <c r="G3848" s="59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5"/>
      <c r="C3849" s="31" t="s">
        <v>524</v>
      </c>
      <c r="D3849" s="32" t="s">
        <v>99</v>
      </c>
      <c r="E3849" s="31" t="s">
        <v>4159</v>
      </c>
      <c r="F3849" s="134">
        <v>46199.0</v>
      </c>
      <c r="G3849" s="59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5"/>
      <c r="C3850" s="31" t="s">
        <v>268</v>
      </c>
      <c r="D3850" s="32" t="s">
        <v>99</v>
      </c>
      <c r="E3850" s="31" t="s">
        <v>4160</v>
      </c>
      <c r="F3850" s="134">
        <v>46199.0</v>
      </c>
      <c r="G3850" s="59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5"/>
      <c r="C3851" s="31" t="s">
        <v>268</v>
      </c>
      <c r="D3851" s="32" t="s">
        <v>15</v>
      </c>
      <c r="E3851" s="31" t="s">
        <v>4161</v>
      </c>
      <c r="F3851" s="134">
        <v>46199.0</v>
      </c>
      <c r="G3851" s="59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5"/>
      <c r="C3852" s="31" t="s">
        <v>268</v>
      </c>
      <c r="D3852" s="32" t="s">
        <v>15</v>
      </c>
      <c r="E3852" s="31" t="s">
        <v>4162</v>
      </c>
      <c r="F3852" s="134">
        <v>46199.0</v>
      </c>
      <c r="G3852" s="59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5"/>
      <c r="C3853" s="31" t="s">
        <v>3596</v>
      </c>
      <c r="D3853" s="32" t="s">
        <v>99</v>
      </c>
      <c r="E3853" s="31" t="s">
        <v>4163</v>
      </c>
      <c r="F3853" s="134">
        <v>46199.0</v>
      </c>
      <c r="G3853" s="59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60"/>
      <c r="C3854" s="61" t="s">
        <v>4164</v>
      </c>
      <c r="D3854" s="62" t="s">
        <v>1021</v>
      </c>
      <c r="E3854" s="61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47"/>
      <c r="M3854" s="50"/>
    </row>
    <row r="3855" ht="15.75" customHeight="1">
      <c r="A3855" s="218">
        <v>46203.0</v>
      </c>
      <c r="B3855" s="60"/>
      <c r="C3855" s="61" t="s">
        <v>3385</v>
      </c>
      <c r="D3855" s="62" t="s">
        <v>1021</v>
      </c>
      <c r="E3855" s="61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47"/>
      <c r="M3855" s="50"/>
    </row>
    <row r="3856" ht="15.75" customHeight="1">
      <c r="A3856" s="162">
        <v>46203.0</v>
      </c>
      <c r="B3856" s="55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5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5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5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5"/>
      <c r="C3860" s="31" t="s">
        <v>171</v>
      </c>
      <c r="D3860" s="32" t="s">
        <v>15</v>
      </c>
      <c r="E3860" s="31" t="s">
        <v>4172</v>
      </c>
      <c r="F3860" s="134">
        <v>46229.0</v>
      </c>
      <c r="G3860" s="59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5"/>
      <c r="C3861" s="31" t="s">
        <v>171</v>
      </c>
      <c r="D3861" s="32" t="s">
        <v>15</v>
      </c>
      <c r="E3861" s="31" t="s">
        <v>4173</v>
      </c>
      <c r="F3861" s="134">
        <v>46229.0</v>
      </c>
      <c r="G3861" s="59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5"/>
      <c r="C3862" s="31" t="s">
        <v>171</v>
      </c>
      <c r="D3862" s="32" t="s">
        <v>15</v>
      </c>
      <c r="E3862" s="32" t="s">
        <v>4174</v>
      </c>
      <c r="F3862" s="134">
        <v>46229.0</v>
      </c>
      <c r="G3862" s="59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5"/>
      <c r="C3863" s="31" t="s">
        <v>171</v>
      </c>
      <c r="D3863" s="32" t="s">
        <v>15</v>
      </c>
      <c r="E3863" s="31" t="s">
        <v>4175</v>
      </c>
      <c r="F3863" s="134">
        <v>46229.0</v>
      </c>
      <c r="G3863" s="59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5"/>
      <c r="C3864" s="31" t="s">
        <v>171</v>
      </c>
      <c r="D3864" s="32" t="s">
        <v>15</v>
      </c>
      <c r="E3864" s="32" t="s">
        <v>4176</v>
      </c>
      <c r="F3864" s="134">
        <v>46229.0</v>
      </c>
      <c r="G3864" s="59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5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5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218">
        <v>46205.0</v>
      </c>
      <c r="B3867" s="60"/>
      <c r="C3867" s="61" t="s">
        <v>4180</v>
      </c>
      <c r="D3867" s="62" t="s">
        <v>1543</v>
      </c>
      <c r="E3867" s="62" t="s">
        <v>4181</v>
      </c>
      <c r="F3867" s="137">
        <v>46199.0</v>
      </c>
      <c r="G3867" s="206">
        <v>4370251.13</v>
      </c>
      <c r="H3867" s="9">
        <f t="shared" si="11"/>
        <v>917752.7373</v>
      </c>
      <c r="I3867" s="44"/>
      <c r="J3867" s="44"/>
      <c r="K3867" s="10">
        <f t="shared" si="12"/>
        <v>5288003.867</v>
      </c>
      <c r="L3867" s="47"/>
      <c r="M3867" s="50"/>
    </row>
    <row r="3868" ht="15.75" customHeight="1">
      <c r="A3868" s="162">
        <v>46205.0</v>
      </c>
      <c r="B3868" s="55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218">
        <v>46205.0</v>
      </c>
      <c r="B3869" s="60"/>
      <c r="C3869" s="61" t="s">
        <v>4183</v>
      </c>
      <c r="D3869" s="62" t="s">
        <v>1543</v>
      </c>
      <c r="E3869" s="62" t="s">
        <v>4184</v>
      </c>
      <c r="F3869" s="137">
        <v>46199.0</v>
      </c>
      <c r="G3869" s="206">
        <v>6370521.13</v>
      </c>
      <c r="H3869" s="9">
        <f t="shared" si="11"/>
        <v>1337809.437</v>
      </c>
      <c r="I3869" s="44"/>
      <c r="J3869" s="44"/>
      <c r="K3869" s="10">
        <f t="shared" si="12"/>
        <v>7708330.567</v>
      </c>
      <c r="L3869" s="47"/>
      <c r="M3869" s="50"/>
    </row>
    <row r="3870" ht="15.75" customHeight="1">
      <c r="A3870" s="162">
        <v>46205.0</v>
      </c>
      <c r="B3870" s="55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5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5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218">
        <v>46205.0</v>
      </c>
      <c r="B3873" s="60"/>
      <c r="C3873" s="61" t="s">
        <v>4183</v>
      </c>
      <c r="D3873" s="62" t="s">
        <v>1543</v>
      </c>
      <c r="E3873" s="62" t="s">
        <v>4188</v>
      </c>
      <c r="F3873" s="137">
        <v>46199.0</v>
      </c>
      <c r="G3873" s="206">
        <v>6007805.23</v>
      </c>
      <c r="H3873" s="9">
        <f t="shared" si="11"/>
        <v>1261639.098</v>
      </c>
      <c r="I3873" s="44"/>
      <c r="J3873" s="44"/>
      <c r="K3873" s="10">
        <f t="shared" si="12"/>
        <v>7269444.328</v>
      </c>
      <c r="L3873" s="47"/>
      <c r="M3873" s="50"/>
    </row>
    <row r="3874" ht="15.75" customHeight="1">
      <c r="A3874" s="218">
        <v>46205.0</v>
      </c>
      <c r="B3874" s="60"/>
      <c r="C3874" s="61" t="s">
        <v>4180</v>
      </c>
      <c r="D3874" s="62" t="s">
        <v>1543</v>
      </c>
      <c r="E3874" s="62" t="s">
        <v>4189</v>
      </c>
      <c r="F3874" s="137">
        <v>46199.0</v>
      </c>
      <c r="G3874" s="206">
        <v>4450125.64</v>
      </c>
      <c r="H3874" s="9">
        <f t="shared" si="11"/>
        <v>934526.3844</v>
      </c>
      <c r="I3874" s="44"/>
      <c r="J3874" s="44"/>
      <c r="K3874" s="10">
        <f t="shared" si="12"/>
        <v>5384652.024</v>
      </c>
      <c r="L3874" s="47"/>
      <c r="M3874" s="50"/>
    </row>
    <row r="3875" ht="15.75" customHeight="1">
      <c r="A3875" s="162">
        <v>46205.0</v>
      </c>
      <c r="B3875" s="55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5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5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5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5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5"/>
      <c r="C3880" s="31" t="s">
        <v>1842</v>
      </c>
      <c r="D3880" s="32" t="s">
        <v>99</v>
      </c>
      <c r="E3880" s="31" t="s">
        <v>4195</v>
      </c>
      <c r="F3880" s="134">
        <v>46229.0</v>
      </c>
      <c r="G3880" s="59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5"/>
      <c r="C3881" s="31" t="s">
        <v>1842</v>
      </c>
      <c r="D3881" s="32" t="s">
        <v>15</v>
      </c>
      <c r="E3881" s="31" t="s">
        <v>4196</v>
      </c>
      <c r="F3881" s="134">
        <v>46229.0</v>
      </c>
      <c r="G3881" s="59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5"/>
      <c r="C3882" s="31" t="s">
        <v>1842</v>
      </c>
      <c r="D3882" s="32" t="s">
        <v>15</v>
      </c>
      <c r="E3882" s="31" t="s">
        <v>4197</v>
      </c>
      <c r="F3882" s="134">
        <v>46229.0</v>
      </c>
      <c r="G3882" s="59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5"/>
      <c r="C3883" s="31" t="s">
        <v>527</v>
      </c>
      <c r="D3883" s="32" t="s">
        <v>15</v>
      </c>
      <c r="E3883" s="31" t="s">
        <v>4198</v>
      </c>
      <c r="F3883" s="134">
        <v>46229.0</v>
      </c>
      <c r="G3883" s="59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5"/>
      <c r="C3884" s="31" t="s">
        <v>168</v>
      </c>
      <c r="D3884" s="32" t="s">
        <v>15</v>
      </c>
      <c r="E3884" s="31" t="s">
        <v>4199</v>
      </c>
      <c r="F3884" s="134">
        <v>46229.0</v>
      </c>
      <c r="G3884" s="59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5"/>
      <c r="C3885" s="31" t="s">
        <v>1183</v>
      </c>
      <c r="D3885" s="32" t="s">
        <v>15</v>
      </c>
      <c r="E3885" s="31" t="s">
        <v>4200</v>
      </c>
      <c r="F3885" s="134">
        <v>46229.0</v>
      </c>
      <c r="G3885" s="59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5"/>
      <c r="C3886" s="31" t="s">
        <v>1183</v>
      </c>
      <c r="D3886" s="32" t="s">
        <v>15</v>
      </c>
      <c r="E3886" s="31" t="s">
        <v>4201</v>
      </c>
      <c r="F3886" s="134">
        <v>46229.0</v>
      </c>
      <c r="G3886" s="59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5"/>
      <c r="C3887" s="31" t="s">
        <v>1183</v>
      </c>
      <c r="D3887" s="32" t="s">
        <v>15</v>
      </c>
      <c r="E3887" s="31" t="s">
        <v>4202</v>
      </c>
      <c r="F3887" s="134">
        <v>46229.0</v>
      </c>
      <c r="G3887" s="59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5"/>
      <c r="C3888" s="31" t="s">
        <v>1183</v>
      </c>
      <c r="D3888" s="32" t="s">
        <v>15</v>
      </c>
      <c r="E3888" s="32" t="s">
        <v>4203</v>
      </c>
      <c r="F3888" s="134">
        <v>46229.0</v>
      </c>
      <c r="G3888" s="59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5"/>
      <c r="C3889" s="31" t="s">
        <v>1312</v>
      </c>
      <c r="D3889" s="32" t="s">
        <v>15</v>
      </c>
      <c r="E3889" s="31" t="s">
        <v>4204</v>
      </c>
      <c r="F3889" s="134">
        <v>46229.0</v>
      </c>
      <c r="G3889" s="59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5"/>
      <c r="C3890" s="31" t="s">
        <v>1277</v>
      </c>
      <c r="D3890" s="32" t="s">
        <v>15</v>
      </c>
      <c r="E3890" s="31" t="s">
        <v>4205</v>
      </c>
      <c r="F3890" s="134">
        <v>46229.0</v>
      </c>
      <c r="G3890" s="59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5"/>
      <c r="C3891" s="31" t="s">
        <v>1279</v>
      </c>
      <c r="D3891" s="32" t="s">
        <v>15</v>
      </c>
      <c r="E3891" s="31" t="s">
        <v>4206</v>
      </c>
      <c r="F3891" s="134">
        <v>46229.0</v>
      </c>
      <c r="G3891" s="59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5"/>
      <c r="C3892" s="31" t="s">
        <v>1281</v>
      </c>
      <c r="D3892" s="32" t="s">
        <v>15</v>
      </c>
      <c r="E3892" s="31" t="s">
        <v>4207</v>
      </c>
      <c r="F3892" s="134">
        <v>46229.0</v>
      </c>
      <c r="G3892" s="59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5"/>
      <c r="C3893" s="31" t="s">
        <v>1283</v>
      </c>
      <c r="D3893" s="32" t="s">
        <v>15</v>
      </c>
      <c r="E3893" s="31" t="s">
        <v>4208</v>
      </c>
      <c r="F3893" s="134">
        <v>46229.0</v>
      </c>
      <c r="G3893" s="59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5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47"/>
      <c r="M3894" s="50"/>
    </row>
    <row r="3895" ht="15.75" customHeight="1">
      <c r="A3895" s="162">
        <v>46209.0</v>
      </c>
      <c r="B3895" s="55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47"/>
      <c r="M3895" s="50"/>
    </row>
    <row r="3896" ht="15.75" customHeight="1">
      <c r="A3896" s="162">
        <v>46209.0</v>
      </c>
      <c r="B3896" s="55"/>
      <c r="C3896" s="31" t="s">
        <v>491</v>
      </c>
      <c r="D3896" s="32" t="s">
        <v>99</v>
      </c>
      <c r="E3896" s="31" t="s">
        <v>4211</v>
      </c>
      <c r="F3896" s="134">
        <v>46229.0</v>
      </c>
      <c r="G3896" s="59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5"/>
      <c r="C3897" s="31" t="s">
        <v>491</v>
      </c>
      <c r="D3897" s="32" t="s">
        <v>99</v>
      </c>
      <c r="E3897" s="31" t="s">
        <v>4212</v>
      </c>
      <c r="F3897" s="134">
        <v>46229.0</v>
      </c>
      <c r="G3897" s="59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5"/>
      <c r="C3898" s="31" t="s">
        <v>491</v>
      </c>
      <c r="D3898" s="32" t="s">
        <v>99</v>
      </c>
      <c r="E3898" s="32" t="s">
        <v>4213</v>
      </c>
      <c r="F3898" s="134">
        <v>46229.0</v>
      </c>
      <c r="G3898" s="59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5"/>
      <c r="C3899" s="31" t="s">
        <v>491</v>
      </c>
      <c r="D3899" s="32" t="s">
        <v>99</v>
      </c>
      <c r="E3899" s="32" t="s">
        <v>4214</v>
      </c>
      <c r="F3899" s="134">
        <v>46229.0</v>
      </c>
      <c r="G3899" s="59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5"/>
      <c r="C3900" s="31" t="s">
        <v>491</v>
      </c>
      <c r="D3900" s="32" t="s">
        <v>99</v>
      </c>
      <c r="E3900" s="32" t="s">
        <v>4215</v>
      </c>
      <c r="F3900" s="134">
        <v>46229.0</v>
      </c>
      <c r="G3900" s="59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5"/>
      <c r="C3901" s="31" t="s">
        <v>491</v>
      </c>
      <c r="D3901" s="32" t="s">
        <v>99</v>
      </c>
      <c r="E3901" s="32" t="s">
        <v>4216</v>
      </c>
      <c r="F3901" s="134">
        <v>46229.0</v>
      </c>
      <c r="G3901" s="59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5"/>
      <c r="C3902" s="31" t="s">
        <v>491</v>
      </c>
      <c r="D3902" s="32" t="s">
        <v>99</v>
      </c>
      <c r="E3902" s="32" t="s">
        <v>4217</v>
      </c>
      <c r="F3902" s="134">
        <v>46229.0</v>
      </c>
      <c r="G3902" s="59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5"/>
      <c r="C3903" s="31" t="s">
        <v>491</v>
      </c>
      <c r="D3903" s="32" t="s">
        <v>15</v>
      </c>
      <c r="E3903" s="31" t="s">
        <v>4218</v>
      </c>
      <c r="F3903" s="134">
        <v>46229.0</v>
      </c>
      <c r="G3903" s="59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5"/>
      <c r="C3904" s="31" t="s">
        <v>491</v>
      </c>
      <c r="D3904" s="32" t="s">
        <v>15</v>
      </c>
      <c r="E3904" s="31" t="s">
        <v>4219</v>
      </c>
      <c r="F3904" s="134">
        <v>46229.0</v>
      </c>
      <c r="G3904" s="59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5"/>
      <c r="C3905" s="31" t="s">
        <v>491</v>
      </c>
      <c r="D3905" s="32" t="s">
        <v>15</v>
      </c>
      <c r="E3905" s="31" t="s">
        <v>4220</v>
      </c>
      <c r="F3905" s="134">
        <v>46229.0</v>
      </c>
      <c r="G3905" s="59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5"/>
      <c r="C3906" s="31" t="s">
        <v>491</v>
      </c>
      <c r="D3906" s="32" t="s">
        <v>15</v>
      </c>
      <c r="E3906" s="31" t="s">
        <v>4221</v>
      </c>
      <c r="F3906" s="134">
        <v>46229.0</v>
      </c>
      <c r="G3906" s="59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5"/>
      <c r="C3907" s="31" t="s">
        <v>491</v>
      </c>
      <c r="D3907" s="32" t="s">
        <v>15</v>
      </c>
      <c r="E3907" s="31" t="s">
        <v>4222</v>
      </c>
      <c r="F3907" s="134">
        <v>46229.0</v>
      </c>
      <c r="G3907" s="59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5"/>
      <c r="C3908" s="31" t="s">
        <v>491</v>
      </c>
      <c r="D3908" s="32" t="s">
        <v>15</v>
      </c>
      <c r="E3908" s="31" t="s">
        <v>4223</v>
      </c>
      <c r="F3908" s="134">
        <v>46229.0</v>
      </c>
      <c r="G3908" s="59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5"/>
      <c r="C3909" s="31" t="s">
        <v>491</v>
      </c>
      <c r="D3909" s="32" t="s">
        <v>15</v>
      </c>
      <c r="E3909" s="31" t="s">
        <v>4224</v>
      </c>
      <c r="F3909" s="134">
        <v>46229.0</v>
      </c>
      <c r="G3909" s="59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5"/>
      <c r="C3910" s="31" t="s">
        <v>491</v>
      </c>
      <c r="D3910" s="32" t="s">
        <v>15</v>
      </c>
      <c r="E3910" s="31" t="s">
        <v>4225</v>
      </c>
      <c r="F3910" s="134">
        <v>46229.0</v>
      </c>
      <c r="G3910" s="59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5"/>
      <c r="C3911" s="31" t="s">
        <v>491</v>
      </c>
      <c r="D3911" s="32" t="s">
        <v>15</v>
      </c>
      <c r="E3911" s="32" t="s">
        <v>4226</v>
      </c>
      <c r="F3911" s="134">
        <v>46229.0</v>
      </c>
      <c r="G3911" s="59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5"/>
      <c r="C3912" s="31" t="s">
        <v>491</v>
      </c>
      <c r="D3912" s="32" t="s">
        <v>15</v>
      </c>
      <c r="E3912" s="31" t="s">
        <v>4227</v>
      </c>
      <c r="F3912" s="134">
        <v>46229.0</v>
      </c>
      <c r="G3912" s="59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5"/>
      <c r="C3913" s="31" t="s">
        <v>1183</v>
      </c>
      <c r="D3913" s="32" t="s">
        <v>15</v>
      </c>
      <c r="E3913" s="31" t="s">
        <v>4228</v>
      </c>
      <c r="F3913" s="134">
        <v>46229.0</v>
      </c>
      <c r="G3913" s="59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5"/>
      <c r="C3914" s="31" t="s">
        <v>1183</v>
      </c>
      <c r="D3914" s="32" t="s">
        <v>15</v>
      </c>
      <c r="E3914" s="31" t="s">
        <v>4229</v>
      </c>
      <c r="F3914" s="134">
        <v>46229.0</v>
      </c>
      <c r="G3914" s="59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5"/>
      <c r="C3915" s="31" t="s">
        <v>1183</v>
      </c>
      <c r="D3915" s="32" t="s">
        <v>15</v>
      </c>
      <c r="E3915" s="31" t="s">
        <v>4230</v>
      </c>
      <c r="F3915" s="134">
        <v>46229.0</v>
      </c>
      <c r="G3915" s="59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5"/>
      <c r="C3916" s="31" t="s">
        <v>1183</v>
      </c>
      <c r="D3916" s="32" t="s">
        <v>15</v>
      </c>
      <c r="E3916" s="31" t="s">
        <v>4231</v>
      </c>
      <c r="F3916" s="134">
        <v>46229.0</v>
      </c>
      <c r="G3916" s="59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5"/>
      <c r="C3917" s="31" t="s">
        <v>1183</v>
      </c>
      <c r="D3917" s="32" t="s">
        <v>15</v>
      </c>
      <c r="E3917" s="31" t="s">
        <v>4232</v>
      </c>
      <c r="F3917" s="134">
        <v>46229.0</v>
      </c>
      <c r="G3917" s="59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5"/>
      <c r="C3918" s="31" t="s">
        <v>1183</v>
      </c>
      <c r="D3918" s="32" t="s">
        <v>15</v>
      </c>
      <c r="E3918" s="31" t="s">
        <v>4233</v>
      </c>
      <c r="F3918" s="134">
        <v>46229.0</v>
      </c>
      <c r="G3918" s="59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218">
        <v>46210.0</v>
      </c>
      <c r="B3919" s="60"/>
      <c r="C3919" s="62" t="s">
        <v>53</v>
      </c>
      <c r="D3919" s="62" t="s">
        <v>15</v>
      </c>
      <c r="E3919" s="61" t="s">
        <v>4234</v>
      </c>
      <c r="F3919" s="137">
        <v>46229.0</v>
      </c>
      <c r="G3919" s="155">
        <v>4148413.22</v>
      </c>
      <c r="H3919" s="9">
        <f t="shared" si="11"/>
        <v>871166.7762</v>
      </c>
      <c r="I3919" s="44"/>
      <c r="J3919" s="44"/>
      <c r="K3919" s="10">
        <f t="shared" si="12"/>
        <v>5019579.996</v>
      </c>
      <c r="L3919" s="47"/>
      <c r="M3919" s="50"/>
    </row>
    <row r="3920" ht="15.75" customHeight="1">
      <c r="A3920" s="162">
        <v>46210.0</v>
      </c>
      <c r="B3920" s="55"/>
      <c r="C3920" s="31" t="s">
        <v>171</v>
      </c>
      <c r="D3920" s="32" t="s">
        <v>15</v>
      </c>
      <c r="E3920" s="31" t="s">
        <v>4235</v>
      </c>
      <c r="F3920" s="134">
        <v>46229.0</v>
      </c>
      <c r="G3920" s="59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5"/>
      <c r="C3921" s="31" t="s">
        <v>171</v>
      </c>
      <c r="D3921" s="32" t="s">
        <v>15</v>
      </c>
      <c r="E3921" s="31" t="s">
        <v>4236</v>
      </c>
      <c r="F3921" s="134">
        <v>46229.0</v>
      </c>
      <c r="G3921" s="59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5"/>
      <c r="C3922" s="31" t="s">
        <v>171</v>
      </c>
      <c r="D3922" s="32" t="s">
        <v>15</v>
      </c>
      <c r="E3922" s="31" t="s">
        <v>4237</v>
      </c>
      <c r="F3922" s="134">
        <v>46229.0</v>
      </c>
      <c r="G3922" s="59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5"/>
      <c r="C3923" s="31" t="s">
        <v>171</v>
      </c>
      <c r="D3923" s="32" t="s">
        <v>15</v>
      </c>
      <c r="E3923" s="31" t="s">
        <v>4238</v>
      </c>
      <c r="F3923" s="134">
        <v>46229.0</v>
      </c>
      <c r="G3923" s="59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5"/>
      <c r="C3924" s="31" t="s">
        <v>64</v>
      </c>
      <c r="D3924" s="32" t="s">
        <v>15</v>
      </c>
      <c r="E3924" s="32" t="s">
        <v>4239</v>
      </c>
      <c r="F3924" s="134">
        <v>46229.0</v>
      </c>
      <c r="G3924" s="59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5"/>
      <c r="C3925" s="31" t="s">
        <v>64</v>
      </c>
      <c r="D3925" s="32" t="s">
        <v>99</v>
      </c>
      <c r="E3925" s="31" t="s">
        <v>4240</v>
      </c>
      <c r="F3925" s="134">
        <v>46229.0</v>
      </c>
      <c r="G3925" s="59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5"/>
      <c r="C3926" s="31" t="s">
        <v>1283</v>
      </c>
      <c r="D3926" s="32" t="s">
        <v>99</v>
      </c>
      <c r="E3926" s="31" t="s">
        <v>4241</v>
      </c>
      <c r="F3926" s="134">
        <v>46229.0</v>
      </c>
      <c r="G3926" s="59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5"/>
      <c r="C3927" s="31" t="s">
        <v>1281</v>
      </c>
      <c r="D3927" s="32" t="s">
        <v>99</v>
      </c>
      <c r="E3927" s="31" t="s">
        <v>4242</v>
      </c>
      <c r="F3927" s="134">
        <v>46229.0</v>
      </c>
      <c r="G3927" s="59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5"/>
      <c r="C3928" s="31" t="s">
        <v>1279</v>
      </c>
      <c r="D3928" s="32" t="s">
        <v>99</v>
      </c>
      <c r="E3928" s="31" t="s">
        <v>4243</v>
      </c>
      <c r="F3928" s="134">
        <v>46229.0</v>
      </c>
      <c r="G3928" s="59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5"/>
      <c r="C3929" s="31" t="s">
        <v>1277</v>
      </c>
      <c r="D3929" s="32" t="s">
        <v>99</v>
      </c>
      <c r="E3929" s="31" t="s">
        <v>4244</v>
      </c>
      <c r="F3929" s="134">
        <v>46229.0</v>
      </c>
      <c r="G3929" s="59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5"/>
      <c r="C3930" s="31" t="s">
        <v>1312</v>
      </c>
      <c r="D3930" s="32" t="s">
        <v>99</v>
      </c>
      <c r="E3930" s="31" t="s">
        <v>4245</v>
      </c>
      <c r="F3930" s="134">
        <v>46229.0</v>
      </c>
      <c r="G3930" s="59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5"/>
      <c r="C3931" s="32" t="s">
        <v>53</v>
      </c>
      <c r="D3931" s="32" t="s">
        <v>15</v>
      </c>
      <c r="E3931" s="31" t="s">
        <v>4246</v>
      </c>
      <c r="F3931" s="134">
        <v>46229.0</v>
      </c>
      <c r="G3931" s="59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47"/>
      <c r="M3932" s="50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47"/>
      <c r="M3933" s="50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47"/>
      <c r="M3934" s="50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47"/>
      <c r="M3935" s="50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47"/>
      <c r="M3936" s="50"/>
    </row>
    <row r="3937" ht="15.75" customHeight="1">
      <c r="A3937" s="218">
        <v>46211.0</v>
      </c>
      <c r="B3937" s="60"/>
      <c r="C3937" s="61" t="s">
        <v>1854</v>
      </c>
      <c r="D3937" s="62" t="s">
        <v>15</v>
      </c>
      <c r="E3937" s="61" t="s">
        <v>4252</v>
      </c>
      <c r="F3937" s="137">
        <v>46229.0</v>
      </c>
      <c r="G3937" s="155">
        <v>2.63543571E7</v>
      </c>
      <c r="H3937" s="9">
        <f t="shared" si="11"/>
        <v>5534414.991</v>
      </c>
      <c r="I3937" s="44">
        <v>790630.71</v>
      </c>
      <c r="J3937" s="44">
        <v>395315.36</v>
      </c>
      <c r="K3937" s="10">
        <f t="shared" si="12"/>
        <v>33074718.16</v>
      </c>
      <c r="L3937" s="47"/>
      <c r="M3937" s="50"/>
    </row>
    <row r="3938" ht="15.75" customHeight="1">
      <c r="A3938" s="218">
        <v>46211.0</v>
      </c>
      <c r="B3938" s="60"/>
      <c r="C3938" s="61" t="s">
        <v>1854</v>
      </c>
      <c r="D3938" s="62" t="s">
        <v>15</v>
      </c>
      <c r="E3938" s="61" t="s">
        <v>4253</v>
      </c>
      <c r="F3938" s="137">
        <v>46229.0</v>
      </c>
      <c r="G3938" s="155">
        <v>1.743927218E7</v>
      </c>
      <c r="H3938" s="9">
        <f t="shared" si="11"/>
        <v>3662247.158</v>
      </c>
      <c r="I3938" s="44"/>
      <c r="J3938" s="44">
        <v>261589.08</v>
      </c>
      <c r="K3938" s="10">
        <f t="shared" si="12"/>
        <v>21363108.42</v>
      </c>
      <c r="L3938" s="47"/>
      <c r="M3938" s="50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18">
        <v>46211.0</v>
      </c>
      <c r="B3941" s="60"/>
      <c r="C3941" s="61" t="s">
        <v>1854</v>
      </c>
      <c r="D3941" s="62" t="s">
        <v>15</v>
      </c>
      <c r="E3941" s="61" t="s">
        <v>4256</v>
      </c>
      <c r="F3941" s="137">
        <v>46229.0</v>
      </c>
      <c r="G3941" s="155">
        <v>1.743522375E7</v>
      </c>
      <c r="H3941" s="9">
        <f t="shared" si="11"/>
        <v>3661396.988</v>
      </c>
      <c r="I3941" s="44"/>
      <c r="J3941" s="44">
        <v>261528.36</v>
      </c>
      <c r="K3941" s="10">
        <f t="shared" si="12"/>
        <v>21358149.1</v>
      </c>
      <c r="L3941" s="47"/>
      <c r="M3941" s="50"/>
    </row>
    <row r="3942" ht="15.75" customHeight="1">
      <c r="A3942" s="218">
        <v>46211.0</v>
      </c>
      <c r="B3942" s="60"/>
      <c r="C3942" s="61" t="s">
        <v>1854</v>
      </c>
      <c r="D3942" s="62" t="s">
        <v>15</v>
      </c>
      <c r="E3942" s="61" t="s">
        <v>4257</v>
      </c>
      <c r="F3942" s="137">
        <v>46229.0</v>
      </c>
      <c r="G3942" s="155">
        <v>1.4933272E7</v>
      </c>
      <c r="H3942" s="9">
        <f t="shared" si="11"/>
        <v>3135987.12</v>
      </c>
      <c r="I3942" s="44"/>
      <c r="J3942" s="44">
        <v>223999.08</v>
      </c>
      <c r="K3942" s="10">
        <f t="shared" si="12"/>
        <v>18293258.2</v>
      </c>
      <c r="L3942" s="47"/>
      <c r="M3942" s="50"/>
    </row>
    <row r="3943" ht="15.75" customHeight="1">
      <c r="A3943" s="218">
        <v>46211.0</v>
      </c>
      <c r="B3943" s="60"/>
      <c r="C3943" s="61" t="s">
        <v>1854</v>
      </c>
      <c r="D3943" s="62" t="s">
        <v>15</v>
      </c>
      <c r="E3943" s="61" t="s">
        <v>4258</v>
      </c>
      <c r="F3943" s="137">
        <v>46229.0</v>
      </c>
      <c r="G3943" s="155">
        <v>1.944323252E7</v>
      </c>
      <c r="H3943" s="9">
        <f t="shared" si="11"/>
        <v>4083078.829</v>
      </c>
      <c r="I3943" s="44"/>
      <c r="J3943" s="44">
        <v>291648.49</v>
      </c>
      <c r="K3943" s="10">
        <f t="shared" si="12"/>
        <v>23817959.84</v>
      </c>
      <c r="L3943" s="47"/>
      <c r="M3943" s="50"/>
    </row>
    <row r="3944" ht="15.75" customHeight="1">
      <c r="A3944" s="218">
        <v>46211.0</v>
      </c>
      <c r="B3944" s="60"/>
      <c r="C3944" s="61" t="s">
        <v>1854</v>
      </c>
      <c r="D3944" s="62" t="s">
        <v>15</v>
      </c>
      <c r="E3944" s="61" t="s">
        <v>4259</v>
      </c>
      <c r="F3944" s="137">
        <v>46229.0</v>
      </c>
      <c r="G3944" s="155">
        <v>1.544365318E7</v>
      </c>
      <c r="H3944" s="9">
        <f t="shared" si="11"/>
        <v>3243167.168</v>
      </c>
      <c r="I3944" s="44"/>
      <c r="J3944" s="44">
        <v>231654.8</v>
      </c>
      <c r="K3944" s="10">
        <f t="shared" si="12"/>
        <v>18918475.15</v>
      </c>
      <c r="L3944" s="47"/>
      <c r="M3944" s="50"/>
    </row>
    <row r="3945" ht="15.75" customHeight="1">
      <c r="A3945" s="162">
        <v>46211.0</v>
      </c>
      <c r="B3945" s="55"/>
      <c r="C3945" s="31" t="s">
        <v>1858</v>
      </c>
      <c r="D3945" s="32" t="s">
        <v>15</v>
      </c>
      <c r="E3945" s="32" t="s">
        <v>4260</v>
      </c>
      <c r="F3945" s="134">
        <v>46229.0</v>
      </c>
      <c r="G3945" s="59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5"/>
      <c r="C3946" s="31" t="s">
        <v>1858</v>
      </c>
      <c r="D3946" s="32" t="s">
        <v>15</v>
      </c>
      <c r="E3946" s="32" t="s">
        <v>4261</v>
      </c>
      <c r="F3946" s="134">
        <v>46229.0</v>
      </c>
      <c r="G3946" s="59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5"/>
      <c r="C3947" s="31" t="s">
        <v>1858</v>
      </c>
      <c r="D3947" s="32" t="s">
        <v>15</v>
      </c>
      <c r="E3947" s="32" t="s">
        <v>4262</v>
      </c>
      <c r="F3947" s="134">
        <v>46229.0</v>
      </c>
      <c r="G3947" s="59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5"/>
      <c r="C3948" s="31" t="s">
        <v>1858</v>
      </c>
      <c r="D3948" s="32" t="s">
        <v>15</v>
      </c>
      <c r="E3948" s="32" t="s">
        <v>4263</v>
      </c>
      <c r="F3948" s="134">
        <v>46229.0</v>
      </c>
      <c r="G3948" s="59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5"/>
      <c r="C3949" s="31" t="s">
        <v>1861</v>
      </c>
      <c r="D3949" s="32" t="s">
        <v>15</v>
      </c>
      <c r="E3949" s="31" t="s">
        <v>4264</v>
      </c>
      <c r="F3949" s="134">
        <v>46229.0</v>
      </c>
      <c r="G3949" s="59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5"/>
      <c r="C3950" s="31" t="s">
        <v>1861</v>
      </c>
      <c r="D3950" s="32" t="s">
        <v>15</v>
      </c>
      <c r="E3950" s="31" t="s">
        <v>4265</v>
      </c>
      <c r="F3950" s="134">
        <v>46229.0</v>
      </c>
      <c r="G3950" s="59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5"/>
      <c r="C3951" s="31" t="s">
        <v>171</v>
      </c>
      <c r="D3951" s="32" t="s">
        <v>99</v>
      </c>
      <c r="E3951" s="32" t="s">
        <v>4266</v>
      </c>
      <c r="F3951" s="134">
        <v>46229.0</v>
      </c>
      <c r="G3951" s="59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5"/>
      <c r="C3952" s="31" t="s">
        <v>171</v>
      </c>
      <c r="D3952" s="32" t="s">
        <v>99</v>
      </c>
      <c r="E3952" s="31" t="s">
        <v>4267</v>
      </c>
      <c r="F3952" s="134">
        <v>46229.0</v>
      </c>
      <c r="G3952" s="59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5"/>
      <c r="C3953" s="31" t="s">
        <v>171</v>
      </c>
      <c r="D3953" s="32" t="s">
        <v>99</v>
      </c>
      <c r="E3953" s="31" t="s">
        <v>4268</v>
      </c>
      <c r="F3953" s="134">
        <v>46229.0</v>
      </c>
      <c r="G3953" s="59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5"/>
      <c r="C3954" s="31" t="s">
        <v>171</v>
      </c>
      <c r="D3954" s="32" t="s">
        <v>99</v>
      </c>
      <c r="E3954" s="31" t="s">
        <v>4269</v>
      </c>
      <c r="F3954" s="134">
        <v>46229.0</v>
      </c>
      <c r="G3954" s="59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5"/>
      <c r="C3955" s="31" t="s">
        <v>1854</v>
      </c>
      <c r="D3955" s="32" t="s">
        <v>99</v>
      </c>
      <c r="E3955" s="31" t="s">
        <v>4270</v>
      </c>
      <c r="F3955" s="134">
        <v>46229.0</v>
      </c>
      <c r="G3955" s="59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47"/>
      <c r="M3955" s="50"/>
    </row>
    <row r="3956" ht="15.75" customHeight="1">
      <c r="A3956" s="162">
        <v>46211.0</v>
      </c>
      <c r="B3956" s="55"/>
      <c r="C3956" s="31" t="s">
        <v>1854</v>
      </c>
      <c r="D3956" s="32" t="s">
        <v>99</v>
      </c>
      <c r="E3956" s="31" t="s">
        <v>4271</v>
      </c>
      <c r="F3956" s="134">
        <v>46229.0</v>
      </c>
      <c r="G3956" s="59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47"/>
      <c r="M3956" s="50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47"/>
      <c r="M3957" s="50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47"/>
      <c r="M3958" s="50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47"/>
      <c r="M3959" s="50"/>
    </row>
    <row r="3960" ht="15.75" customHeight="1">
      <c r="A3960" s="162">
        <v>46211.0</v>
      </c>
      <c r="B3960" s="55"/>
      <c r="C3960" s="31" t="s">
        <v>1854</v>
      </c>
      <c r="D3960" s="32" t="s">
        <v>99</v>
      </c>
      <c r="E3960" s="32" t="s">
        <v>4275</v>
      </c>
      <c r="F3960" s="134">
        <v>46229.0</v>
      </c>
      <c r="G3960" s="59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47"/>
      <c r="M3960" s="50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5"/>
      <c r="C3963" s="31" t="s">
        <v>171</v>
      </c>
      <c r="D3963" s="32" t="s">
        <v>15</v>
      </c>
      <c r="E3963" s="31" t="s">
        <v>4278</v>
      </c>
      <c r="F3963" s="134">
        <v>46229.0</v>
      </c>
      <c r="G3963" s="59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5"/>
      <c r="C3964" s="31" t="s">
        <v>171</v>
      </c>
      <c r="D3964" s="32" t="s">
        <v>15</v>
      </c>
      <c r="E3964" s="32" t="s">
        <v>4279</v>
      </c>
      <c r="F3964" s="134">
        <v>46229.0</v>
      </c>
      <c r="G3964" s="59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5"/>
      <c r="C3965" s="31" t="s">
        <v>171</v>
      </c>
      <c r="D3965" s="32" t="s">
        <v>15</v>
      </c>
      <c r="E3965" s="32" t="s">
        <v>4280</v>
      </c>
      <c r="F3965" s="134">
        <v>46229.0</v>
      </c>
      <c r="G3965" s="59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5"/>
      <c r="C3966" s="31" t="s">
        <v>171</v>
      </c>
      <c r="D3966" s="32" t="s">
        <v>15</v>
      </c>
      <c r="E3966" s="32" t="s">
        <v>4281</v>
      </c>
      <c r="F3966" s="134">
        <v>46229.0</v>
      </c>
      <c r="G3966" s="59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5"/>
      <c r="C3967" s="31" t="s">
        <v>1112</v>
      </c>
      <c r="D3967" s="32" t="s">
        <v>15</v>
      </c>
      <c r="E3967" s="31" t="s">
        <v>4282</v>
      </c>
      <c r="F3967" s="134">
        <v>46229.0</v>
      </c>
      <c r="G3967" s="59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5"/>
      <c r="C3968" s="31" t="s">
        <v>1112</v>
      </c>
      <c r="D3968" s="32" t="s">
        <v>15</v>
      </c>
      <c r="E3968" s="31" t="s">
        <v>4283</v>
      </c>
      <c r="F3968" s="134">
        <v>46229.0</v>
      </c>
      <c r="G3968" s="59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5"/>
      <c r="C3969" s="31" t="s">
        <v>1112</v>
      </c>
      <c r="D3969" s="32" t="s">
        <v>15</v>
      </c>
      <c r="E3969" s="31" t="s">
        <v>4284</v>
      </c>
      <c r="F3969" s="134">
        <v>46229.0</v>
      </c>
      <c r="G3969" s="59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5"/>
      <c r="C3970" s="31" t="s">
        <v>1112</v>
      </c>
      <c r="D3970" s="32" t="s">
        <v>15</v>
      </c>
      <c r="E3970" s="31" t="s">
        <v>4285</v>
      </c>
      <c r="F3970" s="134">
        <v>46229.0</v>
      </c>
      <c r="G3970" s="59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5"/>
      <c r="C3971" s="31" t="s">
        <v>1112</v>
      </c>
      <c r="D3971" s="32" t="s">
        <v>99</v>
      </c>
      <c r="E3971" s="32" t="s">
        <v>4286</v>
      </c>
      <c r="F3971" s="134">
        <v>46229.0</v>
      </c>
      <c r="G3971" s="59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5"/>
      <c r="C3972" s="31" t="s">
        <v>1112</v>
      </c>
      <c r="D3972" s="32" t="s">
        <v>99</v>
      </c>
      <c r="E3972" s="32" t="s">
        <v>4287</v>
      </c>
      <c r="F3972" s="134">
        <v>46229.0</v>
      </c>
      <c r="G3972" s="59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5"/>
      <c r="C3973" s="31" t="s">
        <v>1112</v>
      </c>
      <c r="D3973" s="32" t="s">
        <v>99</v>
      </c>
      <c r="E3973" s="32" t="s">
        <v>4288</v>
      </c>
      <c r="F3973" s="134">
        <v>46229.0</v>
      </c>
      <c r="G3973" s="59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5"/>
      <c r="C3974" s="31" t="s">
        <v>1112</v>
      </c>
      <c r="D3974" s="32" t="s">
        <v>99</v>
      </c>
      <c r="E3974" s="32" t="s">
        <v>4289</v>
      </c>
      <c r="F3974" s="134">
        <v>46229.0</v>
      </c>
      <c r="G3974" s="59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5"/>
      <c r="C3975" s="31" t="s">
        <v>3836</v>
      </c>
      <c r="D3975" s="32" t="s">
        <v>99</v>
      </c>
      <c r="E3975" s="31" t="s">
        <v>4290</v>
      </c>
      <c r="F3975" s="134">
        <v>46229.0</v>
      </c>
      <c r="G3975" s="59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5"/>
      <c r="C3976" s="31" t="s">
        <v>3385</v>
      </c>
      <c r="D3976" s="32" t="s">
        <v>15</v>
      </c>
      <c r="E3976" s="31" t="s">
        <v>4291</v>
      </c>
      <c r="F3976" s="134">
        <v>46229.0</v>
      </c>
      <c r="G3976" s="59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218">
        <v>46213.0</v>
      </c>
      <c r="B3977" s="60"/>
      <c r="C3977" s="62" t="s">
        <v>53</v>
      </c>
      <c r="D3977" s="62" t="s">
        <v>15</v>
      </c>
      <c r="E3977" s="61" t="s">
        <v>4292</v>
      </c>
      <c r="F3977" s="137">
        <v>46229.0</v>
      </c>
      <c r="G3977" s="155">
        <v>4151148.76</v>
      </c>
      <c r="H3977" s="9">
        <f t="shared" si="11"/>
        <v>871741.2396</v>
      </c>
      <c r="I3977" s="44"/>
      <c r="J3977" s="44"/>
      <c r="K3977" s="10">
        <f t="shared" si="12"/>
        <v>5022890</v>
      </c>
      <c r="L3977" s="47"/>
      <c r="M3977" s="50"/>
    </row>
    <row r="3978" ht="15.75" customHeight="1">
      <c r="A3978" s="162">
        <v>46213.0</v>
      </c>
      <c r="B3978" s="55"/>
      <c r="C3978" s="32" t="s">
        <v>3836</v>
      </c>
      <c r="D3978" s="32" t="s">
        <v>15</v>
      </c>
      <c r="E3978" s="32" t="s">
        <v>4293</v>
      </c>
      <c r="F3978" s="134">
        <v>46229.0</v>
      </c>
      <c r="G3978" s="59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218">
        <v>46213.0</v>
      </c>
      <c r="B3979" s="60"/>
      <c r="C3979" s="62" t="s">
        <v>53</v>
      </c>
      <c r="D3979" s="62" t="s">
        <v>15</v>
      </c>
      <c r="E3979" s="62" t="s">
        <v>4294</v>
      </c>
      <c r="F3979" s="137">
        <v>46229.0</v>
      </c>
      <c r="G3979" s="155">
        <v>1.240881818E7</v>
      </c>
      <c r="H3979" s="9">
        <f t="shared" si="11"/>
        <v>2605851.818</v>
      </c>
      <c r="I3979" s="44"/>
      <c r="J3979" s="44"/>
      <c r="K3979" s="10">
        <f t="shared" si="12"/>
        <v>15014670</v>
      </c>
      <c r="L3979" s="47"/>
      <c r="M3979" s="50"/>
    </row>
    <row r="3980" ht="15.75" customHeight="1">
      <c r="A3980" s="162">
        <v>46217.0</v>
      </c>
      <c r="B3980" s="55"/>
      <c r="C3980" s="31" t="s">
        <v>1312</v>
      </c>
      <c r="D3980" s="32" t="s">
        <v>15</v>
      </c>
      <c r="E3980" s="31" t="s">
        <v>4295</v>
      </c>
      <c r="F3980" s="134">
        <v>46229.0</v>
      </c>
      <c r="G3980" s="59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5"/>
      <c r="C3981" s="31" t="s">
        <v>1277</v>
      </c>
      <c r="D3981" s="32" t="s">
        <v>15</v>
      </c>
      <c r="E3981" s="31" t="s">
        <v>4296</v>
      </c>
      <c r="F3981" s="134">
        <v>46229.0</v>
      </c>
      <c r="G3981" s="59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5"/>
      <c r="C3982" s="31" t="s">
        <v>1279</v>
      </c>
      <c r="D3982" s="32" t="s">
        <v>15</v>
      </c>
      <c r="E3982" s="31" t="s">
        <v>4297</v>
      </c>
      <c r="F3982" s="134">
        <v>46229.0</v>
      </c>
      <c r="G3982" s="59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5"/>
      <c r="C3983" s="31" t="s">
        <v>1283</v>
      </c>
      <c r="D3983" s="32" t="s">
        <v>15</v>
      </c>
      <c r="E3983" s="31" t="s">
        <v>4298</v>
      </c>
      <c r="F3983" s="134">
        <v>46229.0</v>
      </c>
      <c r="G3983" s="59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5"/>
      <c r="C3984" s="31" t="s">
        <v>491</v>
      </c>
      <c r="D3984" s="32" t="s">
        <v>15</v>
      </c>
      <c r="E3984" s="31" t="s">
        <v>4299</v>
      </c>
      <c r="F3984" s="134">
        <v>46229.0</v>
      </c>
      <c r="G3984" s="59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5"/>
      <c r="C3985" s="31" t="s">
        <v>1285</v>
      </c>
      <c r="D3985" s="32" t="s">
        <v>15</v>
      </c>
      <c r="E3985" s="31" t="s">
        <v>4300</v>
      </c>
      <c r="F3985" s="134">
        <v>46229.0</v>
      </c>
      <c r="G3985" s="59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5"/>
      <c r="C3986" s="31" t="s">
        <v>567</v>
      </c>
      <c r="D3986" s="32" t="s">
        <v>15</v>
      </c>
      <c r="E3986" s="31" t="s">
        <v>4301</v>
      </c>
      <c r="F3986" s="134">
        <v>46229.0</v>
      </c>
      <c r="G3986" s="59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5"/>
      <c r="C3987" s="31" t="s">
        <v>567</v>
      </c>
      <c r="D3987" s="32" t="s">
        <v>15</v>
      </c>
      <c r="E3987" s="31" t="s">
        <v>4302</v>
      </c>
      <c r="F3987" s="134">
        <v>46229.0</v>
      </c>
      <c r="G3987" s="59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5"/>
      <c r="C3988" s="31" t="s">
        <v>491</v>
      </c>
      <c r="D3988" s="32" t="s">
        <v>99</v>
      </c>
      <c r="E3988" s="31" t="s">
        <v>4303</v>
      </c>
      <c r="F3988" s="134">
        <v>46229.0</v>
      </c>
      <c r="G3988" s="59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5"/>
      <c r="C3989" s="31" t="s">
        <v>567</v>
      </c>
      <c r="D3989" s="32" t="s">
        <v>99</v>
      </c>
      <c r="E3989" s="31" t="s">
        <v>4304</v>
      </c>
      <c r="F3989" s="134">
        <v>46229.0</v>
      </c>
      <c r="G3989" s="59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5"/>
      <c r="C3990" s="31" t="s">
        <v>567</v>
      </c>
      <c r="D3990" s="32" t="s">
        <v>99</v>
      </c>
      <c r="E3990" s="31" t="s">
        <v>4305</v>
      </c>
      <c r="F3990" s="134">
        <v>46229.0</v>
      </c>
      <c r="G3990" s="59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5"/>
      <c r="C3991" s="31" t="s">
        <v>1279</v>
      </c>
      <c r="D3991" s="32" t="s">
        <v>99</v>
      </c>
      <c r="E3991" s="31" t="s">
        <v>4306</v>
      </c>
      <c r="F3991" s="134">
        <v>46229.0</v>
      </c>
      <c r="G3991" s="59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60"/>
      <c r="C3992" s="61" t="s">
        <v>1277</v>
      </c>
      <c r="D3992" s="62" t="s">
        <v>99</v>
      </c>
      <c r="E3992" s="61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47"/>
      <c r="M3992" s="50"/>
    </row>
    <row r="3993" ht="15.75" customHeight="1">
      <c r="A3993" s="162">
        <v>46219.0</v>
      </c>
      <c r="B3993" s="55"/>
      <c r="C3993" s="31" t="s">
        <v>1312</v>
      </c>
      <c r="D3993" s="32" t="s">
        <v>99</v>
      </c>
      <c r="E3993" s="31" t="s">
        <v>4308</v>
      </c>
      <c r="F3993" s="134">
        <v>46229.0</v>
      </c>
      <c r="G3993" s="59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5"/>
      <c r="C3994" s="31" t="s">
        <v>1283</v>
      </c>
      <c r="D3994" s="32" t="s">
        <v>99</v>
      </c>
      <c r="E3994" s="31" t="s">
        <v>4309</v>
      </c>
      <c r="F3994" s="134">
        <v>46229.0</v>
      </c>
      <c r="G3994" s="59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5"/>
      <c r="C3995" s="31" t="s">
        <v>1281</v>
      </c>
      <c r="D3995" s="32" t="s">
        <v>99</v>
      </c>
      <c r="E3995" s="31" t="s">
        <v>4310</v>
      </c>
      <c r="F3995" s="134">
        <v>46229.0</v>
      </c>
      <c r="G3995" s="59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5"/>
      <c r="C3996" s="31" t="s">
        <v>1279</v>
      </c>
      <c r="D3996" s="32" t="s">
        <v>99</v>
      </c>
      <c r="E3996" s="31" t="s">
        <v>4306</v>
      </c>
      <c r="F3996" s="134">
        <v>46229.0</v>
      </c>
      <c r="G3996" s="59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60"/>
      <c r="C3997" s="61" t="s">
        <v>1277</v>
      </c>
      <c r="D3997" s="62" t="s">
        <v>99</v>
      </c>
      <c r="E3997" s="61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47"/>
      <c r="M3997" s="50"/>
    </row>
    <row r="3998" ht="15.75" customHeight="1">
      <c r="A3998" s="162">
        <v>46220.0</v>
      </c>
      <c r="B3998" s="55"/>
      <c r="C3998" s="31" t="s">
        <v>1312</v>
      </c>
      <c r="D3998" s="32" t="s">
        <v>99</v>
      </c>
      <c r="E3998" s="31" t="s">
        <v>4308</v>
      </c>
      <c r="F3998" s="134">
        <v>46229.0</v>
      </c>
      <c r="G3998" s="59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5"/>
      <c r="C3999" s="31" t="s">
        <v>491</v>
      </c>
      <c r="D3999" s="32" t="s">
        <v>15</v>
      </c>
      <c r="E3999" s="31" t="s">
        <v>4299</v>
      </c>
      <c r="F3999" s="134">
        <v>46229.0</v>
      </c>
      <c r="G3999" s="59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5"/>
      <c r="C4000" s="31" t="s">
        <v>1285</v>
      </c>
      <c r="D4000" s="32" t="s">
        <v>15</v>
      </c>
      <c r="E4000" s="31" t="s">
        <v>4300</v>
      </c>
      <c r="F4000" s="134">
        <v>46229.0</v>
      </c>
      <c r="G4000" s="59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5"/>
      <c r="C4001" s="31" t="s">
        <v>196</v>
      </c>
      <c r="D4001" s="32" t="s">
        <v>15</v>
      </c>
      <c r="E4001" s="31" t="s">
        <v>4311</v>
      </c>
      <c r="F4001" s="134">
        <v>46229.0</v>
      </c>
      <c r="G4001" s="59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5"/>
      <c r="C4002" s="31" t="s">
        <v>1183</v>
      </c>
      <c r="D4002" s="32" t="s">
        <v>15</v>
      </c>
      <c r="E4002" s="31" t="s">
        <v>4312</v>
      </c>
      <c r="F4002" s="134">
        <v>46229.0</v>
      </c>
      <c r="G4002" s="59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5"/>
      <c r="C4003" s="31" t="s">
        <v>1183</v>
      </c>
      <c r="D4003" s="32" t="s">
        <v>15</v>
      </c>
      <c r="E4003" s="31" t="s">
        <v>4313</v>
      </c>
      <c r="F4003" s="134">
        <v>46229.0</v>
      </c>
      <c r="G4003" s="59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5"/>
      <c r="C4004" s="31" t="s">
        <v>1183</v>
      </c>
      <c r="D4004" s="32" t="s">
        <v>15</v>
      </c>
      <c r="E4004" s="31" t="s">
        <v>4314</v>
      </c>
      <c r="F4004" s="134">
        <v>46229.0</v>
      </c>
      <c r="G4004" s="59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5"/>
      <c r="C4005" s="31" t="s">
        <v>1183</v>
      </c>
      <c r="D4005" s="32" t="s">
        <v>15</v>
      </c>
      <c r="E4005" s="31" t="s">
        <v>4315</v>
      </c>
      <c r="F4005" s="134">
        <v>46229.0</v>
      </c>
      <c r="G4005" s="59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5"/>
      <c r="C4006" s="31" t="s">
        <v>1183</v>
      </c>
      <c r="D4006" s="32" t="s">
        <v>15</v>
      </c>
      <c r="E4006" s="31" t="s">
        <v>4316</v>
      </c>
      <c r="F4006" s="134">
        <v>46229.0</v>
      </c>
      <c r="G4006" s="59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5"/>
      <c r="C4007" s="31" t="s">
        <v>1183</v>
      </c>
      <c r="D4007" s="32" t="s">
        <v>15</v>
      </c>
      <c r="E4007" s="32" t="s">
        <v>4317</v>
      </c>
      <c r="F4007" s="134">
        <v>46229.0</v>
      </c>
      <c r="G4007" s="59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5"/>
      <c r="C4008" s="31" t="s">
        <v>1183</v>
      </c>
      <c r="D4008" s="32" t="s">
        <v>99</v>
      </c>
      <c r="E4008" s="31" t="s">
        <v>4318</v>
      </c>
      <c r="F4008" s="134">
        <v>46229.0</v>
      </c>
      <c r="G4008" s="59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5"/>
      <c r="C4009" s="31" t="s">
        <v>1183</v>
      </c>
      <c r="D4009" s="32" t="s">
        <v>99</v>
      </c>
      <c r="E4009" s="31" t="s">
        <v>4319</v>
      </c>
      <c r="F4009" s="134">
        <v>46229.0</v>
      </c>
      <c r="G4009" s="59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5"/>
      <c r="C4010" s="31" t="s">
        <v>1183</v>
      </c>
      <c r="D4010" s="32" t="s">
        <v>99</v>
      </c>
      <c r="E4010" s="31" t="s">
        <v>4320</v>
      </c>
      <c r="F4010" s="134">
        <v>46229.0</v>
      </c>
      <c r="G4010" s="59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5"/>
      <c r="C4011" s="31" t="s">
        <v>1183</v>
      </c>
      <c r="D4011" s="32" t="s">
        <v>99</v>
      </c>
      <c r="E4011" s="32" t="s">
        <v>4321</v>
      </c>
      <c r="F4011" s="134">
        <v>46229.0</v>
      </c>
      <c r="G4011" s="59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5"/>
      <c r="C4012" s="31" t="s">
        <v>1312</v>
      </c>
      <c r="D4012" s="32" t="s">
        <v>15</v>
      </c>
      <c r="E4012" s="31" t="s">
        <v>4322</v>
      </c>
      <c r="F4012" s="134">
        <v>46229.0</v>
      </c>
      <c r="G4012" s="59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5"/>
      <c r="C4013" s="31" t="s">
        <v>1277</v>
      </c>
      <c r="D4013" s="32" t="s">
        <v>15</v>
      </c>
      <c r="E4013" s="31" t="s">
        <v>4323</v>
      </c>
      <c r="F4013" s="134">
        <v>46229.0</v>
      </c>
      <c r="G4013" s="59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5"/>
      <c r="C4014" s="31" t="s">
        <v>1279</v>
      </c>
      <c r="D4014" s="32" t="s">
        <v>15</v>
      </c>
      <c r="E4014" s="31" t="s">
        <v>4324</v>
      </c>
      <c r="F4014" s="134">
        <v>46229.0</v>
      </c>
      <c r="G4014" s="59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5"/>
      <c r="C4015" s="31" t="s">
        <v>1279</v>
      </c>
      <c r="D4015" s="32" t="s">
        <v>15</v>
      </c>
      <c r="E4015" s="32" t="s">
        <v>4325</v>
      </c>
      <c r="F4015" s="134">
        <v>46229.0</v>
      </c>
      <c r="G4015" s="59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5"/>
      <c r="C4016" s="31" t="s">
        <v>1283</v>
      </c>
      <c r="D4016" s="32" t="s">
        <v>15</v>
      </c>
      <c r="E4016" s="31" t="s">
        <v>4326</v>
      </c>
      <c r="F4016" s="134">
        <v>46229.0</v>
      </c>
      <c r="G4016" s="59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5"/>
      <c r="C4017" s="31" t="s">
        <v>973</v>
      </c>
      <c r="D4017" s="32" t="s">
        <v>15</v>
      </c>
      <c r="E4017" s="31" t="s">
        <v>4327</v>
      </c>
      <c r="F4017" s="134">
        <v>46229.0</v>
      </c>
      <c r="G4017" s="59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5"/>
      <c r="C4018" s="31" t="s">
        <v>973</v>
      </c>
      <c r="D4018" s="32" t="s">
        <v>15</v>
      </c>
      <c r="E4018" s="31" t="s">
        <v>4328</v>
      </c>
      <c r="F4018" s="134">
        <v>46229.0</v>
      </c>
      <c r="G4018" s="59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5"/>
      <c r="C4019" s="31" t="s">
        <v>973</v>
      </c>
      <c r="D4019" s="32" t="s">
        <v>15</v>
      </c>
      <c r="E4019" s="31" t="s">
        <v>4329</v>
      </c>
      <c r="F4019" s="134">
        <v>46229.0</v>
      </c>
      <c r="G4019" s="59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5"/>
      <c r="C4020" s="31" t="s">
        <v>973</v>
      </c>
      <c r="D4020" s="32" t="s">
        <v>15</v>
      </c>
      <c r="E4020" s="31" t="s">
        <v>4330</v>
      </c>
      <c r="F4020" s="134">
        <v>46229.0</v>
      </c>
      <c r="G4020" s="59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5"/>
      <c r="C4021" s="31" t="s">
        <v>973</v>
      </c>
      <c r="D4021" s="32" t="s">
        <v>15</v>
      </c>
      <c r="E4021" s="31" t="s">
        <v>4331</v>
      </c>
      <c r="F4021" s="134">
        <v>46229.0</v>
      </c>
      <c r="G4021" s="59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5"/>
      <c r="C4022" s="31" t="s">
        <v>973</v>
      </c>
      <c r="D4022" s="32" t="s">
        <v>15</v>
      </c>
      <c r="E4022" s="31" t="s">
        <v>4332</v>
      </c>
      <c r="F4022" s="134">
        <v>46229.0</v>
      </c>
      <c r="G4022" s="59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5"/>
      <c r="C4023" s="31" t="s">
        <v>973</v>
      </c>
      <c r="D4023" s="32" t="s">
        <v>15</v>
      </c>
      <c r="E4023" s="31" t="s">
        <v>4333</v>
      </c>
      <c r="F4023" s="134">
        <v>46229.0</v>
      </c>
      <c r="G4023" s="59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5"/>
      <c r="C4024" s="31" t="s">
        <v>973</v>
      </c>
      <c r="D4024" s="32" t="s">
        <v>15</v>
      </c>
      <c r="E4024" s="31" t="s">
        <v>4334</v>
      </c>
      <c r="F4024" s="134">
        <v>46229.0</v>
      </c>
      <c r="G4024" s="59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5"/>
      <c r="C4025" s="31" t="s">
        <v>973</v>
      </c>
      <c r="D4025" s="32" t="s">
        <v>15</v>
      </c>
      <c r="E4025" s="32" t="s">
        <v>4335</v>
      </c>
      <c r="F4025" s="134">
        <v>46229.0</v>
      </c>
      <c r="G4025" s="59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5"/>
      <c r="C4026" s="31" t="s">
        <v>973</v>
      </c>
      <c r="D4026" s="32" t="s">
        <v>99</v>
      </c>
      <c r="E4026" s="32" t="s">
        <v>4336</v>
      </c>
      <c r="F4026" s="134">
        <v>46229.0</v>
      </c>
      <c r="G4026" s="59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5"/>
      <c r="C4027" s="31" t="s">
        <v>973</v>
      </c>
      <c r="D4027" s="32" t="s">
        <v>99</v>
      </c>
      <c r="E4027" s="32" t="s">
        <v>4337</v>
      </c>
      <c r="F4027" s="134">
        <v>46229.0</v>
      </c>
      <c r="G4027" s="59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5"/>
      <c r="C4028" s="31" t="s">
        <v>973</v>
      </c>
      <c r="D4028" s="32" t="s">
        <v>99</v>
      </c>
      <c r="E4028" s="32" t="s">
        <v>4338</v>
      </c>
      <c r="F4028" s="134">
        <v>46229.0</v>
      </c>
      <c r="G4028" s="59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5"/>
      <c r="C4029" s="31" t="s">
        <v>973</v>
      </c>
      <c r="D4029" s="32" t="s">
        <v>99</v>
      </c>
      <c r="E4029" s="32" t="s">
        <v>4339</v>
      </c>
      <c r="F4029" s="134">
        <v>46229.0</v>
      </c>
      <c r="G4029" s="59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5"/>
      <c r="C4030" s="31" t="s">
        <v>973</v>
      </c>
      <c r="D4030" s="32" t="s">
        <v>99</v>
      </c>
      <c r="E4030" s="32" t="s">
        <v>4340</v>
      </c>
      <c r="F4030" s="134">
        <v>46229.0</v>
      </c>
      <c r="G4030" s="59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60"/>
      <c r="C4031" s="61" t="s">
        <v>1283</v>
      </c>
      <c r="D4031" s="62" t="s">
        <v>99</v>
      </c>
      <c r="E4031" s="61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47"/>
      <c r="M4031" s="50"/>
    </row>
    <row r="4032" ht="15.75" customHeight="1">
      <c r="A4032" s="162">
        <v>46221.0</v>
      </c>
      <c r="B4032" s="55"/>
      <c r="C4032" s="31" t="s">
        <v>1312</v>
      </c>
      <c r="D4032" s="32" t="s">
        <v>99</v>
      </c>
      <c r="E4032" s="31" t="s">
        <v>4342</v>
      </c>
      <c r="F4032" s="134">
        <v>46229.0</v>
      </c>
      <c r="G4032" s="59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5"/>
      <c r="C4033" s="31" t="s">
        <v>1277</v>
      </c>
      <c r="D4033" s="32" t="s">
        <v>99</v>
      </c>
      <c r="E4033" s="31" t="s">
        <v>4343</v>
      </c>
      <c r="F4033" s="134">
        <v>46229.0</v>
      </c>
      <c r="G4033" s="59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5"/>
      <c r="C4034" s="31" t="s">
        <v>1279</v>
      </c>
      <c r="D4034" s="32" t="s">
        <v>99</v>
      </c>
      <c r="E4034" s="31" t="s">
        <v>4344</v>
      </c>
      <c r="F4034" s="134">
        <v>46229.0</v>
      </c>
      <c r="G4034" s="59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5"/>
      <c r="C4035" s="31" t="s">
        <v>1281</v>
      </c>
      <c r="D4035" s="32" t="s">
        <v>99</v>
      </c>
      <c r="E4035" s="31" t="s">
        <v>4345</v>
      </c>
      <c r="F4035" s="134">
        <v>46229.0</v>
      </c>
      <c r="G4035" s="59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5"/>
      <c r="C4036" s="31" t="s">
        <v>1279</v>
      </c>
      <c r="D4036" s="32" t="s">
        <v>99</v>
      </c>
      <c r="E4036" s="31" t="s">
        <v>4346</v>
      </c>
      <c r="F4036" s="134">
        <v>46229.0</v>
      </c>
      <c r="G4036" s="59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5"/>
      <c r="C4037" s="31" t="s">
        <v>4347</v>
      </c>
      <c r="D4037" s="32" t="s">
        <v>99</v>
      </c>
      <c r="E4037" s="31" t="s">
        <v>4348</v>
      </c>
      <c r="F4037" s="134">
        <v>46229.0</v>
      </c>
      <c r="G4037" s="59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5"/>
      <c r="C4038" s="31" t="s">
        <v>4347</v>
      </c>
      <c r="D4038" s="32" t="s">
        <v>99</v>
      </c>
      <c r="E4038" s="31" t="s">
        <v>4349</v>
      </c>
      <c r="F4038" s="134">
        <v>46229.0</v>
      </c>
      <c r="G4038" s="59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5"/>
      <c r="C4039" s="31" t="s">
        <v>1285</v>
      </c>
      <c r="D4039" s="32" t="s">
        <v>15</v>
      </c>
      <c r="E4039" s="31" t="s">
        <v>4350</v>
      </c>
      <c r="F4039" s="134">
        <v>46229.0</v>
      </c>
      <c r="G4039" s="59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5"/>
      <c r="C4040" s="32" t="s">
        <v>4351</v>
      </c>
      <c r="D4040" s="32" t="s">
        <v>99</v>
      </c>
      <c r="E4040" s="32" t="s">
        <v>4352</v>
      </c>
      <c r="F4040" s="134">
        <v>46229.0</v>
      </c>
      <c r="G4040" s="59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5"/>
      <c r="C4041" s="32" t="s">
        <v>4351</v>
      </c>
      <c r="D4041" s="32" t="s">
        <v>99</v>
      </c>
      <c r="E4041" s="32" t="s">
        <v>4353</v>
      </c>
      <c r="F4041" s="134">
        <v>46229.0</v>
      </c>
      <c r="G4041" s="231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5"/>
      <c r="C4042" s="32" t="s">
        <v>4351</v>
      </c>
      <c r="D4042" s="32" t="s">
        <v>99</v>
      </c>
      <c r="E4042" s="32" t="s">
        <v>4354</v>
      </c>
      <c r="F4042" s="134">
        <v>46229.0</v>
      </c>
      <c r="G4042" s="231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60"/>
      <c r="C4043" s="61" t="s">
        <v>1179</v>
      </c>
      <c r="D4043" s="62" t="s">
        <v>99</v>
      </c>
      <c r="E4043" s="61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47"/>
      <c r="M4043" s="50"/>
    </row>
    <row r="4044" ht="15.75" customHeight="1">
      <c r="A4044" s="218">
        <v>46230.0</v>
      </c>
      <c r="B4044" s="60"/>
      <c r="C4044" s="61" t="s">
        <v>1179</v>
      </c>
      <c r="D4044" s="62" t="s">
        <v>99</v>
      </c>
      <c r="E4044" s="61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47"/>
      <c r="M4044" s="50"/>
    </row>
    <row r="4045" ht="15.75" customHeight="1">
      <c r="A4045" s="218">
        <v>46230.0</v>
      </c>
      <c r="B4045" s="60"/>
      <c r="C4045" s="61" t="s">
        <v>1179</v>
      </c>
      <c r="D4045" s="62" t="s">
        <v>99</v>
      </c>
      <c r="E4045" s="62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47"/>
      <c r="M4045" s="50"/>
    </row>
    <row r="4046" ht="15.75" customHeight="1">
      <c r="A4046" s="218">
        <v>46230.0</v>
      </c>
      <c r="B4046" s="60"/>
      <c r="C4046" s="61" t="s">
        <v>1179</v>
      </c>
      <c r="D4046" s="62" t="s">
        <v>15</v>
      </c>
      <c r="E4046" s="61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47"/>
      <c r="M4046" s="50"/>
    </row>
    <row r="4047" ht="15.75" customHeight="1">
      <c r="A4047" s="218">
        <v>46230.0</v>
      </c>
      <c r="B4047" s="60"/>
      <c r="C4047" s="61" t="s">
        <v>1179</v>
      </c>
      <c r="D4047" s="62" t="s">
        <v>15</v>
      </c>
      <c r="E4047" s="61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47"/>
      <c r="M4047" s="50"/>
    </row>
    <row r="4048" ht="15.75" customHeight="1">
      <c r="A4048" s="162">
        <v>46230.0</v>
      </c>
      <c r="B4048" s="55"/>
      <c r="C4048" s="31" t="s">
        <v>1183</v>
      </c>
      <c r="D4048" s="32" t="s">
        <v>15</v>
      </c>
      <c r="E4048" s="31" t="s">
        <v>4360</v>
      </c>
      <c r="F4048" s="134">
        <v>46229.0</v>
      </c>
      <c r="G4048" s="59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5"/>
      <c r="C4049" s="31" t="s">
        <v>1183</v>
      </c>
      <c r="D4049" s="32" t="s">
        <v>15</v>
      </c>
      <c r="E4049" s="31" t="s">
        <v>4361</v>
      </c>
      <c r="F4049" s="134">
        <v>46229.0</v>
      </c>
      <c r="G4049" s="59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5"/>
      <c r="C4050" s="31" t="s">
        <v>1183</v>
      </c>
      <c r="D4050" s="32" t="s">
        <v>15</v>
      </c>
      <c r="E4050" s="31" t="s">
        <v>4362</v>
      </c>
      <c r="F4050" s="134">
        <v>46229.0</v>
      </c>
      <c r="G4050" s="59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5"/>
      <c r="C4051" s="31" t="s">
        <v>1183</v>
      </c>
      <c r="D4051" s="32" t="s">
        <v>15</v>
      </c>
      <c r="E4051" s="31" t="s">
        <v>4363</v>
      </c>
      <c r="F4051" s="134">
        <v>46229.0</v>
      </c>
      <c r="G4051" s="59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5"/>
      <c r="C4052" s="31" t="s">
        <v>4351</v>
      </c>
      <c r="D4052" s="32" t="s">
        <v>15</v>
      </c>
      <c r="E4052" s="31" t="s">
        <v>4364</v>
      </c>
      <c r="F4052" s="134">
        <v>46229.0</v>
      </c>
      <c r="G4052" s="59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5"/>
      <c r="C4053" s="31" t="s">
        <v>4351</v>
      </c>
      <c r="D4053" s="32" t="s">
        <v>15</v>
      </c>
      <c r="E4053" s="31" t="s">
        <v>4365</v>
      </c>
      <c r="F4053" s="134">
        <v>46229.0</v>
      </c>
      <c r="G4053" s="59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5"/>
      <c r="C4054" s="31" t="s">
        <v>4351</v>
      </c>
      <c r="D4054" s="32" t="s">
        <v>15</v>
      </c>
      <c r="E4054" s="31" t="s">
        <v>4366</v>
      </c>
      <c r="F4054" s="134">
        <v>46229.0</v>
      </c>
      <c r="G4054" s="59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5"/>
      <c r="C4055" s="31" t="s">
        <v>4351</v>
      </c>
      <c r="D4055" s="32" t="s">
        <v>15</v>
      </c>
      <c r="E4055" s="32" t="s">
        <v>4367</v>
      </c>
      <c r="F4055" s="134">
        <v>46229.0</v>
      </c>
      <c r="G4055" s="59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5"/>
      <c r="C4056" s="31" t="s">
        <v>4351</v>
      </c>
      <c r="D4056" s="32" t="s">
        <v>15</v>
      </c>
      <c r="E4056" s="32" t="s">
        <v>4368</v>
      </c>
      <c r="F4056" s="134">
        <v>46229.0</v>
      </c>
      <c r="G4056" s="59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5"/>
      <c r="C4057" s="31" t="s">
        <v>4351</v>
      </c>
      <c r="D4057" s="32" t="s">
        <v>15</v>
      </c>
      <c r="E4057" s="32" t="s">
        <v>4369</v>
      </c>
      <c r="F4057" s="134">
        <v>46229.0</v>
      </c>
      <c r="G4057" s="59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5"/>
      <c r="C4058" s="31" t="s">
        <v>1189</v>
      </c>
      <c r="D4058" s="32" t="s">
        <v>15</v>
      </c>
      <c r="E4058" s="31" t="s">
        <v>4370</v>
      </c>
      <c r="F4058" s="134">
        <v>46229.0</v>
      </c>
      <c r="G4058" s="59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5"/>
      <c r="C4059" s="31" t="s">
        <v>247</v>
      </c>
      <c r="D4059" s="32" t="s">
        <v>15</v>
      </c>
      <c r="E4059" s="31" t="s">
        <v>4371</v>
      </c>
      <c r="F4059" s="134">
        <v>46229.0</v>
      </c>
      <c r="G4059" s="59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5"/>
      <c r="C4060" s="31" t="s">
        <v>247</v>
      </c>
      <c r="D4060" s="32" t="s">
        <v>15</v>
      </c>
      <c r="E4060" s="31" t="s">
        <v>4372</v>
      </c>
      <c r="F4060" s="134">
        <v>46229.0</v>
      </c>
      <c r="G4060" s="59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5"/>
      <c r="C4061" s="31" t="s">
        <v>3919</v>
      </c>
      <c r="D4061" s="32" t="s">
        <v>15</v>
      </c>
      <c r="E4061" s="31" t="s">
        <v>4373</v>
      </c>
      <c r="F4061" s="134">
        <v>46229.0</v>
      </c>
      <c r="G4061" s="59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60"/>
      <c r="C4062" s="62" t="s">
        <v>4374</v>
      </c>
      <c r="D4062" s="62" t="s">
        <v>4375</v>
      </c>
      <c r="E4062" s="62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47"/>
      <c r="M4062" s="50"/>
    </row>
    <row r="4063" ht="15.75" customHeight="1">
      <c r="A4063" s="218">
        <v>46233.0</v>
      </c>
      <c r="B4063" s="60"/>
      <c r="C4063" s="62" t="s">
        <v>4374</v>
      </c>
      <c r="D4063" s="62" t="s">
        <v>4377</v>
      </c>
      <c r="E4063" s="62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47"/>
      <c r="M4063" s="50"/>
    </row>
    <row r="4064" ht="15.75" customHeight="1">
      <c r="A4064" s="218">
        <v>46233.0</v>
      </c>
      <c r="B4064" s="60"/>
      <c r="C4064" s="62" t="s">
        <v>4374</v>
      </c>
      <c r="D4064" s="62" t="s">
        <v>4375</v>
      </c>
      <c r="E4064" s="62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47"/>
      <c r="M4064" s="50"/>
    </row>
    <row r="4065" ht="15.75" customHeight="1">
      <c r="A4065" s="218">
        <v>46233.0</v>
      </c>
      <c r="B4065" s="60"/>
      <c r="C4065" s="62" t="s">
        <v>4374</v>
      </c>
      <c r="D4065" s="62" t="s">
        <v>4377</v>
      </c>
      <c r="E4065" s="62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47"/>
      <c r="M4065" s="50"/>
    </row>
    <row r="4066" ht="15.75" customHeight="1">
      <c r="A4066" s="218">
        <v>46233.0</v>
      </c>
      <c r="B4066" s="60"/>
      <c r="C4066" s="62" t="s">
        <v>4374</v>
      </c>
      <c r="D4066" s="62" t="s">
        <v>4375</v>
      </c>
      <c r="E4066" s="62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47"/>
      <c r="M4066" s="50"/>
    </row>
    <row r="4067" ht="15.75" customHeight="1">
      <c r="A4067" s="218">
        <v>46233.0</v>
      </c>
      <c r="B4067" s="60"/>
      <c r="C4067" s="62" t="s">
        <v>4374</v>
      </c>
      <c r="D4067" s="62" t="s">
        <v>4377</v>
      </c>
      <c r="E4067" s="62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47"/>
      <c r="M4067" s="50"/>
    </row>
    <row r="4068" ht="15.75" customHeight="1">
      <c r="A4068" s="218">
        <v>46233.0</v>
      </c>
      <c r="B4068" s="60"/>
      <c r="C4068" s="62" t="s">
        <v>4374</v>
      </c>
      <c r="D4068" s="62" t="s">
        <v>4375</v>
      </c>
      <c r="E4068" s="62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47"/>
      <c r="M4068" s="50"/>
    </row>
    <row r="4069" ht="15.75" customHeight="1">
      <c r="A4069" s="218">
        <v>46234.0</v>
      </c>
      <c r="B4069" s="60"/>
      <c r="C4069" s="62" t="s">
        <v>3412</v>
      </c>
      <c r="D4069" s="61" t="s">
        <v>1021</v>
      </c>
      <c r="E4069" s="61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47"/>
      <c r="M4069" s="50"/>
    </row>
    <row r="4070" ht="15.75" customHeight="1">
      <c r="A4070" s="218">
        <v>46234.0</v>
      </c>
      <c r="B4070" s="60"/>
      <c r="C4070" s="61" t="s">
        <v>3412</v>
      </c>
      <c r="D4070" s="61" t="s">
        <v>1021</v>
      </c>
      <c r="E4070" s="61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47"/>
      <c r="M4070" s="50"/>
    </row>
    <row r="4071" ht="15.75" customHeight="1">
      <c r="A4071" s="218">
        <v>46234.0</v>
      </c>
      <c r="B4071" s="60"/>
      <c r="C4071" s="61" t="s">
        <v>3412</v>
      </c>
      <c r="D4071" s="61" t="s">
        <v>1021</v>
      </c>
      <c r="E4071" s="61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47"/>
      <c r="M4071" s="50"/>
    </row>
    <row r="4072" ht="15.75" customHeight="1">
      <c r="A4072" s="218">
        <v>46234.0</v>
      </c>
      <c r="B4072" s="60"/>
      <c r="C4072" s="61" t="s">
        <v>3412</v>
      </c>
      <c r="D4072" s="61" t="s">
        <v>1021</v>
      </c>
      <c r="E4072" s="62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47"/>
      <c r="M4072" s="50"/>
    </row>
    <row r="4073" ht="15.75" customHeight="1">
      <c r="A4073" s="162">
        <v>46234.0</v>
      </c>
      <c r="B4073" s="55"/>
      <c r="C4073" s="31" t="s">
        <v>1183</v>
      </c>
      <c r="D4073" s="32" t="s">
        <v>15</v>
      </c>
      <c r="E4073" s="31" t="s">
        <v>4388</v>
      </c>
      <c r="F4073" s="134">
        <v>46229.0</v>
      </c>
      <c r="G4073" s="59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5"/>
      <c r="C4074" s="31" t="s">
        <v>1183</v>
      </c>
      <c r="D4074" s="32" t="s">
        <v>15</v>
      </c>
      <c r="E4074" s="31" t="s">
        <v>4389</v>
      </c>
      <c r="F4074" s="134">
        <v>46229.0</v>
      </c>
      <c r="G4074" s="59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5"/>
      <c r="C4075" s="31" t="s">
        <v>1183</v>
      </c>
      <c r="D4075" s="32" t="s">
        <v>15</v>
      </c>
      <c r="E4075" s="31" t="s">
        <v>4390</v>
      </c>
      <c r="F4075" s="134">
        <v>46229.0</v>
      </c>
      <c r="G4075" s="59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5"/>
      <c r="C4076" s="31" t="s">
        <v>1183</v>
      </c>
      <c r="D4076" s="32" t="s">
        <v>15</v>
      </c>
      <c r="E4076" s="31" t="s">
        <v>4391</v>
      </c>
      <c r="F4076" s="134">
        <v>46229.0</v>
      </c>
      <c r="G4076" s="59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5"/>
      <c r="C4077" s="31" t="s">
        <v>1183</v>
      </c>
      <c r="D4077" s="32" t="s">
        <v>15</v>
      </c>
      <c r="E4077" s="31" t="s">
        <v>4392</v>
      </c>
      <c r="F4077" s="134">
        <v>46229.0</v>
      </c>
      <c r="G4077" s="59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5"/>
      <c r="C4078" s="31" t="s">
        <v>2958</v>
      </c>
      <c r="D4078" s="32" t="s">
        <v>15</v>
      </c>
      <c r="E4078" s="31" t="s">
        <v>4393</v>
      </c>
      <c r="F4078" s="134">
        <v>46229.0</v>
      </c>
      <c r="G4078" s="59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5"/>
      <c r="C4079" s="31" t="s">
        <v>111</v>
      </c>
      <c r="D4079" s="32" t="s">
        <v>15</v>
      </c>
      <c r="E4079" s="31" t="s">
        <v>4394</v>
      </c>
      <c r="F4079" s="134">
        <v>46229.0</v>
      </c>
      <c r="G4079" s="59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5"/>
      <c r="C4080" s="31" t="s">
        <v>111</v>
      </c>
      <c r="D4080" s="32" t="s">
        <v>15</v>
      </c>
      <c r="E4080" s="31" t="s">
        <v>4395</v>
      </c>
      <c r="F4080" s="134">
        <v>46229.0</v>
      </c>
      <c r="G4080" s="59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5"/>
      <c r="C4081" s="31" t="s">
        <v>111</v>
      </c>
      <c r="D4081" s="32" t="s">
        <v>15</v>
      </c>
      <c r="E4081" s="31" t="s">
        <v>4396</v>
      </c>
      <c r="F4081" s="134">
        <v>46229.0</v>
      </c>
      <c r="G4081" s="59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5"/>
      <c r="C4082" s="31" t="s">
        <v>111</v>
      </c>
      <c r="D4082" s="32" t="s">
        <v>15</v>
      </c>
      <c r="E4082" s="31" t="s">
        <v>4397</v>
      </c>
      <c r="F4082" s="134">
        <v>46229.0</v>
      </c>
      <c r="G4082" s="59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60"/>
      <c r="C4083" s="61" t="s">
        <v>3885</v>
      </c>
      <c r="D4083" s="62" t="s">
        <v>15</v>
      </c>
      <c r="E4083" s="62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47"/>
      <c r="M4083" s="50"/>
    </row>
    <row r="4084" ht="15.75" customHeight="1">
      <c r="A4084" s="218">
        <v>46235.0</v>
      </c>
      <c r="B4084" s="60"/>
      <c r="C4084" s="61" t="s">
        <v>3885</v>
      </c>
      <c r="D4084" s="62" t="s">
        <v>15</v>
      </c>
      <c r="E4084" s="62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47"/>
      <c r="M4084" s="50"/>
    </row>
    <row r="4085" ht="15.75" customHeight="1">
      <c r="A4085" s="162">
        <v>46235.0</v>
      </c>
      <c r="B4085" s="55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5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60"/>
      <c r="C4087" s="61" t="s">
        <v>2616</v>
      </c>
      <c r="D4087" s="62" t="s">
        <v>15</v>
      </c>
      <c r="E4087" s="62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47"/>
      <c r="M4087" s="50"/>
    </row>
    <row r="4088" ht="15.75" customHeight="1">
      <c r="A4088" s="162">
        <v>46235.0</v>
      </c>
      <c r="B4088" s="55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5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218">
        <v>46235.0</v>
      </c>
      <c r="B4090" s="60"/>
      <c r="C4090" s="61" t="s">
        <v>4180</v>
      </c>
      <c r="D4090" s="62" t="s">
        <v>15</v>
      </c>
      <c r="E4090" s="62" t="s">
        <v>3386</v>
      </c>
      <c r="F4090" s="137">
        <v>46229.0</v>
      </c>
      <c r="G4090" s="206">
        <v>9644211.06</v>
      </c>
      <c r="H4090" s="9">
        <f t="shared" si="11"/>
        <v>2025284.323</v>
      </c>
      <c r="I4090" s="44">
        <v>289326.33</v>
      </c>
      <c r="J4090" s="44"/>
      <c r="K4090" s="10">
        <f t="shared" si="12"/>
        <v>11958821.71</v>
      </c>
      <c r="L4090" s="47"/>
      <c r="M4090" s="50"/>
    </row>
    <row r="4091" ht="15.75" customHeight="1">
      <c r="A4091" s="162">
        <v>46235.0</v>
      </c>
      <c r="B4091" s="55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60"/>
      <c r="C4092" s="61" t="s">
        <v>3883</v>
      </c>
      <c r="D4092" s="62" t="s">
        <v>99</v>
      </c>
      <c r="E4092" s="62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47"/>
      <c r="M4092" s="50"/>
    </row>
    <row r="4093" ht="15.75" customHeight="1">
      <c r="A4093" s="218">
        <v>46235.0</v>
      </c>
      <c r="B4093" s="60"/>
      <c r="C4093" s="61" t="s">
        <v>3883</v>
      </c>
      <c r="D4093" s="62" t="s">
        <v>99</v>
      </c>
      <c r="E4093" s="62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47"/>
      <c r="M4093" s="50"/>
    </row>
    <row r="4094" ht="15.75" customHeight="1">
      <c r="A4094" s="218">
        <v>46235.0</v>
      </c>
      <c r="B4094" s="60"/>
      <c r="C4094" s="61" t="s">
        <v>2613</v>
      </c>
      <c r="D4094" s="62" t="s">
        <v>99</v>
      </c>
      <c r="E4094" s="62" t="s">
        <v>3218</v>
      </c>
      <c r="F4094" s="137">
        <v>46229.0</v>
      </c>
      <c r="G4094" s="206">
        <v>1.548973E7</v>
      </c>
      <c r="H4094" s="9">
        <f t="shared" si="11"/>
        <v>3252843.3</v>
      </c>
      <c r="I4094" s="44">
        <v>464691.9</v>
      </c>
      <c r="J4094" s="44"/>
      <c r="K4094" s="10">
        <f t="shared" si="12"/>
        <v>19207265.2</v>
      </c>
      <c r="L4094" s="47"/>
      <c r="M4094" s="50"/>
    </row>
    <row r="4095" ht="15.75" customHeight="1">
      <c r="A4095" s="218">
        <v>46235.0</v>
      </c>
      <c r="B4095" s="60"/>
      <c r="C4095" s="61" t="s">
        <v>4180</v>
      </c>
      <c r="D4095" s="232" t="s">
        <v>1543</v>
      </c>
      <c r="E4095" s="62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47"/>
      <c r="M4095" s="50"/>
    </row>
    <row r="4096" ht="15.75" customHeight="1">
      <c r="A4096" s="218">
        <v>46235.0</v>
      </c>
      <c r="B4096" s="60"/>
      <c r="C4096" s="61" t="s">
        <v>2616</v>
      </c>
      <c r="D4096" s="232" t="s">
        <v>1543</v>
      </c>
      <c r="E4096" s="62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47"/>
      <c r="M4096" s="50"/>
    </row>
    <row r="4097" ht="15.75" customHeight="1">
      <c r="A4097" s="218">
        <v>46235.0</v>
      </c>
      <c r="B4097" s="60"/>
      <c r="C4097" s="61" t="s">
        <v>3885</v>
      </c>
      <c r="D4097" s="232" t="s">
        <v>1543</v>
      </c>
      <c r="E4097" s="62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47"/>
      <c r="M4097" s="50"/>
    </row>
    <row r="4098" ht="15.75" customHeight="1">
      <c r="A4098" s="218">
        <v>46235.0</v>
      </c>
      <c r="B4098" s="60"/>
      <c r="C4098" s="61" t="s">
        <v>3885</v>
      </c>
      <c r="D4098" s="232" t="s">
        <v>1543</v>
      </c>
      <c r="E4098" s="62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47"/>
      <c r="M4098" s="50"/>
    </row>
    <row r="4099" ht="15.75" customHeight="1">
      <c r="A4099" s="162">
        <v>46235.0</v>
      </c>
      <c r="B4099" s="55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5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5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9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5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9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5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9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5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9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5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9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5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9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5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9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5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9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5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9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5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9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5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9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5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9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5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9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5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9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5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9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5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9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5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9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5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9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5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9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5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9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5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9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5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9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5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9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5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9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5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9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5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9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5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9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5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9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5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9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5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9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5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9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5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9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5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5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5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9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5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9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5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9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5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9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5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9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5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9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5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9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5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9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5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9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5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9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60"/>
      <c r="C4145" s="61" t="s">
        <v>4462</v>
      </c>
      <c r="D4145" s="62" t="s">
        <v>15</v>
      </c>
      <c r="E4145" s="61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47"/>
      <c r="M4145" s="50"/>
    </row>
    <row r="4146" ht="15.75" customHeight="1">
      <c r="A4146" s="218">
        <v>46241.0</v>
      </c>
      <c r="B4146" s="60"/>
      <c r="C4146" s="61" t="s">
        <v>4464</v>
      </c>
      <c r="D4146" s="62" t="s">
        <v>99</v>
      </c>
      <c r="E4146" s="61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47"/>
      <c r="M4146" s="50"/>
    </row>
    <row r="4147" ht="15.75" customHeight="1">
      <c r="A4147" s="218">
        <v>46241.0</v>
      </c>
      <c r="B4147" s="60"/>
      <c r="C4147" s="61" t="s">
        <v>4464</v>
      </c>
      <c r="D4147" s="62" t="s">
        <v>99</v>
      </c>
      <c r="E4147" s="61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47"/>
      <c r="M4147" s="50"/>
    </row>
    <row r="4148" ht="15.75" customHeight="1">
      <c r="A4148" s="218">
        <v>46241.0</v>
      </c>
      <c r="B4148" s="60"/>
      <c r="C4148" s="61" t="s">
        <v>4464</v>
      </c>
      <c r="D4148" s="62" t="s">
        <v>99</v>
      </c>
      <c r="E4148" s="61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47"/>
      <c r="M4148" s="50"/>
    </row>
    <row r="4149" ht="15.75" customHeight="1">
      <c r="A4149" s="218">
        <v>46241.0</v>
      </c>
      <c r="B4149" s="60"/>
      <c r="C4149" s="61" t="s">
        <v>4464</v>
      </c>
      <c r="D4149" s="62" t="s">
        <v>99</v>
      </c>
      <c r="E4149" s="61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47"/>
      <c r="M4149" s="50"/>
    </row>
    <row r="4150" ht="15.75" customHeight="1">
      <c r="A4150" s="218">
        <v>46242.0</v>
      </c>
      <c r="B4150" s="60"/>
      <c r="C4150" s="62" t="s">
        <v>4047</v>
      </c>
      <c r="D4150" s="62" t="s">
        <v>15</v>
      </c>
      <c r="E4150" s="61" t="s">
        <v>4469</v>
      </c>
      <c r="F4150" s="120" t="s">
        <v>4415</v>
      </c>
      <c r="G4150" s="155">
        <v>1.400125316E7</v>
      </c>
      <c r="H4150" s="9">
        <f t="shared" si="11"/>
        <v>2940263.164</v>
      </c>
      <c r="I4150" s="44"/>
      <c r="J4150" s="44"/>
      <c r="K4150" s="10">
        <f t="shared" si="12"/>
        <v>16941516.32</v>
      </c>
      <c r="L4150" s="47"/>
      <c r="M4150" s="50"/>
    </row>
    <row r="4151" ht="15.75" customHeight="1">
      <c r="A4151" s="162">
        <v>46244.0</v>
      </c>
      <c r="B4151" s="55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9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5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9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5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9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5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9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5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9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5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9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5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9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5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9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60"/>
      <c r="C4159" s="61" t="s">
        <v>1277</v>
      </c>
      <c r="D4159" s="62" t="s">
        <v>99</v>
      </c>
      <c r="E4159" s="61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47"/>
      <c r="M4159" s="50"/>
    </row>
    <row r="4160" ht="15.75" customHeight="1">
      <c r="A4160" s="162">
        <v>46246.0</v>
      </c>
      <c r="B4160" s="55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9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18">
        <v>46246.0</v>
      </c>
      <c r="B4161" s="60"/>
      <c r="C4161" s="61" t="s">
        <v>1854</v>
      </c>
      <c r="D4161" s="62" t="s">
        <v>99</v>
      </c>
      <c r="E4161" s="61" t="s">
        <v>4480</v>
      </c>
      <c r="F4161" s="120" t="s">
        <v>4415</v>
      </c>
      <c r="G4161" s="155">
        <v>2.187634375E7</v>
      </c>
      <c r="H4161" s="9">
        <f t="shared" si="11"/>
        <v>4594032.188</v>
      </c>
      <c r="I4161" s="44">
        <v>656290.31</v>
      </c>
      <c r="J4161" s="44">
        <v>328145.16</v>
      </c>
      <c r="K4161" s="10">
        <f t="shared" si="12"/>
        <v>27454811.41</v>
      </c>
      <c r="L4161" s="47"/>
      <c r="M4161" s="50"/>
    </row>
    <row r="4162" ht="15.75" customHeight="1">
      <c r="A4162" s="218">
        <v>46246.0</v>
      </c>
      <c r="B4162" s="60"/>
      <c r="C4162" s="61" t="s">
        <v>1854</v>
      </c>
      <c r="D4162" s="62" t="s">
        <v>99</v>
      </c>
      <c r="E4162" s="61" t="s">
        <v>4481</v>
      </c>
      <c r="F4162" s="120" t="s">
        <v>4415</v>
      </c>
      <c r="G4162" s="155">
        <v>2.187634375E7</v>
      </c>
      <c r="H4162" s="9">
        <f t="shared" si="11"/>
        <v>4594032.188</v>
      </c>
      <c r="I4162" s="44">
        <v>656290.31</v>
      </c>
      <c r="J4162" s="44">
        <v>328145.16</v>
      </c>
      <c r="K4162" s="10">
        <f t="shared" si="12"/>
        <v>27454811.41</v>
      </c>
      <c r="L4162" s="47"/>
      <c r="M4162" s="50"/>
    </row>
    <row r="4163" ht="15.75" customHeight="1">
      <c r="A4163" s="218">
        <v>46246.0</v>
      </c>
      <c r="B4163" s="60"/>
      <c r="C4163" s="61" t="s">
        <v>1854</v>
      </c>
      <c r="D4163" s="62" t="s">
        <v>99</v>
      </c>
      <c r="E4163" s="61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47"/>
      <c r="M4163" s="50"/>
    </row>
    <row r="4164" ht="15.75" customHeight="1">
      <c r="A4164" s="218">
        <v>46246.0</v>
      </c>
      <c r="B4164" s="60"/>
      <c r="C4164" s="61" t="s">
        <v>1854</v>
      </c>
      <c r="D4164" s="62" t="s">
        <v>99</v>
      </c>
      <c r="E4164" s="62" t="s">
        <v>4483</v>
      </c>
      <c r="F4164" s="120" t="s">
        <v>4415</v>
      </c>
      <c r="G4164" s="155">
        <v>2.187634375E7</v>
      </c>
      <c r="H4164" s="9">
        <f t="shared" si="11"/>
        <v>4594032.188</v>
      </c>
      <c r="I4164" s="44">
        <v>656290.31</v>
      </c>
      <c r="J4164" s="44">
        <v>328145.16</v>
      </c>
      <c r="K4164" s="10">
        <f t="shared" si="12"/>
        <v>27454811.41</v>
      </c>
      <c r="L4164" s="47"/>
      <c r="M4164" s="50"/>
    </row>
    <row r="4165" ht="15.75" customHeight="1">
      <c r="A4165" s="218">
        <v>46246.0</v>
      </c>
      <c r="B4165" s="60"/>
      <c r="C4165" s="61" t="s">
        <v>1854</v>
      </c>
      <c r="D4165" s="62" t="s">
        <v>99</v>
      </c>
      <c r="E4165" s="61" t="s">
        <v>4484</v>
      </c>
      <c r="F4165" s="120" t="s">
        <v>4415</v>
      </c>
      <c r="G4165" s="155">
        <v>2.187634375E7</v>
      </c>
      <c r="H4165" s="9">
        <f t="shared" si="11"/>
        <v>4594032.188</v>
      </c>
      <c r="I4165" s="44">
        <v>656290.31</v>
      </c>
      <c r="J4165" s="44">
        <v>328145.16</v>
      </c>
      <c r="K4165" s="10">
        <f t="shared" si="12"/>
        <v>27454811.41</v>
      </c>
      <c r="L4165" s="47"/>
      <c r="M4165" s="50"/>
    </row>
    <row r="4166" ht="15.75" customHeight="1">
      <c r="A4166" s="218">
        <v>46246.0</v>
      </c>
      <c r="B4166" s="60"/>
      <c r="C4166" s="61" t="s">
        <v>1854</v>
      </c>
      <c r="D4166" s="62" t="s">
        <v>99</v>
      </c>
      <c r="E4166" s="61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47"/>
      <c r="M4166" s="50"/>
    </row>
    <row r="4167" ht="15.75" customHeight="1">
      <c r="A4167" s="218">
        <v>46246.0</v>
      </c>
      <c r="B4167" s="60"/>
      <c r="C4167" s="61" t="s">
        <v>1854</v>
      </c>
      <c r="D4167" s="62" t="s">
        <v>99</v>
      </c>
      <c r="E4167" s="61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47"/>
      <c r="M4167" s="50"/>
    </row>
    <row r="4168" ht="15.75" customHeight="1">
      <c r="A4168" s="218">
        <v>46246.0</v>
      </c>
      <c r="B4168" s="60"/>
      <c r="C4168" s="61" t="s">
        <v>1854</v>
      </c>
      <c r="D4168" s="62" t="s">
        <v>99</v>
      </c>
      <c r="E4168" s="61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47"/>
      <c r="M4168" s="50"/>
    </row>
    <row r="4169" ht="15.75" customHeight="1">
      <c r="A4169" s="218">
        <v>46246.0</v>
      </c>
      <c r="B4169" s="60"/>
      <c r="C4169" s="61" t="s">
        <v>1861</v>
      </c>
      <c r="D4169" s="62" t="s">
        <v>99</v>
      </c>
      <c r="E4169" s="61" t="s">
        <v>4488</v>
      </c>
      <c r="F4169" s="120" t="s">
        <v>4415</v>
      </c>
      <c r="G4169" s="155">
        <v>3.10062561E7</v>
      </c>
      <c r="H4169" s="9">
        <f t="shared" si="11"/>
        <v>6511313.781</v>
      </c>
      <c r="I4169" s="44">
        <v>930187.68</v>
      </c>
      <c r="J4169" s="44">
        <v>496100.1</v>
      </c>
      <c r="K4169" s="10">
        <f t="shared" si="12"/>
        <v>38943857.66</v>
      </c>
      <c r="L4169" s="47"/>
      <c r="M4169" s="50"/>
    </row>
    <row r="4170" ht="15.75" customHeight="1">
      <c r="A4170" s="218">
        <v>46246.0</v>
      </c>
      <c r="B4170" s="60"/>
      <c r="C4170" s="61" t="s">
        <v>1861</v>
      </c>
      <c r="D4170" s="62" t="s">
        <v>99</v>
      </c>
      <c r="E4170" s="61" t="s">
        <v>4489</v>
      </c>
      <c r="F4170" s="120" t="s">
        <v>4415</v>
      </c>
      <c r="G4170" s="155">
        <v>2.127863374E7</v>
      </c>
      <c r="H4170" s="9">
        <f t="shared" si="11"/>
        <v>4468513.085</v>
      </c>
      <c r="I4170" s="44">
        <v>638359.01</v>
      </c>
      <c r="J4170" s="44">
        <v>340458.14</v>
      </c>
      <c r="K4170" s="10">
        <f t="shared" si="12"/>
        <v>26725963.98</v>
      </c>
      <c r="L4170" s="47"/>
      <c r="M4170" s="50"/>
    </row>
    <row r="4171" ht="15.75" customHeight="1">
      <c r="A4171" s="218">
        <v>46246.0</v>
      </c>
      <c r="B4171" s="60"/>
      <c r="C4171" s="61" t="s">
        <v>1861</v>
      </c>
      <c r="D4171" s="62" t="s">
        <v>99</v>
      </c>
      <c r="E4171" s="61" t="s">
        <v>4490</v>
      </c>
      <c r="F4171" s="120" t="s">
        <v>4415</v>
      </c>
      <c r="G4171" s="155">
        <v>2.046022475E7</v>
      </c>
      <c r="H4171" s="9">
        <f t="shared" si="11"/>
        <v>4296647.198</v>
      </c>
      <c r="I4171" s="44">
        <v>613806.74</v>
      </c>
      <c r="J4171" s="44">
        <v>327363.6</v>
      </c>
      <c r="K4171" s="10">
        <f t="shared" si="12"/>
        <v>25698042.29</v>
      </c>
      <c r="L4171" s="47"/>
      <c r="M4171" s="50"/>
    </row>
    <row r="4172" ht="15.75" customHeight="1">
      <c r="A4172" s="218">
        <v>46246.0</v>
      </c>
      <c r="B4172" s="60"/>
      <c r="C4172" s="61" t="s">
        <v>1854</v>
      </c>
      <c r="D4172" s="62" t="s">
        <v>15</v>
      </c>
      <c r="E4172" s="61" t="s">
        <v>4491</v>
      </c>
      <c r="F4172" s="120" t="s">
        <v>4415</v>
      </c>
      <c r="G4172" s="155">
        <v>1.743927206E7</v>
      </c>
      <c r="H4172" s="9">
        <f t="shared" si="11"/>
        <v>3662247.133</v>
      </c>
      <c r="I4172" s="44"/>
      <c r="J4172" s="44">
        <v>261589.08</v>
      </c>
      <c r="K4172" s="10">
        <f t="shared" si="12"/>
        <v>21363108.27</v>
      </c>
      <c r="L4172" s="47"/>
      <c r="M4172" s="50"/>
    </row>
    <row r="4173" ht="15.75" customHeight="1">
      <c r="A4173" s="218">
        <v>46246.0</v>
      </c>
      <c r="B4173" s="60"/>
      <c r="C4173" s="61" t="s">
        <v>1854</v>
      </c>
      <c r="D4173" s="62" t="s">
        <v>15</v>
      </c>
      <c r="E4173" s="61" t="s">
        <v>4492</v>
      </c>
      <c r="F4173" s="120" t="s">
        <v>4415</v>
      </c>
      <c r="G4173" s="155">
        <v>1.382263312E7</v>
      </c>
      <c r="H4173" s="9">
        <f t="shared" si="11"/>
        <v>2902752.955</v>
      </c>
      <c r="I4173" s="44"/>
      <c r="J4173" s="44">
        <v>207339.5</v>
      </c>
      <c r="K4173" s="10">
        <f t="shared" si="12"/>
        <v>16932725.58</v>
      </c>
      <c r="L4173" s="47"/>
      <c r="M4173" s="50"/>
    </row>
    <row r="4174" ht="15.75" customHeight="1">
      <c r="A4174" s="218">
        <v>46246.0</v>
      </c>
      <c r="B4174" s="60"/>
      <c r="C4174" s="61" t="s">
        <v>1854</v>
      </c>
      <c r="D4174" s="62" t="s">
        <v>15</v>
      </c>
      <c r="E4174" s="61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47"/>
      <c r="M4174" s="50"/>
    </row>
    <row r="4175" ht="15.75" customHeight="1">
      <c r="A4175" s="218">
        <v>46246.0</v>
      </c>
      <c r="B4175" s="60"/>
      <c r="C4175" s="61" t="s">
        <v>1854</v>
      </c>
      <c r="D4175" s="62" t="s">
        <v>15</v>
      </c>
      <c r="E4175" s="61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47"/>
      <c r="M4175" s="50"/>
    </row>
    <row r="4176" ht="15.75" customHeight="1">
      <c r="A4176" s="218">
        <v>46246.0</v>
      </c>
      <c r="B4176" s="60"/>
      <c r="C4176" s="61" t="s">
        <v>1854</v>
      </c>
      <c r="D4176" s="62" t="s">
        <v>15</v>
      </c>
      <c r="E4176" s="61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47"/>
      <c r="M4176" s="50"/>
    </row>
    <row r="4177" ht="15.75" customHeight="1">
      <c r="A4177" s="218">
        <v>46246.0</v>
      </c>
      <c r="B4177" s="60"/>
      <c r="C4177" s="61" t="s">
        <v>1854</v>
      </c>
      <c r="D4177" s="62" t="s">
        <v>15</v>
      </c>
      <c r="E4177" s="61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47"/>
      <c r="M4177" s="50"/>
    </row>
    <row r="4178" ht="15.75" customHeight="1">
      <c r="A4178" s="218">
        <v>46246.0</v>
      </c>
      <c r="B4178" s="60"/>
      <c r="C4178" s="61" t="s">
        <v>1854</v>
      </c>
      <c r="D4178" s="62" t="s">
        <v>15</v>
      </c>
      <c r="E4178" s="61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47"/>
      <c r="M4178" s="50"/>
    </row>
    <row r="4179" ht="15.75" customHeight="1">
      <c r="A4179" s="218">
        <v>46246.0</v>
      </c>
      <c r="B4179" s="60"/>
      <c r="C4179" s="61" t="s">
        <v>1854</v>
      </c>
      <c r="D4179" s="62" t="s">
        <v>15</v>
      </c>
      <c r="E4179" s="61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47"/>
      <c r="M4179" s="50"/>
    </row>
    <row r="4180" ht="15.75" customHeight="1">
      <c r="A4180" s="218">
        <v>46246.0</v>
      </c>
      <c r="B4180" s="60"/>
      <c r="C4180" s="61" t="s">
        <v>1854</v>
      </c>
      <c r="D4180" s="62" t="s">
        <v>15</v>
      </c>
      <c r="E4180" s="61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47"/>
      <c r="M4180" s="50"/>
    </row>
    <row r="4181" ht="15.75" customHeight="1">
      <c r="A4181" s="218">
        <v>46246.0</v>
      </c>
      <c r="B4181" s="60"/>
      <c r="C4181" s="61" t="s">
        <v>1854</v>
      </c>
      <c r="D4181" s="62" t="s">
        <v>15</v>
      </c>
      <c r="E4181" s="61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47"/>
      <c r="M4181" s="50"/>
    </row>
    <row r="4182" ht="15.75" customHeight="1">
      <c r="A4182" s="218">
        <v>46246.0</v>
      </c>
      <c r="B4182" s="60"/>
      <c r="C4182" s="61" t="s">
        <v>1854</v>
      </c>
      <c r="D4182" s="62" t="s">
        <v>15</v>
      </c>
      <c r="E4182" s="62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47"/>
      <c r="M4182" s="50"/>
    </row>
    <row r="4183" ht="15.75" customHeight="1">
      <c r="A4183" s="218">
        <v>46246.0</v>
      </c>
      <c r="B4183" s="60"/>
      <c r="C4183" s="61" t="s">
        <v>1854</v>
      </c>
      <c r="D4183" s="62" t="s">
        <v>15</v>
      </c>
      <c r="E4183" s="62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47"/>
      <c r="M4183" s="50"/>
    </row>
    <row r="4184" ht="15.75" customHeight="1">
      <c r="A4184" s="218">
        <v>46246.0</v>
      </c>
      <c r="B4184" s="60"/>
      <c r="C4184" s="61" t="s">
        <v>1854</v>
      </c>
      <c r="D4184" s="62" t="s">
        <v>15</v>
      </c>
      <c r="E4184" s="62" t="s">
        <v>4503</v>
      </c>
      <c r="F4184" s="120" t="s">
        <v>4415</v>
      </c>
      <c r="G4184" s="155">
        <v>2.122127392E7</v>
      </c>
      <c r="H4184" s="9">
        <f t="shared" si="11"/>
        <v>4456467.523</v>
      </c>
      <c r="I4184" s="44">
        <v>636638.22</v>
      </c>
      <c r="J4184" s="44">
        <v>318319.11</v>
      </c>
      <c r="K4184" s="10">
        <f t="shared" si="12"/>
        <v>26632698.77</v>
      </c>
      <c r="L4184" s="47"/>
      <c r="M4184" s="50"/>
    </row>
    <row r="4185" ht="15.75" customHeight="1">
      <c r="A4185" s="218">
        <v>46246.0</v>
      </c>
      <c r="B4185" s="60"/>
      <c r="C4185" s="61" t="s">
        <v>1858</v>
      </c>
      <c r="D4185" s="62" t="s">
        <v>15</v>
      </c>
      <c r="E4185" s="61" t="s">
        <v>4504</v>
      </c>
      <c r="F4185" s="120" t="s">
        <v>4415</v>
      </c>
      <c r="G4185" s="155">
        <v>2.27547626E7</v>
      </c>
      <c r="H4185" s="9">
        <f t="shared" si="11"/>
        <v>4778500.146</v>
      </c>
      <c r="I4185" s="44">
        <v>682642.88</v>
      </c>
      <c r="J4185" s="44">
        <v>91019.05</v>
      </c>
      <c r="K4185" s="10">
        <f t="shared" si="12"/>
        <v>28306924.68</v>
      </c>
      <c r="L4185" s="47"/>
      <c r="M4185" s="50"/>
    </row>
    <row r="4186" ht="15.75" customHeight="1">
      <c r="A4186" s="218">
        <v>46246.0</v>
      </c>
      <c r="B4186" s="60"/>
      <c r="C4186" s="61" t="s">
        <v>1858</v>
      </c>
      <c r="D4186" s="62" t="s">
        <v>15</v>
      </c>
      <c r="E4186" s="61" t="s">
        <v>4505</v>
      </c>
      <c r="F4186" s="120" t="s">
        <v>4415</v>
      </c>
      <c r="G4186" s="155">
        <v>2.27547626E7</v>
      </c>
      <c r="H4186" s="9">
        <f t="shared" si="11"/>
        <v>4778500.146</v>
      </c>
      <c r="I4186" s="44">
        <v>682642.88</v>
      </c>
      <c r="J4186" s="44">
        <v>91019.05</v>
      </c>
      <c r="K4186" s="10">
        <f t="shared" si="12"/>
        <v>28306924.68</v>
      </c>
      <c r="L4186" s="47"/>
      <c r="M4186" s="50"/>
    </row>
    <row r="4187" ht="15.75" customHeight="1">
      <c r="A4187" s="218">
        <v>46246.0</v>
      </c>
      <c r="B4187" s="60"/>
      <c r="C4187" s="61" t="s">
        <v>1858</v>
      </c>
      <c r="D4187" s="62" t="s">
        <v>15</v>
      </c>
      <c r="E4187" s="61" t="s">
        <v>4506</v>
      </c>
      <c r="F4187" s="120" t="s">
        <v>4415</v>
      </c>
      <c r="G4187" s="155">
        <v>1.512251895E7</v>
      </c>
      <c r="H4187" s="9">
        <f t="shared" si="11"/>
        <v>3175728.98</v>
      </c>
      <c r="I4187" s="44">
        <v>453675.57</v>
      </c>
      <c r="J4187" s="44">
        <v>60490.08</v>
      </c>
      <c r="K4187" s="10">
        <f t="shared" si="12"/>
        <v>18812413.58</v>
      </c>
      <c r="L4187" s="47"/>
      <c r="M4187" s="50"/>
    </row>
    <row r="4188" ht="15.75" customHeight="1">
      <c r="A4188" s="218">
        <v>46246.0</v>
      </c>
      <c r="B4188" s="60"/>
      <c r="C4188" s="61" t="s">
        <v>1858</v>
      </c>
      <c r="D4188" s="62" t="s">
        <v>15</v>
      </c>
      <c r="E4188" s="61" t="s">
        <v>4507</v>
      </c>
      <c r="F4188" s="120" t="s">
        <v>4415</v>
      </c>
      <c r="G4188" s="155">
        <v>1.622956797E7</v>
      </c>
      <c r="H4188" s="9">
        <f t="shared" si="11"/>
        <v>3408209.274</v>
      </c>
      <c r="I4188" s="44">
        <v>486887.04</v>
      </c>
      <c r="J4188" s="44">
        <v>64918.27</v>
      </c>
      <c r="K4188" s="10">
        <f t="shared" si="12"/>
        <v>20189582.55</v>
      </c>
      <c r="L4188" s="47"/>
      <c r="M4188" s="50"/>
    </row>
    <row r="4189" ht="15.75" customHeight="1">
      <c r="A4189" s="218">
        <v>46246.0</v>
      </c>
      <c r="B4189" s="60"/>
      <c r="C4189" s="61" t="s">
        <v>1861</v>
      </c>
      <c r="D4189" s="62" t="s">
        <v>15</v>
      </c>
      <c r="E4189" s="61" t="s">
        <v>4508</v>
      </c>
      <c r="F4189" s="120" t="s">
        <v>4415</v>
      </c>
      <c r="G4189" s="155">
        <v>2.409762825E7</v>
      </c>
      <c r="H4189" s="9">
        <f t="shared" si="11"/>
        <v>5060501.933</v>
      </c>
      <c r="I4189" s="44">
        <v>722928.85</v>
      </c>
      <c r="J4189" s="44">
        <v>385562.05</v>
      </c>
      <c r="K4189" s="10">
        <f t="shared" si="12"/>
        <v>30266621.08</v>
      </c>
      <c r="L4189" s="47"/>
      <c r="M4189" s="50"/>
    </row>
    <row r="4190" ht="15.75" customHeight="1">
      <c r="A4190" s="218">
        <v>46246.0</v>
      </c>
      <c r="B4190" s="60"/>
      <c r="C4190" s="61" t="s">
        <v>1861</v>
      </c>
      <c r="D4190" s="62" t="s">
        <v>15</v>
      </c>
      <c r="E4190" s="62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47"/>
      <c r="M4190" s="50"/>
    </row>
    <row r="4191" ht="15.75" customHeight="1">
      <c r="A4191" s="162">
        <v>46247.0</v>
      </c>
      <c r="B4191" s="55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9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5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9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5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9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60"/>
      <c r="C4194" s="61" t="s">
        <v>491</v>
      </c>
      <c r="D4194" s="62" t="s">
        <v>99</v>
      </c>
      <c r="E4194" s="61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47"/>
      <c r="M4194" s="50"/>
    </row>
    <row r="4195" ht="15.75" customHeight="1">
      <c r="A4195" s="218">
        <v>46248.0</v>
      </c>
      <c r="B4195" s="60"/>
      <c r="C4195" s="61" t="s">
        <v>491</v>
      </c>
      <c r="D4195" s="62" t="s">
        <v>99</v>
      </c>
      <c r="E4195" s="61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47"/>
      <c r="M4195" s="50"/>
    </row>
    <row r="4196" ht="15.75" customHeight="1">
      <c r="A4196" s="218">
        <v>46248.0</v>
      </c>
      <c r="B4196" s="60"/>
      <c r="C4196" s="61" t="s">
        <v>491</v>
      </c>
      <c r="D4196" s="62" t="s">
        <v>99</v>
      </c>
      <c r="E4196" s="61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47"/>
      <c r="M4196" s="50"/>
    </row>
    <row r="4197" ht="15.75" customHeight="1">
      <c r="A4197" s="218">
        <v>46248.0</v>
      </c>
      <c r="B4197" s="60"/>
      <c r="C4197" s="61" t="s">
        <v>491</v>
      </c>
      <c r="D4197" s="62" t="s">
        <v>99</v>
      </c>
      <c r="E4197" s="61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47"/>
      <c r="M4197" s="50"/>
    </row>
    <row r="4198" ht="15.75" customHeight="1">
      <c r="A4198" s="162">
        <v>46248.0</v>
      </c>
      <c r="B4198" s="55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9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5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9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5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9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5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9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5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9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5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9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5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9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60"/>
      <c r="C4205" s="61" t="s">
        <v>1277</v>
      </c>
      <c r="D4205" s="62" t="s">
        <v>99</v>
      </c>
      <c r="E4205" s="61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47"/>
      <c r="M4205" s="50"/>
    </row>
    <row r="4206" ht="15.75" customHeight="1">
      <c r="A4206" s="162">
        <v>46252.0</v>
      </c>
      <c r="B4206" s="55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9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60"/>
      <c r="C4207" s="61" t="s">
        <v>4464</v>
      </c>
      <c r="D4207" s="62" t="s">
        <v>99</v>
      </c>
      <c r="E4207" s="61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47"/>
      <c r="M4207" s="50"/>
    </row>
    <row r="4208" ht="15.75" customHeight="1">
      <c r="A4208" s="218">
        <v>46252.0</v>
      </c>
      <c r="B4208" s="60"/>
      <c r="C4208" s="61" t="s">
        <v>4464</v>
      </c>
      <c r="D4208" s="62" t="s">
        <v>99</v>
      </c>
      <c r="E4208" s="62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47"/>
      <c r="M4208" s="50"/>
    </row>
    <row r="4209" ht="15.75" customHeight="1">
      <c r="A4209" s="218">
        <v>46252.0</v>
      </c>
      <c r="B4209" s="60"/>
      <c r="C4209" s="61" t="s">
        <v>4464</v>
      </c>
      <c r="D4209" s="62" t="s">
        <v>99</v>
      </c>
      <c r="E4209" s="62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47"/>
      <c r="M4209" s="50"/>
    </row>
    <row r="4210" ht="15.75" customHeight="1">
      <c r="A4210" s="218">
        <v>46252.0</v>
      </c>
      <c r="B4210" s="60"/>
      <c r="C4210" s="61" t="s">
        <v>4464</v>
      </c>
      <c r="D4210" s="62" t="s">
        <v>99</v>
      </c>
      <c r="E4210" s="62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47"/>
      <c r="M4210" s="50"/>
    </row>
    <row r="4211" ht="15.75" customHeight="1">
      <c r="A4211" s="162">
        <v>46253.0</v>
      </c>
      <c r="B4211" s="55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9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5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9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33"/>
      <c r="B4213" s="55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9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33"/>
      <c r="B4214" s="55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9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5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9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5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9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5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9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5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9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5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9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5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9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5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9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5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9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5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9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5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9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60"/>
      <c r="C4225" s="61" t="s">
        <v>124</v>
      </c>
      <c r="D4225" s="62" t="s">
        <v>15</v>
      </c>
      <c r="E4225" s="61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47"/>
      <c r="M4225" s="50"/>
    </row>
    <row r="4226" ht="15.75" customHeight="1">
      <c r="A4226" s="218">
        <v>46258.0</v>
      </c>
      <c r="B4226" s="60"/>
      <c r="C4226" s="61" t="s">
        <v>4464</v>
      </c>
      <c r="D4226" s="62" t="s">
        <v>99</v>
      </c>
      <c r="E4226" s="61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47"/>
      <c r="M4226" s="50"/>
    </row>
    <row r="4227" ht="15.75" customHeight="1">
      <c r="A4227" s="218">
        <v>46258.0</v>
      </c>
      <c r="B4227" s="60"/>
      <c r="C4227" s="61" t="s">
        <v>4464</v>
      </c>
      <c r="D4227" s="62" t="s">
        <v>99</v>
      </c>
      <c r="E4227" s="61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47"/>
      <c r="M4227" s="50"/>
    </row>
    <row r="4228" ht="15.75" customHeight="1">
      <c r="A4228" s="218">
        <v>46258.0</v>
      </c>
      <c r="B4228" s="60"/>
      <c r="C4228" s="61" t="s">
        <v>4464</v>
      </c>
      <c r="D4228" s="62" t="s">
        <v>99</v>
      </c>
      <c r="E4228" s="61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47"/>
      <c r="M4228" s="50"/>
    </row>
    <row r="4229" ht="15.75" customHeight="1">
      <c r="A4229" s="218">
        <v>46258.0</v>
      </c>
      <c r="B4229" s="60"/>
      <c r="C4229" s="61" t="s">
        <v>4464</v>
      </c>
      <c r="D4229" s="62" t="s">
        <v>99</v>
      </c>
      <c r="E4229" s="61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47"/>
      <c r="M4229" s="50"/>
    </row>
    <row r="4230" ht="15.75" customHeight="1">
      <c r="A4230" s="162">
        <v>46258.0</v>
      </c>
      <c r="B4230" s="55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9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5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9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5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9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5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9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5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9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5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9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5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9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5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9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5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9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5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9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5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9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5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9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5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9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5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9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5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9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5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9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5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9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60"/>
      <c r="C4247" s="61" t="s">
        <v>4567</v>
      </c>
      <c r="D4247" s="62" t="s">
        <v>15</v>
      </c>
      <c r="E4247" s="61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47"/>
      <c r="M4247" s="50"/>
    </row>
    <row r="4248" ht="15.75" customHeight="1">
      <c r="A4248" s="162">
        <v>46260.0</v>
      </c>
      <c r="B4248" s="55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9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5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9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5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9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5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9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5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9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5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9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5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9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5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9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5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9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5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9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5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9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5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9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5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9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5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9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5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9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5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9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5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9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5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9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5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9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5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9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5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9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5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9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5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9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5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9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5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9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5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9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5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9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5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9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5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9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5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9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5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9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47"/>
      <c r="M4278" s="50"/>
    </row>
    <row r="4279" ht="15.75" customHeight="1">
      <c r="A4279" s="162">
        <v>46260.0</v>
      </c>
      <c r="B4279" s="55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9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5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9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5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9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5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9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5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9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5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9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5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9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5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9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5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9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5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9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5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9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5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9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5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9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5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9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218">
        <v>46262.0</v>
      </c>
      <c r="B4293" s="60"/>
      <c r="C4293" s="61" t="s">
        <v>1980</v>
      </c>
      <c r="D4293" s="62" t="s">
        <v>15</v>
      </c>
      <c r="E4293" s="234" t="s">
        <v>4615</v>
      </c>
      <c r="F4293" s="120" t="s">
        <v>4415</v>
      </c>
      <c r="G4293" s="155">
        <v>1.39502265E7</v>
      </c>
      <c r="H4293" s="9">
        <f t="shared" si="11"/>
        <v>2929547.565</v>
      </c>
      <c r="I4293" s="44">
        <v>418506.8</v>
      </c>
      <c r="J4293" s="44">
        <v>697511.33</v>
      </c>
      <c r="K4293" s="10">
        <f t="shared" si="12"/>
        <v>17995792.2</v>
      </c>
      <c r="L4293" s="47"/>
      <c r="M4293" s="50"/>
    </row>
    <row r="4294" ht="15.75" customHeight="1">
      <c r="A4294" s="218">
        <v>46262.0</v>
      </c>
      <c r="B4294" s="60"/>
      <c r="C4294" s="61" t="s">
        <v>1980</v>
      </c>
      <c r="D4294" s="62" t="s">
        <v>15</v>
      </c>
      <c r="E4294" s="234" t="s">
        <v>4616</v>
      </c>
      <c r="F4294" s="120" t="s">
        <v>4415</v>
      </c>
      <c r="G4294" s="155">
        <v>4073300.0</v>
      </c>
      <c r="H4294" s="9">
        <f t="shared" si="11"/>
        <v>855393</v>
      </c>
      <c r="I4294" s="44">
        <v>122199.0</v>
      </c>
      <c r="J4294" s="44">
        <v>203665.0</v>
      </c>
      <c r="K4294" s="10">
        <f t="shared" si="12"/>
        <v>5254557</v>
      </c>
      <c r="L4294" s="47"/>
      <c r="M4294" s="50"/>
    </row>
    <row r="4295" ht="15.75" customHeight="1">
      <c r="A4295" s="218">
        <v>46262.0</v>
      </c>
      <c r="B4295" s="60"/>
      <c r="C4295" s="61" t="s">
        <v>1980</v>
      </c>
      <c r="D4295" s="62" t="s">
        <v>15</v>
      </c>
      <c r="E4295" s="234" t="s">
        <v>4617</v>
      </c>
      <c r="F4295" s="120" t="s">
        <v>4415</v>
      </c>
      <c r="G4295" s="155">
        <v>3.58215317E7</v>
      </c>
      <c r="H4295" s="9">
        <f t="shared" si="11"/>
        <v>7522521.657</v>
      </c>
      <c r="I4295" s="44">
        <v>1074645.95</v>
      </c>
      <c r="J4295" s="44">
        <v>1791076.59</v>
      </c>
      <c r="K4295" s="10">
        <f t="shared" si="12"/>
        <v>46209775.9</v>
      </c>
      <c r="L4295" s="47"/>
      <c r="M4295" s="50"/>
    </row>
    <row r="4296" ht="15.75" customHeight="1">
      <c r="A4296" s="218">
        <v>46262.0</v>
      </c>
      <c r="B4296" s="60"/>
      <c r="C4296" s="61" t="s">
        <v>1980</v>
      </c>
      <c r="D4296" s="62" t="s">
        <v>15</v>
      </c>
      <c r="E4296" s="234" t="s">
        <v>4618</v>
      </c>
      <c r="F4296" s="120" t="s">
        <v>4415</v>
      </c>
      <c r="G4296" s="155">
        <v>3.0239455E7</v>
      </c>
      <c r="H4296" s="9">
        <f t="shared" si="11"/>
        <v>6350285.55</v>
      </c>
      <c r="I4296" s="44">
        <v>907183.65</v>
      </c>
      <c r="J4296" s="44">
        <v>1511972.75</v>
      </c>
      <c r="K4296" s="10">
        <f t="shared" si="12"/>
        <v>39008896.95</v>
      </c>
      <c r="L4296" s="47"/>
      <c r="M4296" s="50"/>
    </row>
    <row r="4297" ht="15.75" customHeight="1">
      <c r="A4297" s="162">
        <v>46263.0</v>
      </c>
      <c r="B4297" s="55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9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60"/>
      <c r="C4298" s="61" t="s">
        <v>1179</v>
      </c>
      <c r="D4298" s="62" t="s">
        <v>15</v>
      </c>
      <c r="E4298" s="234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47"/>
      <c r="M4298" s="50"/>
    </row>
    <row r="4299" ht="15.75" customHeight="1">
      <c r="A4299" s="218">
        <v>46263.0</v>
      </c>
      <c r="B4299" s="60"/>
      <c r="C4299" s="61" t="s">
        <v>1179</v>
      </c>
      <c r="D4299" s="62" t="s">
        <v>99</v>
      </c>
      <c r="E4299" s="234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47"/>
      <c r="M4299" s="50"/>
    </row>
    <row r="4300" ht="15.75" customHeight="1">
      <c r="A4300" s="218">
        <v>46263.0</v>
      </c>
      <c r="B4300" s="60"/>
      <c r="C4300" s="61" t="s">
        <v>1179</v>
      </c>
      <c r="D4300" s="62" t="s">
        <v>99</v>
      </c>
      <c r="E4300" s="234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47"/>
      <c r="M4300" s="50"/>
    </row>
    <row r="4301" ht="15.75" customHeight="1">
      <c r="A4301" s="218">
        <v>46263.0</v>
      </c>
      <c r="B4301" s="60"/>
      <c r="C4301" s="61" t="s">
        <v>1980</v>
      </c>
      <c r="D4301" s="62" t="s">
        <v>15</v>
      </c>
      <c r="E4301" s="234" t="s">
        <v>4624</v>
      </c>
      <c r="F4301" s="120" t="s">
        <v>4415</v>
      </c>
      <c r="G4301" s="155">
        <v>1.982773275E7</v>
      </c>
      <c r="H4301" s="9">
        <f t="shared" si="11"/>
        <v>4163823.878</v>
      </c>
      <c r="I4301" s="44">
        <v>594831.98</v>
      </c>
      <c r="J4301" s="44">
        <v>991386.64</v>
      </c>
      <c r="K4301" s="10">
        <f t="shared" si="12"/>
        <v>25577775.25</v>
      </c>
      <c r="L4301" s="47"/>
      <c r="M4301" s="50"/>
    </row>
    <row r="4302" ht="15.75" customHeight="1">
      <c r="A4302" s="218">
        <v>46263.0</v>
      </c>
      <c r="B4302" s="60"/>
      <c r="C4302" s="61" t="s">
        <v>1980</v>
      </c>
      <c r="D4302" s="62" t="s">
        <v>15</v>
      </c>
      <c r="E4302" s="234" t="s">
        <v>4625</v>
      </c>
      <c r="F4302" s="120" t="s">
        <v>4415</v>
      </c>
      <c r="G4302" s="155">
        <v>2.35214675E7</v>
      </c>
      <c r="H4302" s="9">
        <f t="shared" si="11"/>
        <v>4939508.175</v>
      </c>
      <c r="I4302" s="44">
        <v>705644.03</v>
      </c>
      <c r="J4302" s="44">
        <v>1176073.38</v>
      </c>
      <c r="K4302" s="10">
        <f t="shared" si="12"/>
        <v>30342693.09</v>
      </c>
      <c r="L4302" s="47"/>
      <c r="M4302" s="50"/>
    </row>
    <row r="4303" ht="15.75" customHeight="1">
      <c r="A4303" s="218">
        <v>46263.0</v>
      </c>
      <c r="B4303" s="60"/>
      <c r="C4303" s="61" t="s">
        <v>1980</v>
      </c>
      <c r="D4303" s="62" t="s">
        <v>15</v>
      </c>
      <c r="E4303" s="234" t="s">
        <v>4626</v>
      </c>
      <c r="F4303" s="120" t="s">
        <v>4415</v>
      </c>
      <c r="G4303" s="155">
        <v>2.103670045E7</v>
      </c>
      <c r="H4303" s="9">
        <f t="shared" si="11"/>
        <v>4417707.095</v>
      </c>
      <c r="I4303" s="44">
        <v>631101.01</v>
      </c>
      <c r="J4303" s="44">
        <v>1051835.02</v>
      </c>
      <c r="K4303" s="10">
        <f t="shared" si="12"/>
        <v>27137343.57</v>
      </c>
      <c r="L4303" s="47"/>
      <c r="M4303" s="50"/>
    </row>
    <row r="4304" ht="15.75" customHeight="1">
      <c r="A4304" s="218">
        <v>46263.0</v>
      </c>
      <c r="B4304" s="60"/>
      <c r="C4304" s="61" t="s">
        <v>1980</v>
      </c>
      <c r="D4304" s="62" t="s">
        <v>15</v>
      </c>
      <c r="E4304" s="232" t="s">
        <v>4627</v>
      </c>
      <c r="F4304" s="120" t="s">
        <v>4415</v>
      </c>
      <c r="G4304" s="155">
        <v>1.96986125E7</v>
      </c>
      <c r="H4304" s="9">
        <f t="shared" si="11"/>
        <v>4136708.625</v>
      </c>
      <c r="I4304" s="44">
        <v>590958.38</v>
      </c>
      <c r="J4304" s="44">
        <v>984930.63</v>
      </c>
      <c r="K4304" s="10">
        <f t="shared" si="12"/>
        <v>25411210.14</v>
      </c>
      <c r="L4304" s="47"/>
      <c r="M4304" s="50"/>
    </row>
    <row r="4305" ht="15.75" customHeight="1">
      <c r="A4305" s="218">
        <v>46263.0</v>
      </c>
      <c r="B4305" s="60"/>
      <c r="C4305" s="61" t="s">
        <v>1980</v>
      </c>
      <c r="D4305" s="62" t="s">
        <v>15</v>
      </c>
      <c r="E4305" s="234" t="s">
        <v>4628</v>
      </c>
      <c r="F4305" s="120" t="s">
        <v>4415</v>
      </c>
      <c r="G4305" s="155">
        <v>2.103670045E7</v>
      </c>
      <c r="H4305" s="9">
        <f t="shared" si="11"/>
        <v>4417707.095</v>
      </c>
      <c r="I4305" s="44">
        <v>631101.01</v>
      </c>
      <c r="J4305" s="44">
        <v>1051835.02</v>
      </c>
      <c r="K4305" s="10">
        <f t="shared" si="12"/>
        <v>27137343.57</v>
      </c>
      <c r="L4305" s="47"/>
      <c r="M4305" s="50"/>
    </row>
    <row r="4306" ht="15.75" customHeight="1">
      <c r="A4306" s="218">
        <v>46263.0</v>
      </c>
      <c r="B4306" s="60"/>
      <c r="C4306" s="61" t="s">
        <v>1980</v>
      </c>
      <c r="D4306" s="62" t="s">
        <v>15</v>
      </c>
      <c r="E4306" s="232" t="s">
        <v>4629</v>
      </c>
      <c r="F4306" s="120" t="s">
        <v>4415</v>
      </c>
      <c r="G4306" s="155">
        <v>1.96986125E7</v>
      </c>
      <c r="H4306" s="9">
        <f t="shared" si="11"/>
        <v>4136708.625</v>
      </c>
      <c r="I4306" s="44">
        <v>590958.38</v>
      </c>
      <c r="J4306" s="44">
        <v>984930.63</v>
      </c>
      <c r="K4306" s="10">
        <f t="shared" si="12"/>
        <v>25411210.14</v>
      </c>
      <c r="L4306" s="47"/>
      <c r="M4306" s="50"/>
    </row>
    <row r="4307" ht="15.75" customHeight="1">
      <c r="A4307" s="218">
        <v>46263.0</v>
      </c>
      <c r="B4307" s="60"/>
      <c r="C4307" s="61" t="s">
        <v>1980</v>
      </c>
      <c r="D4307" s="62" t="s">
        <v>15</v>
      </c>
      <c r="E4307" s="232" t="s">
        <v>4630</v>
      </c>
      <c r="F4307" s="120" t="s">
        <v>4415</v>
      </c>
      <c r="G4307" s="155">
        <v>1.982773275E7</v>
      </c>
      <c r="H4307" s="9">
        <f t="shared" si="11"/>
        <v>4163823.878</v>
      </c>
      <c r="I4307" s="44">
        <v>594831.98</v>
      </c>
      <c r="J4307" s="44">
        <v>991386.64</v>
      </c>
      <c r="K4307" s="10">
        <f t="shared" si="12"/>
        <v>25577775.25</v>
      </c>
      <c r="L4307" s="47"/>
      <c r="M4307" s="50"/>
    </row>
    <row r="4308" ht="15.75" customHeight="1">
      <c r="A4308" s="218">
        <v>46263.0</v>
      </c>
      <c r="B4308" s="60"/>
      <c r="C4308" s="61" t="s">
        <v>1980</v>
      </c>
      <c r="D4308" s="62" t="s">
        <v>15</v>
      </c>
      <c r="E4308" s="232" t="s">
        <v>4631</v>
      </c>
      <c r="F4308" s="120" t="s">
        <v>4415</v>
      </c>
      <c r="G4308" s="155">
        <v>2.35160625E7</v>
      </c>
      <c r="H4308" s="9">
        <f t="shared" si="11"/>
        <v>4938373.125</v>
      </c>
      <c r="I4308" s="44">
        <v>705481.88</v>
      </c>
      <c r="J4308" s="44">
        <v>1175803.13</v>
      </c>
      <c r="K4308" s="10">
        <f t="shared" si="12"/>
        <v>30335720.64</v>
      </c>
      <c r="L4308" s="47"/>
      <c r="M4308" s="50"/>
    </row>
    <row r="4309" ht="15.75" customHeight="1">
      <c r="A4309" s="218">
        <v>46263.0</v>
      </c>
      <c r="B4309" s="60"/>
      <c r="C4309" s="61" t="s">
        <v>1980</v>
      </c>
      <c r="D4309" s="62" t="s">
        <v>15</v>
      </c>
      <c r="E4309" s="234" t="s">
        <v>4632</v>
      </c>
      <c r="F4309" s="120" t="s">
        <v>4415</v>
      </c>
      <c r="G4309" s="155">
        <v>2.3828E7</v>
      </c>
      <c r="H4309" s="9">
        <f t="shared" si="11"/>
        <v>5003880</v>
      </c>
      <c r="I4309" s="44">
        <v>714840.0</v>
      </c>
      <c r="J4309" s="44">
        <v>1191400.0</v>
      </c>
      <c r="K4309" s="10">
        <f t="shared" si="12"/>
        <v>30738120</v>
      </c>
      <c r="L4309" s="47"/>
      <c r="M4309" s="50"/>
    </row>
    <row r="4310" ht="15.75" customHeight="1">
      <c r="A4310" s="218">
        <v>46263.0</v>
      </c>
      <c r="B4310" s="60"/>
      <c r="C4310" s="61" t="s">
        <v>1980</v>
      </c>
      <c r="D4310" s="62" t="s">
        <v>15</v>
      </c>
      <c r="E4310" s="232" t="s">
        <v>4633</v>
      </c>
      <c r="F4310" s="120" t="s">
        <v>4415</v>
      </c>
      <c r="G4310" s="155">
        <v>1.77744E7</v>
      </c>
      <c r="H4310" s="9">
        <f t="shared" si="11"/>
        <v>3732624</v>
      </c>
      <c r="I4310" s="44">
        <v>533232.0</v>
      </c>
      <c r="J4310" s="44">
        <v>888720.0</v>
      </c>
      <c r="K4310" s="10">
        <f t="shared" si="12"/>
        <v>22928976</v>
      </c>
      <c r="L4310" s="47"/>
      <c r="M4310" s="50"/>
    </row>
    <row r="4311" ht="15.75" customHeight="1">
      <c r="A4311" s="218">
        <v>46263.0</v>
      </c>
      <c r="B4311" s="60"/>
      <c r="C4311" s="61" t="s">
        <v>1980</v>
      </c>
      <c r="D4311" s="62" t="s">
        <v>15</v>
      </c>
      <c r="E4311" s="232" t="s">
        <v>4634</v>
      </c>
      <c r="F4311" s="120" t="s">
        <v>4415</v>
      </c>
      <c r="G4311" s="155">
        <v>3.205272E7</v>
      </c>
      <c r="H4311" s="9">
        <f t="shared" si="11"/>
        <v>6731071.2</v>
      </c>
      <c r="I4311" s="44">
        <v>961581.6</v>
      </c>
      <c r="J4311" s="44">
        <v>1602636.0</v>
      </c>
      <c r="K4311" s="10">
        <f t="shared" si="12"/>
        <v>41348008.8</v>
      </c>
      <c r="L4311" s="47"/>
      <c r="M4311" s="50"/>
    </row>
    <row r="4312" ht="15.75" customHeight="1">
      <c r="A4312" s="218">
        <v>46263.0</v>
      </c>
      <c r="B4312" s="60"/>
      <c r="C4312" s="61" t="s">
        <v>1980</v>
      </c>
      <c r="D4312" s="62" t="s">
        <v>15</v>
      </c>
      <c r="E4312" s="232" t="s">
        <v>4635</v>
      </c>
      <c r="F4312" s="120" t="s">
        <v>4415</v>
      </c>
      <c r="G4312" s="155">
        <v>3.61445E7</v>
      </c>
      <c r="H4312" s="9">
        <f t="shared" si="11"/>
        <v>7590345</v>
      </c>
      <c r="I4312" s="44">
        <v>1084335.0</v>
      </c>
      <c r="J4312" s="44">
        <v>1807225.0</v>
      </c>
      <c r="K4312" s="10">
        <f t="shared" si="12"/>
        <v>46626405</v>
      </c>
      <c r="L4312" s="47"/>
      <c r="M4312" s="50"/>
    </row>
    <row r="4313" ht="15.75" customHeight="1">
      <c r="A4313" s="218">
        <v>46263.0</v>
      </c>
      <c r="B4313" s="60"/>
      <c r="C4313" s="61" t="s">
        <v>1980</v>
      </c>
      <c r="D4313" s="62" t="s">
        <v>15</v>
      </c>
      <c r="E4313" s="232" t="s">
        <v>4636</v>
      </c>
      <c r="F4313" s="120" t="s">
        <v>4415</v>
      </c>
      <c r="G4313" s="155">
        <v>2.87273E7</v>
      </c>
      <c r="H4313" s="9">
        <f t="shared" si="11"/>
        <v>6032733</v>
      </c>
      <c r="I4313" s="44">
        <v>861819.0</v>
      </c>
      <c r="J4313" s="44">
        <v>1436365.0</v>
      </c>
      <c r="K4313" s="10">
        <f t="shared" si="12"/>
        <v>37058217</v>
      </c>
      <c r="L4313" s="47"/>
      <c r="M4313" s="50"/>
    </row>
    <row r="4314" ht="15.75" customHeight="1">
      <c r="A4314" s="218">
        <v>46263.0</v>
      </c>
      <c r="B4314" s="60"/>
      <c r="C4314" s="61" t="s">
        <v>1980</v>
      </c>
      <c r="D4314" s="62" t="s">
        <v>15</v>
      </c>
      <c r="E4314" s="232" t="s">
        <v>4637</v>
      </c>
      <c r="F4314" s="120" t="s">
        <v>4415</v>
      </c>
      <c r="G4314" s="155">
        <v>2.6726E7</v>
      </c>
      <c r="H4314" s="9">
        <f t="shared" si="11"/>
        <v>5612460</v>
      </c>
      <c r="I4314" s="44">
        <v>801780.0</v>
      </c>
      <c r="J4314" s="44">
        <v>1336300.0</v>
      </c>
      <c r="K4314" s="10">
        <f t="shared" si="12"/>
        <v>34476540</v>
      </c>
      <c r="L4314" s="47"/>
      <c r="M4314" s="50"/>
    </row>
    <row r="4315" ht="15.75" customHeight="1">
      <c r="A4315" s="218">
        <v>46263.0</v>
      </c>
      <c r="B4315" s="60"/>
      <c r="C4315" s="61" t="s">
        <v>1980</v>
      </c>
      <c r="D4315" s="62" t="s">
        <v>15</v>
      </c>
      <c r="E4315" s="232" t="s">
        <v>4638</v>
      </c>
      <c r="F4315" s="120" t="s">
        <v>4415</v>
      </c>
      <c r="G4315" s="155">
        <v>2.103670045E7</v>
      </c>
      <c r="H4315" s="9">
        <f t="shared" si="11"/>
        <v>4417707.095</v>
      </c>
      <c r="I4315" s="44">
        <v>631101.01</v>
      </c>
      <c r="J4315" s="44">
        <v>1051835.02</v>
      </c>
      <c r="K4315" s="10">
        <f t="shared" si="12"/>
        <v>27137343.57</v>
      </c>
      <c r="L4315" s="47"/>
      <c r="M4315" s="50"/>
    </row>
    <row r="4316" ht="15.75" customHeight="1">
      <c r="A4316" s="218">
        <v>46263.0</v>
      </c>
      <c r="B4316" s="60"/>
      <c r="C4316" s="61" t="s">
        <v>1980</v>
      </c>
      <c r="D4316" s="62" t="s">
        <v>15</v>
      </c>
      <c r="E4316" s="232" t="s">
        <v>4639</v>
      </c>
      <c r="F4316" s="120" t="s">
        <v>4415</v>
      </c>
      <c r="G4316" s="155">
        <v>1.96986125E7</v>
      </c>
      <c r="H4316" s="9">
        <f t="shared" si="11"/>
        <v>4136708.625</v>
      </c>
      <c r="I4316" s="44">
        <v>590958.38</v>
      </c>
      <c r="J4316" s="44">
        <v>984930.63</v>
      </c>
      <c r="K4316" s="10">
        <f t="shared" si="12"/>
        <v>25411210.14</v>
      </c>
      <c r="L4316" s="47"/>
      <c r="M4316" s="50"/>
    </row>
    <row r="4317" ht="15.75" customHeight="1">
      <c r="A4317" s="218">
        <v>46263.0</v>
      </c>
      <c r="B4317" s="60"/>
      <c r="C4317" s="61" t="s">
        <v>1980</v>
      </c>
      <c r="D4317" s="62" t="s">
        <v>15</v>
      </c>
      <c r="E4317" s="232" t="s">
        <v>4640</v>
      </c>
      <c r="F4317" s="120" t="s">
        <v>4415</v>
      </c>
      <c r="G4317" s="155">
        <v>1.982773275E7</v>
      </c>
      <c r="H4317" s="9">
        <f t="shared" si="11"/>
        <v>4163823.878</v>
      </c>
      <c r="I4317" s="44">
        <v>594831.98</v>
      </c>
      <c r="J4317" s="44">
        <v>991386.64</v>
      </c>
      <c r="K4317" s="10">
        <f t="shared" si="12"/>
        <v>25577775.25</v>
      </c>
      <c r="L4317" s="47"/>
      <c r="M4317" s="50"/>
    </row>
    <row r="4318" ht="15.75" customHeight="1">
      <c r="A4318" s="218">
        <v>46263.0</v>
      </c>
      <c r="B4318" s="60"/>
      <c r="C4318" s="61" t="s">
        <v>1980</v>
      </c>
      <c r="D4318" s="62" t="s">
        <v>15</v>
      </c>
      <c r="E4318" s="232" t="s">
        <v>4641</v>
      </c>
      <c r="F4318" s="120" t="s">
        <v>4415</v>
      </c>
      <c r="G4318" s="155">
        <v>2.35214675E7</v>
      </c>
      <c r="H4318" s="9">
        <f t="shared" si="11"/>
        <v>4939508.175</v>
      </c>
      <c r="I4318" s="44">
        <v>705644.03</v>
      </c>
      <c r="J4318" s="44">
        <v>1176073.38</v>
      </c>
      <c r="K4318" s="10">
        <f t="shared" si="12"/>
        <v>30342693.09</v>
      </c>
      <c r="L4318" s="47"/>
      <c r="M4318" s="50"/>
    </row>
    <row r="4319" ht="15.75" customHeight="1">
      <c r="A4319" s="218">
        <v>46263.0</v>
      </c>
      <c r="B4319" s="60"/>
      <c r="C4319" s="61" t="s">
        <v>1980</v>
      </c>
      <c r="D4319" s="62" t="s">
        <v>99</v>
      </c>
      <c r="E4319" s="234" t="s">
        <v>4642</v>
      </c>
      <c r="F4319" s="120" t="s">
        <v>4415</v>
      </c>
      <c r="G4319" s="155">
        <v>1.139716125E7</v>
      </c>
      <c r="H4319" s="9">
        <f t="shared" si="11"/>
        <v>2393403.863</v>
      </c>
      <c r="I4319" s="44">
        <v>341914.84</v>
      </c>
      <c r="J4319" s="44">
        <v>569858.06</v>
      </c>
      <c r="K4319" s="10">
        <f t="shared" si="12"/>
        <v>14702338.01</v>
      </c>
      <c r="L4319" s="47"/>
      <c r="M4319" s="50"/>
    </row>
    <row r="4320" ht="15.75" customHeight="1">
      <c r="A4320" s="218">
        <v>46263.0</v>
      </c>
      <c r="B4320" s="60"/>
      <c r="C4320" s="61" t="s">
        <v>1980</v>
      </c>
      <c r="D4320" s="62" t="s">
        <v>99</v>
      </c>
      <c r="E4320" s="232" t="s">
        <v>4643</v>
      </c>
      <c r="F4320" s="120" t="s">
        <v>4415</v>
      </c>
      <c r="G4320" s="155">
        <v>1.186221225E7</v>
      </c>
      <c r="H4320" s="9">
        <f t="shared" si="11"/>
        <v>2491064.573</v>
      </c>
      <c r="I4320" s="44">
        <v>355866.37</v>
      </c>
      <c r="J4320" s="44">
        <v>593110.61</v>
      </c>
      <c r="K4320" s="10">
        <f t="shared" si="12"/>
        <v>15302253.8</v>
      </c>
      <c r="L4320" s="47"/>
      <c r="M4320" s="50"/>
    </row>
    <row r="4321" ht="15.75" customHeight="1">
      <c r="A4321" s="218">
        <v>46263.0</v>
      </c>
      <c r="B4321" s="60"/>
      <c r="C4321" s="61" t="s">
        <v>1980</v>
      </c>
      <c r="D4321" s="62" t="s">
        <v>99</v>
      </c>
      <c r="E4321" s="232" t="s">
        <v>4644</v>
      </c>
      <c r="F4321" s="120" t="s">
        <v>4415</v>
      </c>
      <c r="G4321" s="155">
        <v>1.27763917E7</v>
      </c>
      <c r="H4321" s="9">
        <f t="shared" si="11"/>
        <v>2683042.257</v>
      </c>
      <c r="I4321" s="44">
        <v>383291.75</v>
      </c>
      <c r="J4321" s="44">
        <v>638819.59</v>
      </c>
      <c r="K4321" s="10">
        <f t="shared" si="12"/>
        <v>16481545.3</v>
      </c>
      <c r="L4321" s="47"/>
      <c r="M4321" s="50"/>
    </row>
    <row r="4322" ht="15.75" customHeight="1">
      <c r="A4322" s="218">
        <v>46263.0</v>
      </c>
      <c r="B4322" s="60"/>
      <c r="C4322" s="61" t="s">
        <v>1980</v>
      </c>
      <c r="D4322" s="62" t="s">
        <v>99</v>
      </c>
      <c r="E4322" s="232" t="s">
        <v>4645</v>
      </c>
      <c r="F4322" s="120" t="s">
        <v>4415</v>
      </c>
      <c r="G4322" s="155">
        <v>1.139716125E7</v>
      </c>
      <c r="H4322" s="9">
        <f t="shared" si="11"/>
        <v>2393403.863</v>
      </c>
      <c r="I4322" s="44">
        <v>341914.84</v>
      </c>
      <c r="J4322" s="44">
        <v>569858.06</v>
      </c>
      <c r="K4322" s="10">
        <f t="shared" si="12"/>
        <v>14702338.01</v>
      </c>
      <c r="L4322" s="47"/>
      <c r="M4322" s="50"/>
    </row>
    <row r="4323" ht="15.75" customHeight="1">
      <c r="A4323" s="218">
        <v>46263.0</v>
      </c>
      <c r="B4323" s="60"/>
      <c r="C4323" s="61" t="s">
        <v>1980</v>
      </c>
      <c r="D4323" s="62" t="s">
        <v>99</v>
      </c>
      <c r="E4323" s="232" t="s">
        <v>4646</v>
      </c>
      <c r="F4323" s="120" t="s">
        <v>4415</v>
      </c>
      <c r="G4323" s="155">
        <v>1.186006933E7</v>
      </c>
      <c r="H4323" s="9">
        <f t="shared" si="11"/>
        <v>2490614.559</v>
      </c>
      <c r="I4323" s="44">
        <v>355802.08</v>
      </c>
      <c r="J4323" s="44">
        <v>593003.47</v>
      </c>
      <c r="K4323" s="10">
        <f t="shared" si="12"/>
        <v>15299489.44</v>
      </c>
      <c r="L4323" s="47"/>
      <c r="M4323" s="50"/>
    </row>
    <row r="4324" ht="15.75" customHeight="1">
      <c r="A4324" s="218">
        <v>46263.0</v>
      </c>
      <c r="B4324" s="60"/>
      <c r="C4324" s="61" t="s">
        <v>1980</v>
      </c>
      <c r="D4324" s="62" t="s">
        <v>99</v>
      </c>
      <c r="E4324" s="232" t="s">
        <v>4647</v>
      </c>
      <c r="F4324" s="120" t="s">
        <v>4415</v>
      </c>
      <c r="G4324" s="155">
        <v>1.27763917E7</v>
      </c>
      <c r="H4324" s="9">
        <f t="shared" si="11"/>
        <v>2683042.257</v>
      </c>
      <c r="I4324" s="44">
        <v>383291.75</v>
      </c>
      <c r="J4324" s="44">
        <v>638819.59</v>
      </c>
      <c r="K4324" s="10">
        <f t="shared" si="12"/>
        <v>16481545.3</v>
      </c>
      <c r="L4324" s="47"/>
      <c r="M4324" s="50"/>
    </row>
    <row r="4325" ht="15.75" customHeight="1">
      <c r="A4325" s="218">
        <v>46263.0</v>
      </c>
      <c r="B4325" s="60"/>
      <c r="C4325" s="61" t="s">
        <v>1980</v>
      </c>
      <c r="D4325" s="62" t="s">
        <v>99</v>
      </c>
      <c r="E4325" s="232" t="s">
        <v>4648</v>
      </c>
      <c r="F4325" s="120" t="s">
        <v>4415</v>
      </c>
      <c r="G4325" s="155">
        <v>1.139716125E7</v>
      </c>
      <c r="H4325" s="9">
        <f t="shared" si="11"/>
        <v>2393403.863</v>
      </c>
      <c r="I4325" s="44">
        <v>341914.84</v>
      </c>
      <c r="J4325" s="44">
        <v>569858.06</v>
      </c>
      <c r="K4325" s="10">
        <f t="shared" si="12"/>
        <v>14702338.01</v>
      </c>
      <c r="L4325" s="47"/>
      <c r="M4325" s="50"/>
    </row>
    <row r="4326" ht="15.75" customHeight="1">
      <c r="A4326" s="218">
        <v>46263.0</v>
      </c>
      <c r="B4326" s="60"/>
      <c r="C4326" s="61" t="s">
        <v>1980</v>
      </c>
      <c r="D4326" s="62" t="s">
        <v>99</v>
      </c>
      <c r="E4326" s="232" t="s">
        <v>4649</v>
      </c>
      <c r="F4326" s="120" t="s">
        <v>4415</v>
      </c>
      <c r="G4326" s="155">
        <v>1.186221225E7</v>
      </c>
      <c r="H4326" s="9">
        <f t="shared" si="11"/>
        <v>2491064.573</v>
      </c>
      <c r="I4326" s="44">
        <v>355866.37</v>
      </c>
      <c r="J4326" s="44">
        <v>593110.61</v>
      </c>
      <c r="K4326" s="10">
        <f t="shared" si="12"/>
        <v>15302253.8</v>
      </c>
      <c r="L4326" s="47"/>
      <c r="M4326" s="50"/>
    </row>
    <row r="4327" ht="15.75" customHeight="1">
      <c r="A4327" s="218">
        <v>46263.0</v>
      </c>
      <c r="B4327" s="60"/>
      <c r="C4327" s="61" t="s">
        <v>1980</v>
      </c>
      <c r="D4327" s="62" t="s">
        <v>99</v>
      </c>
      <c r="E4327" s="232" t="s">
        <v>4650</v>
      </c>
      <c r="F4327" s="120" t="s">
        <v>4415</v>
      </c>
      <c r="G4327" s="155">
        <v>1.27763917E7</v>
      </c>
      <c r="H4327" s="9">
        <f t="shared" si="11"/>
        <v>2683042.257</v>
      </c>
      <c r="I4327" s="44">
        <v>383291.75</v>
      </c>
      <c r="J4327" s="44">
        <v>638819.59</v>
      </c>
      <c r="K4327" s="10">
        <f t="shared" si="12"/>
        <v>16481545.3</v>
      </c>
      <c r="L4327" s="47"/>
      <c r="M4327" s="50"/>
    </row>
    <row r="4328" ht="15.75" customHeight="1">
      <c r="A4328" s="218">
        <v>46263.0</v>
      </c>
      <c r="B4328" s="60"/>
      <c r="C4328" s="61" t="s">
        <v>1980</v>
      </c>
      <c r="D4328" s="62" t="s">
        <v>99</v>
      </c>
      <c r="E4328" s="232" t="s">
        <v>4651</v>
      </c>
      <c r="F4328" s="120" t="s">
        <v>4415</v>
      </c>
      <c r="G4328" s="155">
        <v>1.83195E7</v>
      </c>
      <c r="H4328" s="9">
        <f t="shared" si="11"/>
        <v>3847095</v>
      </c>
      <c r="I4328" s="44">
        <v>549585.0</v>
      </c>
      <c r="J4328" s="44">
        <v>915975.0</v>
      </c>
      <c r="K4328" s="10">
        <f t="shared" si="12"/>
        <v>23632155</v>
      </c>
      <c r="L4328" s="47"/>
      <c r="M4328" s="50"/>
    </row>
    <row r="4329" ht="15.75" customHeight="1">
      <c r="A4329" s="218">
        <v>46263.0</v>
      </c>
      <c r="B4329" s="60"/>
      <c r="C4329" s="61" t="s">
        <v>1980</v>
      </c>
      <c r="D4329" s="62" t="s">
        <v>99</v>
      </c>
      <c r="E4329" s="232" t="s">
        <v>4652</v>
      </c>
      <c r="F4329" s="120" t="s">
        <v>4415</v>
      </c>
      <c r="G4329" s="155">
        <v>1.80366E7</v>
      </c>
      <c r="H4329" s="9">
        <f t="shared" si="11"/>
        <v>3787686</v>
      </c>
      <c r="I4329" s="44">
        <v>541098.0</v>
      </c>
      <c r="J4329" s="44">
        <v>901830.0</v>
      </c>
      <c r="K4329" s="10">
        <f t="shared" si="12"/>
        <v>23267214</v>
      </c>
      <c r="L4329" s="47"/>
      <c r="M4329" s="50"/>
    </row>
    <row r="4330" ht="15.75" customHeight="1">
      <c r="A4330" s="218">
        <v>46263.0</v>
      </c>
      <c r="B4330" s="60"/>
      <c r="C4330" s="61" t="s">
        <v>1980</v>
      </c>
      <c r="D4330" s="62" t="s">
        <v>99</v>
      </c>
      <c r="E4330" s="232" t="s">
        <v>4653</v>
      </c>
      <c r="F4330" s="120" t="s">
        <v>4415</v>
      </c>
      <c r="G4330" s="155">
        <v>1.873938E7</v>
      </c>
      <c r="H4330" s="9">
        <f t="shared" si="11"/>
        <v>3935269.8</v>
      </c>
      <c r="I4330" s="44">
        <v>562181.4</v>
      </c>
      <c r="J4330" s="44">
        <v>936969.0</v>
      </c>
      <c r="K4330" s="10">
        <f t="shared" si="12"/>
        <v>24173800.2</v>
      </c>
      <c r="L4330" s="47"/>
      <c r="M4330" s="50"/>
    </row>
    <row r="4331" ht="15.75" customHeight="1">
      <c r="A4331" s="218">
        <v>46263.0</v>
      </c>
      <c r="B4331" s="60"/>
      <c r="C4331" s="61" t="s">
        <v>1980</v>
      </c>
      <c r="D4331" s="62" t="s">
        <v>99</v>
      </c>
      <c r="E4331" s="232" t="s">
        <v>4654</v>
      </c>
      <c r="F4331" s="120" t="s">
        <v>4415</v>
      </c>
      <c r="G4331" s="155">
        <v>1.57272E7</v>
      </c>
      <c r="H4331" s="9">
        <f t="shared" si="11"/>
        <v>3302712</v>
      </c>
      <c r="I4331" s="44">
        <v>471816.0</v>
      </c>
      <c r="J4331" s="44">
        <v>786360.0</v>
      </c>
      <c r="K4331" s="10">
        <f t="shared" si="12"/>
        <v>20288088</v>
      </c>
      <c r="L4331" s="47"/>
      <c r="M4331" s="50"/>
    </row>
    <row r="4332" ht="15.75" customHeight="1">
      <c r="A4332" s="218">
        <v>46263.0</v>
      </c>
      <c r="B4332" s="60"/>
      <c r="C4332" s="61" t="s">
        <v>1980</v>
      </c>
      <c r="D4332" s="62" t="s">
        <v>99</v>
      </c>
      <c r="E4332" s="232" t="s">
        <v>4655</v>
      </c>
      <c r="F4332" s="120" t="s">
        <v>4415</v>
      </c>
      <c r="G4332" s="155">
        <v>1.139716125E7</v>
      </c>
      <c r="H4332" s="9">
        <f t="shared" si="11"/>
        <v>2393403.863</v>
      </c>
      <c r="I4332" s="44">
        <v>341914.84</v>
      </c>
      <c r="J4332" s="44">
        <v>569858.06</v>
      </c>
      <c r="K4332" s="10">
        <f t="shared" si="12"/>
        <v>14702338.01</v>
      </c>
      <c r="L4332" s="47"/>
      <c r="M4332" s="50"/>
    </row>
    <row r="4333" ht="15.75" customHeight="1">
      <c r="A4333" s="218">
        <v>46263.0</v>
      </c>
      <c r="B4333" s="60"/>
      <c r="C4333" s="61" t="s">
        <v>1980</v>
      </c>
      <c r="D4333" s="62" t="s">
        <v>99</v>
      </c>
      <c r="E4333" s="232" t="s">
        <v>4656</v>
      </c>
      <c r="F4333" s="120" t="s">
        <v>4415</v>
      </c>
      <c r="G4333" s="155">
        <v>1.186221225E7</v>
      </c>
      <c r="H4333" s="9">
        <f t="shared" si="11"/>
        <v>2491064.573</v>
      </c>
      <c r="I4333" s="44">
        <v>355866.37</v>
      </c>
      <c r="J4333" s="44">
        <v>593110.61</v>
      </c>
      <c r="K4333" s="10">
        <f t="shared" si="12"/>
        <v>15302253.8</v>
      </c>
      <c r="L4333" s="47"/>
      <c r="M4333" s="50"/>
    </row>
    <row r="4334" ht="15.75" customHeight="1">
      <c r="A4334" s="218">
        <v>46263.0</v>
      </c>
      <c r="B4334" s="60"/>
      <c r="C4334" s="61" t="s">
        <v>1980</v>
      </c>
      <c r="D4334" s="62" t="s">
        <v>99</v>
      </c>
      <c r="E4334" s="232" t="s">
        <v>4657</v>
      </c>
      <c r="F4334" s="120" t="s">
        <v>4415</v>
      </c>
      <c r="G4334" s="155">
        <v>1.27763917E7</v>
      </c>
      <c r="H4334" s="9">
        <f t="shared" si="11"/>
        <v>2683042.257</v>
      </c>
      <c r="I4334" s="44">
        <v>383291.75</v>
      </c>
      <c r="J4334" s="44">
        <v>638819.59</v>
      </c>
      <c r="K4334" s="10">
        <f t="shared" si="12"/>
        <v>16481545.3</v>
      </c>
      <c r="L4334" s="47"/>
      <c r="M4334" s="50"/>
    </row>
    <row r="4335" ht="15.75" customHeight="1">
      <c r="A4335" s="218">
        <v>46265.0</v>
      </c>
      <c r="B4335" s="60"/>
      <c r="C4335" s="61" t="s">
        <v>1980</v>
      </c>
      <c r="D4335" s="62" t="s">
        <v>99</v>
      </c>
      <c r="E4335" s="232" t="s">
        <v>4658</v>
      </c>
      <c r="F4335" s="120" t="s">
        <v>4415</v>
      </c>
      <c r="G4335" s="155">
        <v>-9110300.01</v>
      </c>
      <c r="H4335" s="9">
        <f t="shared" si="11"/>
        <v>-1913163.002</v>
      </c>
      <c r="I4335" s="44"/>
      <c r="J4335" s="44">
        <v>-455515.0</v>
      </c>
      <c r="K4335" s="10">
        <f t="shared" si="12"/>
        <v>-11478978.01</v>
      </c>
      <c r="L4335" s="47"/>
      <c r="M4335" s="50"/>
    </row>
    <row r="4336" ht="15.75" customHeight="1">
      <c r="A4336" s="218">
        <v>46265.0</v>
      </c>
      <c r="B4336" s="60"/>
      <c r="C4336" s="61" t="s">
        <v>1980</v>
      </c>
      <c r="D4336" s="62" t="s">
        <v>99</v>
      </c>
      <c r="E4336" s="234" t="s">
        <v>4659</v>
      </c>
      <c r="F4336" s="120" t="s">
        <v>4415</v>
      </c>
      <c r="G4336" s="155">
        <v>5498100.01</v>
      </c>
      <c r="H4336" s="9">
        <f t="shared" si="11"/>
        <v>1154601.002</v>
      </c>
      <c r="I4336" s="44"/>
      <c r="J4336" s="44">
        <v>274905.0</v>
      </c>
      <c r="K4336" s="10">
        <f t="shared" si="12"/>
        <v>6927606.012</v>
      </c>
      <c r="L4336" s="47"/>
      <c r="M4336" s="50"/>
    </row>
    <row r="4337" ht="15.75" customHeight="1">
      <c r="A4337" s="218">
        <v>46265.0</v>
      </c>
      <c r="B4337" s="60"/>
      <c r="C4337" s="61" t="s">
        <v>1980</v>
      </c>
      <c r="D4337" s="62" t="s">
        <v>99</v>
      </c>
      <c r="E4337" s="234" t="s">
        <v>4660</v>
      </c>
      <c r="F4337" s="120" t="s">
        <v>4415</v>
      </c>
      <c r="G4337" s="155">
        <v>9110300.01</v>
      </c>
      <c r="H4337" s="9">
        <f t="shared" si="11"/>
        <v>1913163.002</v>
      </c>
      <c r="I4337" s="44"/>
      <c r="J4337" s="44">
        <v>455515.0</v>
      </c>
      <c r="K4337" s="10">
        <f t="shared" si="12"/>
        <v>11478978.01</v>
      </c>
      <c r="L4337" s="47"/>
      <c r="M4337" s="50"/>
    </row>
    <row r="4338" ht="15.75" customHeight="1">
      <c r="A4338" s="218">
        <v>46265.0</v>
      </c>
      <c r="B4338" s="60"/>
      <c r="C4338" s="61" t="s">
        <v>1980</v>
      </c>
      <c r="D4338" s="62" t="s">
        <v>99</v>
      </c>
      <c r="E4338" s="232" t="s">
        <v>4661</v>
      </c>
      <c r="F4338" s="120" t="s">
        <v>4415</v>
      </c>
      <c r="G4338" s="155">
        <v>6919490.01</v>
      </c>
      <c r="H4338" s="9">
        <f t="shared" si="11"/>
        <v>1453092.902</v>
      </c>
      <c r="I4338" s="44"/>
      <c r="J4338" s="44">
        <v>345974.5</v>
      </c>
      <c r="K4338" s="10">
        <f t="shared" si="12"/>
        <v>8718557.412</v>
      </c>
      <c r="L4338" s="47"/>
      <c r="M4338" s="50"/>
    </row>
    <row r="4339" ht="15.75" customHeight="1">
      <c r="A4339" s="218">
        <v>46265.0</v>
      </c>
      <c r="B4339" s="60"/>
      <c r="C4339" s="61" t="s">
        <v>1980</v>
      </c>
      <c r="D4339" s="62" t="s">
        <v>15</v>
      </c>
      <c r="E4339" s="234" t="s">
        <v>4662</v>
      </c>
      <c r="F4339" s="120" t="s">
        <v>4415</v>
      </c>
      <c r="G4339" s="155">
        <v>8400500.01</v>
      </c>
      <c r="H4339" s="9">
        <f t="shared" si="11"/>
        <v>1764105.002</v>
      </c>
      <c r="I4339" s="44"/>
      <c r="J4339" s="44">
        <v>420025.0</v>
      </c>
      <c r="K4339" s="10">
        <f t="shared" si="12"/>
        <v>10584630.01</v>
      </c>
      <c r="L4339" s="47"/>
      <c r="M4339" s="50"/>
    </row>
    <row r="4340" ht="15.75" customHeight="1">
      <c r="A4340" s="218">
        <v>46265.0</v>
      </c>
      <c r="B4340" s="60"/>
      <c r="C4340" s="61" t="s">
        <v>1980</v>
      </c>
      <c r="D4340" s="62" t="s">
        <v>15</v>
      </c>
      <c r="E4340" s="234" t="s">
        <v>4663</v>
      </c>
      <c r="F4340" s="120" t="s">
        <v>4415</v>
      </c>
      <c r="G4340" s="155">
        <v>8279200.01</v>
      </c>
      <c r="H4340" s="9">
        <f t="shared" si="11"/>
        <v>1738632.002</v>
      </c>
      <c r="I4340" s="44"/>
      <c r="J4340" s="44">
        <v>413960.0</v>
      </c>
      <c r="K4340" s="10">
        <f t="shared" si="12"/>
        <v>10431792.01</v>
      </c>
      <c r="L4340" s="47"/>
      <c r="M4340" s="50"/>
    </row>
    <row r="4341" ht="15.75" customHeight="1">
      <c r="A4341" s="218">
        <v>46265.0</v>
      </c>
      <c r="B4341" s="60"/>
      <c r="C4341" s="61" t="s">
        <v>1980</v>
      </c>
      <c r="D4341" s="62" t="s">
        <v>15</v>
      </c>
      <c r="E4341" s="234" t="s">
        <v>4664</v>
      </c>
      <c r="F4341" s="120" t="s">
        <v>4415</v>
      </c>
      <c r="G4341" s="155">
        <v>7952920.01</v>
      </c>
      <c r="H4341" s="9">
        <f t="shared" si="11"/>
        <v>1670113.202</v>
      </c>
      <c r="I4341" s="44"/>
      <c r="J4341" s="44">
        <v>397646.0</v>
      </c>
      <c r="K4341" s="10">
        <f t="shared" si="12"/>
        <v>10020679.21</v>
      </c>
      <c r="L4341" s="47"/>
      <c r="M4341" s="50"/>
    </row>
    <row r="4342" ht="15.75" customHeight="1">
      <c r="A4342" s="218">
        <v>46265.0</v>
      </c>
      <c r="B4342" s="60"/>
      <c r="C4342" s="61" t="s">
        <v>1980</v>
      </c>
      <c r="D4342" s="62" t="s">
        <v>15</v>
      </c>
      <c r="E4342" s="232" t="s">
        <v>4665</v>
      </c>
      <c r="F4342" s="120" t="s">
        <v>4415</v>
      </c>
      <c r="G4342" s="155">
        <v>9566000.1</v>
      </c>
      <c r="H4342" s="9">
        <f t="shared" si="11"/>
        <v>2008860.021</v>
      </c>
      <c r="I4342" s="44"/>
      <c r="J4342" s="44">
        <v>478300.0</v>
      </c>
      <c r="K4342" s="10">
        <f t="shared" si="12"/>
        <v>12053160.12</v>
      </c>
      <c r="L4342" s="47"/>
      <c r="M4342" s="50"/>
    </row>
    <row r="4343" ht="15.75" customHeight="1">
      <c r="A4343" s="218">
        <v>46265.0</v>
      </c>
      <c r="B4343" s="60"/>
      <c r="C4343" s="61" t="s">
        <v>1980</v>
      </c>
      <c r="D4343" s="62" t="s">
        <v>15</v>
      </c>
      <c r="E4343" s="232" t="s">
        <v>4666</v>
      </c>
      <c r="F4343" s="120" t="s">
        <v>4415</v>
      </c>
      <c r="G4343" s="155">
        <v>7892810.01</v>
      </c>
      <c r="H4343" s="9">
        <f t="shared" si="11"/>
        <v>1657490.102</v>
      </c>
      <c r="I4343" s="44"/>
      <c r="J4343" s="44">
        <v>394640.5</v>
      </c>
      <c r="K4343" s="10">
        <f t="shared" si="12"/>
        <v>9944940.612</v>
      </c>
      <c r="L4343" s="47"/>
      <c r="M4343" s="50"/>
    </row>
    <row r="4344" ht="15.75" customHeight="1">
      <c r="A4344" s="218">
        <v>46265.0</v>
      </c>
      <c r="B4344" s="60"/>
      <c r="C4344" s="61" t="s">
        <v>1980</v>
      </c>
      <c r="D4344" s="62" t="s">
        <v>15</v>
      </c>
      <c r="E4344" s="232" t="s">
        <v>4667</v>
      </c>
      <c r="F4344" s="120" t="s">
        <v>4415</v>
      </c>
      <c r="G4344" s="155">
        <v>6911200.01</v>
      </c>
      <c r="H4344" s="9">
        <f t="shared" si="11"/>
        <v>1451352.002</v>
      </c>
      <c r="I4344" s="44"/>
      <c r="J4344" s="44">
        <v>345560.0</v>
      </c>
      <c r="K4344" s="10">
        <f t="shared" si="12"/>
        <v>8708112.012</v>
      </c>
      <c r="L4344" s="47"/>
      <c r="M4344" s="50"/>
    </row>
    <row r="4345" ht="15.75" customHeight="1">
      <c r="A4345" s="218">
        <v>46265.0</v>
      </c>
      <c r="B4345" s="60"/>
      <c r="C4345" s="61" t="s">
        <v>3873</v>
      </c>
      <c r="D4345" s="62" t="s">
        <v>15</v>
      </c>
      <c r="E4345" s="234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47"/>
      <c r="M4345" s="50"/>
    </row>
    <row r="4346" ht="15.75" customHeight="1">
      <c r="A4346" s="218">
        <v>46265.0</v>
      </c>
      <c r="B4346" s="60"/>
      <c r="C4346" s="61" t="s">
        <v>3873</v>
      </c>
      <c r="D4346" s="62" t="s">
        <v>15</v>
      </c>
      <c r="E4346" s="234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47"/>
      <c r="M4346" s="50"/>
    </row>
    <row r="4347" ht="15.75" customHeight="1">
      <c r="A4347" s="218">
        <v>46265.0</v>
      </c>
      <c r="B4347" s="60"/>
      <c r="C4347" s="61" t="s">
        <v>3873</v>
      </c>
      <c r="D4347" s="62" t="s">
        <v>15</v>
      </c>
      <c r="E4347" s="232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47"/>
      <c r="M4347" s="50"/>
    </row>
    <row r="4348" ht="15.75" customHeight="1">
      <c r="A4348" s="218">
        <v>46265.0</v>
      </c>
      <c r="B4348" s="60"/>
      <c r="C4348" s="61" t="s">
        <v>3873</v>
      </c>
      <c r="D4348" s="62" t="s">
        <v>15</v>
      </c>
      <c r="E4348" s="232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47"/>
      <c r="M4348" s="50"/>
    </row>
    <row r="4349" ht="15.75" customHeight="1">
      <c r="A4349" s="218">
        <v>46266.0</v>
      </c>
      <c r="B4349" s="60"/>
      <c r="C4349" s="61" t="s">
        <v>1179</v>
      </c>
      <c r="D4349" s="62" t="s">
        <v>15</v>
      </c>
      <c r="E4349" s="232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47"/>
      <c r="M4349" s="50"/>
    </row>
    <row r="4350" ht="15.75" customHeight="1">
      <c r="A4350" s="162">
        <v>46266.0</v>
      </c>
      <c r="B4350" s="55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60"/>
      <c r="C4351" s="61" t="s">
        <v>1179</v>
      </c>
      <c r="D4351" s="62" t="s">
        <v>15</v>
      </c>
      <c r="E4351" s="232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47"/>
      <c r="M4351" s="50"/>
    </row>
    <row r="4352" ht="15.75" customHeight="1">
      <c r="A4352" s="162">
        <v>46266.0</v>
      </c>
      <c r="B4352" s="55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60"/>
      <c r="C4353" s="61" t="s">
        <v>1179</v>
      </c>
      <c r="D4353" s="62" t="s">
        <v>15</v>
      </c>
      <c r="E4353" s="232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47"/>
      <c r="M4353" s="50"/>
    </row>
    <row r="4354" ht="15.75" customHeight="1">
      <c r="A4354" s="218">
        <v>46266.0</v>
      </c>
      <c r="B4354" s="60"/>
      <c r="C4354" s="61" t="s">
        <v>247</v>
      </c>
      <c r="D4354" s="62" t="s">
        <v>15</v>
      </c>
      <c r="E4354" s="232" t="s">
        <v>4677</v>
      </c>
      <c r="F4354" s="120" t="s">
        <v>4415</v>
      </c>
      <c r="G4354" s="206">
        <v>1.21226105E7</v>
      </c>
      <c r="H4354" s="9">
        <f t="shared" si="11"/>
        <v>2545748.205</v>
      </c>
      <c r="I4354" s="44"/>
      <c r="J4354" s="44"/>
      <c r="K4354" s="10">
        <f t="shared" si="12"/>
        <v>14668358.71</v>
      </c>
      <c r="L4354" s="47"/>
      <c r="M4354" s="50"/>
    </row>
    <row r="4355" ht="15.75" customHeight="1">
      <c r="A4355" s="218">
        <v>46266.0</v>
      </c>
      <c r="B4355" s="60"/>
      <c r="C4355" s="61" t="s">
        <v>1179</v>
      </c>
      <c r="D4355" s="62" t="s">
        <v>15</v>
      </c>
      <c r="E4355" s="232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47"/>
      <c r="M4355" s="50"/>
    </row>
    <row r="4356" ht="15.75" customHeight="1">
      <c r="A4356" s="218">
        <v>46266.0</v>
      </c>
      <c r="B4356" s="60"/>
      <c r="C4356" s="62" t="s">
        <v>247</v>
      </c>
      <c r="D4356" s="62" t="s">
        <v>15</v>
      </c>
      <c r="E4356" s="232" t="s">
        <v>4679</v>
      </c>
      <c r="F4356" s="120" t="s">
        <v>4415</v>
      </c>
      <c r="G4356" s="206">
        <v>1.287968346E7</v>
      </c>
      <c r="H4356" s="9">
        <f t="shared" si="11"/>
        <v>2704733.527</v>
      </c>
      <c r="I4356" s="44"/>
      <c r="J4356" s="44"/>
      <c r="K4356" s="10">
        <f t="shared" si="12"/>
        <v>15584416.99</v>
      </c>
      <c r="L4356" s="47"/>
      <c r="M4356" s="50"/>
    </row>
    <row r="4357" ht="15.75" customHeight="1">
      <c r="A4357" s="218">
        <v>46266.0</v>
      </c>
      <c r="B4357" s="60"/>
      <c r="C4357" s="62" t="s">
        <v>1179</v>
      </c>
      <c r="D4357" s="62" t="s">
        <v>15</v>
      </c>
      <c r="E4357" s="232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47"/>
      <c r="M4357" s="50"/>
    </row>
    <row r="4358" ht="15.75" customHeight="1">
      <c r="A4358" s="218">
        <v>46266.0</v>
      </c>
      <c r="B4358" s="60"/>
      <c r="C4358" s="62" t="s">
        <v>1179</v>
      </c>
      <c r="D4358" s="62" t="s">
        <v>15</v>
      </c>
      <c r="E4358" s="232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47"/>
      <c r="M4358" s="50"/>
    </row>
    <row r="4359" ht="15.75" customHeight="1">
      <c r="A4359" s="218">
        <v>46266.0</v>
      </c>
      <c r="B4359" s="60"/>
      <c r="C4359" s="61" t="s">
        <v>1189</v>
      </c>
      <c r="D4359" s="62" t="s">
        <v>15</v>
      </c>
      <c r="E4359" s="232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47"/>
      <c r="M4359" s="50"/>
    </row>
    <row r="4360" ht="15.75" customHeight="1">
      <c r="A4360" s="218">
        <v>46266.0</v>
      </c>
      <c r="B4360" s="60"/>
      <c r="C4360" s="62" t="s">
        <v>1179</v>
      </c>
      <c r="D4360" s="62" t="s">
        <v>15</v>
      </c>
      <c r="E4360" s="232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47"/>
      <c r="M4360" s="50"/>
    </row>
    <row r="4361" ht="15.75" customHeight="1">
      <c r="A4361" s="218">
        <v>46266.0</v>
      </c>
      <c r="B4361" s="60"/>
      <c r="C4361" s="62" t="s">
        <v>1179</v>
      </c>
      <c r="D4361" s="62" t="s">
        <v>15</v>
      </c>
      <c r="E4361" s="232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47"/>
      <c r="M4361" s="50"/>
    </row>
    <row r="4362" ht="15.75" customHeight="1">
      <c r="A4362" s="162">
        <v>46266.0</v>
      </c>
      <c r="B4362" s="55"/>
      <c r="C4362" s="32" t="s">
        <v>1842</v>
      </c>
      <c r="D4362" s="32" t="s">
        <v>15</v>
      </c>
      <c r="E4362" s="31" t="s">
        <v>4685</v>
      </c>
      <c r="F4362" s="235">
        <v>46291.0</v>
      </c>
      <c r="G4362" s="59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5"/>
      <c r="C4363" s="32" t="s">
        <v>1842</v>
      </c>
      <c r="D4363" s="32" t="s">
        <v>15</v>
      </c>
      <c r="E4363" s="31" t="s">
        <v>4686</v>
      </c>
      <c r="F4363" s="235">
        <v>46291.0</v>
      </c>
      <c r="G4363" s="59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218">
        <v>46266.0</v>
      </c>
      <c r="B4364" s="60"/>
      <c r="C4364" s="61" t="s">
        <v>171</v>
      </c>
      <c r="D4364" s="62" t="s">
        <v>15</v>
      </c>
      <c r="E4364" s="234" t="s">
        <v>4687</v>
      </c>
      <c r="F4364" s="212">
        <v>46291.0</v>
      </c>
      <c r="G4364" s="155">
        <v>1.843623311E7</v>
      </c>
      <c r="H4364" s="9">
        <f t="shared" si="11"/>
        <v>3871608.953</v>
      </c>
      <c r="I4364" s="44"/>
      <c r="J4364" s="44"/>
      <c r="K4364" s="10">
        <f t="shared" si="12"/>
        <v>22307842.06</v>
      </c>
      <c r="L4364" s="47"/>
      <c r="M4364" s="50"/>
    </row>
    <row r="4365" ht="15.75" customHeight="1">
      <c r="A4365" s="162">
        <v>46266.0</v>
      </c>
      <c r="B4365" s="55"/>
      <c r="C4365" s="31" t="s">
        <v>171</v>
      </c>
      <c r="D4365" s="32" t="s">
        <v>15</v>
      </c>
      <c r="E4365" s="31" t="s">
        <v>4688</v>
      </c>
      <c r="F4365" s="235">
        <v>46291.0</v>
      </c>
      <c r="G4365" s="59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36">
        <v>46266.0</v>
      </c>
      <c r="B4366" s="55"/>
      <c r="C4366" s="31" t="s">
        <v>171</v>
      </c>
      <c r="D4366" s="32" t="s">
        <v>15</v>
      </c>
      <c r="E4366" s="31" t="s">
        <v>4689</v>
      </c>
      <c r="F4366" s="235">
        <v>46291.0</v>
      </c>
      <c r="G4366" s="59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36">
        <v>46266.0</v>
      </c>
      <c r="B4367" s="55"/>
      <c r="C4367" s="31" t="s">
        <v>171</v>
      </c>
      <c r="D4367" s="32" t="s">
        <v>15</v>
      </c>
      <c r="E4367" s="32" t="s">
        <v>4690</v>
      </c>
      <c r="F4367" s="235">
        <v>46291.0</v>
      </c>
      <c r="G4367" s="59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36">
        <v>46266.0</v>
      </c>
      <c r="B4368" s="55"/>
      <c r="C4368" s="31" t="s">
        <v>171</v>
      </c>
      <c r="D4368" s="32" t="s">
        <v>15</v>
      </c>
      <c r="E4368" s="31" t="s">
        <v>4691</v>
      </c>
      <c r="F4368" s="235">
        <v>46291.0</v>
      </c>
      <c r="G4368" s="59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36">
        <v>46266.0</v>
      </c>
      <c r="B4369" s="55"/>
      <c r="C4369" s="31" t="s">
        <v>171</v>
      </c>
      <c r="D4369" s="32" t="s">
        <v>15</v>
      </c>
      <c r="E4369" s="32" t="s">
        <v>4692</v>
      </c>
      <c r="F4369" s="235">
        <v>46291.0</v>
      </c>
      <c r="G4369" s="59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36">
        <v>46267.0</v>
      </c>
      <c r="B4370" s="55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37">
        <v>46267.0</v>
      </c>
      <c r="B4371" s="60"/>
      <c r="C4371" s="61" t="s">
        <v>1189</v>
      </c>
      <c r="D4371" s="62" t="s">
        <v>99</v>
      </c>
      <c r="E4371" s="232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47"/>
      <c r="M4371" s="50"/>
    </row>
    <row r="4372" ht="15.75" customHeight="1">
      <c r="A4372" s="236">
        <v>46267.0</v>
      </c>
      <c r="B4372" s="55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37">
        <v>46267.0</v>
      </c>
      <c r="B4373" s="60"/>
      <c r="C4373" s="61" t="s">
        <v>2346</v>
      </c>
      <c r="D4373" s="62" t="s">
        <v>99</v>
      </c>
      <c r="E4373" s="232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47"/>
      <c r="M4373" s="50"/>
    </row>
    <row r="4374" ht="15.75" customHeight="1">
      <c r="A4374" s="236">
        <v>46267.0</v>
      </c>
      <c r="B4374" s="55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36">
        <v>46267.0</v>
      </c>
      <c r="B4375" s="55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36">
        <v>46267.0</v>
      </c>
      <c r="B4376" s="55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37">
        <v>46267.0</v>
      </c>
      <c r="B4377" s="60"/>
      <c r="C4377" s="61" t="s">
        <v>2346</v>
      </c>
      <c r="D4377" s="62" t="s">
        <v>99</v>
      </c>
      <c r="E4377" s="232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47"/>
      <c r="M4377" s="50"/>
    </row>
    <row r="4378" ht="15.75" customHeight="1">
      <c r="A4378" s="237">
        <v>46267.0</v>
      </c>
      <c r="B4378" s="60"/>
      <c r="C4378" s="61" t="s">
        <v>2346</v>
      </c>
      <c r="D4378" s="62" t="s">
        <v>99</v>
      </c>
      <c r="E4378" s="232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47"/>
      <c r="M4378" s="50"/>
    </row>
    <row r="4379" ht="15.75" customHeight="1">
      <c r="A4379" s="236">
        <v>46267.0</v>
      </c>
      <c r="B4379" s="55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36">
        <v>46267.0</v>
      </c>
      <c r="B4380" s="55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36">
        <v>46267.0</v>
      </c>
      <c r="B4381" s="55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36">
        <v>46267.0</v>
      </c>
      <c r="B4382" s="55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37">
        <v>46267.0</v>
      </c>
      <c r="B4383" s="60"/>
      <c r="C4383" s="61" t="s">
        <v>45</v>
      </c>
      <c r="D4383" s="62" t="s">
        <v>15</v>
      </c>
      <c r="E4383" s="232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47"/>
      <c r="M4383" s="50"/>
    </row>
    <row r="4384" ht="15.75" customHeight="1">
      <c r="A4384" s="236">
        <v>46267.0</v>
      </c>
      <c r="B4384" s="55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9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36">
        <v>46267.0</v>
      </c>
      <c r="B4385" s="55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9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37">
        <v>46267.0</v>
      </c>
      <c r="B4386" s="60"/>
      <c r="C4386" s="61" t="s">
        <v>2346</v>
      </c>
      <c r="D4386" s="62" t="s">
        <v>15</v>
      </c>
      <c r="E4386" s="232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47"/>
      <c r="M4386" s="50"/>
    </row>
    <row r="4387" ht="15.75" customHeight="1">
      <c r="A4387" s="236">
        <v>46267.0</v>
      </c>
      <c r="B4387" s="55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9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36">
        <v>46267.0</v>
      </c>
      <c r="B4388" s="55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36">
        <v>46267.0</v>
      </c>
      <c r="B4389" s="55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36">
        <v>46267.0</v>
      </c>
      <c r="B4390" s="55"/>
      <c r="C4390" s="31" t="s">
        <v>1112</v>
      </c>
      <c r="D4390" s="32" t="s">
        <v>99</v>
      </c>
      <c r="E4390" s="32" t="s">
        <v>4710</v>
      </c>
      <c r="F4390" s="235">
        <v>46291.0</v>
      </c>
      <c r="G4390" s="59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36">
        <v>46267.0</v>
      </c>
      <c r="B4391" s="55"/>
      <c r="C4391" s="31" t="s">
        <v>1112</v>
      </c>
      <c r="D4391" s="32" t="s">
        <v>99</v>
      </c>
      <c r="E4391" s="32" t="s">
        <v>4711</v>
      </c>
      <c r="F4391" s="235">
        <v>46291.0</v>
      </c>
      <c r="G4391" s="59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36">
        <v>46267.0</v>
      </c>
      <c r="B4392" s="55"/>
      <c r="C4392" s="31" t="s">
        <v>1112</v>
      </c>
      <c r="D4392" s="32" t="s">
        <v>99</v>
      </c>
      <c r="E4392" s="32" t="s">
        <v>4712</v>
      </c>
      <c r="F4392" s="235">
        <v>46291.0</v>
      </c>
      <c r="G4392" s="59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36">
        <v>46267.0</v>
      </c>
      <c r="B4393" s="55"/>
      <c r="C4393" s="31" t="s">
        <v>1112</v>
      </c>
      <c r="D4393" s="32" t="s">
        <v>99</v>
      </c>
      <c r="E4393" s="32" t="s">
        <v>4713</v>
      </c>
      <c r="F4393" s="235">
        <v>46291.0</v>
      </c>
      <c r="G4393" s="59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36">
        <v>46267.0</v>
      </c>
      <c r="B4394" s="55"/>
      <c r="C4394" s="31" t="s">
        <v>1112</v>
      </c>
      <c r="D4394" s="32" t="s">
        <v>15</v>
      </c>
      <c r="E4394" s="32" t="s">
        <v>4714</v>
      </c>
      <c r="F4394" s="235">
        <v>46291.0</v>
      </c>
      <c r="G4394" s="59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36">
        <v>46267.0</v>
      </c>
      <c r="B4395" s="55"/>
      <c r="C4395" s="31" t="s">
        <v>1112</v>
      </c>
      <c r="D4395" s="32" t="s">
        <v>15</v>
      </c>
      <c r="E4395" s="32" t="s">
        <v>4715</v>
      </c>
      <c r="F4395" s="235">
        <v>46291.0</v>
      </c>
      <c r="G4395" s="59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36">
        <v>46267.0</v>
      </c>
      <c r="B4396" s="55"/>
      <c r="C4396" s="31" t="s">
        <v>1112</v>
      </c>
      <c r="D4396" s="32" t="s">
        <v>15</v>
      </c>
      <c r="E4396" s="31" t="s">
        <v>4716</v>
      </c>
      <c r="F4396" s="235">
        <v>46291.0</v>
      </c>
      <c r="G4396" s="59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36">
        <v>46267.0</v>
      </c>
      <c r="B4397" s="55"/>
      <c r="C4397" s="31" t="s">
        <v>1112</v>
      </c>
      <c r="D4397" s="32" t="s">
        <v>15</v>
      </c>
      <c r="E4397" s="32" t="s">
        <v>4717</v>
      </c>
      <c r="F4397" s="235">
        <v>46291.0</v>
      </c>
      <c r="G4397" s="59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36">
        <v>46268.0</v>
      </c>
      <c r="B4398" s="55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36">
        <v>46268.0</v>
      </c>
      <c r="B4399" s="55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36">
        <v>46268.0</v>
      </c>
      <c r="B4400" s="55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36">
        <v>46268.0</v>
      </c>
      <c r="B4401" s="55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36">
        <v>46268.0</v>
      </c>
      <c r="B4402" s="55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36">
        <v>46268.0</v>
      </c>
      <c r="B4403" s="55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36">
        <v>46268.0</v>
      </c>
      <c r="B4404" s="55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36">
        <v>46268.0</v>
      </c>
      <c r="B4405" s="55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36">
        <v>46268.0</v>
      </c>
      <c r="B4406" s="55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36">
        <v>46268.0</v>
      </c>
      <c r="B4407" s="55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37">
        <v>46268.0</v>
      </c>
      <c r="B4408" s="60"/>
      <c r="C4408" s="61" t="s">
        <v>4729</v>
      </c>
      <c r="D4408" s="62" t="s">
        <v>15</v>
      </c>
      <c r="E4408" s="62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47"/>
      <c r="M4408" s="50"/>
    </row>
    <row r="4409" ht="15.75" customHeight="1">
      <c r="A4409" s="237">
        <v>46268.0</v>
      </c>
      <c r="B4409" s="60"/>
      <c r="C4409" s="61" t="s">
        <v>4729</v>
      </c>
      <c r="D4409" s="62" t="s">
        <v>15</v>
      </c>
      <c r="E4409" s="62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47"/>
      <c r="M4409" s="50"/>
    </row>
    <row r="4410" ht="15.75" customHeight="1">
      <c r="A4410" s="237">
        <v>46268.0</v>
      </c>
      <c r="B4410" s="60"/>
      <c r="C4410" s="61" t="s">
        <v>4729</v>
      </c>
      <c r="D4410" s="62" t="s">
        <v>15</v>
      </c>
      <c r="E4410" s="62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47"/>
      <c r="M4410" s="50"/>
    </row>
    <row r="4411" ht="15.75" customHeight="1">
      <c r="A4411" s="236">
        <v>46268.0</v>
      </c>
      <c r="B4411" s="55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36">
        <v>46268.0</v>
      </c>
      <c r="B4412" s="55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36">
        <v>46268.0</v>
      </c>
      <c r="B4413" s="55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36">
        <v>46268.0</v>
      </c>
      <c r="B4414" s="55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36">
        <v>46268.0</v>
      </c>
      <c r="B4415" s="55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36">
        <v>46268.0</v>
      </c>
      <c r="B4416" s="55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37">
        <v>46268.0</v>
      </c>
      <c r="B4417" s="60"/>
      <c r="C4417" s="61" t="s">
        <v>1980</v>
      </c>
      <c r="D4417" s="62" t="s">
        <v>99</v>
      </c>
      <c r="E4417" s="62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47"/>
      <c r="M4417" s="50"/>
    </row>
    <row r="4418" ht="15.75" customHeight="1">
      <c r="A4418" s="237">
        <v>46268.0</v>
      </c>
      <c r="B4418" s="60"/>
      <c r="C4418" s="61" t="s">
        <v>1980</v>
      </c>
      <c r="D4418" s="62" t="s">
        <v>15</v>
      </c>
      <c r="E4418" s="62" t="s">
        <v>4739</v>
      </c>
      <c r="F4418" s="120" t="s">
        <v>4415</v>
      </c>
      <c r="G4418" s="206">
        <v>7102200.0</v>
      </c>
      <c r="H4418" s="9">
        <f t="shared" si="11"/>
        <v>1491462</v>
      </c>
      <c r="I4418" s="44"/>
      <c r="J4418" s="44">
        <v>355110.0</v>
      </c>
      <c r="K4418" s="10">
        <f t="shared" si="12"/>
        <v>8948772</v>
      </c>
      <c r="L4418" s="47"/>
      <c r="M4418" s="50"/>
    </row>
    <row r="4419" ht="15.75" customHeight="1">
      <c r="A4419" s="237">
        <v>46268.0</v>
      </c>
      <c r="B4419" s="60"/>
      <c r="C4419" s="61" t="s">
        <v>1980</v>
      </c>
      <c r="D4419" s="62" t="s">
        <v>15</v>
      </c>
      <c r="E4419" s="62" t="s">
        <v>4740</v>
      </c>
      <c r="F4419" s="120" t="s">
        <v>4415</v>
      </c>
      <c r="G4419" s="206">
        <v>1.01316E7</v>
      </c>
      <c r="H4419" s="9">
        <f t="shared" si="11"/>
        <v>2127636</v>
      </c>
      <c r="I4419" s="44"/>
      <c r="J4419" s="44">
        <v>506580.0</v>
      </c>
      <c r="K4419" s="10">
        <f t="shared" si="12"/>
        <v>12765816</v>
      </c>
      <c r="L4419" s="47"/>
      <c r="M4419" s="50"/>
    </row>
    <row r="4420" ht="15.75" customHeight="1">
      <c r="A4420" s="237">
        <v>46268.0</v>
      </c>
      <c r="B4420" s="60"/>
      <c r="C4420" s="61" t="s">
        <v>1980</v>
      </c>
      <c r="D4420" s="62" t="s">
        <v>15</v>
      </c>
      <c r="E4420" s="62" t="s">
        <v>4741</v>
      </c>
      <c r="F4420" s="120" t="s">
        <v>4415</v>
      </c>
      <c r="G4420" s="206">
        <v>9837600.0</v>
      </c>
      <c r="H4420" s="9">
        <f t="shared" si="11"/>
        <v>2065896</v>
      </c>
      <c r="I4420" s="44"/>
      <c r="J4420" s="44">
        <v>491880.0</v>
      </c>
      <c r="K4420" s="10">
        <f t="shared" si="12"/>
        <v>12395376</v>
      </c>
      <c r="L4420" s="47"/>
      <c r="M4420" s="50"/>
    </row>
    <row r="4421" ht="15.75" customHeight="1">
      <c r="A4421" s="236">
        <v>46268.0</v>
      </c>
      <c r="B4421" s="55"/>
      <c r="C4421" s="31" t="s">
        <v>64</v>
      </c>
      <c r="D4421" s="31" t="s">
        <v>1543</v>
      </c>
      <c r="E4421" s="32" t="s">
        <v>4742</v>
      </c>
      <c r="F4421" s="235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37">
        <v>46268.0</v>
      </c>
      <c r="B4422" s="60"/>
      <c r="C4422" s="61" t="s">
        <v>397</v>
      </c>
      <c r="D4422" s="62" t="s">
        <v>15</v>
      </c>
      <c r="E4422" s="62" t="s">
        <v>4743</v>
      </c>
      <c r="F4422" s="120" t="s">
        <v>4415</v>
      </c>
      <c r="G4422" s="206">
        <v>7800264.0</v>
      </c>
      <c r="H4422" s="9">
        <f t="shared" si="11"/>
        <v>1638055.44</v>
      </c>
      <c r="I4422" s="44">
        <v>234007.92</v>
      </c>
      <c r="J4422" s="44">
        <v>39001.32</v>
      </c>
      <c r="K4422" s="10">
        <f t="shared" si="12"/>
        <v>9711328.68</v>
      </c>
      <c r="L4422" s="47"/>
      <c r="M4422" s="50"/>
    </row>
    <row r="4423" ht="15.75" customHeight="1">
      <c r="A4423" s="237">
        <v>46268.0</v>
      </c>
      <c r="B4423" s="60"/>
      <c r="C4423" s="61" t="s">
        <v>397</v>
      </c>
      <c r="D4423" s="62" t="s">
        <v>15</v>
      </c>
      <c r="E4423" s="62" t="s">
        <v>4744</v>
      </c>
      <c r="F4423" s="120" t="s">
        <v>4415</v>
      </c>
      <c r="G4423" s="206">
        <v>4500715.46</v>
      </c>
      <c r="H4423" s="9">
        <f t="shared" si="11"/>
        <v>945150.2466</v>
      </c>
      <c r="I4423" s="44"/>
      <c r="J4423" s="44">
        <v>22503.58</v>
      </c>
      <c r="K4423" s="10">
        <f t="shared" si="12"/>
        <v>5468369.287</v>
      </c>
      <c r="L4423" s="47"/>
      <c r="M4423" s="50"/>
    </row>
    <row r="4424" ht="15.75" customHeight="1">
      <c r="A4424" s="237">
        <v>46268.0</v>
      </c>
      <c r="B4424" s="60"/>
      <c r="C4424" s="61" t="s">
        <v>397</v>
      </c>
      <c r="D4424" s="62" t="s">
        <v>15</v>
      </c>
      <c r="E4424" s="62" t="s">
        <v>4745</v>
      </c>
      <c r="F4424" s="120" t="s">
        <v>4415</v>
      </c>
      <c r="G4424" s="206">
        <v>5001519.6</v>
      </c>
      <c r="H4424" s="9">
        <f t="shared" si="11"/>
        <v>1050319.116</v>
      </c>
      <c r="I4424" s="44">
        <v>150045.59</v>
      </c>
      <c r="J4424" s="44">
        <v>25007.6</v>
      </c>
      <c r="K4424" s="10">
        <f t="shared" si="12"/>
        <v>6226891.906</v>
      </c>
      <c r="L4424" s="47"/>
      <c r="M4424" s="50"/>
    </row>
    <row r="4425" ht="15.75" customHeight="1">
      <c r="A4425" s="236">
        <v>46268.0</v>
      </c>
      <c r="B4425" s="55"/>
      <c r="C4425" s="31" t="s">
        <v>64</v>
      </c>
      <c r="D4425" s="32" t="s">
        <v>15</v>
      </c>
      <c r="E4425" s="31" t="s">
        <v>4746</v>
      </c>
      <c r="F4425" s="235">
        <v>46291.0</v>
      </c>
      <c r="G4425" s="59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36">
        <v>46268.0</v>
      </c>
      <c r="B4426" s="55"/>
      <c r="C4426" s="31" t="s">
        <v>64</v>
      </c>
      <c r="D4426" s="32" t="s">
        <v>99</v>
      </c>
      <c r="E4426" s="31" t="s">
        <v>4747</v>
      </c>
      <c r="F4426" s="235">
        <v>46291.0</v>
      </c>
      <c r="G4426" s="59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36">
        <v>46269.0</v>
      </c>
      <c r="B4427" s="55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36">
        <v>46269.0</v>
      </c>
      <c r="B4428" s="55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37">
        <v>46269.0</v>
      </c>
      <c r="B4429" s="60"/>
      <c r="C4429" s="61" t="s">
        <v>4751</v>
      </c>
      <c r="D4429" s="62" t="s">
        <v>15</v>
      </c>
      <c r="E4429" s="62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47"/>
      <c r="M4429" s="50"/>
    </row>
    <row r="4430" ht="15.75" customHeight="1">
      <c r="A4430" s="237">
        <v>46269.0</v>
      </c>
      <c r="B4430" s="60"/>
      <c r="C4430" s="61" t="s">
        <v>4753</v>
      </c>
      <c r="D4430" s="62" t="s">
        <v>15</v>
      </c>
      <c r="E4430" s="62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47"/>
      <c r="M4430" s="50"/>
    </row>
    <row r="4431" ht="15.75" customHeight="1">
      <c r="A4431" s="162">
        <v>46269.0</v>
      </c>
      <c r="B4431" s="55"/>
      <c r="C4431" s="31" t="s">
        <v>1842</v>
      </c>
      <c r="D4431" s="32" t="s">
        <v>99</v>
      </c>
      <c r="E4431" s="31" t="s">
        <v>4755</v>
      </c>
      <c r="F4431" s="235">
        <v>46291.0</v>
      </c>
      <c r="G4431" s="59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60"/>
      <c r="C4432" s="61" t="s">
        <v>4464</v>
      </c>
      <c r="D4432" s="62" t="s">
        <v>99</v>
      </c>
      <c r="E4432" s="61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47"/>
      <c r="M4432" s="50"/>
    </row>
    <row r="4433" ht="15.75" customHeight="1">
      <c r="A4433" s="217">
        <v>46269.0</v>
      </c>
      <c r="B4433" s="60"/>
      <c r="C4433" s="61" t="s">
        <v>4464</v>
      </c>
      <c r="D4433" s="62" t="s">
        <v>99</v>
      </c>
      <c r="E4433" s="61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47"/>
      <c r="M4433" s="50"/>
    </row>
    <row r="4434" ht="15.75" customHeight="1">
      <c r="A4434" s="217">
        <v>46269.0</v>
      </c>
      <c r="B4434" s="60"/>
      <c r="C4434" s="61" t="s">
        <v>4464</v>
      </c>
      <c r="D4434" s="62" t="s">
        <v>99</v>
      </c>
      <c r="E4434" s="61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47"/>
      <c r="M4434" s="50"/>
    </row>
    <row r="4435" ht="15.75" customHeight="1">
      <c r="A4435" s="217">
        <v>46269.0</v>
      </c>
      <c r="B4435" s="60"/>
      <c r="C4435" s="61" t="s">
        <v>4464</v>
      </c>
      <c r="D4435" s="62" t="s">
        <v>99</v>
      </c>
      <c r="E4435" s="61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47"/>
      <c r="M4435" s="50"/>
    </row>
    <row r="4436" ht="15.75" customHeight="1">
      <c r="A4436" s="162">
        <v>46269.0</v>
      </c>
      <c r="B4436" s="55"/>
      <c r="C4436" s="31" t="s">
        <v>567</v>
      </c>
      <c r="D4436" s="32" t="s">
        <v>99</v>
      </c>
      <c r="E4436" s="31" t="s">
        <v>4760</v>
      </c>
      <c r="F4436" s="235">
        <v>46291.0</v>
      </c>
      <c r="G4436" s="59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5"/>
      <c r="C4437" s="31" t="s">
        <v>567</v>
      </c>
      <c r="D4437" s="32" t="s">
        <v>99</v>
      </c>
      <c r="E4437" s="31" t="s">
        <v>4761</v>
      </c>
      <c r="F4437" s="235">
        <v>46291.0</v>
      </c>
      <c r="G4437" s="59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5"/>
      <c r="C4438" s="31" t="s">
        <v>567</v>
      </c>
      <c r="D4438" s="32" t="s">
        <v>15</v>
      </c>
      <c r="E4438" s="31" t="s">
        <v>4762</v>
      </c>
      <c r="F4438" s="235">
        <v>46291.0</v>
      </c>
      <c r="G4438" s="59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5"/>
      <c r="C4439" s="31" t="s">
        <v>567</v>
      </c>
      <c r="D4439" s="32" t="s">
        <v>15</v>
      </c>
      <c r="E4439" s="31" t="s">
        <v>4763</v>
      </c>
      <c r="F4439" s="235">
        <v>46291.0</v>
      </c>
      <c r="G4439" s="59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60"/>
      <c r="C4440" s="61" t="s">
        <v>3385</v>
      </c>
      <c r="D4440" s="62" t="s">
        <v>15</v>
      </c>
      <c r="E4440" s="61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47"/>
      <c r="M4440" s="50"/>
    </row>
    <row r="4441" ht="15.75" customHeight="1">
      <c r="A4441" s="162">
        <v>46272.0</v>
      </c>
      <c r="B4441" s="55"/>
      <c r="C4441" s="32" t="s">
        <v>4765</v>
      </c>
      <c r="D4441" s="32" t="s">
        <v>99</v>
      </c>
      <c r="E4441" s="32" t="s">
        <v>4766</v>
      </c>
      <c r="F4441" s="235">
        <v>46291.0</v>
      </c>
      <c r="G4441" s="59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60"/>
      <c r="C4442" s="61" t="s">
        <v>196</v>
      </c>
      <c r="D4442" s="62" t="s">
        <v>1543</v>
      </c>
      <c r="E4442" s="62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47"/>
      <c r="M4442" s="50"/>
    </row>
    <row r="4443" ht="15.75" customHeight="1">
      <c r="A4443" s="162">
        <v>46273.0</v>
      </c>
      <c r="B4443" s="55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60"/>
      <c r="C4444" s="61" t="s">
        <v>196</v>
      </c>
      <c r="D4444" s="62" t="s">
        <v>1543</v>
      </c>
      <c r="E4444" s="62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47"/>
      <c r="M4444" s="50"/>
    </row>
    <row r="4445" ht="15.75" customHeight="1">
      <c r="A4445" s="217">
        <v>46273.0</v>
      </c>
      <c r="B4445" s="60"/>
      <c r="C4445" s="61" t="s">
        <v>196</v>
      </c>
      <c r="D4445" s="62" t="s">
        <v>1543</v>
      </c>
      <c r="E4445" s="62" t="s">
        <v>4770</v>
      </c>
      <c r="F4445" s="120" t="s">
        <v>4415</v>
      </c>
      <c r="G4445" s="206">
        <v>9500724.16</v>
      </c>
      <c r="H4445" s="9">
        <f t="shared" si="11"/>
        <v>1995152.074</v>
      </c>
      <c r="I4445" s="44"/>
      <c r="J4445" s="44"/>
      <c r="K4445" s="10">
        <f t="shared" si="12"/>
        <v>11495876.23</v>
      </c>
      <c r="L4445" s="47"/>
      <c r="M4445" s="50"/>
    </row>
    <row r="4446" ht="15.75" customHeight="1">
      <c r="A4446" s="162">
        <v>46273.0</v>
      </c>
      <c r="B4446" s="55"/>
      <c r="C4446" s="31" t="s">
        <v>2346</v>
      </c>
      <c r="D4446" s="32" t="s">
        <v>15</v>
      </c>
      <c r="E4446" s="31" t="s">
        <v>4771</v>
      </c>
      <c r="F4446" s="235">
        <v>46291.0</v>
      </c>
      <c r="G4446" s="59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60"/>
      <c r="C4447" s="61" t="s">
        <v>1854</v>
      </c>
      <c r="D4447" s="62" t="s">
        <v>99</v>
      </c>
      <c r="E4447" s="61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47"/>
      <c r="M4447" s="50"/>
    </row>
    <row r="4448" ht="15.75" customHeight="1">
      <c r="A4448" s="217">
        <v>46273.0</v>
      </c>
      <c r="B4448" s="60"/>
      <c r="C4448" s="61" t="s">
        <v>1854</v>
      </c>
      <c r="D4448" s="62" t="s">
        <v>99</v>
      </c>
      <c r="E4448" s="61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47"/>
      <c r="M4448" s="50"/>
    </row>
    <row r="4449" ht="15.75" customHeight="1">
      <c r="A4449" s="217">
        <v>46273.0</v>
      </c>
      <c r="B4449" s="60"/>
      <c r="C4449" s="61" t="s">
        <v>1854</v>
      </c>
      <c r="D4449" s="62" t="s">
        <v>99</v>
      </c>
      <c r="E4449" s="61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47"/>
      <c r="M4449" s="50"/>
    </row>
    <row r="4450" ht="15.75" customHeight="1">
      <c r="A4450" s="217">
        <v>46273.0</v>
      </c>
      <c r="B4450" s="60"/>
      <c r="C4450" s="61" t="s">
        <v>1854</v>
      </c>
      <c r="D4450" s="62" t="s">
        <v>99</v>
      </c>
      <c r="E4450" s="61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47"/>
      <c r="M4450" s="50"/>
    </row>
    <row r="4451" ht="15.75" customHeight="1">
      <c r="A4451" s="217">
        <v>46273.0</v>
      </c>
      <c r="B4451" s="60"/>
      <c r="C4451" s="61" t="s">
        <v>1854</v>
      </c>
      <c r="D4451" s="62" t="s">
        <v>99</v>
      </c>
      <c r="E4451" s="61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47"/>
      <c r="M4451" s="50"/>
    </row>
    <row r="4452" ht="15.75" customHeight="1">
      <c r="A4452" s="217">
        <v>46273.0</v>
      </c>
      <c r="B4452" s="60"/>
      <c r="C4452" s="61" t="s">
        <v>1854</v>
      </c>
      <c r="D4452" s="62" t="s">
        <v>99</v>
      </c>
      <c r="E4452" s="61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47"/>
      <c r="M4452" s="50"/>
    </row>
    <row r="4453" ht="15.75" customHeight="1">
      <c r="A4453" s="217">
        <v>46273.0</v>
      </c>
      <c r="B4453" s="60"/>
      <c r="C4453" s="61" t="s">
        <v>1854</v>
      </c>
      <c r="D4453" s="62" t="s">
        <v>99</v>
      </c>
      <c r="E4453" s="61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47"/>
      <c r="M4453" s="50"/>
    </row>
    <row r="4454" ht="15.75" customHeight="1">
      <c r="A4454" s="217">
        <v>46273.0</v>
      </c>
      <c r="B4454" s="60"/>
      <c r="C4454" s="61" t="s">
        <v>1854</v>
      </c>
      <c r="D4454" s="62" t="s">
        <v>99</v>
      </c>
      <c r="E4454" s="61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47"/>
      <c r="M4454" s="50"/>
    </row>
    <row r="4455" ht="15.75" customHeight="1">
      <c r="A4455" s="217">
        <v>46273.0</v>
      </c>
      <c r="B4455" s="60"/>
      <c r="C4455" s="61" t="s">
        <v>1854</v>
      </c>
      <c r="D4455" s="62" t="s">
        <v>15</v>
      </c>
      <c r="E4455" s="61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47"/>
      <c r="M4455" s="50"/>
    </row>
    <row r="4456" ht="15.75" customHeight="1">
      <c r="A4456" s="217">
        <v>46273.0</v>
      </c>
      <c r="B4456" s="60"/>
      <c r="C4456" s="61" t="s">
        <v>1854</v>
      </c>
      <c r="D4456" s="62" t="s">
        <v>15</v>
      </c>
      <c r="E4456" s="61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47"/>
      <c r="M4456" s="50"/>
    </row>
    <row r="4457" ht="15.75" customHeight="1">
      <c r="A4457" s="217">
        <v>46273.0</v>
      </c>
      <c r="B4457" s="60"/>
      <c r="C4457" s="61" t="s">
        <v>1854</v>
      </c>
      <c r="D4457" s="62" t="s">
        <v>15</v>
      </c>
      <c r="E4457" s="61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47"/>
      <c r="M4457" s="50"/>
    </row>
    <row r="4458" ht="15.75" customHeight="1">
      <c r="A4458" s="217">
        <v>46273.0</v>
      </c>
      <c r="B4458" s="60"/>
      <c r="C4458" s="61" t="s">
        <v>1854</v>
      </c>
      <c r="D4458" s="62" t="s">
        <v>15</v>
      </c>
      <c r="E4458" s="61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47"/>
      <c r="M4458" s="50"/>
    </row>
    <row r="4459" ht="15.75" customHeight="1">
      <c r="A4459" s="217">
        <v>46273.0</v>
      </c>
      <c r="B4459" s="60"/>
      <c r="C4459" s="61" t="s">
        <v>1854</v>
      </c>
      <c r="D4459" s="62" t="s">
        <v>15</v>
      </c>
      <c r="E4459" s="61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47"/>
      <c r="M4459" s="50"/>
    </row>
    <row r="4460" ht="15.75" customHeight="1">
      <c r="A4460" s="217">
        <v>46273.0</v>
      </c>
      <c r="B4460" s="60"/>
      <c r="C4460" s="61" t="s">
        <v>1854</v>
      </c>
      <c r="D4460" s="62" t="s">
        <v>15</v>
      </c>
      <c r="E4460" s="61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47"/>
      <c r="M4460" s="50"/>
    </row>
    <row r="4461" ht="15.75" customHeight="1">
      <c r="A4461" s="217">
        <v>46273.0</v>
      </c>
      <c r="B4461" s="60"/>
      <c r="C4461" s="61" t="s">
        <v>1854</v>
      </c>
      <c r="D4461" s="62" t="s">
        <v>15</v>
      </c>
      <c r="E4461" s="61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47"/>
      <c r="M4461" s="50"/>
    </row>
    <row r="4462" ht="15.75" customHeight="1">
      <c r="A4462" s="217">
        <v>46273.0</v>
      </c>
      <c r="B4462" s="60"/>
      <c r="C4462" s="61" t="s">
        <v>1854</v>
      </c>
      <c r="D4462" s="62" t="s">
        <v>15</v>
      </c>
      <c r="E4462" s="61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47"/>
      <c r="M4462" s="50"/>
    </row>
    <row r="4463" ht="15.75" customHeight="1">
      <c r="A4463" s="217">
        <v>46273.0</v>
      </c>
      <c r="B4463" s="60"/>
      <c r="C4463" s="61" t="s">
        <v>1854</v>
      </c>
      <c r="D4463" s="62" t="s">
        <v>15</v>
      </c>
      <c r="E4463" s="61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47"/>
      <c r="M4463" s="50"/>
    </row>
    <row r="4464" ht="15.75" customHeight="1">
      <c r="A4464" s="217">
        <v>46273.0</v>
      </c>
      <c r="B4464" s="60"/>
      <c r="C4464" s="61" t="s">
        <v>1854</v>
      </c>
      <c r="D4464" s="62" t="s">
        <v>15</v>
      </c>
      <c r="E4464" s="61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47"/>
      <c r="M4464" s="50"/>
    </row>
    <row r="4465" ht="15.75" customHeight="1">
      <c r="A4465" s="217">
        <v>46273.0</v>
      </c>
      <c r="B4465" s="60"/>
      <c r="C4465" s="61" t="s">
        <v>1854</v>
      </c>
      <c r="D4465" s="62" t="s">
        <v>15</v>
      </c>
      <c r="E4465" s="61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47"/>
      <c r="M4465" s="50"/>
    </row>
    <row r="4466" ht="15.75" customHeight="1">
      <c r="A4466" s="217">
        <v>46273.0</v>
      </c>
      <c r="B4466" s="60"/>
      <c r="C4466" s="61" t="s">
        <v>1854</v>
      </c>
      <c r="D4466" s="62" t="s">
        <v>15</v>
      </c>
      <c r="E4466" s="61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47"/>
      <c r="M4466" s="50"/>
    </row>
    <row r="4467" ht="15.75" customHeight="1">
      <c r="A4467" s="217">
        <v>46273.0</v>
      </c>
      <c r="B4467" s="60"/>
      <c r="C4467" s="61" t="s">
        <v>1854</v>
      </c>
      <c r="D4467" s="62" t="s">
        <v>15</v>
      </c>
      <c r="E4467" s="61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47"/>
      <c r="M4467" s="50"/>
    </row>
    <row r="4468" ht="15.75" customHeight="1">
      <c r="A4468" s="217">
        <v>46273.0</v>
      </c>
      <c r="B4468" s="60"/>
      <c r="C4468" s="61" t="s">
        <v>1858</v>
      </c>
      <c r="D4468" s="62" t="s">
        <v>15</v>
      </c>
      <c r="E4468" s="61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47"/>
      <c r="M4468" s="50"/>
    </row>
    <row r="4469" ht="15.75" customHeight="1">
      <c r="A4469" s="217">
        <v>46273.0</v>
      </c>
      <c r="B4469" s="60"/>
      <c r="C4469" s="61" t="s">
        <v>1858</v>
      </c>
      <c r="D4469" s="62" t="s">
        <v>15</v>
      </c>
      <c r="E4469" s="61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47"/>
      <c r="M4469" s="50"/>
    </row>
    <row r="4470" ht="15.75" customHeight="1">
      <c r="A4470" s="217">
        <v>46273.0</v>
      </c>
      <c r="B4470" s="60"/>
      <c r="C4470" s="61" t="s">
        <v>1858</v>
      </c>
      <c r="D4470" s="62" t="s">
        <v>15</v>
      </c>
      <c r="E4470" s="61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47"/>
      <c r="M4470" s="50"/>
    </row>
    <row r="4471" ht="15.75" customHeight="1">
      <c r="A4471" s="217">
        <v>46273.0</v>
      </c>
      <c r="B4471" s="60"/>
      <c r="C4471" s="61" t="s">
        <v>1858</v>
      </c>
      <c r="D4471" s="62" t="s">
        <v>15</v>
      </c>
      <c r="E4471" s="61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47"/>
      <c r="M4471" s="50"/>
    </row>
    <row r="4472" ht="15.75" customHeight="1">
      <c r="A4472" s="217">
        <v>46273.0</v>
      </c>
      <c r="B4472" s="60"/>
      <c r="C4472" s="61" t="s">
        <v>1861</v>
      </c>
      <c r="D4472" s="62" t="s">
        <v>15</v>
      </c>
      <c r="E4472" s="61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47"/>
      <c r="M4472" s="50"/>
    </row>
    <row r="4473" ht="15.75" customHeight="1">
      <c r="A4473" s="217">
        <v>46273.0</v>
      </c>
      <c r="B4473" s="60"/>
      <c r="C4473" s="61" t="s">
        <v>1861</v>
      </c>
      <c r="D4473" s="62" t="s">
        <v>15</v>
      </c>
      <c r="E4473" s="61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47"/>
      <c r="M4473" s="50"/>
    </row>
    <row r="4474" ht="15.75" customHeight="1">
      <c r="A4474" s="217">
        <v>46273.0</v>
      </c>
      <c r="B4474" s="60"/>
      <c r="C4474" s="61" t="s">
        <v>1861</v>
      </c>
      <c r="D4474" s="62" t="s">
        <v>99</v>
      </c>
      <c r="E4474" s="61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47"/>
      <c r="M4474" s="50"/>
    </row>
    <row r="4475" ht="15.75" customHeight="1">
      <c r="A4475" s="217">
        <v>46273.0</v>
      </c>
      <c r="B4475" s="60"/>
      <c r="C4475" s="61" t="s">
        <v>1861</v>
      </c>
      <c r="D4475" s="62" t="s">
        <v>99</v>
      </c>
      <c r="E4475" s="61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47"/>
      <c r="M4475" s="50"/>
    </row>
    <row r="4476" ht="15.75" customHeight="1">
      <c r="A4476" s="217">
        <v>46273.0</v>
      </c>
      <c r="B4476" s="60"/>
      <c r="C4476" s="61" t="s">
        <v>1861</v>
      </c>
      <c r="D4476" s="238" t="s">
        <v>99</v>
      </c>
      <c r="E4476" s="61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47"/>
      <c r="M4476" s="50"/>
    </row>
    <row r="4477" ht="15.75" customHeight="1">
      <c r="A4477" s="162">
        <v>46273.0</v>
      </c>
      <c r="B4477" s="55"/>
      <c r="C4477" s="32" t="s">
        <v>53</v>
      </c>
      <c r="D4477" s="32" t="s">
        <v>15</v>
      </c>
      <c r="E4477" s="31" t="s">
        <v>4802</v>
      </c>
      <c r="F4477" s="235">
        <v>46291.0</v>
      </c>
      <c r="G4477" s="59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5"/>
      <c r="C4478" s="32" t="s">
        <v>53</v>
      </c>
      <c r="D4478" s="32" t="s">
        <v>15</v>
      </c>
      <c r="E4478" s="31" t="s">
        <v>4803</v>
      </c>
      <c r="F4478" s="235">
        <v>46291.0</v>
      </c>
      <c r="G4478" s="59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5"/>
      <c r="C4479" s="31" t="s">
        <v>4804</v>
      </c>
      <c r="D4479" s="31" t="s">
        <v>77</v>
      </c>
      <c r="E4479" s="32" t="s">
        <v>4805</v>
      </c>
      <c r="F4479" s="235">
        <v>46291.0</v>
      </c>
      <c r="G4479" s="59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5"/>
      <c r="C4480" s="31" t="s">
        <v>4804</v>
      </c>
      <c r="D4480" s="31" t="s">
        <v>77</v>
      </c>
      <c r="E4480" s="32" t="s">
        <v>4806</v>
      </c>
      <c r="F4480" s="235">
        <v>46291.0</v>
      </c>
      <c r="G4480" s="59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39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39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7">
        <v>46274.0</v>
      </c>
      <c r="B4483" s="60"/>
      <c r="C4483" s="61" t="s">
        <v>4804</v>
      </c>
      <c r="D4483" s="61" t="s">
        <v>77</v>
      </c>
      <c r="E4483" s="61" t="s">
        <v>4809</v>
      </c>
      <c r="F4483" s="212">
        <v>46291.0</v>
      </c>
      <c r="G4483" s="155">
        <v>1.280090188E7</v>
      </c>
      <c r="H4483" s="9">
        <f t="shared" si="11"/>
        <v>2688189.395</v>
      </c>
      <c r="I4483" s="44"/>
      <c r="J4483" s="44"/>
      <c r="K4483" s="10">
        <f t="shared" si="12"/>
        <v>15489091.27</v>
      </c>
      <c r="L4483" s="47"/>
      <c r="M4483" s="50"/>
    </row>
    <row r="4484" ht="15.75" customHeight="1">
      <c r="A4484" s="162">
        <v>46274.0</v>
      </c>
      <c r="B4484" s="55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9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5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9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5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9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5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9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5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9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5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9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5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9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5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9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5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9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5"/>
      <c r="C4493" s="31" t="s">
        <v>171</v>
      </c>
      <c r="D4493" s="32" t="s">
        <v>99</v>
      </c>
      <c r="E4493" s="31" t="s">
        <v>4821</v>
      </c>
      <c r="F4493" s="235">
        <v>46291.0</v>
      </c>
      <c r="G4493" s="59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5"/>
      <c r="C4494" s="31" t="s">
        <v>171</v>
      </c>
      <c r="D4494" s="32" t="s">
        <v>99</v>
      </c>
      <c r="E4494" s="31" t="s">
        <v>4822</v>
      </c>
      <c r="F4494" s="235">
        <v>46291.0</v>
      </c>
      <c r="G4494" s="59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5"/>
      <c r="C4495" s="31" t="s">
        <v>171</v>
      </c>
      <c r="D4495" s="32" t="s">
        <v>99</v>
      </c>
      <c r="E4495" s="31" t="s">
        <v>4823</v>
      </c>
      <c r="F4495" s="235">
        <v>46291.0</v>
      </c>
      <c r="G4495" s="59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5"/>
      <c r="C4496" s="31" t="s">
        <v>171</v>
      </c>
      <c r="D4496" s="32" t="s">
        <v>99</v>
      </c>
      <c r="E4496" s="32" t="s">
        <v>4824</v>
      </c>
      <c r="F4496" s="235">
        <v>46291.0</v>
      </c>
      <c r="G4496" s="59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5"/>
      <c r="C4497" s="31" t="s">
        <v>4825</v>
      </c>
      <c r="D4497" s="32" t="s">
        <v>15</v>
      </c>
      <c r="E4497" s="31" t="s">
        <v>4826</v>
      </c>
      <c r="F4497" s="235">
        <v>46291.0</v>
      </c>
      <c r="G4497" s="59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47"/>
      <c r="M4497" s="50"/>
    </row>
    <row r="4498" ht="15.75" customHeight="1">
      <c r="A4498" s="217">
        <v>46275.0</v>
      </c>
      <c r="B4498" s="60"/>
      <c r="C4498" s="61" t="s">
        <v>410</v>
      </c>
      <c r="D4498" s="62" t="s">
        <v>99</v>
      </c>
      <c r="E4498" s="61" t="s">
        <v>4827</v>
      </c>
      <c r="F4498" s="212">
        <v>46291.0</v>
      </c>
      <c r="G4498" s="155">
        <v>3997570.0</v>
      </c>
      <c r="H4498" s="9">
        <f t="shared" si="11"/>
        <v>839489.7</v>
      </c>
      <c r="I4498" s="44"/>
      <c r="J4498" s="44">
        <v>31980.56</v>
      </c>
      <c r="K4498" s="10">
        <f t="shared" si="12"/>
        <v>4869040.26</v>
      </c>
      <c r="L4498" s="47"/>
      <c r="M4498" s="50"/>
    </row>
    <row r="4499" ht="15.75" customHeight="1">
      <c r="A4499" s="162">
        <v>46275.0</v>
      </c>
      <c r="B4499" s="55"/>
      <c r="C4499" s="31" t="s">
        <v>216</v>
      </c>
      <c r="D4499" s="32" t="s">
        <v>15</v>
      </c>
      <c r="E4499" s="31" t="s">
        <v>4828</v>
      </c>
      <c r="F4499" s="235">
        <v>46291.0</v>
      </c>
      <c r="G4499" s="59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5"/>
      <c r="C4500" s="31" t="s">
        <v>216</v>
      </c>
      <c r="D4500" s="32" t="s">
        <v>15</v>
      </c>
      <c r="E4500" s="31" t="s">
        <v>4829</v>
      </c>
      <c r="F4500" s="235">
        <v>46291.0</v>
      </c>
      <c r="G4500" s="59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5"/>
      <c r="C4501" s="31" t="s">
        <v>216</v>
      </c>
      <c r="D4501" s="32" t="s">
        <v>15</v>
      </c>
      <c r="E4501" s="31" t="s">
        <v>4830</v>
      </c>
      <c r="F4501" s="235">
        <v>46291.0</v>
      </c>
      <c r="G4501" s="59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5"/>
      <c r="C4502" s="31" t="s">
        <v>22</v>
      </c>
      <c r="D4502" s="32" t="s">
        <v>15</v>
      </c>
      <c r="E4502" s="31" t="s">
        <v>4831</v>
      </c>
      <c r="F4502" s="235">
        <v>46291.0</v>
      </c>
      <c r="G4502" s="59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5"/>
      <c r="C4503" s="31" t="s">
        <v>22</v>
      </c>
      <c r="D4503" s="32" t="s">
        <v>15</v>
      </c>
      <c r="E4503" s="31" t="s">
        <v>4832</v>
      </c>
      <c r="F4503" s="235">
        <v>46291.0</v>
      </c>
      <c r="G4503" s="59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5"/>
      <c r="C4504" s="31" t="s">
        <v>22</v>
      </c>
      <c r="D4504" s="32" t="s">
        <v>15</v>
      </c>
      <c r="E4504" s="31" t="s">
        <v>4833</v>
      </c>
      <c r="F4504" s="235">
        <v>46291.0</v>
      </c>
      <c r="G4504" s="59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217">
        <v>46275.0</v>
      </c>
      <c r="B4505" s="60"/>
      <c r="C4505" s="61" t="s">
        <v>4719</v>
      </c>
      <c r="D4505" s="62" t="s">
        <v>15</v>
      </c>
      <c r="E4505" s="61" t="s">
        <v>4834</v>
      </c>
      <c r="F4505" s="212">
        <v>46291.0</v>
      </c>
      <c r="G4505" s="155">
        <v>8701212.0</v>
      </c>
      <c r="H4505" s="9">
        <f t="shared" si="11"/>
        <v>1827254.52</v>
      </c>
      <c r="I4505" s="44"/>
      <c r="J4505" s="44">
        <v>4350.61</v>
      </c>
      <c r="K4505" s="10">
        <f t="shared" si="12"/>
        <v>10532817.13</v>
      </c>
      <c r="L4505" s="47"/>
      <c r="M4505" s="50"/>
    </row>
    <row r="4506" ht="15.75" customHeight="1">
      <c r="A4506" s="217">
        <v>46275.0</v>
      </c>
      <c r="B4506" s="60"/>
      <c r="C4506" s="61" t="s">
        <v>4719</v>
      </c>
      <c r="D4506" s="62" t="s">
        <v>15</v>
      </c>
      <c r="E4506" s="61" t="s">
        <v>4835</v>
      </c>
      <c r="F4506" s="212">
        <v>46291.0</v>
      </c>
      <c r="G4506" s="155">
        <v>5332823.0</v>
      </c>
      <c r="H4506" s="9">
        <f t="shared" si="11"/>
        <v>1119892.83</v>
      </c>
      <c r="I4506" s="44"/>
      <c r="J4506" s="44">
        <v>2666.41</v>
      </c>
      <c r="K4506" s="10">
        <f t="shared" si="12"/>
        <v>6455382.24</v>
      </c>
      <c r="L4506" s="47"/>
      <c r="M4506" s="50"/>
    </row>
    <row r="4507" ht="15.75" customHeight="1">
      <c r="A4507" s="217">
        <v>46275.0</v>
      </c>
      <c r="B4507" s="60"/>
      <c r="C4507" s="61" t="s">
        <v>4719</v>
      </c>
      <c r="D4507" s="62" t="s">
        <v>15</v>
      </c>
      <c r="E4507" s="61" t="s">
        <v>4836</v>
      </c>
      <c r="F4507" s="212">
        <v>46291.0</v>
      </c>
      <c r="G4507" s="155">
        <v>1.6233833E7</v>
      </c>
      <c r="H4507" s="9">
        <f t="shared" si="11"/>
        <v>3409104.93</v>
      </c>
      <c r="I4507" s="44"/>
      <c r="J4507" s="44">
        <v>8116.92</v>
      </c>
      <c r="K4507" s="10">
        <f t="shared" si="12"/>
        <v>19651054.85</v>
      </c>
      <c r="L4507" s="47"/>
      <c r="M4507" s="50"/>
    </row>
    <row r="4508" ht="15.75" customHeight="1">
      <c r="A4508" s="217">
        <v>46275.0</v>
      </c>
      <c r="B4508" s="60"/>
      <c r="C4508" s="61" t="s">
        <v>4719</v>
      </c>
      <c r="D4508" s="62" t="s">
        <v>15</v>
      </c>
      <c r="E4508" s="61" t="s">
        <v>4837</v>
      </c>
      <c r="F4508" s="212">
        <v>46291.0</v>
      </c>
      <c r="G4508" s="155">
        <v>1.1823223E7</v>
      </c>
      <c r="H4508" s="9">
        <f t="shared" si="11"/>
        <v>2482876.83</v>
      </c>
      <c r="I4508" s="44"/>
      <c r="J4508" s="44">
        <v>5911.61</v>
      </c>
      <c r="K4508" s="10">
        <f t="shared" si="12"/>
        <v>14312011.44</v>
      </c>
      <c r="L4508" s="47"/>
      <c r="M4508" s="50"/>
    </row>
    <row r="4509" ht="15.75" customHeight="1">
      <c r="A4509" s="217">
        <v>46275.0</v>
      </c>
      <c r="B4509" s="60"/>
      <c r="C4509" s="61" t="s">
        <v>4464</v>
      </c>
      <c r="D4509" s="62" t="s">
        <v>99</v>
      </c>
      <c r="E4509" s="61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47"/>
      <c r="M4509" s="50"/>
    </row>
    <row r="4510" ht="15.75" customHeight="1">
      <c r="A4510" s="217">
        <v>46275.0</v>
      </c>
      <c r="B4510" s="60"/>
      <c r="C4510" s="61" t="s">
        <v>4719</v>
      </c>
      <c r="D4510" s="62" t="s">
        <v>99</v>
      </c>
      <c r="E4510" s="61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47"/>
      <c r="M4510" s="50"/>
    </row>
    <row r="4511" ht="15.75" customHeight="1">
      <c r="A4511" s="217">
        <v>46275.0</v>
      </c>
      <c r="B4511" s="60"/>
      <c r="C4511" s="61" t="s">
        <v>4464</v>
      </c>
      <c r="D4511" s="62" t="s">
        <v>99</v>
      </c>
      <c r="E4511" s="61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47"/>
      <c r="M4511" s="50"/>
    </row>
    <row r="4512" ht="15.75" customHeight="1">
      <c r="A4512" s="217">
        <v>46275.0</v>
      </c>
      <c r="B4512" s="60"/>
      <c r="C4512" s="61" t="s">
        <v>4719</v>
      </c>
      <c r="D4512" s="62" t="s">
        <v>99</v>
      </c>
      <c r="E4512" s="61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47"/>
      <c r="M4512" s="50"/>
    </row>
    <row r="4513" ht="15.75" customHeight="1">
      <c r="A4513" s="217">
        <v>46275.0</v>
      </c>
      <c r="B4513" s="60"/>
      <c r="C4513" s="61" t="s">
        <v>4719</v>
      </c>
      <c r="D4513" s="62" t="s">
        <v>99</v>
      </c>
      <c r="E4513" s="61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47"/>
      <c r="M4513" s="50"/>
    </row>
    <row r="4514" ht="15.75" customHeight="1">
      <c r="A4514" s="217">
        <v>46275.0</v>
      </c>
      <c r="B4514" s="60"/>
      <c r="C4514" s="61" t="s">
        <v>4464</v>
      </c>
      <c r="D4514" s="62" t="s">
        <v>99</v>
      </c>
      <c r="E4514" s="61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47"/>
      <c r="M4514" s="50"/>
    </row>
    <row r="4515" ht="15.75" customHeight="1">
      <c r="A4515" s="217">
        <v>46275.0</v>
      </c>
      <c r="B4515" s="60"/>
      <c r="C4515" s="61" t="s">
        <v>4719</v>
      </c>
      <c r="D4515" s="62" t="s">
        <v>99</v>
      </c>
      <c r="E4515" s="61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47"/>
      <c r="M4515" s="50"/>
    </row>
    <row r="4516" ht="15.75" customHeight="1">
      <c r="A4516" s="217">
        <v>46275.0</v>
      </c>
      <c r="B4516" s="60"/>
      <c r="C4516" s="61" t="s">
        <v>4464</v>
      </c>
      <c r="D4516" s="62" t="s">
        <v>99</v>
      </c>
      <c r="E4516" s="61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47"/>
      <c r="M4516" s="50"/>
    </row>
    <row r="4517" ht="15.75" customHeight="1">
      <c r="A4517" s="162">
        <v>46279.0</v>
      </c>
      <c r="B4517" s="55"/>
      <c r="C4517" s="31" t="s">
        <v>1796</v>
      </c>
      <c r="D4517" s="32" t="s">
        <v>99</v>
      </c>
      <c r="E4517" s="31" t="s">
        <v>4846</v>
      </c>
      <c r="F4517" s="235">
        <v>46291.0</v>
      </c>
      <c r="G4517" s="59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5"/>
      <c r="C4518" s="31" t="s">
        <v>491</v>
      </c>
      <c r="D4518" s="32" t="s">
        <v>99</v>
      </c>
      <c r="E4518" s="31" t="s">
        <v>4847</v>
      </c>
      <c r="F4518" s="235">
        <v>46291.0</v>
      </c>
      <c r="G4518" s="59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5"/>
      <c r="C4519" s="31" t="s">
        <v>491</v>
      </c>
      <c r="D4519" s="32" t="s">
        <v>99</v>
      </c>
      <c r="E4519" s="31" t="s">
        <v>4848</v>
      </c>
      <c r="F4519" s="235">
        <v>46291.0</v>
      </c>
      <c r="G4519" s="59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5"/>
      <c r="C4520" s="31" t="s">
        <v>491</v>
      </c>
      <c r="D4520" s="32" t="s">
        <v>99</v>
      </c>
      <c r="E4520" s="31" t="s">
        <v>4849</v>
      </c>
      <c r="F4520" s="235">
        <v>46291.0</v>
      </c>
      <c r="G4520" s="59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5"/>
      <c r="C4521" s="31" t="s">
        <v>491</v>
      </c>
      <c r="D4521" s="32" t="s">
        <v>99</v>
      </c>
      <c r="E4521" s="31" t="s">
        <v>4850</v>
      </c>
      <c r="F4521" s="235">
        <v>46291.0</v>
      </c>
      <c r="G4521" s="59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5"/>
      <c r="C4522" s="31" t="s">
        <v>491</v>
      </c>
      <c r="D4522" s="32" t="s">
        <v>99</v>
      </c>
      <c r="E4522" s="31" t="s">
        <v>4851</v>
      </c>
      <c r="F4522" s="235">
        <v>46291.0</v>
      </c>
      <c r="G4522" s="59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5"/>
      <c r="C4523" s="31" t="s">
        <v>1796</v>
      </c>
      <c r="D4523" s="32" t="s">
        <v>15</v>
      </c>
      <c r="E4523" s="31" t="s">
        <v>4852</v>
      </c>
      <c r="F4523" s="235">
        <v>46291.0</v>
      </c>
      <c r="G4523" s="59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5"/>
      <c r="C4524" s="31" t="s">
        <v>491</v>
      </c>
      <c r="D4524" s="32" t="s">
        <v>15</v>
      </c>
      <c r="E4524" s="31" t="s">
        <v>4853</v>
      </c>
      <c r="F4524" s="235">
        <v>46291.0</v>
      </c>
      <c r="G4524" s="59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5"/>
      <c r="C4525" s="31" t="s">
        <v>491</v>
      </c>
      <c r="D4525" s="32" t="s">
        <v>15</v>
      </c>
      <c r="E4525" s="31" t="s">
        <v>4854</v>
      </c>
      <c r="F4525" s="235">
        <v>46291.0</v>
      </c>
      <c r="G4525" s="59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60"/>
      <c r="C4526" s="61" t="s">
        <v>1189</v>
      </c>
      <c r="D4526" s="62" t="s">
        <v>15</v>
      </c>
      <c r="E4526" s="61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47"/>
      <c r="M4526" s="50"/>
    </row>
    <row r="4527" ht="15.75" customHeight="1">
      <c r="A4527" s="162">
        <v>46279.0</v>
      </c>
      <c r="B4527" s="55"/>
      <c r="C4527" s="31" t="s">
        <v>491</v>
      </c>
      <c r="D4527" s="32" t="s">
        <v>15</v>
      </c>
      <c r="E4527" s="31" t="s">
        <v>4856</v>
      </c>
      <c r="F4527" s="235">
        <v>46291.0</v>
      </c>
      <c r="G4527" s="59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5"/>
      <c r="C4528" s="31" t="s">
        <v>491</v>
      </c>
      <c r="D4528" s="32" t="s">
        <v>15</v>
      </c>
      <c r="E4528" s="31" t="s">
        <v>4857</v>
      </c>
      <c r="F4528" s="235">
        <v>46291.0</v>
      </c>
      <c r="G4528" s="59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5"/>
      <c r="C4529" s="31" t="s">
        <v>491</v>
      </c>
      <c r="D4529" s="32" t="s">
        <v>15</v>
      </c>
      <c r="E4529" s="31" t="s">
        <v>4858</v>
      </c>
      <c r="F4529" s="235">
        <v>46291.0</v>
      </c>
      <c r="G4529" s="59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5"/>
      <c r="C4530" s="31" t="s">
        <v>491</v>
      </c>
      <c r="D4530" s="32" t="s">
        <v>15</v>
      </c>
      <c r="E4530" s="31" t="s">
        <v>4859</v>
      </c>
      <c r="F4530" s="235">
        <v>46291.0</v>
      </c>
      <c r="G4530" s="59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5"/>
      <c r="C4531" s="31" t="s">
        <v>2842</v>
      </c>
      <c r="D4531" s="32" t="s">
        <v>15</v>
      </c>
      <c r="E4531" s="31" t="s">
        <v>4860</v>
      </c>
      <c r="F4531" s="235">
        <v>46291.0</v>
      </c>
      <c r="G4531" s="59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5"/>
      <c r="C4532" s="31" t="s">
        <v>2842</v>
      </c>
      <c r="D4532" s="32" t="s">
        <v>15</v>
      </c>
      <c r="E4532" s="31" t="s">
        <v>4861</v>
      </c>
      <c r="F4532" s="235">
        <v>46291.0</v>
      </c>
      <c r="G4532" s="59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5"/>
      <c r="C4533" s="31" t="s">
        <v>2842</v>
      </c>
      <c r="D4533" s="32" t="s">
        <v>15</v>
      </c>
      <c r="E4533" s="31" t="s">
        <v>4862</v>
      </c>
      <c r="F4533" s="235">
        <v>46291.0</v>
      </c>
      <c r="G4533" s="59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5"/>
      <c r="C4534" s="31" t="s">
        <v>1183</v>
      </c>
      <c r="D4534" s="32" t="s">
        <v>15</v>
      </c>
      <c r="E4534" s="31" t="s">
        <v>4863</v>
      </c>
      <c r="F4534" s="235">
        <v>46291.0</v>
      </c>
      <c r="G4534" s="59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5"/>
      <c r="C4535" s="31" t="s">
        <v>1183</v>
      </c>
      <c r="D4535" s="32" t="s">
        <v>15</v>
      </c>
      <c r="E4535" s="31" t="s">
        <v>4864</v>
      </c>
      <c r="F4535" s="235">
        <v>46291.0</v>
      </c>
      <c r="G4535" s="59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5"/>
      <c r="C4536" s="31" t="s">
        <v>1183</v>
      </c>
      <c r="D4536" s="32" t="s">
        <v>15</v>
      </c>
      <c r="E4536" s="31" t="s">
        <v>4865</v>
      </c>
      <c r="F4536" s="235">
        <v>46291.0</v>
      </c>
      <c r="G4536" s="59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5"/>
      <c r="C4537" s="31" t="s">
        <v>1183</v>
      </c>
      <c r="D4537" s="32" t="s">
        <v>15</v>
      </c>
      <c r="E4537" s="31" t="s">
        <v>4866</v>
      </c>
      <c r="F4537" s="235">
        <v>46291.0</v>
      </c>
      <c r="G4537" s="59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5"/>
      <c r="C4538" s="31" t="s">
        <v>1183</v>
      </c>
      <c r="D4538" s="32" t="s">
        <v>15</v>
      </c>
      <c r="E4538" s="31" t="s">
        <v>4867</v>
      </c>
      <c r="F4538" s="235">
        <v>46291.0</v>
      </c>
      <c r="G4538" s="59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5"/>
      <c r="C4539" s="31" t="s">
        <v>1183</v>
      </c>
      <c r="D4539" s="32" t="s">
        <v>15</v>
      </c>
      <c r="E4539" s="31" t="s">
        <v>4868</v>
      </c>
      <c r="F4539" s="235">
        <v>46291.0</v>
      </c>
      <c r="G4539" s="59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5"/>
      <c r="C4540" s="31" t="s">
        <v>1183</v>
      </c>
      <c r="D4540" s="32" t="s">
        <v>15</v>
      </c>
      <c r="E4540" s="31" t="s">
        <v>4869</v>
      </c>
      <c r="F4540" s="235">
        <v>46291.0</v>
      </c>
      <c r="G4540" s="59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5"/>
      <c r="C4541" s="31" t="s">
        <v>1183</v>
      </c>
      <c r="D4541" s="32" t="s">
        <v>15</v>
      </c>
      <c r="E4541" s="31" t="s">
        <v>4870</v>
      </c>
      <c r="F4541" s="235">
        <v>46291.0</v>
      </c>
      <c r="G4541" s="59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5"/>
      <c r="C4542" s="31" t="s">
        <v>1183</v>
      </c>
      <c r="D4542" s="32" t="s">
        <v>15</v>
      </c>
      <c r="E4542" s="31" t="s">
        <v>4871</v>
      </c>
      <c r="F4542" s="235">
        <v>46291.0</v>
      </c>
      <c r="G4542" s="59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217">
        <v>46279.0</v>
      </c>
      <c r="B4543" s="60"/>
      <c r="C4543" s="61" t="s">
        <v>1283</v>
      </c>
      <c r="D4543" s="62" t="s">
        <v>15</v>
      </c>
      <c r="E4543" s="61" t="s">
        <v>4872</v>
      </c>
      <c r="F4543" s="212">
        <v>46291.0</v>
      </c>
      <c r="G4543" s="155">
        <v>3678700.0</v>
      </c>
      <c r="H4543" s="9">
        <f t="shared" si="11"/>
        <v>772527</v>
      </c>
      <c r="I4543" s="44">
        <v>110361.0</v>
      </c>
      <c r="J4543" s="44"/>
      <c r="K4543" s="10">
        <f t="shared" si="12"/>
        <v>4561588</v>
      </c>
      <c r="L4543" s="47"/>
      <c r="M4543" s="50"/>
    </row>
    <row r="4544" ht="15.75" customHeight="1">
      <c r="A4544" s="217">
        <v>46279.0</v>
      </c>
      <c r="B4544" s="60"/>
      <c r="C4544" s="61" t="s">
        <v>1283</v>
      </c>
      <c r="D4544" s="62" t="s">
        <v>15</v>
      </c>
      <c r="E4544" s="62" t="s">
        <v>4873</v>
      </c>
      <c r="F4544" s="212">
        <v>46291.0</v>
      </c>
      <c r="G4544" s="155">
        <v>3678690.0</v>
      </c>
      <c r="H4544" s="9">
        <f t="shared" si="11"/>
        <v>772524.9</v>
      </c>
      <c r="I4544" s="44">
        <v>110360.7</v>
      </c>
      <c r="J4544" s="44"/>
      <c r="K4544" s="10">
        <f t="shared" si="12"/>
        <v>4561575.6</v>
      </c>
      <c r="L4544" s="47"/>
      <c r="M4544" s="50"/>
    </row>
    <row r="4545" ht="15.75" customHeight="1">
      <c r="A4545" s="217">
        <v>46279.0</v>
      </c>
      <c r="B4545" s="60"/>
      <c r="C4545" s="61" t="s">
        <v>1277</v>
      </c>
      <c r="D4545" s="62" t="s">
        <v>15</v>
      </c>
      <c r="E4545" s="61" t="s">
        <v>4874</v>
      </c>
      <c r="F4545" s="212">
        <v>46291.0</v>
      </c>
      <c r="G4545" s="155">
        <v>1488650.0</v>
      </c>
      <c r="H4545" s="9">
        <f t="shared" si="11"/>
        <v>312616.5</v>
      </c>
      <c r="I4545" s="44">
        <v>44659.5</v>
      </c>
      <c r="J4545" s="44"/>
      <c r="K4545" s="10">
        <f t="shared" si="12"/>
        <v>1845926</v>
      </c>
      <c r="L4545" s="47"/>
      <c r="M4545" s="50"/>
    </row>
    <row r="4546" ht="15.75" customHeight="1">
      <c r="A4546" s="217">
        <v>46279.0</v>
      </c>
      <c r="B4546" s="60"/>
      <c r="C4546" s="61" t="s">
        <v>1277</v>
      </c>
      <c r="D4546" s="62" t="s">
        <v>15</v>
      </c>
      <c r="E4546" s="61" t="s">
        <v>4875</v>
      </c>
      <c r="F4546" s="212">
        <v>46291.0</v>
      </c>
      <c r="G4546" s="155">
        <v>1489630.0</v>
      </c>
      <c r="H4546" s="9">
        <f t="shared" si="11"/>
        <v>312822.3</v>
      </c>
      <c r="I4546" s="44">
        <v>44688.9</v>
      </c>
      <c r="J4546" s="44"/>
      <c r="K4546" s="10">
        <f t="shared" si="12"/>
        <v>1847141.2</v>
      </c>
      <c r="L4546" s="47"/>
      <c r="M4546" s="50"/>
    </row>
    <row r="4547" ht="15.75" customHeight="1">
      <c r="A4547" s="217">
        <v>46279.0</v>
      </c>
      <c r="B4547" s="60"/>
      <c r="C4547" s="61" t="s">
        <v>1279</v>
      </c>
      <c r="D4547" s="62" t="s">
        <v>15</v>
      </c>
      <c r="E4547" s="61" t="s">
        <v>4876</v>
      </c>
      <c r="F4547" s="212">
        <v>46291.0</v>
      </c>
      <c r="G4547" s="155">
        <v>4546480.0</v>
      </c>
      <c r="H4547" s="9">
        <f t="shared" si="11"/>
        <v>954760.8</v>
      </c>
      <c r="I4547" s="44">
        <v>136394.4</v>
      </c>
      <c r="J4547" s="44"/>
      <c r="K4547" s="10">
        <f t="shared" si="12"/>
        <v>5637635.2</v>
      </c>
      <c r="L4547" s="47"/>
      <c r="M4547" s="50"/>
    </row>
    <row r="4548" ht="15.75" customHeight="1">
      <c r="A4548" s="217">
        <v>46279.0</v>
      </c>
      <c r="B4548" s="60"/>
      <c r="C4548" s="61" t="s">
        <v>1279</v>
      </c>
      <c r="D4548" s="62" t="s">
        <v>15</v>
      </c>
      <c r="E4548" s="61" t="s">
        <v>4877</v>
      </c>
      <c r="F4548" s="212">
        <v>46291.0</v>
      </c>
      <c r="G4548" s="155">
        <v>3310790.0</v>
      </c>
      <c r="H4548" s="9">
        <f t="shared" si="11"/>
        <v>695265.9</v>
      </c>
      <c r="I4548" s="44">
        <v>99323.7</v>
      </c>
      <c r="J4548" s="44"/>
      <c r="K4548" s="10">
        <f t="shared" si="12"/>
        <v>4105379.6</v>
      </c>
      <c r="L4548" s="47"/>
      <c r="M4548" s="50"/>
    </row>
    <row r="4549" ht="15.75" customHeight="1">
      <c r="A4549" s="162">
        <v>46279.0</v>
      </c>
      <c r="B4549" s="55"/>
      <c r="C4549" s="31" t="s">
        <v>1183</v>
      </c>
      <c r="D4549" s="32" t="s">
        <v>15</v>
      </c>
      <c r="E4549" s="31" t="s">
        <v>4878</v>
      </c>
      <c r="F4549" s="235">
        <v>46291.0</v>
      </c>
      <c r="G4549" s="59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5"/>
      <c r="C4550" s="31" t="s">
        <v>1183</v>
      </c>
      <c r="D4550" s="32" t="s">
        <v>99</v>
      </c>
      <c r="E4550" s="31" t="s">
        <v>4879</v>
      </c>
      <c r="F4550" s="235">
        <v>46291.0</v>
      </c>
      <c r="G4550" s="59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5"/>
      <c r="C4551" s="31" t="s">
        <v>4880</v>
      </c>
      <c r="D4551" s="32" t="s">
        <v>3296</v>
      </c>
      <c r="E4551" s="31" t="s">
        <v>4881</v>
      </c>
      <c r="F4551" s="235">
        <v>46291.0</v>
      </c>
      <c r="G4551" s="59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5"/>
      <c r="C4552" s="31" t="s">
        <v>4880</v>
      </c>
      <c r="D4552" s="32" t="s">
        <v>3296</v>
      </c>
      <c r="E4552" s="31" t="s">
        <v>4882</v>
      </c>
      <c r="F4552" s="235">
        <v>46291.0</v>
      </c>
      <c r="G4552" s="59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5"/>
      <c r="C4553" s="31" t="s">
        <v>4880</v>
      </c>
      <c r="D4553" s="32" t="s">
        <v>3296</v>
      </c>
      <c r="E4553" s="32" t="s">
        <v>4883</v>
      </c>
      <c r="F4553" s="235">
        <v>46291.0</v>
      </c>
      <c r="G4553" s="59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60"/>
      <c r="C4554" s="61" t="s">
        <v>3303</v>
      </c>
      <c r="D4554" s="61" t="s">
        <v>1414</v>
      </c>
      <c r="E4554" s="62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47"/>
      <c r="M4554" s="50"/>
    </row>
    <row r="4555" ht="15.75" customHeight="1">
      <c r="A4555" s="162">
        <v>46281.0</v>
      </c>
      <c r="B4555" s="55"/>
      <c r="C4555" s="31" t="s">
        <v>4885</v>
      </c>
      <c r="D4555" s="32" t="s">
        <v>99</v>
      </c>
      <c r="E4555" s="31" t="s">
        <v>4886</v>
      </c>
      <c r="F4555" s="235">
        <v>46291.0</v>
      </c>
      <c r="G4555" s="59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217">
        <v>46281.0</v>
      </c>
      <c r="B4556" s="60"/>
      <c r="C4556" s="61" t="s">
        <v>1277</v>
      </c>
      <c r="D4556" s="62" t="s">
        <v>15</v>
      </c>
      <c r="E4556" s="61" t="s">
        <v>4887</v>
      </c>
      <c r="F4556" s="212">
        <v>46291.0</v>
      </c>
      <c r="G4556" s="155">
        <v>1658905.23</v>
      </c>
      <c r="H4556" s="9">
        <f t="shared" si="11"/>
        <v>348370.0983</v>
      </c>
      <c r="I4556" s="44">
        <v>49767.16</v>
      </c>
      <c r="J4556" s="44"/>
      <c r="K4556" s="10">
        <f t="shared" si="12"/>
        <v>2057042.488</v>
      </c>
      <c r="L4556" s="47"/>
      <c r="M4556" s="50"/>
    </row>
    <row r="4557" ht="15.75" customHeight="1">
      <c r="A4557" s="217">
        <v>46281.0</v>
      </c>
      <c r="B4557" s="60"/>
      <c r="C4557" s="61" t="s">
        <v>1279</v>
      </c>
      <c r="D4557" s="62" t="s">
        <v>15</v>
      </c>
      <c r="E4557" s="61" t="s">
        <v>4888</v>
      </c>
      <c r="F4557" s="212">
        <v>46291.0</v>
      </c>
      <c r="G4557" s="155">
        <v>5790150.42</v>
      </c>
      <c r="H4557" s="9">
        <f t="shared" si="11"/>
        <v>1215931.588</v>
      </c>
      <c r="I4557" s="44">
        <v>173704.51</v>
      </c>
      <c r="J4557" s="44"/>
      <c r="K4557" s="10">
        <f t="shared" si="12"/>
        <v>7179786.518</v>
      </c>
      <c r="L4557" s="47"/>
      <c r="M4557" s="50"/>
    </row>
    <row r="4558" ht="15.75" customHeight="1">
      <c r="A4558" s="217">
        <v>46281.0</v>
      </c>
      <c r="B4558" s="60"/>
      <c r="C4558" s="61" t="s">
        <v>1283</v>
      </c>
      <c r="D4558" s="62" t="s">
        <v>15</v>
      </c>
      <c r="E4558" s="61" t="s">
        <v>4889</v>
      </c>
      <c r="F4558" s="212">
        <v>46291.0</v>
      </c>
      <c r="G4558" s="155">
        <v>4135250.15</v>
      </c>
      <c r="H4558" s="9">
        <f t="shared" si="11"/>
        <v>868402.5315</v>
      </c>
      <c r="I4558" s="44">
        <v>124057.5</v>
      </c>
      <c r="J4558" s="44"/>
      <c r="K4558" s="10">
        <f t="shared" si="12"/>
        <v>5127710.182</v>
      </c>
      <c r="L4558" s="47"/>
      <c r="M4558" s="50"/>
    </row>
    <row r="4559" ht="15.75" customHeight="1">
      <c r="A4559" s="217">
        <v>46282.0</v>
      </c>
      <c r="B4559" s="60"/>
      <c r="C4559" s="61" t="s">
        <v>1283</v>
      </c>
      <c r="D4559" s="62" t="s">
        <v>15</v>
      </c>
      <c r="E4559" s="61" t="s">
        <v>4890</v>
      </c>
      <c r="F4559" s="212">
        <v>46291.0</v>
      </c>
      <c r="G4559" s="155">
        <v>7357390.0</v>
      </c>
      <c r="H4559" s="9">
        <f t="shared" si="11"/>
        <v>1545051.9</v>
      </c>
      <c r="I4559" s="44">
        <v>220721.7</v>
      </c>
      <c r="J4559" s="44"/>
      <c r="K4559" s="10">
        <f t="shared" si="12"/>
        <v>9123163.6</v>
      </c>
      <c r="L4559" s="47"/>
      <c r="M4559" s="50"/>
    </row>
    <row r="4560" ht="15.75" customHeight="1">
      <c r="A4560" s="217">
        <v>46282.0</v>
      </c>
      <c r="B4560" s="60"/>
      <c r="C4560" s="61" t="s">
        <v>1277</v>
      </c>
      <c r="D4560" s="62" t="s">
        <v>15</v>
      </c>
      <c r="E4560" s="61" t="s">
        <v>4891</v>
      </c>
      <c r="F4560" s="212">
        <v>46291.0</v>
      </c>
      <c r="G4560" s="155">
        <v>2978280.0</v>
      </c>
      <c r="H4560" s="9">
        <f t="shared" si="11"/>
        <v>625438.8</v>
      </c>
      <c r="I4560" s="44">
        <v>89348.4</v>
      </c>
      <c r="J4560" s="44"/>
      <c r="K4560" s="10">
        <f t="shared" si="12"/>
        <v>3693067.2</v>
      </c>
      <c r="L4560" s="47"/>
      <c r="M4560" s="50"/>
    </row>
    <row r="4561" ht="15.75" customHeight="1">
      <c r="A4561" s="217">
        <v>46282.0</v>
      </c>
      <c r="B4561" s="60"/>
      <c r="C4561" s="61" t="s">
        <v>1279</v>
      </c>
      <c r="D4561" s="62" t="s">
        <v>15</v>
      </c>
      <c r="E4561" s="61" t="s">
        <v>4892</v>
      </c>
      <c r="F4561" s="212">
        <v>46291.0</v>
      </c>
      <c r="G4561" s="155">
        <v>1.339747E7</v>
      </c>
      <c r="H4561" s="9">
        <f t="shared" si="11"/>
        <v>2813468.7</v>
      </c>
      <c r="I4561" s="44">
        <v>401924.1</v>
      </c>
      <c r="J4561" s="44"/>
      <c r="K4561" s="10">
        <f t="shared" si="12"/>
        <v>16612862.8</v>
      </c>
      <c r="L4561" s="47"/>
      <c r="M4561" s="50"/>
    </row>
    <row r="4562" ht="15.75" customHeight="1">
      <c r="A4562" s="217">
        <v>46283.0</v>
      </c>
      <c r="B4562" s="60"/>
      <c r="C4562" s="61" t="s">
        <v>1277</v>
      </c>
      <c r="D4562" s="62" t="s">
        <v>99</v>
      </c>
      <c r="E4562" s="61" t="s">
        <v>4893</v>
      </c>
      <c r="F4562" s="212">
        <v>46291.0</v>
      </c>
      <c r="G4562" s="155">
        <v>2653690.76</v>
      </c>
      <c r="H4562" s="9">
        <f t="shared" si="11"/>
        <v>557275.0596</v>
      </c>
      <c r="I4562" s="44">
        <v>79610.72</v>
      </c>
      <c r="J4562" s="44"/>
      <c r="K4562" s="10">
        <f t="shared" si="12"/>
        <v>3290576.54</v>
      </c>
      <c r="L4562" s="47"/>
      <c r="M4562" s="50"/>
    </row>
    <row r="4563" ht="15.75" customHeight="1">
      <c r="A4563" s="217">
        <v>46283.0</v>
      </c>
      <c r="B4563" s="60"/>
      <c r="C4563" s="61" t="s">
        <v>1279</v>
      </c>
      <c r="D4563" s="62" t="s">
        <v>99</v>
      </c>
      <c r="E4563" s="61" t="s">
        <v>4894</v>
      </c>
      <c r="F4563" s="212">
        <v>46291.0</v>
      </c>
      <c r="G4563" s="155">
        <v>1.397700173E7</v>
      </c>
      <c r="H4563" s="9">
        <f t="shared" si="11"/>
        <v>2935170.363</v>
      </c>
      <c r="I4563" s="44">
        <v>419310.05</v>
      </c>
      <c r="J4563" s="44"/>
      <c r="K4563" s="10">
        <f t="shared" si="12"/>
        <v>17331482.14</v>
      </c>
      <c r="L4563" s="47"/>
      <c r="M4563" s="50"/>
    </row>
    <row r="4564" ht="15.75" customHeight="1">
      <c r="A4564" s="217">
        <v>46283.0</v>
      </c>
      <c r="B4564" s="60"/>
      <c r="C4564" s="61" t="s">
        <v>1283</v>
      </c>
      <c r="D4564" s="62" t="s">
        <v>99</v>
      </c>
      <c r="E4564" s="61" t="s">
        <v>4895</v>
      </c>
      <c r="F4564" s="212">
        <v>46291.0</v>
      </c>
      <c r="G4564" s="155">
        <v>6620650.77</v>
      </c>
      <c r="H4564" s="9">
        <f t="shared" si="11"/>
        <v>1390336.662</v>
      </c>
      <c r="I4564" s="44">
        <v>198619.52</v>
      </c>
      <c r="J4564" s="44"/>
      <c r="K4564" s="10">
        <f t="shared" si="12"/>
        <v>8209606.952</v>
      </c>
      <c r="L4564" s="47"/>
      <c r="M4564" s="50"/>
    </row>
    <row r="4565" ht="15.75" customHeight="1">
      <c r="A4565" s="162">
        <v>46283.0</v>
      </c>
      <c r="B4565" s="55"/>
      <c r="C4565" s="31" t="s">
        <v>3866</v>
      </c>
      <c r="D4565" s="32" t="s">
        <v>99</v>
      </c>
      <c r="E4565" s="31" t="s">
        <v>4896</v>
      </c>
      <c r="F4565" s="235">
        <v>46291.0</v>
      </c>
      <c r="G4565" s="59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5"/>
      <c r="C4566" s="31" t="s">
        <v>3866</v>
      </c>
      <c r="D4566" s="32" t="s">
        <v>99</v>
      </c>
      <c r="E4566" s="31" t="s">
        <v>4897</v>
      </c>
      <c r="F4566" s="235">
        <v>46291.0</v>
      </c>
      <c r="G4566" s="59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60"/>
      <c r="C4567" s="61" t="s">
        <v>4464</v>
      </c>
      <c r="D4567" s="62" t="s">
        <v>99</v>
      </c>
      <c r="E4567" s="61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47"/>
      <c r="M4567" s="50"/>
    </row>
    <row r="4568" ht="15.75" customHeight="1">
      <c r="A4568" s="217">
        <v>46283.0</v>
      </c>
      <c r="B4568" s="60"/>
      <c r="C4568" s="61" t="s">
        <v>4464</v>
      </c>
      <c r="D4568" s="62" t="s">
        <v>99</v>
      </c>
      <c r="E4568" s="61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47"/>
      <c r="M4568" s="50"/>
    </row>
    <row r="4569" ht="15.75" customHeight="1">
      <c r="A4569" s="217">
        <v>46283.0</v>
      </c>
      <c r="B4569" s="60"/>
      <c r="C4569" s="61" t="s">
        <v>4464</v>
      </c>
      <c r="D4569" s="62" t="s">
        <v>99</v>
      </c>
      <c r="E4569" s="61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47"/>
      <c r="M4569" s="50"/>
    </row>
    <row r="4570" ht="15.75" customHeight="1">
      <c r="A4570" s="217">
        <v>46283.0</v>
      </c>
      <c r="B4570" s="60"/>
      <c r="C4570" s="61" t="s">
        <v>4464</v>
      </c>
      <c r="D4570" s="62" t="s">
        <v>99</v>
      </c>
      <c r="E4570" s="61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47"/>
      <c r="M4570" s="50"/>
    </row>
    <row r="4571" ht="15.75" customHeight="1">
      <c r="A4571" s="162">
        <v>46283.0</v>
      </c>
      <c r="B4571" s="55"/>
      <c r="C4571" s="31" t="s">
        <v>3877</v>
      </c>
      <c r="D4571" s="32" t="s">
        <v>99</v>
      </c>
      <c r="E4571" s="31" t="s">
        <v>4902</v>
      </c>
      <c r="F4571" s="235">
        <v>46291.0</v>
      </c>
      <c r="G4571" s="59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5"/>
      <c r="C4572" s="31" t="s">
        <v>3877</v>
      </c>
      <c r="D4572" s="32" t="s">
        <v>99</v>
      </c>
      <c r="E4572" s="31" t="s">
        <v>4903</v>
      </c>
      <c r="F4572" s="235">
        <v>46291.0</v>
      </c>
      <c r="G4572" s="59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5"/>
      <c r="C4573" s="31" t="s">
        <v>4429</v>
      </c>
      <c r="D4573" s="32" t="s">
        <v>99</v>
      </c>
      <c r="E4573" s="31" t="s">
        <v>4904</v>
      </c>
      <c r="F4573" s="235">
        <v>46291.0</v>
      </c>
      <c r="G4573" s="59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217">
        <v>46283.0</v>
      </c>
      <c r="B4574" s="60"/>
      <c r="C4574" s="62" t="s">
        <v>4905</v>
      </c>
      <c r="D4574" s="62" t="s">
        <v>15</v>
      </c>
      <c r="E4574" s="61" t="s">
        <v>4906</v>
      </c>
      <c r="F4574" s="212">
        <v>46291.0</v>
      </c>
      <c r="G4574" s="155">
        <v>2.001122085E7</v>
      </c>
      <c r="H4574" s="9">
        <f t="shared" si="11"/>
        <v>4202356.379</v>
      </c>
      <c r="I4574" s="44">
        <v>600336.63</v>
      </c>
      <c r="J4574" s="44">
        <v>1200673.25</v>
      </c>
      <c r="K4574" s="10">
        <f t="shared" si="12"/>
        <v>26014587.11</v>
      </c>
      <c r="L4574" s="47"/>
      <c r="M4574" s="50"/>
    </row>
    <row r="4575" ht="15.75" customHeight="1">
      <c r="A4575" s="217">
        <v>46283.0</v>
      </c>
      <c r="B4575" s="60"/>
      <c r="C4575" s="61" t="s">
        <v>4905</v>
      </c>
      <c r="D4575" s="62" t="s">
        <v>99</v>
      </c>
      <c r="E4575" s="61" t="s">
        <v>4907</v>
      </c>
      <c r="F4575" s="212">
        <v>46291.0</v>
      </c>
      <c r="G4575" s="155">
        <v>1.500988026E7</v>
      </c>
      <c r="H4575" s="9">
        <f t="shared" si="11"/>
        <v>3152074.855</v>
      </c>
      <c r="I4575" s="44">
        <v>450296.41</v>
      </c>
      <c r="J4575" s="44">
        <v>900592.82</v>
      </c>
      <c r="K4575" s="10">
        <f t="shared" si="12"/>
        <v>19512844.34</v>
      </c>
      <c r="L4575" s="47"/>
      <c r="M4575" s="50"/>
    </row>
    <row r="4576" ht="15.75" customHeight="1">
      <c r="A4576" s="162">
        <v>46283.0</v>
      </c>
      <c r="B4576" s="55"/>
      <c r="C4576" s="31" t="s">
        <v>4908</v>
      </c>
      <c r="D4576" s="32" t="s">
        <v>99</v>
      </c>
      <c r="E4576" s="31" t="s">
        <v>4909</v>
      </c>
      <c r="F4576" s="235">
        <v>46291.0</v>
      </c>
      <c r="G4576" s="59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5"/>
      <c r="C4577" s="31" t="s">
        <v>4908</v>
      </c>
      <c r="D4577" s="32" t="s">
        <v>99</v>
      </c>
      <c r="E4577" s="31" t="s">
        <v>4910</v>
      </c>
      <c r="F4577" s="235">
        <v>46291.0</v>
      </c>
      <c r="G4577" s="59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5"/>
      <c r="C4578" s="31" t="s">
        <v>4908</v>
      </c>
      <c r="D4578" s="32" t="s">
        <v>99</v>
      </c>
      <c r="E4578" s="31" t="s">
        <v>4911</v>
      </c>
      <c r="F4578" s="235">
        <v>46291.0</v>
      </c>
      <c r="G4578" s="59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5"/>
      <c r="C4579" s="31" t="s">
        <v>4908</v>
      </c>
      <c r="D4579" s="32" t="s">
        <v>99</v>
      </c>
      <c r="E4579" s="31" t="s">
        <v>4912</v>
      </c>
      <c r="F4579" s="235">
        <v>46291.0</v>
      </c>
      <c r="G4579" s="59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5"/>
      <c r="C4580" s="31" t="s">
        <v>4908</v>
      </c>
      <c r="D4580" s="32" t="s">
        <v>99</v>
      </c>
      <c r="E4580" s="31" t="s">
        <v>4913</v>
      </c>
      <c r="F4580" s="235">
        <v>46291.0</v>
      </c>
      <c r="G4580" s="59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217">
        <v>46286.0</v>
      </c>
      <c r="B4581" s="60"/>
      <c r="C4581" s="61" t="s">
        <v>4914</v>
      </c>
      <c r="D4581" s="62" t="s">
        <v>99</v>
      </c>
      <c r="E4581" s="61" t="s">
        <v>4915</v>
      </c>
      <c r="F4581" s="212">
        <v>46291.0</v>
      </c>
      <c r="G4581" s="206">
        <f>43595591.94/1.21</f>
        <v>36029414.83</v>
      </c>
      <c r="H4581" s="9">
        <f t="shared" si="11"/>
        <v>7566177.114</v>
      </c>
      <c r="I4581" s="44"/>
      <c r="J4581" s="44"/>
      <c r="K4581" s="10">
        <f t="shared" si="12"/>
        <v>43595591.94</v>
      </c>
      <c r="L4581" s="47"/>
      <c r="M4581" s="50"/>
    </row>
    <row r="4582" ht="15.75" customHeight="1">
      <c r="A4582" s="217">
        <v>46286.0</v>
      </c>
      <c r="B4582" s="60"/>
      <c r="C4582" s="61" t="s">
        <v>2346</v>
      </c>
      <c r="D4582" s="62" t="s">
        <v>15</v>
      </c>
      <c r="E4582" s="61" t="s">
        <v>4916</v>
      </c>
      <c r="F4582" s="212">
        <v>46291.0</v>
      </c>
      <c r="G4582" s="155">
        <v>1.412922807E7</v>
      </c>
      <c r="H4582" s="9">
        <f t="shared" si="11"/>
        <v>2967137.895</v>
      </c>
      <c r="I4582" s="44">
        <v>423876.84</v>
      </c>
      <c r="J4582" s="44">
        <v>169550.74</v>
      </c>
      <c r="K4582" s="10">
        <f t="shared" si="12"/>
        <v>17689793.54</v>
      </c>
      <c r="L4582" s="47"/>
      <c r="M4582" s="50"/>
    </row>
    <row r="4583" ht="15.75" customHeight="1">
      <c r="A4583" s="217">
        <v>46286.0</v>
      </c>
      <c r="B4583" s="60"/>
      <c r="C4583" s="61" t="s">
        <v>2346</v>
      </c>
      <c r="D4583" s="62" t="s">
        <v>15</v>
      </c>
      <c r="E4583" s="61" t="s">
        <v>4917</v>
      </c>
      <c r="F4583" s="212">
        <v>46291.0</v>
      </c>
      <c r="G4583" s="155">
        <v>1.900172342E7</v>
      </c>
      <c r="H4583" s="9">
        <f t="shared" si="11"/>
        <v>3990361.918</v>
      </c>
      <c r="I4583" s="44">
        <v>570051.7</v>
      </c>
      <c r="J4583" s="44">
        <v>228020.68</v>
      </c>
      <c r="K4583" s="10">
        <f t="shared" si="12"/>
        <v>23790157.72</v>
      </c>
      <c r="L4583" s="47"/>
      <c r="M4583" s="50"/>
    </row>
    <row r="4584" ht="15.75" customHeight="1">
      <c r="A4584" s="217">
        <v>46286.0</v>
      </c>
      <c r="B4584" s="60"/>
      <c r="C4584" s="61" t="s">
        <v>2346</v>
      </c>
      <c r="D4584" s="62" t="s">
        <v>15</v>
      </c>
      <c r="E4584" s="61" t="s">
        <v>4918</v>
      </c>
      <c r="F4584" s="212">
        <v>46291.0</v>
      </c>
      <c r="G4584" s="155">
        <v>1.822233208E7</v>
      </c>
      <c r="H4584" s="9">
        <f t="shared" si="11"/>
        <v>3826689.737</v>
      </c>
      <c r="I4584" s="44">
        <v>546669.96</v>
      </c>
      <c r="J4584" s="44">
        <v>218667.98</v>
      </c>
      <c r="K4584" s="10">
        <f t="shared" si="12"/>
        <v>22814359.76</v>
      </c>
      <c r="L4584" s="47"/>
      <c r="M4584" s="50"/>
    </row>
    <row r="4585" ht="15.75" customHeight="1">
      <c r="A4585" s="217">
        <v>46286.0</v>
      </c>
      <c r="B4585" s="60"/>
      <c r="C4585" s="61" t="s">
        <v>2346</v>
      </c>
      <c r="D4585" s="62" t="s">
        <v>15</v>
      </c>
      <c r="E4585" s="61" t="s">
        <v>4919</v>
      </c>
      <c r="F4585" s="212">
        <v>46291.0</v>
      </c>
      <c r="G4585" s="155">
        <v>1.372253242E7</v>
      </c>
      <c r="H4585" s="9">
        <f t="shared" si="11"/>
        <v>2881731.808</v>
      </c>
      <c r="I4585" s="44">
        <v>411675.97</v>
      </c>
      <c r="J4585" s="44">
        <v>164670.39</v>
      </c>
      <c r="K4585" s="10">
        <f t="shared" si="12"/>
        <v>17180610.59</v>
      </c>
      <c r="L4585" s="47"/>
      <c r="M4585" s="50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39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47"/>
      <c r="M4586" s="50"/>
    </row>
    <row r="4587" ht="15.75" customHeight="1">
      <c r="A4587" s="217">
        <v>46286.0</v>
      </c>
      <c r="B4587" s="60"/>
      <c r="C4587" s="61" t="s">
        <v>2346</v>
      </c>
      <c r="D4587" s="62" t="s">
        <v>15</v>
      </c>
      <c r="E4587" s="61" t="s">
        <v>4921</v>
      </c>
      <c r="F4587" s="212">
        <v>46291.0</v>
      </c>
      <c r="G4587" s="155">
        <v>2.200118218E7</v>
      </c>
      <c r="H4587" s="9">
        <f t="shared" si="11"/>
        <v>4620248.258</v>
      </c>
      <c r="I4587" s="44">
        <v>660035.47</v>
      </c>
      <c r="J4587" s="44">
        <v>264014.19</v>
      </c>
      <c r="K4587" s="10">
        <f t="shared" si="12"/>
        <v>27545480.1</v>
      </c>
      <c r="L4587" s="47"/>
      <c r="M4587" s="50"/>
    </row>
    <row r="4588" ht="15.75" customHeight="1">
      <c r="A4588" s="217">
        <v>46286.0</v>
      </c>
      <c r="B4588" s="60"/>
      <c r="C4588" s="61" t="s">
        <v>2346</v>
      </c>
      <c r="D4588" s="62" t="s">
        <v>15</v>
      </c>
      <c r="E4588" s="61" t="s">
        <v>4922</v>
      </c>
      <c r="F4588" s="212">
        <v>46291.0</v>
      </c>
      <c r="G4588" s="155">
        <v>1.437223312E7</v>
      </c>
      <c r="H4588" s="9">
        <f t="shared" si="11"/>
        <v>3018168.955</v>
      </c>
      <c r="I4588" s="44">
        <v>431166.99</v>
      </c>
      <c r="J4588" s="44">
        <v>172466.8</v>
      </c>
      <c r="K4588" s="10">
        <f t="shared" si="12"/>
        <v>17994035.87</v>
      </c>
      <c r="L4588" s="47"/>
      <c r="M4588" s="50"/>
    </row>
    <row r="4589" ht="15.75" customHeight="1">
      <c r="A4589" s="217">
        <v>46286.0</v>
      </c>
      <c r="B4589" s="60"/>
      <c r="C4589" s="61" t="s">
        <v>2346</v>
      </c>
      <c r="D4589" s="62" t="s">
        <v>15</v>
      </c>
      <c r="E4589" s="61" t="s">
        <v>4923</v>
      </c>
      <c r="F4589" s="212">
        <v>46291.0</v>
      </c>
      <c r="G4589" s="155">
        <v>1.690122242E7</v>
      </c>
      <c r="H4589" s="9">
        <f t="shared" si="11"/>
        <v>3549256.708</v>
      </c>
      <c r="I4589" s="44">
        <v>507036.67</v>
      </c>
      <c r="J4589" s="44">
        <v>202814.67</v>
      </c>
      <c r="K4589" s="10">
        <f t="shared" si="12"/>
        <v>21160330.47</v>
      </c>
      <c r="L4589" s="47"/>
      <c r="M4589" s="50"/>
    </row>
    <row r="4590" ht="15.75" customHeight="1">
      <c r="A4590" s="162">
        <v>46286.0</v>
      </c>
      <c r="B4590" s="55"/>
      <c r="C4590" s="31" t="s">
        <v>2346</v>
      </c>
      <c r="D4590" s="32" t="s">
        <v>15</v>
      </c>
      <c r="E4590" s="31" t="s">
        <v>4924</v>
      </c>
      <c r="F4590" s="235">
        <v>46291.0</v>
      </c>
      <c r="G4590" s="59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47"/>
      <c r="M4590" s="50"/>
    </row>
    <row r="4591" ht="15.75" customHeight="1">
      <c r="A4591" s="162">
        <v>46286.0</v>
      </c>
      <c r="B4591" s="55"/>
      <c r="C4591" s="31" t="s">
        <v>2346</v>
      </c>
      <c r="D4591" s="32" t="s">
        <v>15</v>
      </c>
      <c r="E4591" s="31" t="s">
        <v>4925</v>
      </c>
      <c r="F4591" s="235">
        <v>46291.0</v>
      </c>
      <c r="G4591" s="59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47"/>
      <c r="M4591" s="50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39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47"/>
      <c r="M4592" s="50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39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47"/>
      <c r="M4593" s="50"/>
    </row>
    <row r="4594" ht="15.75" customHeight="1">
      <c r="A4594" s="217">
        <v>46286.0</v>
      </c>
      <c r="B4594" s="60"/>
      <c r="C4594" s="61" t="s">
        <v>2346</v>
      </c>
      <c r="D4594" s="62" t="s">
        <v>15</v>
      </c>
      <c r="E4594" s="62" t="s">
        <v>4928</v>
      </c>
      <c r="F4594" s="212">
        <v>46291.0</v>
      </c>
      <c r="G4594" s="155">
        <v>1.582263318E7</v>
      </c>
      <c r="H4594" s="9">
        <f t="shared" si="11"/>
        <v>3322752.968</v>
      </c>
      <c r="I4594" s="44">
        <v>474679.0</v>
      </c>
      <c r="J4594" s="44">
        <v>189871.6</v>
      </c>
      <c r="K4594" s="10">
        <f t="shared" si="12"/>
        <v>19809936.75</v>
      </c>
      <c r="L4594" s="47"/>
      <c r="M4594" s="50"/>
    </row>
    <row r="4595" ht="15.75" customHeight="1">
      <c r="A4595" s="217">
        <v>46286.0</v>
      </c>
      <c r="B4595" s="60"/>
      <c r="C4595" s="61" t="s">
        <v>2346</v>
      </c>
      <c r="D4595" s="62" t="s">
        <v>15</v>
      </c>
      <c r="E4595" s="62" t="s">
        <v>4929</v>
      </c>
      <c r="F4595" s="212">
        <v>46291.0</v>
      </c>
      <c r="G4595" s="155">
        <v>6992633.42</v>
      </c>
      <c r="H4595" s="9">
        <f t="shared" si="11"/>
        <v>1468453.018</v>
      </c>
      <c r="I4595" s="44">
        <v>209779.0</v>
      </c>
      <c r="J4595" s="44">
        <v>83911.6</v>
      </c>
      <c r="K4595" s="10">
        <f t="shared" si="12"/>
        <v>8754777.038</v>
      </c>
      <c r="L4595" s="47"/>
      <c r="M4595" s="50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39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47"/>
      <c r="M4596" s="50"/>
    </row>
    <row r="4597" ht="15.75" customHeight="1">
      <c r="A4597" s="162">
        <v>46286.0</v>
      </c>
      <c r="B4597" s="55"/>
      <c r="C4597" s="31" t="s">
        <v>4880</v>
      </c>
      <c r="D4597" s="32" t="s">
        <v>15</v>
      </c>
      <c r="E4597" s="32" t="s">
        <v>4931</v>
      </c>
      <c r="F4597" s="235">
        <v>46291.0</v>
      </c>
      <c r="G4597" s="59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5"/>
      <c r="C4598" s="31" t="s">
        <v>4880</v>
      </c>
      <c r="D4598" s="32" t="s">
        <v>15</v>
      </c>
      <c r="E4598" s="31" t="s">
        <v>4932</v>
      </c>
      <c r="F4598" s="235">
        <v>46291.0</v>
      </c>
      <c r="G4598" s="59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5"/>
      <c r="C4599" s="31" t="s">
        <v>4880</v>
      </c>
      <c r="D4599" s="32" t="s">
        <v>15</v>
      </c>
      <c r="E4599" s="31" t="s">
        <v>4933</v>
      </c>
      <c r="F4599" s="235">
        <v>46291.0</v>
      </c>
      <c r="G4599" s="59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5"/>
      <c r="C4600" s="31" t="s">
        <v>4880</v>
      </c>
      <c r="D4600" s="32" t="s">
        <v>15</v>
      </c>
      <c r="E4600" s="31" t="s">
        <v>4934</v>
      </c>
      <c r="F4600" s="235">
        <v>46291.0</v>
      </c>
      <c r="G4600" s="59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5"/>
      <c r="C4601" s="31" t="s">
        <v>4880</v>
      </c>
      <c r="D4601" s="32" t="s">
        <v>15</v>
      </c>
      <c r="E4601" s="32" t="s">
        <v>4935</v>
      </c>
      <c r="F4601" s="235">
        <v>46291.0</v>
      </c>
      <c r="G4601" s="59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17">
        <v>46286.0</v>
      </c>
      <c r="B4602" s="60"/>
      <c r="C4602" s="61" t="s">
        <v>4936</v>
      </c>
      <c r="D4602" s="62" t="s">
        <v>99</v>
      </c>
      <c r="E4602" s="61" t="s">
        <v>4937</v>
      </c>
      <c r="F4602" s="212">
        <v>46291.0</v>
      </c>
      <c r="G4602" s="155">
        <v>2.482221225E7</v>
      </c>
      <c r="H4602" s="9">
        <f t="shared" si="11"/>
        <v>5212664.573</v>
      </c>
      <c r="I4602" s="44">
        <v>744666.37</v>
      </c>
      <c r="J4602" s="44">
        <v>397155.4</v>
      </c>
      <c r="K4602" s="10">
        <f t="shared" si="12"/>
        <v>31176698.59</v>
      </c>
      <c r="L4602" s="47"/>
      <c r="M4602" s="50"/>
    </row>
    <row r="4603" ht="15.75" customHeight="1">
      <c r="A4603" s="217">
        <v>46287.0</v>
      </c>
      <c r="B4603" s="60"/>
      <c r="C4603" s="61" t="s">
        <v>4448</v>
      </c>
      <c r="D4603" s="62" t="s">
        <v>1543</v>
      </c>
      <c r="E4603" s="62" t="s">
        <v>4938</v>
      </c>
      <c r="F4603" s="212">
        <v>46291.0</v>
      </c>
      <c r="G4603" s="206">
        <v>1.121505926E7</v>
      </c>
      <c r="H4603" s="9">
        <f t="shared" si="11"/>
        <v>2355162.445</v>
      </c>
      <c r="I4603" s="44"/>
      <c r="J4603" s="44"/>
      <c r="K4603" s="10">
        <f t="shared" si="12"/>
        <v>13570221.7</v>
      </c>
      <c r="L4603" s="47"/>
      <c r="M4603" s="50"/>
    </row>
    <row r="4604" ht="15.75" customHeight="1">
      <c r="A4604" s="217">
        <v>46287.0</v>
      </c>
      <c r="B4604" s="60"/>
      <c r="C4604" s="61" t="s">
        <v>1279</v>
      </c>
      <c r="D4604" s="62" t="s">
        <v>99</v>
      </c>
      <c r="E4604" s="61" t="s">
        <v>4939</v>
      </c>
      <c r="F4604" s="212">
        <v>46291.0</v>
      </c>
      <c r="G4604" s="155">
        <v>7195150.15</v>
      </c>
      <c r="H4604" s="9">
        <f t="shared" si="11"/>
        <v>1510981.532</v>
      </c>
      <c r="I4604" s="44">
        <v>215854.5</v>
      </c>
      <c r="J4604" s="44"/>
      <c r="K4604" s="10">
        <f t="shared" si="12"/>
        <v>8921986.182</v>
      </c>
      <c r="L4604" s="47"/>
      <c r="M4604" s="50"/>
    </row>
    <row r="4605" ht="15.75" customHeight="1">
      <c r="A4605" s="217">
        <v>46287.0</v>
      </c>
      <c r="B4605" s="60"/>
      <c r="C4605" s="61" t="s">
        <v>1283</v>
      </c>
      <c r="D4605" s="62" t="s">
        <v>99</v>
      </c>
      <c r="E4605" s="61" t="s">
        <v>4940</v>
      </c>
      <c r="F4605" s="212">
        <v>46291.0</v>
      </c>
      <c r="G4605" s="155">
        <v>3720105.16</v>
      </c>
      <c r="H4605" s="9">
        <f t="shared" si="11"/>
        <v>781222.0836</v>
      </c>
      <c r="I4605" s="44">
        <v>111603.15</v>
      </c>
      <c r="J4605" s="44"/>
      <c r="K4605" s="10">
        <f t="shared" si="12"/>
        <v>4612930.394</v>
      </c>
      <c r="L4605" s="47"/>
      <c r="M4605" s="50"/>
    </row>
    <row r="4606" ht="15.75" customHeight="1">
      <c r="A4606" s="217">
        <v>46287.0</v>
      </c>
      <c r="B4606" s="60"/>
      <c r="C4606" s="61" t="s">
        <v>1277</v>
      </c>
      <c r="D4606" s="62" t="s">
        <v>99</v>
      </c>
      <c r="E4606" s="61" t="s">
        <v>4941</v>
      </c>
      <c r="F4606" s="212">
        <v>46291.0</v>
      </c>
      <c r="G4606" s="155">
        <v>1325350.21</v>
      </c>
      <c r="H4606" s="9">
        <f t="shared" si="11"/>
        <v>278323.5441</v>
      </c>
      <c r="I4606" s="44">
        <v>39760.51</v>
      </c>
      <c r="J4606" s="44"/>
      <c r="K4606" s="10">
        <f t="shared" si="12"/>
        <v>1643434.264</v>
      </c>
      <c r="L4606" s="47"/>
      <c r="M4606" s="50"/>
    </row>
    <row r="4607" ht="15.75" customHeight="1">
      <c r="A4607" s="217">
        <v>46288.0</v>
      </c>
      <c r="B4607" s="60"/>
      <c r="C4607" s="61" t="s">
        <v>4448</v>
      </c>
      <c r="D4607" s="62" t="s">
        <v>2714</v>
      </c>
      <c r="E4607" s="62" t="s">
        <v>4942</v>
      </c>
      <c r="F4607" s="212">
        <v>46291.0</v>
      </c>
      <c r="G4607" s="155">
        <v>1.4985E7</v>
      </c>
      <c r="H4607" s="9">
        <f t="shared" si="11"/>
        <v>3146850</v>
      </c>
      <c r="I4607" s="44"/>
      <c r="J4607" s="44"/>
      <c r="K4607" s="10">
        <f t="shared" si="12"/>
        <v>18131850</v>
      </c>
      <c r="L4607" s="47"/>
      <c r="M4607" s="50"/>
    </row>
    <row r="4608" ht="15.75" customHeight="1">
      <c r="A4608" s="217">
        <v>46288.0</v>
      </c>
      <c r="B4608" s="60"/>
      <c r="C4608" s="61" t="s">
        <v>196</v>
      </c>
      <c r="D4608" s="62" t="s">
        <v>15</v>
      </c>
      <c r="E4608" s="61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47"/>
      <c r="M4608" s="50"/>
    </row>
    <row r="4609" ht="15.75" customHeight="1">
      <c r="A4609" s="162">
        <v>46288.0</v>
      </c>
      <c r="B4609" s="55"/>
      <c r="C4609" s="31" t="s">
        <v>1796</v>
      </c>
      <c r="D4609" s="32" t="s">
        <v>15</v>
      </c>
      <c r="E4609" s="31" t="s">
        <v>4944</v>
      </c>
      <c r="F4609" s="235">
        <v>46291.0</v>
      </c>
      <c r="G4609" s="59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5"/>
      <c r="C4610" s="32" t="s">
        <v>3836</v>
      </c>
      <c r="D4610" s="32" t="s">
        <v>15</v>
      </c>
      <c r="E4610" s="31" t="s">
        <v>4945</v>
      </c>
      <c r="F4610" s="235">
        <v>46291.0</v>
      </c>
      <c r="G4610" s="59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5"/>
      <c r="C4611" s="32" t="s">
        <v>3836</v>
      </c>
      <c r="D4611" s="32" t="s">
        <v>15</v>
      </c>
      <c r="E4611" s="31" t="s">
        <v>4946</v>
      </c>
      <c r="F4611" s="235">
        <v>46291.0</v>
      </c>
      <c r="G4611" s="59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60"/>
      <c r="C4612" s="61" t="s">
        <v>196</v>
      </c>
      <c r="D4612" s="62" t="s">
        <v>99</v>
      </c>
      <c r="E4612" s="61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47"/>
      <c r="M4612" s="50"/>
    </row>
    <row r="4613" ht="15.75" customHeight="1">
      <c r="A4613" s="162">
        <v>46288.0</v>
      </c>
      <c r="B4613" s="55"/>
      <c r="C4613" s="31" t="s">
        <v>1796</v>
      </c>
      <c r="D4613" s="32" t="s">
        <v>99</v>
      </c>
      <c r="E4613" s="31" t="s">
        <v>4948</v>
      </c>
      <c r="F4613" s="235">
        <v>46291.0</v>
      </c>
      <c r="G4613" s="59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60"/>
      <c r="C4614" s="61" t="s">
        <v>4464</v>
      </c>
      <c r="D4614" s="62" t="s">
        <v>99</v>
      </c>
      <c r="E4614" s="61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47"/>
      <c r="M4614" s="50"/>
    </row>
    <row r="4615" ht="15.75" customHeight="1">
      <c r="A4615" s="217">
        <v>46288.0</v>
      </c>
      <c r="B4615" s="60"/>
      <c r="C4615" s="61" t="s">
        <v>4464</v>
      </c>
      <c r="D4615" s="62" t="s">
        <v>99</v>
      </c>
      <c r="E4615" s="61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47"/>
      <c r="M4615" s="50"/>
    </row>
    <row r="4616" ht="15.75" customHeight="1">
      <c r="A4616" s="217">
        <v>46288.0</v>
      </c>
      <c r="B4616" s="60"/>
      <c r="C4616" s="61" t="s">
        <v>4464</v>
      </c>
      <c r="D4616" s="62" t="s">
        <v>99</v>
      </c>
      <c r="E4616" s="61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47"/>
      <c r="M4616" s="50"/>
    </row>
    <row r="4617" ht="15.75" customHeight="1">
      <c r="A4617" s="217">
        <v>46288.0</v>
      </c>
      <c r="B4617" s="60"/>
      <c r="C4617" s="61" t="s">
        <v>4464</v>
      </c>
      <c r="D4617" s="62" t="s">
        <v>99</v>
      </c>
      <c r="E4617" s="61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47"/>
      <c r="M4617" s="50"/>
    </row>
    <row r="4618" ht="15.75" customHeight="1">
      <c r="A4618" s="162">
        <v>46289.0</v>
      </c>
      <c r="B4618" s="55"/>
      <c r="C4618" s="31" t="s">
        <v>1285</v>
      </c>
      <c r="D4618" s="32" t="s">
        <v>15</v>
      </c>
      <c r="E4618" s="31" t="s">
        <v>4953</v>
      </c>
      <c r="F4618" s="235">
        <v>46291.0</v>
      </c>
      <c r="G4618" s="59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217">
        <v>46289.0</v>
      </c>
      <c r="B4619" s="60"/>
      <c r="C4619" s="61" t="s">
        <v>247</v>
      </c>
      <c r="D4619" s="62" t="s">
        <v>15</v>
      </c>
      <c r="E4619" s="61" t="s">
        <v>4954</v>
      </c>
      <c r="F4619" s="212">
        <v>46291.0</v>
      </c>
      <c r="G4619" s="155">
        <v>9775360.26</v>
      </c>
      <c r="H4619" s="9">
        <f t="shared" si="11"/>
        <v>2052825.655</v>
      </c>
      <c r="I4619" s="44"/>
      <c r="J4619" s="44"/>
      <c r="K4619" s="10">
        <f t="shared" si="12"/>
        <v>11828185.91</v>
      </c>
      <c r="L4619" s="47"/>
      <c r="M4619" s="50"/>
    </row>
    <row r="4620" ht="15.75" customHeight="1">
      <c r="A4620" s="217">
        <v>46289.0</v>
      </c>
      <c r="B4620" s="60"/>
      <c r="C4620" s="61" t="s">
        <v>247</v>
      </c>
      <c r="D4620" s="62" t="s">
        <v>15</v>
      </c>
      <c r="E4620" s="61" t="s">
        <v>4955</v>
      </c>
      <c r="F4620" s="212">
        <v>46291.0</v>
      </c>
      <c r="G4620" s="155">
        <v>8979770.23</v>
      </c>
      <c r="H4620" s="9">
        <f t="shared" si="11"/>
        <v>1885751.748</v>
      </c>
      <c r="I4620" s="44"/>
      <c r="J4620" s="44"/>
      <c r="K4620" s="10">
        <f t="shared" si="12"/>
        <v>10865521.98</v>
      </c>
      <c r="L4620" s="47"/>
      <c r="M4620" s="50"/>
    </row>
    <row r="4621" ht="15.75" customHeight="1">
      <c r="A4621" s="217">
        <v>46289.0</v>
      </c>
      <c r="B4621" s="60"/>
      <c r="C4621" s="61" t="s">
        <v>247</v>
      </c>
      <c r="D4621" s="62" t="s">
        <v>15</v>
      </c>
      <c r="E4621" s="61" t="s">
        <v>4956</v>
      </c>
      <c r="F4621" s="212">
        <v>46291.0</v>
      </c>
      <c r="G4621" s="155">
        <v>9887250.75</v>
      </c>
      <c r="H4621" s="9">
        <f t="shared" si="11"/>
        <v>2076322.658</v>
      </c>
      <c r="I4621" s="44"/>
      <c r="J4621" s="44"/>
      <c r="K4621" s="10">
        <f t="shared" si="12"/>
        <v>11963573.41</v>
      </c>
      <c r="L4621" s="47"/>
      <c r="M4621" s="50"/>
    </row>
    <row r="4622" ht="15.75" customHeight="1">
      <c r="A4622" s="217">
        <v>46289.0</v>
      </c>
      <c r="B4622" s="60"/>
      <c r="C4622" s="61" t="s">
        <v>247</v>
      </c>
      <c r="D4622" s="62" t="s">
        <v>15</v>
      </c>
      <c r="E4622" s="61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47"/>
      <c r="M4622" s="50"/>
    </row>
    <row r="4623" ht="15.75" customHeight="1">
      <c r="A4623" s="162">
        <v>46289.0</v>
      </c>
      <c r="B4623" s="55"/>
      <c r="C4623" s="31" t="s">
        <v>3877</v>
      </c>
      <c r="D4623" s="32" t="s">
        <v>15</v>
      </c>
      <c r="E4623" s="31" t="s">
        <v>4958</v>
      </c>
      <c r="F4623" s="235">
        <v>46291.0</v>
      </c>
      <c r="G4623" s="59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5"/>
      <c r="C4624" s="31" t="s">
        <v>4429</v>
      </c>
      <c r="D4624" s="32" t="s">
        <v>15</v>
      </c>
      <c r="E4624" s="31" t="s">
        <v>4959</v>
      </c>
      <c r="F4624" s="235">
        <v>46291.0</v>
      </c>
      <c r="G4624" s="59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5"/>
      <c r="C4625" s="31" t="s">
        <v>3866</v>
      </c>
      <c r="D4625" s="32" t="s">
        <v>15</v>
      </c>
      <c r="E4625" s="31" t="s">
        <v>4960</v>
      </c>
      <c r="F4625" s="235">
        <v>46291.0</v>
      </c>
      <c r="G4625" s="59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5"/>
      <c r="C4626" s="31" t="s">
        <v>1183</v>
      </c>
      <c r="D4626" s="32" t="s">
        <v>15</v>
      </c>
      <c r="E4626" s="31" t="s">
        <v>4961</v>
      </c>
      <c r="F4626" s="235">
        <v>46291.0</v>
      </c>
      <c r="G4626" s="59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5"/>
      <c r="C4627" s="31" t="s">
        <v>1183</v>
      </c>
      <c r="D4627" s="32" t="s">
        <v>15</v>
      </c>
      <c r="E4627" s="31" t="s">
        <v>4962</v>
      </c>
      <c r="F4627" s="235">
        <v>46291.0</v>
      </c>
      <c r="G4627" s="59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5"/>
      <c r="C4628" s="31" t="s">
        <v>3357</v>
      </c>
      <c r="D4628" s="32" t="s">
        <v>15</v>
      </c>
      <c r="E4628" s="31" t="s">
        <v>4963</v>
      </c>
      <c r="F4628" s="235">
        <v>46291.0</v>
      </c>
      <c r="G4628" s="59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5"/>
      <c r="C4629" s="31" t="s">
        <v>3357</v>
      </c>
      <c r="D4629" s="32" t="s">
        <v>15</v>
      </c>
      <c r="E4629" s="31" t="s">
        <v>4964</v>
      </c>
      <c r="F4629" s="235">
        <v>46291.0</v>
      </c>
      <c r="G4629" s="59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217">
        <v>46291.0</v>
      </c>
      <c r="B4630" s="60"/>
      <c r="C4630" s="61" t="s">
        <v>3580</v>
      </c>
      <c r="D4630" s="62" t="s">
        <v>15</v>
      </c>
      <c r="E4630" s="61" t="s">
        <v>4965</v>
      </c>
      <c r="F4630" s="212">
        <v>46291.0</v>
      </c>
      <c r="G4630" s="155">
        <v>6855059.63</v>
      </c>
      <c r="H4630" s="9">
        <f t="shared" si="11"/>
        <v>1439562.522</v>
      </c>
      <c r="I4630" s="44">
        <v>205651.79</v>
      </c>
      <c r="J4630" s="44"/>
      <c r="K4630" s="10">
        <f t="shared" si="12"/>
        <v>8500273.942</v>
      </c>
      <c r="L4630" s="47"/>
      <c r="M4630" s="50"/>
    </row>
    <row r="4631" ht="15.75" customHeight="1">
      <c r="A4631" s="217">
        <v>46291.0</v>
      </c>
      <c r="B4631" s="60"/>
      <c r="C4631" s="61" t="s">
        <v>3580</v>
      </c>
      <c r="D4631" s="62" t="s">
        <v>15</v>
      </c>
      <c r="E4631" s="61" t="s">
        <v>4966</v>
      </c>
      <c r="F4631" s="212">
        <v>46291.0</v>
      </c>
      <c r="G4631" s="155">
        <v>1.233363308E7</v>
      </c>
      <c r="H4631" s="9">
        <f t="shared" si="11"/>
        <v>2590062.947</v>
      </c>
      <c r="I4631" s="44">
        <v>370008.99</v>
      </c>
      <c r="J4631" s="44"/>
      <c r="K4631" s="10">
        <f t="shared" si="12"/>
        <v>15293705.02</v>
      </c>
      <c r="L4631" s="47"/>
      <c r="M4631" s="50"/>
    </row>
    <row r="4632" ht="15.75" customHeight="1">
      <c r="A4632" s="162">
        <v>46291.0</v>
      </c>
      <c r="B4632" s="55"/>
      <c r="C4632" s="31" t="s">
        <v>3919</v>
      </c>
      <c r="D4632" s="32" t="s">
        <v>15</v>
      </c>
      <c r="E4632" s="31" t="s">
        <v>4967</v>
      </c>
      <c r="F4632" s="235">
        <v>46291.0</v>
      </c>
      <c r="G4632" s="59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5"/>
      <c r="C4633" s="31" t="s">
        <v>3919</v>
      </c>
      <c r="D4633" s="32" t="s">
        <v>15</v>
      </c>
      <c r="E4633" s="31" t="s">
        <v>4968</v>
      </c>
      <c r="F4633" s="235">
        <v>46291.0</v>
      </c>
      <c r="G4633" s="59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5"/>
      <c r="C4634" s="31" t="s">
        <v>3919</v>
      </c>
      <c r="D4634" s="32" t="s">
        <v>15</v>
      </c>
      <c r="E4634" s="31" t="s">
        <v>4969</v>
      </c>
      <c r="F4634" s="235">
        <v>46291.0</v>
      </c>
      <c r="G4634" s="59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5"/>
      <c r="C4635" s="31" t="s">
        <v>4970</v>
      </c>
      <c r="D4635" s="32" t="s">
        <v>15</v>
      </c>
      <c r="E4635" s="31" t="s">
        <v>4971</v>
      </c>
      <c r="F4635" s="235">
        <v>46291.0</v>
      </c>
      <c r="G4635" s="59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5"/>
      <c r="C4636" s="31" t="s">
        <v>4970</v>
      </c>
      <c r="D4636" s="32" t="s">
        <v>15</v>
      </c>
      <c r="E4636" s="31" t="s">
        <v>4972</v>
      </c>
      <c r="F4636" s="235">
        <v>46291.0</v>
      </c>
      <c r="G4636" s="59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217">
        <v>46291.0</v>
      </c>
      <c r="B4637" s="60"/>
      <c r="C4637" s="61" t="s">
        <v>4973</v>
      </c>
      <c r="D4637" s="62" t="s">
        <v>15</v>
      </c>
      <c r="E4637" s="61" t="s">
        <v>4974</v>
      </c>
      <c r="F4637" s="212">
        <v>46291.0</v>
      </c>
      <c r="G4637" s="155">
        <v>2.001136026E7</v>
      </c>
      <c r="H4637" s="9">
        <f t="shared" si="11"/>
        <v>4202385.655</v>
      </c>
      <c r="I4637" s="44">
        <v>600340.81</v>
      </c>
      <c r="J4637" s="44">
        <v>500284.01</v>
      </c>
      <c r="K4637" s="10">
        <f t="shared" si="12"/>
        <v>25314370.73</v>
      </c>
      <c r="L4637" s="47"/>
      <c r="M4637" s="50"/>
    </row>
    <row r="4638" ht="15.75" customHeight="1">
      <c r="A4638" s="217">
        <v>46202.0</v>
      </c>
      <c r="B4638" s="60"/>
      <c r="C4638" s="61" t="s">
        <v>239</v>
      </c>
      <c r="D4638" s="62" t="s">
        <v>1543</v>
      </c>
      <c r="E4638" s="62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47"/>
      <c r="M4638" s="50"/>
    </row>
    <row r="4639" ht="15.75" customHeight="1">
      <c r="A4639" s="217">
        <v>46202.0</v>
      </c>
      <c r="B4639" s="60"/>
      <c r="C4639" s="61" t="s">
        <v>239</v>
      </c>
      <c r="D4639" s="62" t="s">
        <v>99</v>
      </c>
      <c r="E4639" s="61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47"/>
      <c r="M4639" s="50"/>
    </row>
    <row r="4640" ht="15.75" customHeight="1">
      <c r="A4640" s="217">
        <v>46202.0</v>
      </c>
      <c r="B4640" s="60"/>
      <c r="C4640" s="61" t="s">
        <v>239</v>
      </c>
      <c r="D4640" s="62" t="s">
        <v>15</v>
      </c>
      <c r="E4640" s="61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47"/>
      <c r="M4640" s="50"/>
    </row>
    <row r="4641" ht="15.75" customHeight="1">
      <c r="A4641" s="217">
        <v>46202.0</v>
      </c>
      <c r="B4641" s="60"/>
      <c r="C4641" s="61" t="s">
        <v>1796</v>
      </c>
      <c r="D4641" s="62" t="s">
        <v>99</v>
      </c>
      <c r="E4641" s="61" t="s">
        <v>4978</v>
      </c>
      <c r="F4641" s="212">
        <v>46291.0</v>
      </c>
      <c r="G4641" s="155">
        <v>6709990.48</v>
      </c>
      <c r="H4641" s="9">
        <f t="shared" si="11"/>
        <v>1409098.001</v>
      </c>
      <c r="I4641" s="44">
        <v>201299.71</v>
      </c>
      <c r="J4641" s="44">
        <v>33549.95</v>
      </c>
      <c r="K4641" s="10">
        <f t="shared" si="12"/>
        <v>8353938.141</v>
      </c>
      <c r="L4641" s="47"/>
      <c r="M4641" s="50"/>
    </row>
    <row r="4642" ht="15.75" customHeight="1">
      <c r="A4642" s="217">
        <v>46202.0</v>
      </c>
      <c r="B4642" s="60"/>
      <c r="C4642" s="61" t="s">
        <v>1796</v>
      </c>
      <c r="D4642" s="62" t="s">
        <v>15</v>
      </c>
      <c r="E4642" s="61" t="s">
        <v>4979</v>
      </c>
      <c r="F4642" s="212">
        <v>46291.0</v>
      </c>
      <c r="G4642" s="155">
        <v>8112570.59</v>
      </c>
      <c r="H4642" s="9">
        <f t="shared" si="11"/>
        <v>1703639.824</v>
      </c>
      <c r="I4642" s="44">
        <v>243377.12</v>
      </c>
      <c r="J4642" s="44">
        <v>40562.85</v>
      </c>
      <c r="K4642" s="10">
        <f t="shared" si="12"/>
        <v>10100150.38</v>
      </c>
      <c r="L4642" s="47"/>
      <c r="M4642" s="50"/>
    </row>
    <row r="4643" ht="15.75" customHeight="1">
      <c r="A4643" s="217">
        <v>46202.0</v>
      </c>
      <c r="B4643" s="60"/>
      <c r="C4643" s="61" t="s">
        <v>1980</v>
      </c>
      <c r="D4643" s="62" t="s">
        <v>99</v>
      </c>
      <c r="E4643" s="61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47"/>
      <c r="M4643" s="50"/>
    </row>
    <row r="4644" ht="15.75" customHeight="1">
      <c r="A4644" s="217">
        <v>46202.0</v>
      </c>
      <c r="B4644" s="60"/>
      <c r="C4644" s="61" t="s">
        <v>1980</v>
      </c>
      <c r="D4644" s="62" t="s">
        <v>99</v>
      </c>
      <c r="E4644" s="61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47"/>
      <c r="M4644" s="50"/>
    </row>
    <row r="4645" ht="15.75" customHeight="1">
      <c r="A4645" s="217">
        <v>46202.0</v>
      </c>
      <c r="B4645" s="60"/>
      <c r="C4645" s="61" t="s">
        <v>1980</v>
      </c>
      <c r="D4645" s="62" t="s">
        <v>99</v>
      </c>
      <c r="E4645" s="61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47"/>
      <c r="M4645" s="50"/>
    </row>
    <row r="4646" ht="15.75" customHeight="1">
      <c r="A4646" s="217">
        <v>46202.0</v>
      </c>
      <c r="B4646" s="60"/>
      <c r="C4646" s="61" t="s">
        <v>1980</v>
      </c>
      <c r="D4646" s="62" t="s">
        <v>99</v>
      </c>
      <c r="E4646" s="61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47"/>
      <c r="M4646" s="50"/>
    </row>
    <row r="4647" ht="15.75" customHeight="1">
      <c r="A4647" s="217">
        <v>46202.0</v>
      </c>
      <c r="B4647" s="60"/>
      <c r="C4647" s="61" t="s">
        <v>1980</v>
      </c>
      <c r="D4647" s="62" t="s">
        <v>15</v>
      </c>
      <c r="E4647" s="61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47"/>
      <c r="M4647" s="50"/>
    </row>
    <row r="4648" ht="15.75" customHeight="1">
      <c r="A4648" s="217">
        <v>46202.0</v>
      </c>
      <c r="B4648" s="60"/>
      <c r="C4648" s="61" t="s">
        <v>1980</v>
      </c>
      <c r="D4648" s="62" t="s">
        <v>15</v>
      </c>
      <c r="E4648" s="61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47"/>
      <c r="M4648" s="50"/>
    </row>
    <row r="4649" ht="15.75" customHeight="1">
      <c r="A4649" s="217">
        <v>46202.0</v>
      </c>
      <c r="B4649" s="60"/>
      <c r="C4649" s="61" t="s">
        <v>1980</v>
      </c>
      <c r="D4649" s="62" t="s">
        <v>15</v>
      </c>
      <c r="E4649" s="61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47"/>
      <c r="M4649" s="50"/>
    </row>
    <row r="4650" ht="15.75" customHeight="1">
      <c r="A4650" s="217">
        <v>46202.0</v>
      </c>
      <c r="B4650" s="60"/>
      <c r="C4650" s="61" t="s">
        <v>1980</v>
      </c>
      <c r="D4650" s="62" t="s">
        <v>15</v>
      </c>
      <c r="E4650" s="62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47"/>
      <c r="M4650" s="50"/>
    </row>
    <row r="4651" ht="15.75" customHeight="1">
      <c r="A4651" s="217">
        <v>46202.0</v>
      </c>
      <c r="B4651" s="60"/>
      <c r="C4651" s="61" t="s">
        <v>4988</v>
      </c>
      <c r="D4651" s="62" t="s">
        <v>4989</v>
      </c>
      <c r="E4651" s="61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47"/>
      <c r="M4651" s="50"/>
    </row>
    <row r="4652" ht="15.75" customHeight="1">
      <c r="A4652" s="217">
        <v>46202.0</v>
      </c>
      <c r="B4652" s="60"/>
      <c r="C4652" s="61" t="s">
        <v>4988</v>
      </c>
      <c r="D4652" s="62" t="s">
        <v>4989</v>
      </c>
      <c r="E4652" s="62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47"/>
      <c r="M4652" s="50"/>
    </row>
    <row r="4653" ht="15.75" customHeight="1">
      <c r="A4653" s="217">
        <v>46202.0</v>
      </c>
      <c r="B4653" s="60"/>
      <c r="C4653" s="61" t="s">
        <v>4988</v>
      </c>
      <c r="D4653" s="62" t="s">
        <v>4989</v>
      </c>
      <c r="E4653" s="62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47"/>
      <c r="M4653" s="50"/>
    </row>
    <row r="4654" ht="15.75" customHeight="1">
      <c r="A4654" s="217">
        <v>46202.0</v>
      </c>
      <c r="B4654" s="60"/>
      <c r="C4654" s="61" t="s">
        <v>4988</v>
      </c>
      <c r="D4654" s="62" t="s">
        <v>4989</v>
      </c>
      <c r="E4654" s="62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47"/>
      <c r="M4654" s="50"/>
    </row>
    <row r="4655" ht="15.75" customHeight="1">
      <c r="A4655" s="217">
        <v>46202.0</v>
      </c>
      <c r="B4655" s="60"/>
      <c r="C4655" s="61" t="s">
        <v>4988</v>
      </c>
      <c r="D4655" s="62" t="s">
        <v>4989</v>
      </c>
      <c r="E4655" s="62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47"/>
      <c r="M4655" s="50"/>
    </row>
    <row r="4656" ht="15.75" customHeight="1">
      <c r="A4656" s="217">
        <v>46202.0</v>
      </c>
      <c r="B4656" s="60"/>
      <c r="C4656" s="61" t="s">
        <v>4988</v>
      </c>
      <c r="D4656" s="62" t="s">
        <v>4989</v>
      </c>
      <c r="E4656" s="62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47"/>
      <c r="M4656" s="50"/>
    </row>
    <row r="4657" ht="15.75" customHeight="1">
      <c r="A4657" s="217">
        <v>46202.0</v>
      </c>
      <c r="B4657" s="60"/>
      <c r="C4657" s="62" t="s">
        <v>2126</v>
      </c>
      <c r="D4657" s="62" t="s">
        <v>2148</v>
      </c>
      <c r="E4657" s="62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47"/>
      <c r="M4657" s="50"/>
    </row>
    <row r="4658" ht="15.75" customHeight="1">
      <c r="A4658" s="64"/>
      <c r="B4658" s="60"/>
      <c r="C4658" s="240"/>
      <c r="D4658" s="156"/>
      <c r="E4658" s="241"/>
      <c r="F4658" s="60"/>
      <c r="G4658" s="242"/>
      <c r="H4658" s="9">
        <f t="shared" si="11"/>
        <v>0</v>
      </c>
      <c r="I4658" s="44"/>
      <c r="J4658" s="44"/>
      <c r="K4658" s="10">
        <f t="shared" si="12"/>
        <v>0</v>
      </c>
      <c r="L4658" s="47"/>
      <c r="M4658" s="50"/>
    </row>
    <row r="4659" ht="15.75" customHeight="1">
      <c r="A4659" s="64"/>
      <c r="B4659" s="60"/>
      <c r="C4659" s="240"/>
      <c r="D4659" s="156"/>
      <c r="E4659" s="241"/>
      <c r="F4659" s="60"/>
      <c r="G4659" s="242"/>
      <c r="H4659" s="9">
        <f t="shared" si="11"/>
        <v>0</v>
      </c>
      <c r="I4659" s="44"/>
      <c r="J4659" s="44"/>
      <c r="K4659" s="10">
        <f t="shared" si="12"/>
        <v>0</v>
      </c>
      <c r="L4659" s="47"/>
      <c r="M4659" s="50"/>
    </row>
    <row r="4660" ht="15.75" customHeight="1">
      <c r="A4660" s="64"/>
      <c r="B4660" s="60"/>
      <c r="C4660" s="240"/>
      <c r="D4660" s="156"/>
      <c r="E4660" s="241"/>
      <c r="F4660" s="60"/>
      <c r="G4660" s="242"/>
      <c r="H4660" s="9">
        <f t="shared" si="11"/>
        <v>0</v>
      </c>
      <c r="I4660" s="44"/>
      <c r="J4660" s="44"/>
      <c r="K4660" s="10">
        <f t="shared" si="12"/>
        <v>0</v>
      </c>
      <c r="L4660" s="47"/>
      <c r="M4660" s="50"/>
    </row>
    <row r="4661" ht="15.75" customHeight="1">
      <c r="A4661" s="64"/>
      <c r="B4661" s="60"/>
      <c r="C4661" s="240"/>
      <c r="D4661" s="60"/>
      <c r="E4661" s="241"/>
      <c r="F4661" s="60"/>
      <c r="G4661" s="242"/>
      <c r="H4661" s="9">
        <f t="shared" si="11"/>
        <v>0</v>
      </c>
      <c r="I4661" s="44"/>
      <c r="J4661" s="44"/>
      <c r="K4661" s="10">
        <f t="shared" si="12"/>
        <v>0</v>
      </c>
      <c r="L4661" s="47"/>
      <c r="M4661" s="50"/>
    </row>
    <row r="4662" ht="15.75" customHeight="1">
      <c r="A4662" s="64"/>
      <c r="B4662" s="60"/>
      <c r="C4662" s="240"/>
      <c r="D4662" s="60"/>
      <c r="E4662" s="241"/>
      <c r="F4662" s="60"/>
      <c r="G4662" s="242"/>
      <c r="H4662" s="9">
        <f t="shared" si="11"/>
        <v>0</v>
      </c>
      <c r="I4662" s="44"/>
      <c r="J4662" s="44"/>
      <c r="K4662" s="10">
        <f t="shared" si="12"/>
        <v>0</v>
      </c>
      <c r="L4662" s="47"/>
      <c r="M4662" s="50"/>
    </row>
    <row r="4663" ht="15.75" customHeight="1">
      <c r="A4663" s="64"/>
      <c r="B4663" s="60"/>
      <c r="C4663" s="64"/>
      <c r="D4663" s="60"/>
      <c r="E4663" s="241"/>
      <c r="F4663" s="60"/>
      <c r="G4663" s="242"/>
      <c r="H4663" s="9">
        <f t="shared" si="11"/>
        <v>0</v>
      </c>
      <c r="I4663" s="44"/>
      <c r="J4663" s="44"/>
      <c r="K4663" s="10">
        <f t="shared" si="12"/>
        <v>0</v>
      </c>
      <c r="L4663" s="47"/>
      <c r="M4663" s="50"/>
    </row>
    <row r="4664" ht="15.75" customHeight="1">
      <c r="A4664" s="64"/>
      <c r="B4664" s="60"/>
      <c r="C4664" s="64"/>
      <c r="D4664" s="60"/>
      <c r="E4664" s="241"/>
      <c r="F4664" s="60"/>
      <c r="G4664" s="242"/>
      <c r="H4664" s="9">
        <f t="shared" si="11"/>
        <v>0</v>
      </c>
      <c r="I4664" s="44"/>
      <c r="J4664" s="44"/>
      <c r="K4664" s="10">
        <f t="shared" si="12"/>
        <v>0</v>
      </c>
      <c r="L4664" s="47"/>
      <c r="M4664" s="50"/>
    </row>
    <row r="4665" ht="15.75" customHeight="1">
      <c r="A4665" s="64"/>
      <c r="B4665" s="60"/>
      <c r="C4665" s="64"/>
      <c r="D4665" s="60"/>
      <c r="E4665" s="241"/>
      <c r="F4665" s="60"/>
      <c r="G4665" s="242"/>
      <c r="H4665" s="9">
        <f t="shared" si="11"/>
        <v>0</v>
      </c>
      <c r="I4665" s="44"/>
      <c r="J4665" s="44"/>
      <c r="K4665" s="10">
        <f t="shared" si="12"/>
        <v>0</v>
      </c>
      <c r="L4665" s="47"/>
      <c r="M4665" s="50"/>
    </row>
    <row r="4666" ht="15.75" customHeight="1">
      <c r="A4666" s="64"/>
      <c r="B4666" s="60"/>
      <c r="C4666" s="64"/>
      <c r="D4666" s="60"/>
      <c r="E4666" s="241"/>
      <c r="F4666" s="60"/>
      <c r="G4666" s="242"/>
      <c r="H4666" s="9">
        <f t="shared" si="11"/>
        <v>0</v>
      </c>
      <c r="I4666" s="44"/>
      <c r="J4666" s="44"/>
      <c r="K4666" s="10">
        <f t="shared" si="12"/>
        <v>0</v>
      </c>
      <c r="L4666" s="47"/>
      <c r="M4666" s="50"/>
    </row>
    <row r="4667" ht="15.75" customHeight="1">
      <c r="A4667" s="64"/>
      <c r="B4667" s="60"/>
      <c r="C4667" s="64"/>
      <c r="D4667" s="60"/>
      <c r="E4667" s="241"/>
      <c r="F4667" s="60"/>
      <c r="G4667" s="242"/>
      <c r="H4667" s="9">
        <f t="shared" si="11"/>
        <v>0</v>
      </c>
      <c r="I4667" s="44"/>
      <c r="J4667" s="44"/>
      <c r="K4667" s="10">
        <f t="shared" si="12"/>
        <v>0</v>
      </c>
      <c r="L4667" s="47"/>
      <c r="M4667" s="50"/>
    </row>
    <row r="4668" ht="15.75" customHeight="1">
      <c r="A4668" s="64"/>
      <c r="B4668" s="60"/>
      <c r="C4668" s="64"/>
      <c r="D4668" s="60"/>
      <c r="E4668" s="241"/>
      <c r="F4668" s="60"/>
      <c r="G4668" s="242"/>
      <c r="H4668" s="9">
        <f t="shared" si="11"/>
        <v>0</v>
      </c>
      <c r="I4668" s="44"/>
      <c r="J4668" s="44"/>
      <c r="K4668" s="10">
        <f t="shared" si="12"/>
        <v>0</v>
      </c>
      <c r="L4668" s="47"/>
      <c r="M4668" s="50"/>
    </row>
    <row r="4669" ht="15.75" customHeight="1">
      <c r="A4669" s="64"/>
      <c r="B4669" s="60"/>
      <c r="C4669" s="64"/>
      <c r="D4669" s="60"/>
      <c r="E4669" s="241"/>
      <c r="F4669" s="60"/>
      <c r="G4669" s="242"/>
      <c r="H4669" s="9">
        <f t="shared" si="11"/>
        <v>0</v>
      </c>
      <c r="I4669" s="44"/>
      <c r="J4669" s="44"/>
      <c r="K4669" s="10">
        <f t="shared" si="12"/>
        <v>0</v>
      </c>
      <c r="L4669" s="47"/>
      <c r="M4669" s="50"/>
    </row>
    <row r="4670" ht="15.75" customHeight="1">
      <c r="A4670" s="64"/>
      <c r="B4670" s="60"/>
      <c r="C4670" s="64"/>
      <c r="D4670" s="60"/>
      <c r="E4670" s="241"/>
      <c r="F4670" s="60"/>
      <c r="G4670" s="242"/>
      <c r="H4670" s="9">
        <f t="shared" si="11"/>
        <v>0</v>
      </c>
      <c r="I4670" s="44"/>
      <c r="J4670" s="44"/>
      <c r="K4670" s="10">
        <f t="shared" si="12"/>
        <v>0</v>
      </c>
      <c r="L4670" s="47"/>
      <c r="M4670" s="50"/>
    </row>
    <row r="4671" ht="15.75" customHeight="1">
      <c r="A4671" s="64"/>
      <c r="B4671" s="60"/>
      <c r="C4671" s="64"/>
      <c r="D4671" s="60"/>
      <c r="E4671" s="241"/>
      <c r="F4671" s="60"/>
      <c r="G4671" s="242"/>
      <c r="H4671" s="9">
        <f t="shared" si="11"/>
        <v>0</v>
      </c>
      <c r="I4671" s="44"/>
      <c r="J4671" s="44"/>
      <c r="K4671" s="10">
        <f t="shared" si="12"/>
        <v>0</v>
      </c>
      <c r="L4671" s="47"/>
      <c r="M4671" s="50"/>
    </row>
    <row r="4672" ht="15.75" customHeight="1">
      <c r="A4672" s="64"/>
      <c r="B4672" s="60"/>
      <c r="C4672" s="64"/>
      <c r="D4672" s="60"/>
      <c r="E4672" s="241"/>
      <c r="F4672" s="60"/>
      <c r="G4672" s="242"/>
      <c r="H4672" s="9">
        <f t="shared" si="11"/>
        <v>0</v>
      </c>
      <c r="I4672" s="44"/>
      <c r="J4672" s="44"/>
      <c r="K4672" s="10">
        <f t="shared" si="12"/>
        <v>0</v>
      </c>
      <c r="L4672" s="47"/>
      <c r="M4672" s="50"/>
    </row>
    <row r="4673" ht="15.75" customHeight="1">
      <c r="A4673" s="64"/>
      <c r="B4673" s="60"/>
      <c r="C4673" s="64"/>
      <c r="D4673" s="60"/>
      <c r="E4673" s="241"/>
      <c r="F4673" s="60"/>
      <c r="G4673" s="242"/>
      <c r="H4673" s="9">
        <f t="shared" si="11"/>
        <v>0</v>
      </c>
      <c r="I4673" s="44"/>
      <c r="J4673" s="44"/>
      <c r="K4673" s="10">
        <f t="shared" si="12"/>
        <v>0</v>
      </c>
      <c r="L4673" s="47"/>
      <c r="M4673" s="50"/>
    </row>
    <row r="4674" ht="15.75" customHeight="1">
      <c r="A4674" s="64"/>
      <c r="B4674" s="60"/>
      <c r="C4674" s="64"/>
      <c r="D4674" s="60"/>
      <c r="E4674" s="241"/>
      <c r="F4674" s="60"/>
      <c r="G4674" s="242"/>
      <c r="H4674" s="9">
        <f t="shared" si="11"/>
        <v>0</v>
      </c>
      <c r="I4674" s="44"/>
      <c r="J4674" s="44"/>
      <c r="K4674" s="10">
        <f t="shared" si="12"/>
        <v>0</v>
      </c>
      <c r="L4674" s="47"/>
      <c r="M4674" s="50"/>
    </row>
    <row r="4675" ht="15.75" customHeight="1">
      <c r="A4675" s="64"/>
      <c r="B4675" s="60"/>
      <c r="C4675" s="64"/>
      <c r="D4675" s="60"/>
      <c r="E4675" s="241"/>
      <c r="F4675" s="60"/>
      <c r="G4675" s="242"/>
      <c r="H4675" s="9">
        <f t="shared" si="11"/>
        <v>0</v>
      </c>
      <c r="I4675" s="44"/>
      <c r="J4675" s="44"/>
      <c r="K4675" s="10">
        <f t="shared" si="12"/>
        <v>0</v>
      </c>
      <c r="L4675" s="47"/>
      <c r="M4675" s="50"/>
    </row>
    <row r="4676" ht="15.75" customHeight="1">
      <c r="A4676" s="64"/>
      <c r="B4676" s="60"/>
      <c r="C4676" s="64"/>
      <c r="D4676" s="60"/>
      <c r="E4676" s="241"/>
      <c r="F4676" s="60"/>
      <c r="G4676" s="242"/>
      <c r="H4676" s="9">
        <f t="shared" si="11"/>
        <v>0</v>
      </c>
      <c r="I4676" s="44"/>
      <c r="J4676" s="44"/>
      <c r="K4676" s="10">
        <f t="shared" si="12"/>
        <v>0</v>
      </c>
      <c r="L4676" s="47"/>
      <c r="M4676" s="50"/>
    </row>
    <row r="4677" ht="15.75" customHeight="1">
      <c r="A4677" s="64"/>
      <c r="B4677" s="60"/>
      <c r="C4677" s="64"/>
      <c r="D4677" s="60"/>
      <c r="E4677" s="241"/>
      <c r="F4677" s="60"/>
      <c r="G4677" s="242"/>
      <c r="H4677" s="9">
        <f t="shared" si="11"/>
        <v>0</v>
      </c>
      <c r="I4677" s="44"/>
      <c r="J4677" s="44"/>
      <c r="K4677" s="10">
        <f t="shared" si="12"/>
        <v>0</v>
      </c>
      <c r="L4677" s="47"/>
      <c r="M4677" s="50"/>
    </row>
    <row r="4678" ht="15.75" customHeight="1">
      <c r="A4678" s="64"/>
      <c r="B4678" s="60"/>
      <c r="C4678" s="64"/>
      <c r="D4678" s="60"/>
      <c r="E4678" s="241"/>
      <c r="F4678" s="60"/>
      <c r="G4678" s="242"/>
      <c r="H4678" s="9">
        <f t="shared" si="11"/>
        <v>0</v>
      </c>
      <c r="I4678" s="44"/>
      <c r="J4678" s="44"/>
      <c r="K4678" s="10">
        <f t="shared" si="12"/>
        <v>0</v>
      </c>
      <c r="L4678" s="47"/>
      <c r="M4678" s="50"/>
    </row>
    <row r="4679" ht="15.75" customHeight="1">
      <c r="A4679" s="64"/>
      <c r="B4679" s="60"/>
      <c r="C4679" s="64"/>
      <c r="D4679" s="60"/>
      <c r="E4679" s="241"/>
      <c r="F4679" s="60"/>
      <c r="G4679" s="242"/>
      <c r="H4679" s="9">
        <f t="shared" si="11"/>
        <v>0</v>
      </c>
      <c r="I4679" s="44"/>
      <c r="J4679" s="44"/>
      <c r="K4679" s="10">
        <f t="shared" si="12"/>
        <v>0</v>
      </c>
      <c r="L4679" s="47"/>
      <c r="M4679" s="50"/>
    </row>
    <row r="4680" ht="15.75" customHeight="1">
      <c r="A4680" s="64"/>
      <c r="B4680" s="60"/>
      <c r="C4680" s="64"/>
      <c r="D4680" s="60"/>
      <c r="E4680" s="241"/>
      <c r="F4680" s="60"/>
      <c r="G4680" s="242"/>
      <c r="H4680" s="9">
        <f t="shared" si="11"/>
        <v>0</v>
      </c>
      <c r="I4680" s="44"/>
      <c r="J4680" s="44"/>
      <c r="K4680" s="10">
        <f t="shared" si="12"/>
        <v>0</v>
      </c>
      <c r="L4680" s="47"/>
      <c r="M4680" s="50"/>
    </row>
    <row r="4681" ht="15.75" customHeight="1">
      <c r="A4681" s="64"/>
      <c r="B4681" s="60"/>
      <c r="C4681" s="64"/>
      <c r="D4681" s="60"/>
      <c r="E4681" s="241"/>
      <c r="F4681" s="60"/>
      <c r="G4681" s="242"/>
      <c r="H4681" s="9">
        <f t="shared" si="11"/>
        <v>0</v>
      </c>
      <c r="I4681" s="44"/>
      <c r="J4681" s="44"/>
      <c r="K4681" s="10">
        <f t="shared" si="12"/>
        <v>0</v>
      </c>
      <c r="L4681" s="47"/>
      <c r="M4681" s="50"/>
    </row>
    <row r="4682" ht="15.75" customHeight="1">
      <c r="A4682" s="64"/>
      <c r="B4682" s="60"/>
      <c r="C4682" s="64"/>
      <c r="D4682" s="60"/>
      <c r="E4682" s="241"/>
      <c r="F4682" s="60"/>
      <c r="G4682" s="242"/>
      <c r="H4682" s="9">
        <f t="shared" si="11"/>
        <v>0</v>
      </c>
      <c r="I4682" s="44"/>
      <c r="J4682" s="44"/>
      <c r="K4682" s="10">
        <f t="shared" si="12"/>
        <v>0</v>
      </c>
      <c r="L4682" s="47"/>
      <c r="M4682" s="50"/>
    </row>
    <row r="4683" ht="15.75" customHeight="1">
      <c r="A4683" s="64"/>
      <c r="B4683" s="60"/>
      <c r="C4683" s="64"/>
      <c r="D4683" s="60"/>
      <c r="E4683" s="241"/>
      <c r="F4683" s="60"/>
      <c r="G4683" s="242"/>
      <c r="H4683" s="9">
        <f t="shared" si="11"/>
        <v>0</v>
      </c>
      <c r="I4683" s="44"/>
      <c r="J4683" s="44"/>
      <c r="K4683" s="10">
        <f t="shared" si="12"/>
        <v>0</v>
      </c>
      <c r="L4683" s="47"/>
      <c r="M4683" s="50"/>
    </row>
    <row r="4684" ht="15.75" customHeight="1">
      <c r="A4684" s="64"/>
      <c r="B4684" s="60"/>
      <c r="C4684" s="64"/>
      <c r="D4684" s="60"/>
      <c r="E4684" s="241"/>
      <c r="F4684" s="60"/>
      <c r="G4684" s="242"/>
      <c r="H4684" s="9">
        <f t="shared" si="11"/>
        <v>0</v>
      </c>
      <c r="I4684" s="44"/>
      <c r="J4684" s="44"/>
      <c r="K4684" s="10">
        <f t="shared" si="12"/>
        <v>0</v>
      </c>
      <c r="L4684" s="47"/>
      <c r="M4684" s="50"/>
    </row>
    <row r="4685" ht="15.75" customHeight="1">
      <c r="A4685" s="64"/>
      <c r="B4685" s="60"/>
      <c r="C4685" s="64"/>
      <c r="D4685" s="60"/>
      <c r="E4685" s="241"/>
      <c r="F4685" s="60"/>
      <c r="G4685" s="242"/>
      <c r="H4685" s="9">
        <f t="shared" si="11"/>
        <v>0</v>
      </c>
      <c r="I4685" s="44"/>
      <c r="J4685" s="44"/>
      <c r="K4685" s="10">
        <f t="shared" si="12"/>
        <v>0</v>
      </c>
      <c r="L4685" s="47"/>
      <c r="M4685" s="50"/>
    </row>
    <row r="4686" ht="15.75" customHeight="1">
      <c r="A4686" s="64"/>
      <c r="B4686" s="60"/>
      <c r="C4686" s="64"/>
      <c r="D4686" s="60"/>
      <c r="E4686" s="241"/>
      <c r="F4686" s="60"/>
      <c r="G4686" s="242"/>
      <c r="H4686" s="9">
        <f t="shared" si="11"/>
        <v>0</v>
      </c>
      <c r="I4686" s="44"/>
      <c r="J4686" s="44"/>
      <c r="K4686" s="10">
        <f t="shared" si="12"/>
        <v>0</v>
      </c>
      <c r="L4686" s="47"/>
      <c r="M4686" s="50"/>
    </row>
    <row r="4687" ht="15.75" customHeight="1">
      <c r="A4687" s="64"/>
      <c r="B4687" s="60"/>
      <c r="C4687" s="64"/>
      <c r="D4687" s="60"/>
      <c r="E4687" s="241"/>
      <c r="F4687" s="60"/>
      <c r="G4687" s="242"/>
      <c r="H4687" s="9">
        <f t="shared" si="11"/>
        <v>0</v>
      </c>
      <c r="I4687" s="44"/>
      <c r="J4687" s="44"/>
      <c r="K4687" s="10">
        <f t="shared" si="12"/>
        <v>0</v>
      </c>
      <c r="L4687" s="47"/>
      <c r="M4687" s="50"/>
    </row>
    <row r="4688" ht="15.75" customHeight="1">
      <c r="A4688" s="64"/>
      <c r="B4688" s="60"/>
      <c r="C4688" s="64"/>
      <c r="D4688" s="60"/>
      <c r="E4688" s="241"/>
      <c r="F4688" s="60"/>
      <c r="G4688" s="242"/>
      <c r="H4688" s="9">
        <f t="shared" si="11"/>
        <v>0</v>
      </c>
      <c r="I4688" s="44"/>
      <c r="J4688" s="44"/>
      <c r="K4688" s="10">
        <f t="shared" si="12"/>
        <v>0</v>
      </c>
      <c r="L4688" s="47"/>
      <c r="M4688" s="50"/>
    </row>
    <row r="4689" ht="15.75" customHeight="1">
      <c r="A4689" s="64"/>
      <c r="B4689" s="60"/>
      <c r="C4689" s="64"/>
      <c r="D4689" s="60"/>
      <c r="E4689" s="241"/>
      <c r="F4689" s="60"/>
      <c r="G4689" s="242"/>
      <c r="H4689" s="9">
        <f t="shared" si="11"/>
        <v>0</v>
      </c>
      <c r="I4689" s="44"/>
      <c r="J4689" s="44"/>
      <c r="K4689" s="10">
        <f t="shared" si="12"/>
        <v>0</v>
      </c>
      <c r="L4689" s="47"/>
      <c r="M4689" s="50"/>
    </row>
    <row r="4690" ht="15.75" customHeight="1">
      <c r="A4690" s="64"/>
      <c r="B4690" s="60"/>
      <c r="C4690" s="64"/>
      <c r="D4690" s="60"/>
      <c r="E4690" s="241"/>
      <c r="F4690" s="60"/>
      <c r="G4690" s="242"/>
      <c r="H4690" s="9">
        <f t="shared" si="11"/>
        <v>0</v>
      </c>
      <c r="I4690" s="44"/>
      <c r="J4690" s="44"/>
      <c r="K4690" s="10">
        <f t="shared" si="12"/>
        <v>0</v>
      </c>
      <c r="L4690" s="47"/>
      <c r="M4690" s="50"/>
    </row>
    <row r="4691" ht="15.75" customHeight="1">
      <c r="A4691" s="64"/>
      <c r="B4691" s="60"/>
      <c r="C4691" s="64"/>
      <c r="D4691" s="60"/>
      <c r="E4691" s="241"/>
      <c r="F4691" s="60"/>
      <c r="G4691" s="242"/>
      <c r="H4691" s="9">
        <f t="shared" si="11"/>
        <v>0</v>
      </c>
      <c r="I4691" s="44"/>
      <c r="J4691" s="44"/>
      <c r="K4691" s="10">
        <f t="shared" si="12"/>
        <v>0</v>
      </c>
      <c r="L4691" s="47"/>
      <c r="M4691" s="50"/>
    </row>
    <row r="4692" ht="15.75" customHeight="1">
      <c r="A4692" s="64"/>
      <c r="B4692" s="60"/>
      <c r="C4692" s="64"/>
      <c r="D4692" s="60"/>
      <c r="E4692" s="241"/>
      <c r="F4692" s="60"/>
      <c r="G4692" s="242"/>
      <c r="H4692" s="9">
        <f t="shared" si="11"/>
        <v>0</v>
      </c>
      <c r="I4692" s="44"/>
      <c r="J4692" s="44"/>
      <c r="K4692" s="10">
        <f t="shared" si="12"/>
        <v>0</v>
      </c>
      <c r="L4692" s="47"/>
      <c r="M4692" s="50"/>
    </row>
    <row r="4693" ht="15.75" customHeight="1">
      <c r="A4693" s="64"/>
      <c r="B4693" s="60"/>
      <c r="C4693" s="64"/>
      <c r="D4693" s="60"/>
      <c r="E4693" s="241"/>
      <c r="F4693" s="60"/>
      <c r="G4693" s="242"/>
      <c r="H4693" s="9">
        <f t="shared" si="11"/>
        <v>0</v>
      </c>
      <c r="I4693" s="44"/>
      <c r="J4693" s="44"/>
      <c r="K4693" s="10">
        <f t="shared" si="12"/>
        <v>0</v>
      </c>
      <c r="L4693" s="47"/>
      <c r="M4693" s="50"/>
    </row>
    <row r="4694" ht="15.75" customHeight="1">
      <c r="A4694" s="64"/>
      <c r="B4694" s="60"/>
      <c r="C4694" s="64"/>
      <c r="D4694" s="60"/>
      <c r="E4694" s="241"/>
      <c r="F4694" s="60"/>
      <c r="G4694" s="242"/>
      <c r="H4694" s="9">
        <f t="shared" si="11"/>
        <v>0</v>
      </c>
      <c r="I4694" s="44"/>
      <c r="J4694" s="44"/>
      <c r="K4694" s="10">
        <f t="shared" si="12"/>
        <v>0</v>
      </c>
      <c r="L4694" s="47"/>
      <c r="M4694" s="50"/>
    </row>
    <row r="4695" ht="15.75" customHeight="1">
      <c r="A4695" s="64"/>
      <c r="B4695" s="60"/>
      <c r="C4695" s="64"/>
      <c r="D4695" s="60"/>
      <c r="E4695" s="241"/>
      <c r="F4695" s="60"/>
      <c r="G4695" s="242"/>
      <c r="H4695" s="9">
        <f t="shared" si="11"/>
        <v>0</v>
      </c>
      <c r="I4695" s="44"/>
      <c r="J4695" s="44"/>
      <c r="K4695" s="10">
        <f t="shared" si="12"/>
        <v>0</v>
      </c>
      <c r="L4695" s="47"/>
      <c r="M4695" s="50"/>
    </row>
    <row r="4696" ht="15.75" customHeight="1">
      <c r="A4696" s="64"/>
      <c r="B4696" s="60"/>
      <c r="C4696" s="64"/>
      <c r="D4696" s="60"/>
      <c r="E4696" s="241"/>
      <c r="F4696" s="60"/>
      <c r="G4696" s="242"/>
      <c r="H4696" s="9">
        <f t="shared" si="11"/>
        <v>0</v>
      </c>
      <c r="I4696" s="44"/>
      <c r="J4696" s="44"/>
      <c r="K4696" s="10">
        <f t="shared" si="12"/>
        <v>0</v>
      </c>
      <c r="L4696" s="47"/>
      <c r="M4696" s="50"/>
    </row>
    <row r="4697" ht="15.75" customHeight="1">
      <c r="A4697" s="64"/>
      <c r="B4697" s="60"/>
      <c r="C4697" s="64"/>
      <c r="D4697" s="60"/>
      <c r="E4697" s="241"/>
      <c r="F4697" s="60"/>
      <c r="G4697" s="242"/>
      <c r="H4697" s="9">
        <f t="shared" si="11"/>
        <v>0</v>
      </c>
      <c r="I4697" s="44"/>
      <c r="J4697" s="44"/>
      <c r="K4697" s="10">
        <f t="shared" si="12"/>
        <v>0</v>
      </c>
      <c r="L4697" s="47"/>
      <c r="M4697" s="50"/>
    </row>
    <row r="4698" ht="15.75" customHeight="1">
      <c r="A4698" s="64"/>
      <c r="B4698" s="60"/>
      <c r="C4698" s="64"/>
      <c r="D4698" s="60"/>
      <c r="E4698" s="241"/>
      <c r="F4698" s="60"/>
      <c r="G4698" s="242"/>
      <c r="H4698" s="9">
        <f t="shared" si="11"/>
        <v>0</v>
      </c>
      <c r="I4698" s="44"/>
      <c r="J4698" s="44"/>
      <c r="K4698" s="10">
        <f t="shared" si="12"/>
        <v>0</v>
      </c>
      <c r="L4698" s="47"/>
      <c r="M4698" s="50"/>
    </row>
    <row r="4699" ht="15.75" customHeight="1">
      <c r="A4699" s="64"/>
      <c r="B4699" s="60"/>
      <c r="C4699" s="64"/>
      <c r="D4699" s="60"/>
      <c r="E4699" s="241"/>
      <c r="F4699" s="60"/>
      <c r="G4699" s="242"/>
      <c r="H4699" s="9">
        <f t="shared" si="11"/>
        <v>0</v>
      </c>
      <c r="I4699" s="44"/>
      <c r="J4699" s="44"/>
      <c r="K4699" s="10">
        <f t="shared" si="12"/>
        <v>0</v>
      </c>
      <c r="L4699" s="47"/>
      <c r="M4699" s="50"/>
    </row>
    <row r="4700" ht="15.75" customHeight="1">
      <c r="A4700" s="64"/>
      <c r="B4700" s="60"/>
      <c r="C4700" s="64"/>
      <c r="D4700" s="60"/>
      <c r="E4700" s="241"/>
      <c r="F4700" s="60"/>
      <c r="G4700" s="242"/>
      <c r="H4700" s="9">
        <f t="shared" si="11"/>
        <v>0</v>
      </c>
      <c r="I4700" s="44"/>
      <c r="J4700" s="44"/>
      <c r="K4700" s="10">
        <f t="shared" si="12"/>
        <v>0</v>
      </c>
      <c r="L4700" s="47"/>
      <c r="M4700" s="50"/>
    </row>
    <row r="4701" ht="15.75" customHeight="1">
      <c r="A4701" s="64"/>
      <c r="B4701" s="60"/>
      <c r="C4701" s="64"/>
      <c r="D4701" s="60"/>
      <c r="E4701" s="241"/>
      <c r="F4701" s="60"/>
      <c r="G4701" s="242"/>
      <c r="H4701" s="9">
        <f t="shared" si="11"/>
        <v>0</v>
      </c>
      <c r="I4701" s="44"/>
      <c r="J4701" s="44"/>
      <c r="K4701" s="10">
        <f t="shared" si="12"/>
        <v>0</v>
      </c>
      <c r="L4701" s="47"/>
      <c r="M4701" s="50"/>
    </row>
    <row r="4702" ht="15.75" customHeight="1">
      <c r="A4702" s="64"/>
      <c r="B4702" s="60"/>
      <c r="C4702" s="64"/>
      <c r="D4702" s="60"/>
      <c r="E4702" s="241"/>
      <c r="F4702" s="60"/>
      <c r="G4702" s="242"/>
      <c r="H4702" s="9">
        <f t="shared" si="11"/>
        <v>0</v>
      </c>
      <c r="I4702" s="44"/>
      <c r="J4702" s="44"/>
      <c r="K4702" s="10">
        <f t="shared" si="12"/>
        <v>0</v>
      </c>
      <c r="L4702" s="47"/>
      <c r="M4702" s="50"/>
    </row>
    <row r="4703" ht="15.75" customHeight="1">
      <c r="A4703" s="64"/>
      <c r="B4703" s="60"/>
      <c r="C4703" s="64"/>
      <c r="D4703" s="60"/>
      <c r="E4703" s="241"/>
      <c r="F4703" s="60"/>
      <c r="G4703" s="242"/>
      <c r="H4703" s="9">
        <f t="shared" si="11"/>
        <v>0</v>
      </c>
      <c r="I4703" s="44"/>
      <c r="J4703" s="44"/>
      <c r="K4703" s="10">
        <f t="shared" si="12"/>
        <v>0</v>
      </c>
      <c r="L4703" s="47"/>
      <c r="M4703" s="50"/>
    </row>
    <row r="4704" ht="15.75" customHeight="1">
      <c r="A4704" s="64"/>
      <c r="B4704" s="60"/>
      <c r="C4704" s="64"/>
      <c r="D4704" s="60"/>
      <c r="E4704" s="241"/>
      <c r="F4704" s="60"/>
      <c r="G4704" s="242"/>
      <c r="H4704" s="9">
        <f t="shared" si="11"/>
        <v>0</v>
      </c>
      <c r="I4704" s="44"/>
      <c r="J4704" s="44"/>
      <c r="K4704" s="10">
        <f t="shared" si="12"/>
        <v>0</v>
      </c>
      <c r="L4704" s="47"/>
      <c r="M4704" s="50"/>
    </row>
    <row r="4705" ht="15.75" customHeight="1">
      <c r="A4705" s="64"/>
      <c r="B4705" s="60"/>
      <c r="C4705" s="64"/>
      <c r="D4705" s="60"/>
      <c r="E4705" s="241"/>
      <c r="F4705" s="60"/>
      <c r="G4705" s="242"/>
      <c r="H4705" s="9">
        <f t="shared" si="11"/>
        <v>0</v>
      </c>
      <c r="I4705" s="44"/>
      <c r="J4705" s="44"/>
      <c r="K4705" s="10">
        <f t="shared" si="12"/>
        <v>0</v>
      </c>
      <c r="L4705" s="47"/>
      <c r="M4705" s="50"/>
    </row>
    <row r="4706" ht="15.75" customHeight="1">
      <c r="A4706" s="64"/>
      <c r="B4706" s="60"/>
      <c r="C4706" s="64"/>
      <c r="D4706" s="60"/>
      <c r="E4706" s="241"/>
      <c r="F4706" s="60"/>
      <c r="G4706" s="242"/>
      <c r="H4706" s="9">
        <f t="shared" si="11"/>
        <v>0</v>
      </c>
      <c r="I4706" s="44"/>
      <c r="J4706" s="44"/>
      <c r="K4706" s="10">
        <f t="shared" si="12"/>
        <v>0</v>
      </c>
      <c r="L4706" s="47"/>
      <c r="M4706" s="50"/>
    </row>
    <row r="4707" ht="15.75" customHeight="1">
      <c r="A4707" s="64"/>
      <c r="B4707" s="60"/>
      <c r="C4707" s="64"/>
      <c r="D4707" s="60"/>
      <c r="E4707" s="241"/>
      <c r="F4707" s="60"/>
      <c r="G4707" s="242"/>
      <c r="H4707" s="9">
        <f t="shared" si="11"/>
        <v>0</v>
      </c>
      <c r="I4707" s="44"/>
      <c r="J4707" s="44"/>
      <c r="K4707" s="10">
        <f t="shared" si="12"/>
        <v>0</v>
      </c>
      <c r="L4707" s="47"/>
      <c r="M4707" s="50"/>
    </row>
    <row r="4708" ht="15.75" customHeight="1">
      <c r="A4708" s="64"/>
      <c r="B4708" s="60"/>
      <c r="C4708" s="64"/>
      <c r="D4708" s="60"/>
      <c r="E4708" s="241"/>
      <c r="F4708" s="60"/>
      <c r="G4708" s="242"/>
      <c r="H4708" s="9">
        <f t="shared" si="11"/>
        <v>0</v>
      </c>
      <c r="I4708" s="44"/>
      <c r="J4708" s="44"/>
      <c r="K4708" s="10">
        <f t="shared" si="12"/>
        <v>0</v>
      </c>
      <c r="L4708" s="47"/>
      <c r="M4708" s="50"/>
    </row>
    <row r="4709" ht="15.75" customHeight="1">
      <c r="A4709" s="64"/>
      <c r="B4709" s="60"/>
      <c r="C4709" s="64"/>
      <c r="D4709" s="60"/>
      <c r="E4709" s="241"/>
      <c r="F4709" s="60"/>
      <c r="G4709" s="242"/>
      <c r="H4709" s="9">
        <f t="shared" si="11"/>
        <v>0</v>
      </c>
      <c r="I4709" s="44"/>
      <c r="J4709" s="44"/>
      <c r="K4709" s="10">
        <f t="shared" si="12"/>
        <v>0</v>
      </c>
      <c r="L4709" s="47"/>
      <c r="M4709" s="50"/>
    </row>
    <row r="4710" ht="15.75" customHeight="1">
      <c r="A4710" s="64"/>
      <c r="B4710" s="60"/>
      <c r="C4710" s="64"/>
      <c r="D4710" s="60"/>
      <c r="E4710" s="241"/>
      <c r="F4710" s="60"/>
      <c r="G4710" s="242"/>
      <c r="H4710" s="9">
        <f t="shared" si="11"/>
        <v>0</v>
      </c>
      <c r="I4710" s="44"/>
      <c r="J4710" s="44"/>
      <c r="K4710" s="10">
        <f t="shared" si="12"/>
        <v>0</v>
      </c>
      <c r="L4710" s="47"/>
      <c r="M4710" s="50"/>
    </row>
    <row r="4711" ht="15.75" customHeight="1">
      <c r="A4711" s="64"/>
      <c r="B4711" s="60"/>
      <c r="C4711" s="64"/>
      <c r="D4711" s="60"/>
      <c r="E4711" s="241"/>
      <c r="F4711" s="60"/>
      <c r="G4711" s="242"/>
      <c r="H4711" s="9">
        <f t="shared" si="11"/>
        <v>0</v>
      </c>
      <c r="I4711" s="44"/>
      <c r="J4711" s="44"/>
      <c r="K4711" s="10">
        <f t="shared" si="12"/>
        <v>0</v>
      </c>
      <c r="L4711" s="47"/>
      <c r="M4711" s="50"/>
    </row>
    <row r="4712" ht="15.75" customHeight="1">
      <c r="A4712" s="64"/>
      <c r="B4712" s="60"/>
      <c r="C4712" s="64"/>
      <c r="D4712" s="60"/>
      <c r="E4712" s="241"/>
      <c r="F4712" s="60"/>
      <c r="G4712" s="242"/>
      <c r="H4712" s="9">
        <f t="shared" si="11"/>
        <v>0</v>
      </c>
      <c r="I4712" s="44"/>
      <c r="J4712" s="44"/>
      <c r="K4712" s="10">
        <f t="shared" si="12"/>
        <v>0</v>
      </c>
      <c r="L4712" s="47"/>
      <c r="M4712" s="50"/>
    </row>
    <row r="4713" ht="15.75" customHeight="1">
      <c r="A4713" s="64"/>
      <c r="B4713" s="60"/>
      <c r="C4713" s="64"/>
      <c r="D4713" s="60"/>
      <c r="E4713" s="241"/>
      <c r="F4713" s="60"/>
      <c r="G4713" s="242"/>
      <c r="H4713" s="9">
        <f t="shared" si="11"/>
        <v>0</v>
      </c>
      <c r="I4713" s="44"/>
      <c r="J4713" s="44"/>
      <c r="K4713" s="10">
        <f t="shared" si="12"/>
        <v>0</v>
      </c>
      <c r="L4713" s="47"/>
      <c r="M4713" s="50"/>
    </row>
    <row r="4714" ht="15.75" customHeight="1">
      <c r="A4714" s="64"/>
      <c r="B4714" s="60"/>
      <c r="C4714" s="64"/>
      <c r="D4714" s="60"/>
      <c r="E4714" s="241"/>
      <c r="F4714" s="60"/>
      <c r="G4714" s="242"/>
      <c r="H4714" s="9">
        <f t="shared" si="11"/>
        <v>0</v>
      </c>
      <c r="I4714" s="44"/>
      <c r="J4714" s="44"/>
      <c r="K4714" s="10">
        <f t="shared" si="12"/>
        <v>0</v>
      </c>
      <c r="L4714" s="47"/>
      <c r="M4714" s="50"/>
    </row>
    <row r="4715" ht="15.75" customHeight="1">
      <c r="A4715" s="64"/>
      <c r="B4715" s="60"/>
      <c r="C4715" s="64"/>
      <c r="D4715" s="60"/>
      <c r="E4715" s="241"/>
      <c r="F4715" s="60"/>
      <c r="G4715" s="242"/>
      <c r="H4715" s="9">
        <f t="shared" si="11"/>
        <v>0</v>
      </c>
      <c r="I4715" s="44"/>
      <c r="J4715" s="44"/>
      <c r="K4715" s="10">
        <f t="shared" si="12"/>
        <v>0</v>
      </c>
      <c r="L4715" s="47"/>
      <c r="M4715" s="50"/>
    </row>
    <row r="4716" ht="15.75" customHeight="1">
      <c r="A4716" s="64"/>
      <c r="B4716" s="60"/>
      <c r="C4716" s="64"/>
      <c r="D4716" s="60"/>
      <c r="E4716" s="241"/>
      <c r="F4716" s="60"/>
      <c r="G4716" s="242"/>
      <c r="H4716" s="9">
        <f t="shared" si="11"/>
        <v>0</v>
      </c>
      <c r="I4716" s="44"/>
      <c r="J4716" s="44"/>
      <c r="K4716" s="10">
        <f t="shared" si="12"/>
        <v>0</v>
      </c>
      <c r="L4716" s="47"/>
      <c r="M4716" s="50"/>
    </row>
    <row r="4717" ht="15.75" customHeight="1">
      <c r="A4717" s="64"/>
      <c r="B4717" s="60"/>
      <c r="C4717" s="64"/>
      <c r="D4717" s="60"/>
      <c r="E4717" s="241"/>
      <c r="F4717" s="60"/>
      <c r="G4717" s="242"/>
      <c r="H4717" s="9">
        <f t="shared" si="11"/>
        <v>0</v>
      </c>
      <c r="I4717" s="44"/>
      <c r="J4717" s="44"/>
      <c r="K4717" s="10">
        <f t="shared" si="12"/>
        <v>0</v>
      </c>
      <c r="L4717" s="47"/>
      <c r="M4717" s="50"/>
    </row>
    <row r="4718" ht="15.75" customHeight="1">
      <c r="A4718" s="64"/>
      <c r="B4718" s="60"/>
      <c r="C4718" s="64"/>
      <c r="D4718" s="60"/>
      <c r="E4718" s="241"/>
      <c r="F4718" s="60"/>
      <c r="G4718" s="242"/>
      <c r="H4718" s="9">
        <f t="shared" si="11"/>
        <v>0</v>
      </c>
      <c r="I4718" s="44"/>
      <c r="J4718" s="44"/>
      <c r="K4718" s="10">
        <f t="shared" si="12"/>
        <v>0</v>
      </c>
      <c r="L4718" s="47"/>
      <c r="M4718" s="50"/>
    </row>
    <row r="4719" ht="15.75" customHeight="1">
      <c r="A4719" s="64"/>
      <c r="B4719" s="60"/>
      <c r="C4719" s="64"/>
      <c r="D4719" s="60"/>
      <c r="E4719" s="241"/>
      <c r="F4719" s="60"/>
      <c r="G4719" s="242"/>
      <c r="H4719" s="9">
        <f t="shared" si="11"/>
        <v>0</v>
      </c>
      <c r="I4719" s="44"/>
      <c r="J4719" s="44"/>
      <c r="K4719" s="10">
        <f t="shared" si="12"/>
        <v>0</v>
      </c>
      <c r="L4719" s="47"/>
      <c r="M4719" s="50"/>
    </row>
    <row r="4720" ht="15.75" customHeight="1">
      <c r="A4720" s="64"/>
      <c r="B4720" s="60"/>
      <c r="C4720" s="64"/>
      <c r="D4720" s="60"/>
      <c r="E4720" s="241"/>
      <c r="F4720" s="60"/>
      <c r="G4720" s="242"/>
      <c r="H4720" s="9">
        <f t="shared" si="11"/>
        <v>0</v>
      </c>
      <c r="I4720" s="44"/>
      <c r="J4720" s="44"/>
      <c r="K4720" s="10">
        <f t="shared" si="12"/>
        <v>0</v>
      </c>
      <c r="L4720" s="47"/>
      <c r="M4720" s="50"/>
    </row>
    <row r="4721" ht="15.75" customHeight="1">
      <c r="A4721" s="64"/>
      <c r="B4721" s="60"/>
      <c r="C4721" s="64"/>
      <c r="D4721" s="60"/>
      <c r="E4721" s="241"/>
      <c r="F4721" s="60"/>
      <c r="G4721" s="242"/>
      <c r="H4721" s="9">
        <f t="shared" si="11"/>
        <v>0</v>
      </c>
      <c r="I4721" s="44"/>
      <c r="J4721" s="44"/>
      <c r="K4721" s="10">
        <f t="shared" si="12"/>
        <v>0</v>
      </c>
      <c r="L4721" s="47"/>
      <c r="M4721" s="50"/>
    </row>
    <row r="4722" ht="15.75" customHeight="1">
      <c r="A4722" s="64"/>
      <c r="B4722" s="60"/>
      <c r="C4722" s="64"/>
      <c r="D4722" s="60"/>
      <c r="E4722" s="241"/>
      <c r="F4722" s="60"/>
      <c r="G4722" s="242"/>
      <c r="H4722" s="9">
        <f t="shared" si="11"/>
        <v>0</v>
      </c>
      <c r="I4722" s="44"/>
      <c r="J4722" s="44"/>
      <c r="K4722" s="10">
        <f t="shared" si="12"/>
        <v>0</v>
      </c>
      <c r="L4722" s="47"/>
      <c r="M4722" s="50"/>
    </row>
    <row r="4723" ht="15.75" customHeight="1">
      <c r="A4723" s="64"/>
      <c r="B4723" s="60"/>
      <c r="C4723" s="64"/>
      <c r="D4723" s="60"/>
      <c r="E4723" s="241"/>
      <c r="F4723" s="60"/>
      <c r="G4723" s="242"/>
      <c r="H4723" s="9">
        <f t="shared" si="11"/>
        <v>0</v>
      </c>
      <c r="I4723" s="44"/>
      <c r="J4723" s="44"/>
      <c r="K4723" s="10">
        <f t="shared" si="12"/>
        <v>0</v>
      </c>
      <c r="L4723" s="47"/>
      <c r="M4723" s="50"/>
    </row>
    <row r="4724" ht="15.75" customHeight="1">
      <c r="A4724" s="64"/>
      <c r="B4724" s="60"/>
      <c r="C4724" s="64"/>
      <c r="D4724" s="60"/>
      <c r="E4724" s="241"/>
      <c r="F4724" s="60"/>
      <c r="G4724" s="242"/>
      <c r="H4724" s="9">
        <f t="shared" si="11"/>
        <v>0</v>
      </c>
      <c r="I4724" s="44"/>
      <c r="J4724" s="44"/>
      <c r="K4724" s="10">
        <f t="shared" si="12"/>
        <v>0</v>
      </c>
      <c r="L4724" s="47"/>
      <c r="M4724" s="50"/>
    </row>
    <row r="4725" ht="15.75" customHeight="1">
      <c r="A4725" s="64"/>
      <c r="B4725" s="60"/>
      <c r="C4725" s="64"/>
      <c r="D4725" s="60"/>
      <c r="E4725" s="241"/>
      <c r="F4725" s="60"/>
      <c r="G4725" s="242"/>
      <c r="H4725" s="9">
        <f t="shared" si="11"/>
        <v>0</v>
      </c>
      <c r="I4725" s="44"/>
      <c r="J4725" s="44"/>
      <c r="K4725" s="10">
        <f t="shared" si="12"/>
        <v>0</v>
      </c>
      <c r="L4725" s="47"/>
      <c r="M4725" s="50"/>
    </row>
    <row r="4726" ht="15.75" customHeight="1">
      <c r="A4726" s="64"/>
      <c r="B4726" s="60"/>
      <c r="C4726" s="64"/>
      <c r="D4726" s="60"/>
      <c r="E4726" s="241"/>
      <c r="F4726" s="60"/>
      <c r="G4726" s="242"/>
      <c r="H4726" s="9">
        <f t="shared" si="11"/>
        <v>0</v>
      </c>
      <c r="I4726" s="44"/>
      <c r="J4726" s="44"/>
      <c r="K4726" s="10">
        <f t="shared" si="12"/>
        <v>0</v>
      </c>
      <c r="L4726" s="47"/>
      <c r="M4726" s="50"/>
    </row>
    <row r="4727" ht="15.75" customHeight="1">
      <c r="A4727" s="64"/>
      <c r="B4727" s="60"/>
      <c r="C4727" s="64"/>
      <c r="D4727" s="60"/>
      <c r="E4727" s="241"/>
      <c r="F4727" s="60"/>
      <c r="G4727" s="242"/>
      <c r="H4727" s="9">
        <f t="shared" si="11"/>
        <v>0</v>
      </c>
      <c r="I4727" s="44"/>
      <c r="J4727" s="44"/>
      <c r="K4727" s="10">
        <f t="shared" si="12"/>
        <v>0</v>
      </c>
      <c r="L4727" s="47"/>
      <c r="M4727" s="50"/>
    </row>
    <row r="4728" ht="15.75" customHeight="1">
      <c r="A4728" s="64"/>
      <c r="B4728" s="60"/>
      <c r="C4728" s="64"/>
      <c r="D4728" s="60"/>
      <c r="E4728" s="241"/>
      <c r="F4728" s="60"/>
      <c r="G4728" s="242"/>
      <c r="H4728" s="9">
        <f t="shared" si="11"/>
        <v>0</v>
      </c>
      <c r="I4728" s="44"/>
      <c r="J4728" s="44"/>
      <c r="K4728" s="10">
        <f t="shared" si="12"/>
        <v>0</v>
      </c>
      <c r="L4728" s="47"/>
      <c r="M4728" s="50"/>
    </row>
    <row r="4729" ht="15.75" customHeight="1">
      <c r="A4729" s="64"/>
      <c r="B4729" s="60"/>
      <c r="C4729" s="64"/>
      <c r="D4729" s="60"/>
      <c r="E4729" s="241"/>
      <c r="F4729" s="60"/>
      <c r="G4729" s="242"/>
      <c r="H4729" s="9">
        <f t="shared" si="11"/>
        <v>0</v>
      </c>
      <c r="I4729" s="44"/>
      <c r="J4729" s="44"/>
      <c r="K4729" s="10">
        <f t="shared" si="12"/>
        <v>0</v>
      </c>
      <c r="L4729" s="47"/>
      <c r="M4729" s="50"/>
    </row>
    <row r="4730" ht="15.75" customHeight="1">
      <c r="A4730" s="64"/>
      <c r="B4730" s="60"/>
      <c r="C4730" s="64"/>
      <c r="D4730" s="60"/>
      <c r="E4730" s="241"/>
      <c r="F4730" s="60"/>
      <c r="G4730" s="242"/>
      <c r="H4730" s="9">
        <f t="shared" si="11"/>
        <v>0</v>
      </c>
      <c r="I4730" s="44"/>
      <c r="J4730" s="44"/>
      <c r="K4730" s="10">
        <f t="shared" si="12"/>
        <v>0</v>
      </c>
      <c r="L4730" s="47"/>
      <c r="M4730" s="50"/>
    </row>
    <row r="4731" ht="15.75" customHeight="1">
      <c r="A4731" s="64"/>
      <c r="B4731" s="60"/>
      <c r="C4731" s="64"/>
      <c r="D4731" s="60"/>
      <c r="E4731" s="241"/>
      <c r="F4731" s="60"/>
      <c r="G4731" s="242"/>
      <c r="H4731" s="9">
        <f t="shared" si="11"/>
        <v>0</v>
      </c>
      <c r="I4731" s="44"/>
      <c r="J4731" s="44"/>
      <c r="K4731" s="10">
        <f t="shared" si="12"/>
        <v>0</v>
      </c>
      <c r="L4731" s="47"/>
      <c r="M4731" s="50"/>
    </row>
    <row r="4732" ht="15.75" customHeight="1">
      <c r="A4732" s="64"/>
      <c r="B4732" s="60"/>
      <c r="C4732" s="64"/>
      <c r="D4732" s="60"/>
      <c r="E4732" s="241"/>
      <c r="F4732" s="60"/>
      <c r="G4732" s="242"/>
      <c r="H4732" s="9">
        <f t="shared" si="11"/>
        <v>0</v>
      </c>
      <c r="I4732" s="44"/>
      <c r="J4732" s="44"/>
      <c r="K4732" s="10">
        <f t="shared" si="12"/>
        <v>0</v>
      </c>
      <c r="L4732" s="47"/>
      <c r="M4732" s="50"/>
    </row>
    <row r="4733" ht="15.75" customHeight="1">
      <c r="A4733" s="64"/>
      <c r="B4733" s="60"/>
      <c r="C4733" s="64"/>
      <c r="D4733" s="60"/>
      <c r="E4733" s="241"/>
      <c r="F4733" s="60"/>
      <c r="G4733" s="242"/>
      <c r="H4733" s="9">
        <f t="shared" si="11"/>
        <v>0</v>
      </c>
      <c r="I4733" s="44"/>
      <c r="J4733" s="44"/>
      <c r="K4733" s="10">
        <f t="shared" si="12"/>
        <v>0</v>
      </c>
      <c r="L4733" s="47"/>
      <c r="M4733" s="50"/>
    </row>
    <row r="4734" ht="15.75" customHeight="1">
      <c r="A4734" s="64"/>
      <c r="B4734" s="60"/>
      <c r="C4734" s="64"/>
      <c r="D4734" s="60"/>
      <c r="E4734" s="241"/>
      <c r="F4734" s="60"/>
      <c r="G4734" s="242"/>
      <c r="H4734" s="9">
        <f t="shared" si="11"/>
        <v>0</v>
      </c>
      <c r="I4734" s="44"/>
      <c r="J4734" s="44"/>
      <c r="K4734" s="10">
        <f t="shared" si="12"/>
        <v>0</v>
      </c>
      <c r="L4734" s="47"/>
      <c r="M4734" s="50"/>
    </row>
    <row r="4735" ht="15.75" customHeight="1">
      <c r="A4735" s="64"/>
      <c r="B4735" s="60"/>
      <c r="C4735" s="64"/>
      <c r="D4735" s="60"/>
      <c r="E4735" s="241"/>
      <c r="F4735" s="60"/>
      <c r="G4735" s="242"/>
      <c r="H4735" s="9">
        <f t="shared" si="11"/>
        <v>0</v>
      </c>
      <c r="I4735" s="44"/>
      <c r="J4735" s="44"/>
      <c r="K4735" s="10">
        <f t="shared" si="12"/>
        <v>0</v>
      </c>
      <c r="L4735" s="47"/>
      <c r="M4735" s="50"/>
    </row>
    <row r="4736" ht="15.75" customHeight="1">
      <c r="A4736" s="64"/>
      <c r="B4736" s="60"/>
      <c r="C4736" s="64"/>
      <c r="D4736" s="60"/>
      <c r="E4736" s="241"/>
      <c r="F4736" s="60"/>
      <c r="G4736" s="242"/>
      <c r="H4736" s="9">
        <f t="shared" si="11"/>
        <v>0</v>
      </c>
      <c r="I4736" s="44"/>
      <c r="J4736" s="44"/>
      <c r="K4736" s="10">
        <f t="shared" si="12"/>
        <v>0</v>
      </c>
      <c r="L4736" s="47"/>
      <c r="M4736" s="50"/>
    </row>
    <row r="4737" ht="15.75" customHeight="1">
      <c r="A4737" s="64"/>
      <c r="B4737" s="60"/>
      <c r="C4737" s="64"/>
      <c r="D4737" s="60"/>
      <c r="E4737" s="241"/>
      <c r="F4737" s="60"/>
      <c r="G4737" s="242"/>
      <c r="H4737" s="9">
        <f t="shared" si="11"/>
        <v>0</v>
      </c>
      <c r="I4737" s="44"/>
      <c r="J4737" s="44"/>
      <c r="K4737" s="10">
        <f t="shared" si="12"/>
        <v>0</v>
      </c>
      <c r="L4737" s="47"/>
      <c r="M4737" s="50"/>
    </row>
    <row r="4738" ht="15.75" customHeight="1">
      <c r="A4738" s="64"/>
      <c r="B4738" s="60"/>
      <c r="C4738" s="64"/>
      <c r="D4738" s="60"/>
      <c r="E4738" s="241"/>
      <c r="F4738" s="60"/>
      <c r="G4738" s="242"/>
      <c r="H4738" s="9">
        <f t="shared" si="11"/>
        <v>0</v>
      </c>
      <c r="I4738" s="44"/>
      <c r="J4738" s="44"/>
      <c r="K4738" s="10">
        <f t="shared" si="12"/>
        <v>0</v>
      </c>
      <c r="L4738" s="47"/>
      <c r="M4738" s="50"/>
    </row>
    <row r="4739" ht="15.75" customHeight="1">
      <c r="A4739" s="64"/>
      <c r="B4739" s="60"/>
      <c r="C4739" s="64"/>
      <c r="D4739" s="60"/>
      <c r="E4739" s="241"/>
      <c r="F4739" s="60"/>
      <c r="G4739" s="242"/>
      <c r="H4739" s="9">
        <f t="shared" si="11"/>
        <v>0</v>
      </c>
      <c r="I4739" s="44"/>
      <c r="J4739" s="44"/>
      <c r="K4739" s="10">
        <f t="shared" si="12"/>
        <v>0</v>
      </c>
      <c r="L4739" s="47"/>
      <c r="M4739" s="50"/>
    </row>
    <row r="4740" ht="15.75" customHeight="1">
      <c r="A4740" s="64"/>
      <c r="B4740" s="60"/>
      <c r="C4740" s="64"/>
      <c r="D4740" s="60"/>
      <c r="E4740" s="241"/>
      <c r="F4740" s="60"/>
      <c r="G4740" s="242"/>
      <c r="H4740" s="9">
        <f t="shared" si="11"/>
        <v>0</v>
      </c>
      <c r="I4740" s="44"/>
      <c r="J4740" s="44"/>
      <c r="K4740" s="10">
        <f t="shared" si="12"/>
        <v>0</v>
      </c>
      <c r="L4740" s="47"/>
      <c r="M4740" s="50"/>
    </row>
    <row r="4741" ht="15.75" customHeight="1">
      <c r="A4741" s="64"/>
      <c r="B4741" s="60"/>
      <c r="C4741" s="64"/>
      <c r="D4741" s="60"/>
      <c r="E4741" s="241"/>
      <c r="F4741" s="60"/>
      <c r="G4741" s="242"/>
      <c r="H4741" s="9">
        <f t="shared" si="11"/>
        <v>0</v>
      </c>
      <c r="I4741" s="44"/>
      <c r="J4741" s="44"/>
      <c r="K4741" s="10">
        <f t="shared" si="12"/>
        <v>0</v>
      </c>
      <c r="L4741" s="47"/>
      <c r="M4741" s="50"/>
    </row>
    <row r="4742" ht="15.75" customHeight="1">
      <c r="A4742" s="64"/>
      <c r="B4742" s="60"/>
      <c r="C4742" s="64"/>
      <c r="D4742" s="60"/>
      <c r="E4742" s="241"/>
      <c r="F4742" s="60"/>
      <c r="G4742" s="242"/>
      <c r="H4742" s="9">
        <f t="shared" si="11"/>
        <v>0</v>
      </c>
      <c r="I4742" s="44"/>
      <c r="J4742" s="44"/>
      <c r="K4742" s="10">
        <f t="shared" si="12"/>
        <v>0</v>
      </c>
      <c r="L4742" s="47"/>
      <c r="M4742" s="50"/>
    </row>
    <row r="4743" ht="15.75" customHeight="1">
      <c r="A4743" s="64"/>
      <c r="B4743" s="60"/>
      <c r="C4743" s="64"/>
      <c r="D4743" s="60"/>
      <c r="E4743" s="241"/>
      <c r="F4743" s="60"/>
      <c r="G4743" s="242"/>
      <c r="H4743" s="9">
        <f t="shared" si="11"/>
        <v>0</v>
      </c>
      <c r="I4743" s="44"/>
      <c r="J4743" s="44"/>
      <c r="K4743" s="10">
        <f t="shared" si="12"/>
        <v>0</v>
      </c>
      <c r="L4743" s="47"/>
      <c r="M4743" s="50"/>
    </row>
    <row r="4744" ht="15.75" customHeight="1">
      <c r="A4744" s="64"/>
      <c r="B4744" s="60"/>
      <c r="C4744" s="64"/>
      <c r="D4744" s="60"/>
      <c r="E4744" s="241"/>
      <c r="F4744" s="60"/>
      <c r="G4744" s="242"/>
      <c r="H4744" s="9">
        <f t="shared" si="11"/>
        <v>0</v>
      </c>
      <c r="I4744" s="44"/>
      <c r="J4744" s="44"/>
      <c r="K4744" s="10">
        <f t="shared" si="12"/>
        <v>0</v>
      </c>
      <c r="L4744" s="47"/>
      <c r="M4744" s="50"/>
    </row>
    <row r="4745" ht="15.75" customHeight="1">
      <c r="A4745" s="64"/>
      <c r="B4745" s="60"/>
      <c r="C4745" s="64"/>
      <c r="D4745" s="60"/>
      <c r="E4745" s="241"/>
      <c r="F4745" s="60"/>
      <c r="G4745" s="242"/>
      <c r="H4745" s="9">
        <f t="shared" si="11"/>
        <v>0</v>
      </c>
      <c r="I4745" s="44"/>
      <c r="J4745" s="44"/>
      <c r="K4745" s="10">
        <f t="shared" si="12"/>
        <v>0</v>
      </c>
      <c r="L4745" s="47"/>
      <c r="M4745" s="50"/>
    </row>
    <row r="4746" ht="15.75" customHeight="1">
      <c r="A4746" s="64"/>
      <c r="B4746" s="60"/>
      <c r="C4746" s="64"/>
      <c r="D4746" s="60"/>
      <c r="E4746" s="241"/>
      <c r="F4746" s="60"/>
      <c r="G4746" s="242"/>
      <c r="H4746" s="9">
        <f t="shared" si="11"/>
        <v>0</v>
      </c>
      <c r="I4746" s="44"/>
      <c r="J4746" s="44"/>
      <c r="K4746" s="10">
        <f t="shared" si="12"/>
        <v>0</v>
      </c>
      <c r="L4746" s="47"/>
      <c r="M4746" s="50"/>
    </row>
    <row r="4747" ht="15.75" customHeight="1">
      <c r="A4747" s="64"/>
      <c r="B4747" s="60"/>
      <c r="C4747" s="64"/>
      <c r="D4747" s="60"/>
      <c r="E4747" s="241"/>
      <c r="F4747" s="60"/>
      <c r="G4747" s="242"/>
      <c r="H4747" s="9">
        <f t="shared" si="11"/>
        <v>0</v>
      </c>
      <c r="I4747" s="44"/>
      <c r="J4747" s="44"/>
      <c r="K4747" s="10">
        <f t="shared" si="12"/>
        <v>0</v>
      </c>
      <c r="L4747" s="47"/>
      <c r="M4747" s="50"/>
    </row>
    <row r="4748" ht="15.75" customHeight="1">
      <c r="A4748" s="64"/>
      <c r="B4748" s="60"/>
      <c r="C4748" s="64"/>
      <c r="D4748" s="60"/>
      <c r="E4748" s="241"/>
      <c r="F4748" s="60"/>
      <c r="G4748" s="242"/>
      <c r="H4748" s="9">
        <f t="shared" si="11"/>
        <v>0</v>
      </c>
      <c r="I4748" s="44"/>
      <c r="J4748" s="44"/>
      <c r="K4748" s="10">
        <f t="shared" si="12"/>
        <v>0</v>
      </c>
      <c r="L4748" s="47"/>
      <c r="M4748" s="50"/>
    </row>
    <row r="4749" ht="15.75" customHeight="1">
      <c r="A4749" s="64"/>
      <c r="B4749" s="60"/>
      <c r="C4749" s="64"/>
      <c r="D4749" s="60"/>
      <c r="E4749" s="241"/>
      <c r="F4749" s="60"/>
      <c r="G4749" s="242"/>
      <c r="H4749" s="9">
        <f t="shared" si="11"/>
        <v>0</v>
      </c>
      <c r="I4749" s="44"/>
      <c r="J4749" s="44"/>
      <c r="K4749" s="10">
        <f t="shared" si="12"/>
        <v>0</v>
      </c>
      <c r="L4749" s="47"/>
      <c r="M4749" s="50"/>
    </row>
    <row r="4750" ht="15.75" customHeight="1">
      <c r="A4750" s="64"/>
      <c r="B4750" s="60"/>
      <c r="C4750" s="64"/>
      <c r="D4750" s="60"/>
      <c r="E4750" s="241"/>
      <c r="F4750" s="60"/>
      <c r="G4750" s="242"/>
      <c r="H4750" s="9">
        <f t="shared" si="11"/>
        <v>0</v>
      </c>
      <c r="I4750" s="44"/>
      <c r="J4750" s="44"/>
      <c r="K4750" s="10">
        <f t="shared" si="12"/>
        <v>0</v>
      </c>
      <c r="L4750" s="47"/>
      <c r="M4750" s="50"/>
    </row>
    <row r="4751" ht="15.75" customHeight="1">
      <c r="A4751" s="64"/>
      <c r="B4751" s="60"/>
      <c r="C4751" s="64"/>
      <c r="D4751" s="60"/>
      <c r="E4751" s="241"/>
      <c r="F4751" s="60"/>
      <c r="G4751" s="242"/>
      <c r="H4751" s="9">
        <f t="shared" si="11"/>
        <v>0</v>
      </c>
      <c r="I4751" s="44"/>
      <c r="J4751" s="44"/>
      <c r="K4751" s="10">
        <f t="shared" si="12"/>
        <v>0</v>
      </c>
      <c r="L4751" s="47"/>
      <c r="M4751" s="50"/>
    </row>
    <row r="4752" ht="15.75" customHeight="1">
      <c r="A4752" s="64"/>
      <c r="B4752" s="60"/>
      <c r="C4752" s="64"/>
      <c r="D4752" s="60"/>
      <c r="E4752" s="241"/>
      <c r="F4752" s="60"/>
      <c r="G4752" s="242"/>
      <c r="H4752" s="9">
        <f t="shared" si="11"/>
        <v>0</v>
      </c>
      <c r="I4752" s="44"/>
      <c r="J4752" s="44"/>
      <c r="K4752" s="10">
        <f t="shared" si="12"/>
        <v>0</v>
      </c>
      <c r="L4752" s="47"/>
      <c r="M4752" s="50"/>
    </row>
    <row r="4753" ht="15.75" customHeight="1">
      <c r="A4753" s="64"/>
      <c r="B4753" s="60"/>
      <c r="C4753" s="64"/>
      <c r="D4753" s="60"/>
      <c r="E4753" s="241"/>
      <c r="F4753" s="60"/>
      <c r="G4753" s="242"/>
      <c r="H4753" s="9">
        <f t="shared" si="11"/>
        <v>0</v>
      </c>
      <c r="I4753" s="44"/>
      <c r="J4753" s="44"/>
      <c r="K4753" s="10">
        <f t="shared" si="12"/>
        <v>0</v>
      </c>
      <c r="L4753" s="47"/>
      <c r="M4753" s="50"/>
    </row>
    <row r="4754" ht="15.75" customHeight="1">
      <c r="A4754" s="64"/>
      <c r="B4754" s="60"/>
      <c r="C4754" s="64"/>
      <c r="D4754" s="60"/>
      <c r="E4754" s="241"/>
      <c r="F4754" s="60"/>
      <c r="G4754" s="242"/>
      <c r="H4754" s="9">
        <f t="shared" si="11"/>
        <v>0</v>
      </c>
      <c r="I4754" s="44"/>
      <c r="J4754" s="44"/>
      <c r="K4754" s="10">
        <f t="shared" si="12"/>
        <v>0</v>
      </c>
      <c r="L4754" s="47"/>
      <c r="M4754" s="50"/>
    </row>
    <row r="4755" ht="15.75" customHeight="1">
      <c r="A4755" s="64"/>
      <c r="B4755" s="60"/>
      <c r="C4755" s="64"/>
      <c r="D4755" s="60"/>
      <c r="E4755" s="241"/>
      <c r="F4755" s="60"/>
      <c r="G4755" s="242"/>
      <c r="H4755" s="9">
        <f t="shared" si="11"/>
        <v>0</v>
      </c>
      <c r="I4755" s="44"/>
      <c r="J4755" s="44"/>
      <c r="K4755" s="10">
        <f t="shared" si="12"/>
        <v>0</v>
      </c>
      <c r="L4755" s="47"/>
      <c r="M4755" s="50"/>
    </row>
    <row r="4756" ht="15.75" customHeight="1">
      <c r="A4756" s="64"/>
      <c r="B4756" s="60"/>
      <c r="C4756" s="64"/>
      <c r="D4756" s="60"/>
      <c r="E4756" s="241"/>
      <c r="F4756" s="60"/>
      <c r="G4756" s="242"/>
      <c r="H4756" s="9">
        <f t="shared" si="11"/>
        <v>0</v>
      </c>
      <c r="I4756" s="44"/>
      <c r="J4756" s="44"/>
      <c r="K4756" s="10">
        <f t="shared" si="12"/>
        <v>0</v>
      </c>
      <c r="L4756" s="47"/>
      <c r="M4756" s="50"/>
    </row>
    <row r="4757" ht="15.75" customHeight="1">
      <c r="A4757" s="64"/>
      <c r="B4757" s="60"/>
      <c r="C4757" s="64"/>
      <c r="D4757" s="60"/>
      <c r="E4757" s="241"/>
      <c r="F4757" s="60"/>
      <c r="G4757" s="242"/>
      <c r="H4757" s="9">
        <f t="shared" si="11"/>
        <v>0</v>
      </c>
      <c r="I4757" s="44"/>
      <c r="J4757" s="44"/>
      <c r="K4757" s="10">
        <f t="shared" si="12"/>
        <v>0</v>
      </c>
      <c r="L4757" s="47"/>
      <c r="M4757" s="50"/>
    </row>
    <row r="4758" ht="15.75" customHeight="1">
      <c r="A4758" s="64"/>
      <c r="B4758" s="60"/>
      <c r="C4758" s="64"/>
      <c r="D4758" s="60"/>
      <c r="E4758" s="241"/>
      <c r="F4758" s="60"/>
      <c r="G4758" s="242"/>
      <c r="H4758" s="9">
        <f t="shared" si="11"/>
        <v>0</v>
      </c>
      <c r="I4758" s="44"/>
      <c r="J4758" s="44"/>
      <c r="K4758" s="10">
        <f t="shared" si="12"/>
        <v>0</v>
      </c>
      <c r="L4758" s="47"/>
      <c r="M4758" s="50"/>
    </row>
    <row r="4759" ht="15.75" customHeight="1">
      <c r="A4759" s="64"/>
      <c r="B4759" s="60"/>
      <c r="C4759" s="64"/>
      <c r="D4759" s="60"/>
      <c r="E4759" s="241"/>
      <c r="F4759" s="60"/>
      <c r="G4759" s="242"/>
      <c r="H4759" s="9">
        <f t="shared" si="11"/>
        <v>0</v>
      </c>
      <c r="I4759" s="44"/>
      <c r="J4759" s="44"/>
      <c r="K4759" s="10">
        <f t="shared" si="12"/>
        <v>0</v>
      </c>
      <c r="L4759" s="47"/>
      <c r="M4759" s="50"/>
    </row>
    <row r="4760" ht="15.75" customHeight="1">
      <c r="A4760" s="64"/>
      <c r="B4760" s="60"/>
      <c r="C4760" s="64"/>
      <c r="D4760" s="60"/>
      <c r="E4760" s="241"/>
      <c r="F4760" s="60"/>
      <c r="G4760" s="242"/>
      <c r="H4760" s="9">
        <f t="shared" si="11"/>
        <v>0</v>
      </c>
      <c r="I4760" s="44"/>
      <c r="J4760" s="44"/>
      <c r="K4760" s="10">
        <f t="shared" si="12"/>
        <v>0</v>
      </c>
      <c r="L4760" s="47"/>
      <c r="M4760" s="50"/>
    </row>
    <row r="4761" ht="15.75" customHeight="1">
      <c r="A4761" s="64"/>
      <c r="B4761" s="60"/>
      <c r="C4761" s="64"/>
      <c r="D4761" s="60"/>
      <c r="E4761" s="241"/>
      <c r="F4761" s="60"/>
      <c r="G4761" s="242"/>
      <c r="H4761" s="9">
        <f t="shared" si="11"/>
        <v>0</v>
      </c>
      <c r="I4761" s="44"/>
      <c r="J4761" s="44"/>
      <c r="K4761" s="10">
        <f t="shared" si="12"/>
        <v>0</v>
      </c>
      <c r="L4761" s="47"/>
      <c r="M4761" s="50"/>
    </row>
    <row r="4762" ht="15.75" customHeight="1">
      <c r="A4762" s="64"/>
      <c r="B4762" s="60"/>
      <c r="C4762" s="64"/>
      <c r="D4762" s="60"/>
      <c r="E4762" s="241"/>
      <c r="F4762" s="60"/>
      <c r="G4762" s="242"/>
      <c r="H4762" s="9">
        <f t="shared" si="11"/>
        <v>0</v>
      </c>
      <c r="I4762" s="44"/>
      <c r="J4762" s="44"/>
      <c r="K4762" s="10">
        <f t="shared" si="12"/>
        <v>0</v>
      </c>
      <c r="L4762" s="47"/>
      <c r="M4762" s="50"/>
    </row>
    <row r="4763" ht="15.75" customHeight="1">
      <c r="A4763" s="64"/>
      <c r="B4763" s="60"/>
      <c r="C4763" s="64"/>
      <c r="D4763" s="60"/>
      <c r="E4763" s="241"/>
      <c r="F4763" s="60"/>
      <c r="G4763" s="242"/>
      <c r="H4763" s="9">
        <f t="shared" si="11"/>
        <v>0</v>
      </c>
      <c r="I4763" s="44"/>
      <c r="J4763" s="44"/>
      <c r="K4763" s="10">
        <f t="shared" si="12"/>
        <v>0</v>
      </c>
      <c r="L4763" s="47"/>
      <c r="M4763" s="50"/>
    </row>
    <row r="4764" ht="15.75" customHeight="1">
      <c r="A4764" s="64"/>
      <c r="B4764" s="60"/>
      <c r="C4764" s="64"/>
      <c r="D4764" s="60"/>
      <c r="E4764" s="241"/>
      <c r="F4764" s="60"/>
      <c r="G4764" s="242"/>
      <c r="H4764" s="9">
        <f t="shared" si="11"/>
        <v>0</v>
      </c>
      <c r="I4764" s="44"/>
      <c r="J4764" s="44"/>
      <c r="K4764" s="10">
        <f t="shared" si="12"/>
        <v>0</v>
      </c>
      <c r="L4764" s="47"/>
      <c r="M4764" s="50"/>
    </row>
    <row r="4765" ht="15.75" customHeight="1">
      <c r="A4765" s="64"/>
      <c r="B4765" s="60"/>
      <c r="C4765" s="64"/>
      <c r="D4765" s="60"/>
      <c r="E4765" s="241"/>
      <c r="F4765" s="60"/>
      <c r="G4765" s="242"/>
      <c r="H4765" s="9">
        <f t="shared" si="11"/>
        <v>0</v>
      </c>
      <c r="I4765" s="44"/>
      <c r="J4765" s="44"/>
      <c r="K4765" s="10">
        <f t="shared" si="12"/>
        <v>0</v>
      </c>
      <c r="L4765" s="47"/>
      <c r="M4765" s="50"/>
    </row>
    <row r="4766" ht="15.75" customHeight="1">
      <c r="A4766" s="64"/>
      <c r="B4766" s="60"/>
      <c r="C4766" s="64"/>
      <c r="D4766" s="60"/>
      <c r="E4766" s="241"/>
      <c r="F4766" s="60"/>
      <c r="G4766" s="242"/>
      <c r="H4766" s="9">
        <f t="shared" si="11"/>
        <v>0</v>
      </c>
      <c r="I4766" s="44"/>
      <c r="J4766" s="44"/>
      <c r="K4766" s="10">
        <f t="shared" si="12"/>
        <v>0</v>
      </c>
      <c r="L4766" s="47"/>
      <c r="M4766" s="50"/>
    </row>
    <row r="4767" ht="15.75" customHeight="1">
      <c r="A4767" s="64"/>
      <c r="B4767" s="60"/>
      <c r="C4767" s="64"/>
      <c r="D4767" s="60"/>
      <c r="E4767" s="241"/>
      <c r="F4767" s="60"/>
      <c r="G4767" s="242"/>
      <c r="H4767" s="9">
        <f t="shared" si="11"/>
        <v>0</v>
      </c>
      <c r="I4767" s="44"/>
      <c r="J4767" s="44"/>
      <c r="K4767" s="10">
        <f t="shared" si="12"/>
        <v>0</v>
      </c>
      <c r="L4767" s="47"/>
      <c r="M4767" s="50"/>
    </row>
    <row r="4768" ht="15.75" customHeight="1">
      <c r="A4768" s="64"/>
      <c r="B4768" s="60"/>
      <c r="C4768" s="64"/>
      <c r="D4768" s="60"/>
      <c r="E4768" s="241"/>
      <c r="F4768" s="60"/>
      <c r="G4768" s="242"/>
      <c r="H4768" s="9">
        <f t="shared" si="11"/>
        <v>0</v>
      </c>
      <c r="I4768" s="44"/>
      <c r="J4768" s="44"/>
      <c r="K4768" s="10">
        <f t="shared" si="12"/>
        <v>0</v>
      </c>
      <c r="L4768" s="47"/>
      <c r="M4768" s="50"/>
    </row>
    <row r="4769" ht="15.75" customHeight="1">
      <c r="A4769" s="64"/>
      <c r="B4769" s="60"/>
      <c r="C4769" s="64"/>
      <c r="D4769" s="60"/>
      <c r="E4769" s="241"/>
      <c r="F4769" s="60"/>
      <c r="G4769" s="242"/>
      <c r="H4769" s="9">
        <f t="shared" si="11"/>
        <v>0</v>
      </c>
      <c r="I4769" s="44"/>
      <c r="J4769" s="44"/>
      <c r="K4769" s="10">
        <f t="shared" si="12"/>
        <v>0</v>
      </c>
      <c r="L4769" s="47"/>
      <c r="M4769" s="50"/>
    </row>
    <row r="4770" ht="15.75" customHeight="1">
      <c r="A4770" s="64"/>
      <c r="B4770" s="60"/>
      <c r="C4770" s="64"/>
      <c r="D4770" s="60"/>
      <c r="E4770" s="241"/>
      <c r="F4770" s="60"/>
      <c r="G4770" s="242"/>
      <c r="H4770" s="9">
        <f t="shared" si="11"/>
        <v>0</v>
      </c>
      <c r="I4770" s="44"/>
      <c r="J4770" s="44"/>
      <c r="K4770" s="10">
        <f t="shared" si="12"/>
        <v>0</v>
      </c>
      <c r="L4770" s="47"/>
      <c r="M4770" s="50"/>
    </row>
    <row r="4771" ht="15.75" customHeight="1">
      <c r="A4771" s="64"/>
      <c r="B4771" s="60"/>
      <c r="C4771" s="64"/>
      <c r="D4771" s="60"/>
      <c r="E4771" s="241"/>
      <c r="F4771" s="60"/>
      <c r="G4771" s="242"/>
      <c r="H4771" s="9">
        <f t="shared" si="11"/>
        <v>0</v>
      </c>
      <c r="I4771" s="44"/>
      <c r="J4771" s="44"/>
      <c r="K4771" s="10">
        <f t="shared" si="12"/>
        <v>0</v>
      </c>
      <c r="L4771" s="47"/>
      <c r="M4771" s="50"/>
    </row>
    <row r="4772" ht="15.75" customHeight="1">
      <c r="A4772" s="64"/>
      <c r="B4772" s="60"/>
      <c r="C4772" s="64"/>
      <c r="D4772" s="60"/>
      <c r="E4772" s="241"/>
      <c r="F4772" s="60"/>
      <c r="G4772" s="242"/>
      <c r="H4772" s="9">
        <f t="shared" si="11"/>
        <v>0</v>
      </c>
      <c r="I4772" s="44"/>
      <c r="J4772" s="44"/>
      <c r="K4772" s="10">
        <f t="shared" si="12"/>
        <v>0</v>
      </c>
      <c r="L4772" s="47"/>
      <c r="M4772" s="50"/>
    </row>
    <row r="4773" ht="15.75" customHeight="1">
      <c r="A4773" s="64"/>
      <c r="B4773" s="60"/>
      <c r="C4773" s="64"/>
      <c r="D4773" s="60"/>
      <c r="E4773" s="241"/>
      <c r="F4773" s="60"/>
      <c r="G4773" s="242"/>
      <c r="H4773" s="9">
        <f t="shared" si="11"/>
        <v>0</v>
      </c>
      <c r="I4773" s="44"/>
      <c r="J4773" s="44"/>
      <c r="K4773" s="10">
        <f t="shared" si="12"/>
        <v>0</v>
      </c>
      <c r="L4773" s="47"/>
      <c r="M4773" s="50"/>
    </row>
    <row r="4774" ht="15.75" customHeight="1">
      <c r="A4774" s="64"/>
      <c r="B4774" s="60"/>
      <c r="C4774" s="64"/>
      <c r="D4774" s="60"/>
      <c r="E4774" s="241"/>
      <c r="F4774" s="60"/>
      <c r="G4774" s="242"/>
      <c r="H4774" s="9">
        <f t="shared" si="11"/>
        <v>0</v>
      </c>
      <c r="I4774" s="44"/>
      <c r="J4774" s="44"/>
      <c r="K4774" s="10">
        <f t="shared" si="12"/>
        <v>0</v>
      </c>
      <c r="L4774" s="47"/>
      <c r="M4774" s="50"/>
    </row>
    <row r="4775" ht="15.75" customHeight="1">
      <c r="A4775" s="64"/>
      <c r="B4775" s="60"/>
      <c r="C4775" s="64"/>
      <c r="D4775" s="60"/>
      <c r="E4775" s="241"/>
      <c r="F4775" s="60"/>
      <c r="G4775" s="242"/>
      <c r="H4775" s="9">
        <f t="shared" si="11"/>
        <v>0</v>
      </c>
      <c r="I4775" s="44"/>
      <c r="J4775" s="44"/>
      <c r="K4775" s="10">
        <f t="shared" si="12"/>
        <v>0</v>
      </c>
      <c r="L4775" s="47"/>
      <c r="M4775" s="50"/>
    </row>
    <row r="4776" ht="15.75" customHeight="1">
      <c r="A4776" s="64"/>
      <c r="B4776" s="60"/>
      <c r="C4776" s="64"/>
      <c r="D4776" s="60"/>
      <c r="E4776" s="241"/>
      <c r="F4776" s="60"/>
      <c r="G4776" s="242"/>
      <c r="H4776" s="9">
        <f t="shared" si="11"/>
        <v>0</v>
      </c>
      <c r="I4776" s="44"/>
      <c r="J4776" s="44"/>
      <c r="K4776" s="10">
        <f t="shared" si="12"/>
        <v>0</v>
      </c>
      <c r="L4776" s="47"/>
      <c r="M4776" s="50"/>
    </row>
    <row r="4777" ht="15.75" customHeight="1">
      <c r="A4777" s="64"/>
      <c r="B4777" s="60"/>
      <c r="C4777" s="64"/>
      <c r="D4777" s="60"/>
      <c r="E4777" s="241"/>
      <c r="F4777" s="60"/>
      <c r="G4777" s="242"/>
      <c r="H4777" s="9">
        <f t="shared" si="11"/>
        <v>0</v>
      </c>
      <c r="I4777" s="44"/>
      <c r="J4777" s="44"/>
      <c r="K4777" s="10">
        <f t="shared" si="12"/>
        <v>0</v>
      </c>
      <c r="L4777" s="47"/>
      <c r="M4777" s="50"/>
    </row>
    <row r="4778" ht="15.75" customHeight="1">
      <c r="A4778" s="64"/>
      <c r="B4778" s="60"/>
      <c r="C4778" s="64"/>
      <c r="D4778" s="60"/>
      <c r="E4778" s="241"/>
      <c r="F4778" s="60"/>
      <c r="G4778" s="242"/>
      <c r="H4778" s="9">
        <f t="shared" si="11"/>
        <v>0</v>
      </c>
      <c r="I4778" s="44"/>
      <c r="J4778" s="44"/>
      <c r="K4778" s="10">
        <f t="shared" si="12"/>
        <v>0</v>
      </c>
      <c r="L4778" s="47"/>
      <c r="M4778" s="50"/>
    </row>
    <row r="4779" ht="15.75" customHeight="1">
      <c r="A4779" s="243"/>
      <c r="B4779" s="244"/>
      <c r="C4779" s="243"/>
      <c r="D4779" s="244"/>
      <c r="E4779" s="245"/>
      <c r="F4779" s="244"/>
      <c r="G4779" s="246"/>
      <c r="H4779" s="247"/>
      <c r="I4779" s="86"/>
      <c r="J4779" s="86"/>
      <c r="K4779" s="248"/>
      <c r="M4779" s="249"/>
    </row>
    <row r="4780" ht="15.75" customHeight="1">
      <c r="A4780" s="243"/>
      <c r="B4780" s="244"/>
      <c r="C4780" s="243"/>
      <c r="D4780" s="244"/>
      <c r="E4780" s="245"/>
      <c r="F4780" s="244"/>
      <c r="G4780" s="246"/>
      <c r="H4780" s="247"/>
      <c r="I4780" s="86"/>
      <c r="J4780" s="86"/>
      <c r="K4780" s="248"/>
      <c r="M4780" s="249"/>
    </row>
    <row r="4781" ht="15.75" customHeight="1">
      <c r="A4781" s="243"/>
      <c r="B4781" s="244"/>
      <c r="C4781" s="243"/>
      <c r="D4781" s="244"/>
      <c r="E4781" s="245"/>
      <c r="F4781" s="244"/>
      <c r="G4781" s="246"/>
      <c r="H4781" s="247"/>
      <c r="I4781" s="86"/>
      <c r="J4781" s="86"/>
      <c r="K4781" s="248"/>
      <c r="M4781" s="249"/>
    </row>
    <row r="4782" ht="15.75" customHeight="1">
      <c r="A4782" s="243"/>
      <c r="B4782" s="244"/>
      <c r="C4782" s="243"/>
      <c r="D4782" s="244"/>
      <c r="E4782" s="245"/>
      <c r="F4782" s="244"/>
      <c r="G4782" s="246"/>
      <c r="H4782" s="247"/>
      <c r="I4782" s="86"/>
      <c r="J4782" s="86"/>
      <c r="K4782" s="248"/>
      <c r="M4782" s="249"/>
    </row>
    <row r="4783" ht="15.75" customHeight="1">
      <c r="A4783" s="243"/>
      <c r="B4783" s="244"/>
      <c r="C4783" s="243"/>
      <c r="D4783" s="244"/>
      <c r="E4783" s="245"/>
      <c r="F4783" s="244"/>
      <c r="G4783" s="246"/>
      <c r="H4783" s="247"/>
      <c r="I4783" s="86"/>
      <c r="J4783" s="86"/>
      <c r="K4783" s="248"/>
      <c r="M4783" s="249"/>
    </row>
    <row r="4784" ht="15.75" customHeight="1">
      <c r="A4784" s="243"/>
      <c r="B4784" s="244"/>
      <c r="C4784" s="243"/>
      <c r="D4784" s="244"/>
      <c r="E4784" s="245"/>
      <c r="F4784" s="244"/>
      <c r="G4784" s="246"/>
      <c r="H4784" s="247"/>
      <c r="I4784" s="86"/>
      <c r="J4784" s="86"/>
      <c r="K4784" s="248"/>
      <c r="M4784" s="249"/>
    </row>
    <row r="4785" ht="15.75" customHeight="1">
      <c r="A4785" s="243"/>
      <c r="B4785" s="244"/>
      <c r="C4785" s="243"/>
      <c r="D4785" s="244"/>
      <c r="E4785" s="245"/>
      <c r="F4785" s="244"/>
      <c r="G4785" s="246"/>
      <c r="H4785" s="247"/>
      <c r="I4785" s="86"/>
      <c r="J4785" s="86"/>
      <c r="K4785" s="248"/>
      <c r="M4785" s="249"/>
    </row>
    <row r="4786" ht="15.75" customHeight="1">
      <c r="A4786" s="243"/>
      <c r="B4786" s="244"/>
      <c r="C4786" s="243"/>
      <c r="D4786" s="244"/>
      <c r="E4786" s="245"/>
      <c r="F4786" s="244"/>
      <c r="G4786" s="246"/>
      <c r="H4786" s="247"/>
      <c r="I4786" s="86"/>
      <c r="J4786" s="86"/>
      <c r="K4786" s="248"/>
      <c r="M4786" s="249"/>
    </row>
    <row r="4787" ht="15.75" customHeight="1">
      <c r="A4787" s="243"/>
      <c r="B4787" s="244"/>
      <c r="C4787" s="243"/>
      <c r="D4787" s="244"/>
      <c r="E4787" s="245"/>
      <c r="F4787" s="244"/>
      <c r="G4787" s="246"/>
      <c r="H4787" s="247"/>
      <c r="I4787" s="86"/>
      <c r="J4787" s="86"/>
      <c r="K4787" s="248"/>
      <c r="M4787" s="249"/>
    </row>
    <row r="4788" ht="15.75" customHeight="1">
      <c r="A4788" s="243"/>
      <c r="B4788" s="244"/>
      <c r="C4788" s="243"/>
      <c r="D4788" s="244"/>
      <c r="E4788" s="245"/>
      <c r="F4788" s="244"/>
      <c r="G4788" s="246"/>
      <c r="H4788" s="247"/>
      <c r="I4788" s="86"/>
      <c r="J4788" s="86"/>
      <c r="K4788" s="248"/>
      <c r="M4788" s="249"/>
    </row>
    <row r="4789" ht="15.75" customHeight="1">
      <c r="A4789" s="243"/>
      <c r="B4789" s="244"/>
      <c r="C4789" s="243"/>
      <c r="D4789" s="244"/>
      <c r="E4789" s="245"/>
      <c r="F4789" s="244"/>
      <c r="G4789" s="246"/>
      <c r="H4789" s="247"/>
      <c r="I4789" s="86"/>
      <c r="J4789" s="86"/>
      <c r="K4789" s="248"/>
      <c r="M4789" s="249"/>
    </row>
    <row r="4790" ht="15.75" customHeight="1">
      <c r="A4790" s="243"/>
      <c r="B4790" s="244"/>
      <c r="C4790" s="243"/>
      <c r="D4790" s="244"/>
      <c r="E4790" s="245"/>
      <c r="F4790" s="244"/>
      <c r="G4790" s="246"/>
      <c r="H4790" s="247"/>
      <c r="I4790" s="86"/>
      <c r="J4790" s="86"/>
      <c r="K4790" s="248"/>
      <c r="M4790" s="249"/>
    </row>
    <row r="4791" ht="15.75" customHeight="1">
      <c r="A4791" s="243"/>
      <c r="B4791" s="244"/>
      <c r="C4791" s="243"/>
      <c r="D4791" s="244"/>
      <c r="E4791" s="245"/>
      <c r="F4791" s="244"/>
      <c r="G4791" s="246"/>
      <c r="H4791" s="247"/>
      <c r="I4791" s="86"/>
      <c r="J4791" s="86"/>
      <c r="K4791" s="248"/>
      <c r="M4791" s="249"/>
    </row>
    <row r="4792" ht="15.75" customHeight="1">
      <c r="A4792" s="243"/>
      <c r="B4792" s="244"/>
      <c r="C4792" s="243"/>
      <c r="D4792" s="244"/>
      <c r="E4792" s="245"/>
      <c r="F4792" s="244"/>
      <c r="G4792" s="246"/>
      <c r="H4792" s="247"/>
      <c r="I4792" s="86"/>
      <c r="J4792" s="86"/>
      <c r="K4792" s="248"/>
      <c r="M4792" s="249"/>
    </row>
    <row r="4793" ht="15.75" customHeight="1">
      <c r="A4793" s="243"/>
      <c r="B4793" s="244"/>
      <c r="C4793" s="243"/>
      <c r="D4793" s="244"/>
      <c r="E4793" s="245"/>
      <c r="F4793" s="244"/>
      <c r="G4793" s="246"/>
      <c r="H4793" s="247"/>
      <c r="I4793" s="86"/>
      <c r="J4793" s="86"/>
      <c r="K4793" s="248"/>
      <c r="M4793" s="249"/>
    </row>
    <row r="4794" ht="15.75" customHeight="1">
      <c r="A4794" s="243"/>
      <c r="B4794" s="244"/>
      <c r="C4794" s="243"/>
      <c r="D4794" s="244"/>
      <c r="E4794" s="245"/>
      <c r="F4794" s="244"/>
      <c r="G4794" s="246"/>
      <c r="H4794" s="247"/>
      <c r="I4794" s="86"/>
      <c r="J4794" s="86"/>
      <c r="K4794" s="248"/>
      <c r="M4794" s="249"/>
    </row>
    <row r="4795" ht="15.75" customHeight="1">
      <c r="A4795" s="243"/>
      <c r="B4795" s="244"/>
      <c r="C4795" s="243"/>
      <c r="D4795" s="244"/>
      <c r="E4795" s="245"/>
      <c r="F4795" s="244"/>
      <c r="G4795" s="246"/>
      <c r="H4795" s="247"/>
      <c r="I4795" s="86"/>
      <c r="J4795" s="86"/>
      <c r="K4795" s="248"/>
      <c r="M4795" s="249"/>
    </row>
    <row r="4796" ht="15.75" customHeight="1">
      <c r="A4796" s="243"/>
      <c r="B4796" s="244"/>
      <c r="C4796" s="243"/>
      <c r="D4796" s="244"/>
      <c r="E4796" s="245"/>
      <c r="F4796" s="244"/>
      <c r="G4796" s="246"/>
      <c r="H4796" s="247"/>
      <c r="I4796" s="86"/>
      <c r="J4796" s="86"/>
      <c r="K4796" s="248"/>
      <c r="M4796" s="249"/>
    </row>
    <row r="4797" ht="15.75" customHeight="1">
      <c r="A4797" s="243"/>
      <c r="B4797" s="244"/>
      <c r="C4797" s="243"/>
      <c r="D4797" s="244"/>
      <c r="E4797" s="245"/>
      <c r="F4797" s="244"/>
      <c r="G4797" s="246"/>
      <c r="H4797" s="247"/>
      <c r="I4797" s="86"/>
      <c r="J4797" s="86"/>
      <c r="K4797" s="248"/>
      <c r="M4797" s="249"/>
    </row>
    <row r="4798" ht="15.75" customHeight="1">
      <c r="A4798" s="243"/>
      <c r="B4798" s="244"/>
      <c r="C4798" s="243"/>
      <c r="D4798" s="244"/>
      <c r="E4798" s="245"/>
      <c r="F4798" s="244"/>
      <c r="G4798" s="246"/>
      <c r="H4798" s="247"/>
      <c r="I4798" s="86"/>
      <c r="J4798" s="86"/>
      <c r="K4798" s="248"/>
      <c r="M4798" s="249"/>
    </row>
    <row r="4799" ht="15.75" customHeight="1">
      <c r="A4799" s="243"/>
      <c r="B4799" s="244"/>
      <c r="C4799" s="243"/>
      <c r="D4799" s="244"/>
      <c r="E4799" s="245"/>
      <c r="F4799" s="244"/>
      <c r="G4799" s="246"/>
      <c r="H4799" s="247"/>
      <c r="I4799" s="86"/>
      <c r="J4799" s="86"/>
      <c r="K4799" s="248"/>
      <c r="M4799" s="249"/>
    </row>
    <row r="4800" ht="15.75" customHeight="1">
      <c r="A4800" s="243"/>
      <c r="B4800" s="244"/>
      <c r="C4800" s="243"/>
      <c r="D4800" s="244"/>
      <c r="E4800" s="245"/>
      <c r="F4800" s="244"/>
      <c r="G4800" s="246"/>
      <c r="H4800" s="247"/>
      <c r="I4800" s="86"/>
      <c r="J4800" s="86"/>
      <c r="K4800" s="248"/>
      <c r="M4800" s="249"/>
    </row>
    <row r="4801" ht="15.75" customHeight="1">
      <c r="A4801" s="243"/>
      <c r="B4801" s="244"/>
      <c r="C4801" s="243"/>
      <c r="D4801" s="244"/>
      <c r="E4801" s="245"/>
      <c r="F4801" s="244"/>
      <c r="G4801" s="246"/>
      <c r="H4801" s="247"/>
      <c r="I4801" s="86"/>
      <c r="J4801" s="86"/>
      <c r="K4801" s="248"/>
      <c r="M4801" s="249"/>
    </row>
    <row r="4802" ht="15.75" customHeight="1">
      <c r="A4802" s="243"/>
      <c r="B4802" s="244"/>
      <c r="C4802" s="243"/>
      <c r="D4802" s="244"/>
      <c r="E4802" s="245"/>
      <c r="F4802" s="244"/>
      <c r="G4802" s="246"/>
      <c r="H4802" s="247"/>
      <c r="I4802" s="86"/>
      <c r="J4802" s="86"/>
      <c r="K4802" s="248"/>
      <c r="M4802" s="249"/>
    </row>
    <row r="4803" ht="15.75" customHeight="1">
      <c r="A4803" s="243"/>
      <c r="B4803" s="244"/>
      <c r="C4803" s="243"/>
      <c r="D4803" s="244"/>
      <c r="E4803" s="245"/>
      <c r="F4803" s="244"/>
      <c r="G4803" s="246"/>
      <c r="H4803" s="247"/>
      <c r="I4803" s="86"/>
      <c r="J4803" s="86"/>
      <c r="K4803" s="248"/>
      <c r="M4803" s="249"/>
    </row>
    <row r="4804" ht="15.75" customHeight="1">
      <c r="A4804" s="243"/>
      <c r="B4804" s="244"/>
      <c r="C4804" s="243"/>
      <c r="D4804" s="244"/>
      <c r="E4804" s="245"/>
      <c r="F4804" s="244"/>
      <c r="G4804" s="246"/>
      <c r="H4804" s="247"/>
      <c r="I4804" s="86"/>
      <c r="J4804" s="86"/>
      <c r="K4804" s="248"/>
      <c r="M4804" s="249"/>
    </row>
    <row r="4805" ht="15.75" customHeight="1">
      <c r="A4805" s="243"/>
      <c r="B4805" s="244"/>
      <c r="C4805" s="243"/>
      <c r="D4805" s="244"/>
      <c r="E4805" s="245"/>
      <c r="F4805" s="244"/>
      <c r="G4805" s="246"/>
      <c r="H4805" s="247"/>
      <c r="I4805" s="86"/>
      <c r="J4805" s="86"/>
      <c r="K4805" s="248"/>
      <c r="M4805" s="249"/>
    </row>
    <row r="4806" ht="15.75" customHeight="1">
      <c r="A4806" s="243"/>
      <c r="B4806" s="244"/>
      <c r="C4806" s="243"/>
      <c r="D4806" s="244"/>
      <c r="E4806" s="245"/>
      <c r="F4806" s="244"/>
      <c r="G4806" s="246"/>
      <c r="H4806" s="247"/>
      <c r="I4806" s="86"/>
      <c r="J4806" s="86"/>
      <c r="K4806" s="248"/>
      <c r="M4806" s="249"/>
    </row>
    <row r="4807" ht="15.75" customHeight="1">
      <c r="A4807" s="243"/>
      <c r="B4807" s="244"/>
      <c r="C4807" s="243"/>
      <c r="D4807" s="244"/>
      <c r="E4807" s="245"/>
      <c r="F4807" s="244"/>
      <c r="G4807" s="246"/>
      <c r="H4807" s="247"/>
      <c r="I4807" s="86"/>
      <c r="J4807" s="86"/>
      <c r="K4807" s="248"/>
      <c r="M4807" s="249"/>
    </row>
    <row r="4808" ht="15.75" customHeight="1">
      <c r="A4808" s="243"/>
      <c r="B4808" s="244"/>
      <c r="C4808" s="243"/>
      <c r="D4808" s="244"/>
      <c r="E4808" s="245"/>
      <c r="F4808" s="244"/>
      <c r="G4808" s="246"/>
      <c r="H4808" s="247"/>
      <c r="I4808" s="86"/>
      <c r="J4808" s="86"/>
      <c r="K4808" s="248"/>
      <c r="M4808" s="249"/>
    </row>
    <row r="4809" ht="15.75" customHeight="1">
      <c r="A4809" s="243"/>
      <c r="B4809" s="244"/>
      <c r="C4809" s="243"/>
      <c r="D4809" s="244"/>
      <c r="E4809" s="245"/>
      <c r="F4809" s="244"/>
      <c r="G4809" s="246"/>
      <c r="H4809" s="247"/>
      <c r="I4809" s="86"/>
      <c r="J4809" s="86"/>
      <c r="K4809" s="248"/>
      <c r="M4809" s="249"/>
    </row>
    <row r="4810" ht="15.75" customHeight="1">
      <c r="A4810" s="243"/>
      <c r="B4810" s="244"/>
      <c r="C4810" s="243"/>
      <c r="D4810" s="244"/>
      <c r="E4810" s="245"/>
      <c r="F4810" s="244"/>
      <c r="G4810" s="246"/>
      <c r="H4810" s="247"/>
      <c r="I4810" s="86"/>
      <c r="J4810" s="86"/>
      <c r="K4810" s="248"/>
      <c r="M4810" s="249"/>
    </row>
    <row r="4811" ht="15.75" customHeight="1">
      <c r="A4811" s="243"/>
      <c r="B4811" s="244"/>
      <c r="C4811" s="243"/>
      <c r="D4811" s="244"/>
      <c r="E4811" s="245"/>
      <c r="F4811" s="244"/>
      <c r="G4811" s="246"/>
      <c r="H4811" s="247"/>
      <c r="I4811" s="86"/>
      <c r="J4811" s="86"/>
      <c r="K4811" s="248"/>
      <c r="M4811" s="249"/>
    </row>
    <row r="4812" ht="15.75" customHeight="1">
      <c r="A4812" s="243"/>
      <c r="B4812" s="244"/>
      <c r="C4812" s="243"/>
      <c r="D4812" s="244"/>
      <c r="E4812" s="245"/>
      <c r="F4812" s="244"/>
      <c r="G4812" s="246"/>
      <c r="H4812" s="247"/>
      <c r="I4812" s="86"/>
      <c r="J4812" s="86"/>
      <c r="K4812" s="248"/>
      <c r="M4812" s="249"/>
    </row>
    <row r="4813" ht="15.75" customHeight="1">
      <c r="A4813" s="243"/>
      <c r="B4813" s="244"/>
      <c r="C4813" s="243"/>
      <c r="D4813" s="244"/>
      <c r="E4813" s="245"/>
      <c r="F4813" s="244"/>
      <c r="G4813" s="246"/>
      <c r="H4813" s="247"/>
      <c r="I4813" s="86"/>
      <c r="J4813" s="86"/>
      <c r="K4813" s="248"/>
      <c r="M4813" s="249"/>
    </row>
    <row r="4814" ht="15.75" customHeight="1">
      <c r="A4814" s="243"/>
      <c r="B4814" s="244"/>
      <c r="C4814" s="243"/>
      <c r="D4814" s="244"/>
      <c r="E4814" s="245"/>
      <c r="F4814" s="244"/>
      <c r="G4814" s="246"/>
      <c r="H4814" s="247"/>
      <c r="I4814" s="86"/>
      <c r="J4814" s="86"/>
      <c r="K4814" s="248"/>
      <c r="M4814" s="249"/>
    </row>
    <row r="4815" ht="15.75" customHeight="1">
      <c r="A4815" s="243"/>
      <c r="B4815" s="244"/>
      <c r="C4815" s="243"/>
      <c r="D4815" s="244"/>
      <c r="E4815" s="245"/>
      <c r="F4815" s="244"/>
      <c r="G4815" s="246"/>
      <c r="H4815" s="247"/>
      <c r="I4815" s="86"/>
      <c r="J4815" s="86"/>
      <c r="K4815" s="248"/>
      <c r="M4815" s="249"/>
    </row>
    <row r="4816" ht="15.75" customHeight="1">
      <c r="A4816" s="243"/>
      <c r="B4816" s="244"/>
      <c r="C4816" s="243"/>
      <c r="D4816" s="244"/>
      <c r="E4816" s="245"/>
      <c r="F4816" s="244"/>
      <c r="G4816" s="246"/>
      <c r="H4816" s="247"/>
      <c r="I4816" s="86"/>
      <c r="J4816" s="86"/>
      <c r="K4816" s="248"/>
      <c r="M4816" s="249"/>
    </row>
    <row r="4817" ht="15.75" customHeight="1">
      <c r="A4817" s="243"/>
      <c r="B4817" s="244"/>
      <c r="C4817" s="243"/>
      <c r="D4817" s="244"/>
      <c r="E4817" s="245"/>
      <c r="F4817" s="244"/>
      <c r="G4817" s="246"/>
      <c r="H4817" s="247"/>
      <c r="I4817" s="86"/>
      <c r="J4817" s="86"/>
      <c r="K4817" s="248"/>
      <c r="M4817" s="249"/>
    </row>
    <row r="4818" ht="15.75" customHeight="1">
      <c r="A4818" s="243"/>
      <c r="B4818" s="244"/>
      <c r="C4818" s="243"/>
      <c r="D4818" s="244"/>
      <c r="E4818" s="245"/>
      <c r="F4818" s="244"/>
      <c r="G4818" s="246"/>
      <c r="H4818" s="247"/>
      <c r="I4818" s="86"/>
      <c r="J4818" s="86"/>
      <c r="K4818" s="248"/>
      <c r="M4818" s="249"/>
    </row>
    <row r="4819" ht="15.75" customHeight="1">
      <c r="A4819" s="243"/>
      <c r="B4819" s="244"/>
      <c r="C4819" s="243"/>
      <c r="D4819" s="244"/>
      <c r="E4819" s="245"/>
      <c r="F4819" s="244"/>
      <c r="G4819" s="246"/>
      <c r="H4819" s="247"/>
      <c r="I4819" s="86"/>
      <c r="J4819" s="86"/>
      <c r="K4819" s="248"/>
      <c r="M4819" s="249"/>
    </row>
    <row r="4820" ht="15.75" customHeight="1">
      <c r="A4820" s="243"/>
      <c r="B4820" s="244"/>
      <c r="C4820" s="243"/>
      <c r="D4820" s="244"/>
      <c r="E4820" s="245"/>
      <c r="F4820" s="244"/>
      <c r="G4820" s="246"/>
      <c r="H4820" s="247"/>
      <c r="I4820" s="86"/>
      <c r="J4820" s="86"/>
      <c r="K4820" s="248"/>
      <c r="M4820" s="249"/>
    </row>
    <row r="4821" ht="15.75" customHeight="1">
      <c r="A4821" s="243"/>
      <c r="B4821" s="244"/>
      <c r="C4821" s="243"/>
      <c r="D4821" s="244"/>
      <c r="E4821" s="245"/>
      <c r="F4821" s="244"/>
      <c r="G4821" s="246"/>
      <c r="H4821" s="247"/>
      <c r="I4821" s="86"/>
      <c r="J4821" s="86"/>
      <c r="K4821" s="248"/>
      <c r="M4821" s="249"/>
    </row>
    <row r="4822" ht="15.75" customHeight="1">
      <c r="A4822" s="243"/>
      <c r="B4822" s="244"/>
      <c r="C4822" s="243"/>
      <c r="D4822" s="244"/>
      <c r="E4822" s="245"/>
      <c r="F4822" s="244"/>
      <c r="G4822" s="246"/>
      <c r="H4822" s="247"/>
      <c r="I4822" s="86"/>
      <c r="J4822" s="86"/>
      <c r="K4822" s="248"/>
      <c r="M4822" s="249"/>
    </row>
    <row r="4823" ht="15.75" customHeight="1">
      <c r="A4823" s="243"/>
      <c r="B4823" s="244"/>
      <c r="C4823" s="243"/>
      <c r="D4823" s="244"/>
      <c r="E4823" s="245"/>
      <c r="F4823" s="244"/>
      <c r="G4823" s="246"/>
      <c r="H4823" s="247"/>
      <c r="I4823" s="86"/>
      <c r="J4823" s="86"/>
      <c r="K4823" s="248"/>
      <c r="M4823" s="249"/>
    </row>
    <row r="4824" ht="15.75" customHeight="1">
      <c r="A4824" s="243"/>
      <c r="B4824" s="244"/>
      <c r="C4824" s="243"/>
      <c r="D4824" s="244"/>
      <c r="E4824" s="245"/>
      <c r="F4824" s="244"/>
      <c r="G4824" s="246"/>
      <c r="H4824" s="247"/>
      <c r="I4824" s="86"/>
      <c r="J4824" s="86"/>
      <c r="K4824" s="248"/>
      <c r="M4824" s="249"/>
    </row>
    <row r="4825" ht="15.75" customHeight="1">
      <c r="A4825" s="243"/>
      <c r="B4825" s="244"/>
      <c r="C4825" s="243"/>
      <c r="D4825" s="244"/>
      <c r="E4825" s="245"/>
      <c r="F4825" s="244"/>
      <c r="G4825" s="246"/>
      <c r="H4825" s="247"/>
      <c r="I4825" s="86"/>
      <c r="J4825" s="86"/>
      <c r="K4825" s="248"/>
      <c r="M4825" s="249"/>
    </row>
    <row r="4826" ht="15.75" customHeight="1">
      <c r="A4826" s="243"/>
      <c r="B4826" s="244"/>
      <c r="C4826" s="243"/>
      <c r="D4826" s="244"/>
      <c r="E4826" s="245"/>
      <c r="F4826" s="244"/>
      <c r="G4826" s="246"/>
      <c r="H4826" s="247"/>
      <c r="I4826" s="86"/>
      <c r="J4826" s="86"/>
      <c r="K4826" s="248"/>
      <c r="M4826" s="249"/>
    </row>
    <row r="4827" ht="15.75" customHeight="1">
      <c r="A4827" s="243"/>
      <c r="B4827" s="244"/>
      <c r="C4827" s="243"/>
      <c r="D4827" s="244"/>
      <c r="E4827" s="245"/>
      <c r="F4827" s="244"/>
      <c r="G4827" s="246"/>
      <c r="H4827" s="247"/>
      <c r="I4827" s="86"/>
      <c r="J4827" s="86"/>
      <c r="K4827" s="248"/>
      <c r="M4827" s="249"/>
    </row>
    <row r="4828" ht="15.75" customHeight="1">
      <c r="A4828" s="243"/>
      <c r="B4828" s="244"/>
      <c r="C4828" s="243"/>
      <c r="D4828" s="244"/>
      <c r="E4828" s="245"/>
      <c r="F4828" s="244"/>
      <c r="G4828" s="246"/>
      <c r="H4828" s="247"/>
      <c r="I4828" s="86"/>
      <c r="J4828" s="86"/>
      <c r="K4828" s="248"/>
      <c r="M4828" s="249"/>
    </row>
    <row r="4829" ht="15.75" customHeight="1">
      <c r="A4829" s="243"/>
      <c r="B4829" s="244"/>
      <c r="C4829" s="243"/>
      <c r="D4829" s="244"/>
      <c r="E4829" s="245"/>
      <c r="F4829" s="244"/>
      <c r="G4829" s="246"/>
      <c r="H4829" s="247"/>
      <c r="I4829" s="86"/>
      <c r="J4829" s="86"/>
      <c r="K4829" s="248"/>
      <c r="M4829" s="249"/>
    </row>
    <row r="4830" ht="15.75" customHeight="1">
      <c r="A4830" s="243"/>
      <c r="B4830" s="244"/>
      <c r="C4830" s="243"/>
      <c r="D4830" s="244"/>
      <c r="E4830" s="245"/>
      <c r="F4830" s="244"/>
      <c r="G4830" s="246"/>
      <c r="H4830" s="247"/>
      <c r="I4830" s="86"/>
      <c r="J4830" s="86"/>
      <c r="K4830" s="248"/>
      <c r="M4830" s="249"/>
    </row>
    <row r="4831" ht="15.75" customHeight="1">
      <c r="A4831" s="243"/>
      <c r="B4831" s="244"/>
      <c r="C4831" s="243"/>
      <c r="D4831" s="244"/>
      <c r="E4831" s="245"/>
      <c r="F4831" s="244"/>
      <c r="G4831" s="246"/>
      <c r="H4831" s="247"/>
      <c r="I4831" s="86"/>
      <c r="J4831" s="86"/>
      <c r="K4831" s="248"/>
      <c r="M4831" s="249"/>
    </row>
    <row r="4832" ht="15.75" customHeight="1">
      <c r="A4832" s="243"/>
      <c r="B4832" s="244"/>
      <c r="C4832" s="243"/>
      <c r="D4832" s="244"/>
      <c r="E4832" s="245"/>
      <c r="F4832" s="244"/>
      <c r="G4832" s="246"/>
      <c r="H4832" s="247"/>
      <c r="I4832" s="86"/>
      <c r="J4832" s="86"/>
      <c r="K4832" s="248"/>
      <c r="M4832" s="249"/>
    </row>
    <row r="4833" ht="15.75" customHeight="1">
      <c r="A4833" s="243"/>
      <c r="B4833" s="244"/>
      <c r="C4833" s="243"/>
      <c r="D4833" s="244"/>
      <c r="E4833" s="245"/>
      <c r="F4833" s="244"/>
      <c r="G4833" s="246"/>
      <c r="H4833" s="247"/>
      <c r="I4833" s="86"/>
      <c r="J4833" s="86"/>
      <c r="K4833" s="248"/>
      <c r="M4833" s="249"/>
    </row>
    <row r="4834" ht="15.75" customHeight="1">
      <c r="A4834" s="243"/>
      <c r="B4834" s="244"/>
      <c r="C4834" s="243"/>
      <c r="D4834" s="244"/>
      <c r="E4834" s="245"/>
      <c r="F4834" s="244"/>
      <c r="G4834" s="246"/>
      <c r="H4834" s="247"/>
      <c r="I4834" s="86"/>
      <c r="J4834" s="86"/>
      <c r="K4834" s="248"/>
      <c r="M4834" s="249"/>
    </row>
    <row r="4835" ht="15.75" customHeight="1">
      <c r="A4835" s="243"/>
      <c r="B4835" s="244"/>
      <c r="C4835" s="243"/>
      <c r="D4835" s="244"/>
      <c r="E4835" s="245"/>
      <c r="F4835" s="244"/>
      <c r="G4835" s="246"/>
      <c r="H4835" s="247"/>
      <c r="I4835" s="86"/>
      <c r="J4835" s="86"/>
      <c r="K4835" s="248"/>
      <c r="M4835" s="249"/>
    </row>
    <row r="4836" ht="15.75" customHeight="1">
      <c r="A4836" s="243"/>
      <c r="B4836" s="244"/>
      <c r="C4836" s="243"/>
      <c r="D4836" s="244"/>
      <c r="E4836" s="245"/>
      <c r="F4836" s="244"/>
      <c r="G4836" s="246"/>
      <c r="H4836" s="247"/>
      <c r="I4836" s="86"/>
      <c r="J4836" s="86"/>
      <c r="K4836" s="248"/>
      <c r="M4836" s="249"/>
    </row>
    <row r="4837" ht="15.75" customHeight="1">
      <c r="A4837" s="243"/>
      <c r="B4837" s="244"/>
      <c r="C4837" s="243"/>
      <c r="D4837" s="244"/>
      <c r="E4837" s="245"/>
      <c r="F4837" s="244"/>
      <c r="G4837" s="246"/>
      <c r="H4837" s="247"/>
      <c r="I4837" s="86"/>
      <c r="J4837" s="86"/>
      <c r="K4837" s="248"/>
      <c r="M4837" s="249"/>
    </row>
    <row r="4838" ht="15.75" customHeight="1">
      <c r="A4838" s="243"/>
      <c r="B4838" s="244"/>
      <c r="C4838" s="243"/>
      <c r="D4838" s="244"/>
      <c r="E4838" s="245"/>
      <c r="F4838" s="244"/>
      <c r="G4838" s="246"/>
      <c r="H4838" s="247"/>
      <c r="I4838" s="86"/>
      <c r="J4838" s="86"/>
      <c r="K4838" s="248"/>
      <c r="M4838" s="249"/>
    </row>
    <row r="4839" ht="15.75" customHeight="1">
      <c r="A4839" s="243"/>
      <c r="B4839" s="244"/>
      <c r="C4839" s="243"/>
      <c r="D4839" s="244"/>
      <c r="E4839" s="245"/>
      <c r="F4839" s="244"/>
      <c r="G4839" s="246"/>
      <c r="H4839" s="247"/>
      <c r="I4839" s="86"/>
      <c r="J4839" s="86"/>
      <c r="K4839" s="248"/>
      <c r="M4839" s="249"/>
    </row>
    <row r="4840" ht="15.75" customHeight="1">
      <c r="A4840" s="243"/>
      <c r="B4840" s="244"/>
      <c r="C4840" s="243"/>
      <c r="D4840" s="244"/>
      <c r="E4840" s="245"/>
      <c r="F4840" s="244"/>
      <c r="G4840" s="246"/>
      <c r="H4840" s="247"/>
      <c r="I4840" s="86"/>
      <c r="J4840" s="86"/>
      <c r="K4840" s="248"/>
      <c r="M4840" s="249"/>
    </row>
    <row r="4841" ht="15.75" customHeight="1">
      <c r="A4841" s="243"/>
      <c r="B4841" s="244"/>
      <c r="C4841" s="243"/>
      <c r="D4841" s="244"/>
      <c r="E4841" s="245"/>
      <c r="F4841" s="244"/>
      <c r="G4841" s="246"/>
      <c r="H4841" s="247"/>
      <c r="I4841" s="86"/>
      <c r="J4841" s="86"/>
      <c r="K4841" s="248"/>
      <c r="M4841" s="249"/>
    </row>
    <row r="4842" ht="15.75" customHeight="1">
      <c r="A4842" s="243"/>
      <c r="B4842" s="244"/>
      <c r="C4842" s="243"/>
      <c r="D4842" s="244"/>
      <c r="E4842" s="245"/>
      <c r="F4842" s="244"/>
      <c r="G4842" s="246"/>
      <c r="H4842" s="247"/>
      <c r="I4842" s="86"/>
      <c r="J4842" s="86"/>
      <c r="K4842" s="248"/>
      <c r="M4842" s="249"/>
    </row>
    <row r="4843" ht="15.75" customHeight="1">
      <c r="A4843" s="243"/>
      <c r="B4843" s="244"/>
      <c r="C4843" s="243"/>
      <c r="D4843" s="244"/>
      <c r="E4843" s="245"/>
      <c r="F4843" s="244"/>
      <c r="G4843" s="246"/>
      <c r="H4843" s="247"/>
      <c r="I4843" s="86"/>
      <c r="J4843" s="86"/>
      <c r="K4843" s="248"/>
      <c r="M4843" s="249"/>
    </row>
    <row r="4844" ht="15.75" customHeight="1">
      <c r="A4844" s="243"/>
      <c r="B4844" s="244"/>
      <c r="C4844" s="243"/>
      <c r="D4844" s="244"/>
      <c r="E4844" s="245"/>
      <c r="F4844" s="244"/>
      <c r="G4844" s="246"/>
      <c r="H4844" s="247"/>
      <c r="I4844" s="86"/>
      <c r="J4844" s="86"/>
      <c r="K4844" s="248"/>
      <c r="M4844" s="249"/>
    </row>
    <row r="4845" ht="15.75" customHeight="1">
      <c r="A4845" s="243"/>
      <c r="B4845" s="244"/>
      <c r="C4845" s="243"/>
      <c r="D4845" s="244"/>
      <c r="E4845" s="245"/>
      <c r="F4845" s="244"/>
      <c r="G4845" s="246"/>
      <c r="H4845" s="247"/>
      <c r="I4845" s="86"/>
      <c r="J4845" s="86"/>
      <c r="K4845" s="248"/>
      <c r="M4845" s="249"/>
    </row>
    <row r="4846" ht="15.75" customHeight="1">
      <c r="A4846" s="243"/>
      <c r="B4846" s="244"/>
      <c r="C4846" s="243"/>
      <c r="D4846" s="244"/>
      <c r="E4846" s="245"/>
      <c r="F4846" s="244"/>
      <c r="G4846" s="246"/>
      <c r="H4846" s="247"/>
      <c r="I4846" s="86"/>
      <c r="J4846" s="86"/>
      <c r="K4846" s="248"/>
      <c r="M4846" s="249"/>
    </row>
    <row r="4847" ht="15.75" customHeight="1">
      <c r="A4847" s="243"/>
      <c r="B4847" s="244"/>
      <c r="C4847" s="243"/>
      <c r="D4847" s="244"/>
      <c r="E4847" s="245"/>
      <c r="F4847" s="244"/>
      <c r="G4847" s="246"/>
      <c r="H4847" s="247"/>
      <c r="I4847" s="86"/>
      <c r="J4847" s="86"/>
      <c r="K4847" s="248"/>
      <c r="M4847" s="249"/>
    </row>
    <row r="4848" ht="15.75" customHeight="1">
      <c r="A4848" s="243"/>
      <c r="B4848" s="244"/>
      <c r="C4848" s="243"/>
      <c r="D4848" s="244"/>
      <c r="E4848" s="245"/>
      <c r="F4848" s="244"/>
      <c r="G4848" s="246"/>
      <c r="H4848" s="247"/>
      <c r="I4848" s="86"/>
      <c r="J4848" s="86"/>
      <c r="K4848" s="248"/>
      <c r="M4848" s="249"/>
    </row>
    <row r="4849" ht="15.75" customHeight="1">
      <c r="A4849" s="243"/>
      <c r="B4849" s="244"/>
      <c r="C4849" s="243"/>
      <c r="D4849" s="244"/>
      <c r="E4849" s="245"/>
      <c r="F4849" s="244"/>
      <c r="G4849" s="246"/>
      <c r="H4849" s="247"/>
      <c r="I4849" s="86"/>
      <c r="J4849" s="86"/>
      <c r="K4849" s="248"/>
      <c r="M4849" s="249"/>
    </row>
    <row r="4850" ht="15.75" customHeight="1">
      <c r="A4850" s="243"/>
      <c r="B4850" s="244"/>
      <c r="C4850" s="243"/>
      <c r="D4850" s="244"/>
      <c r="E4850" s="245"/>
      <c r="F4850" s="244"/>
      <c r="G4850" s="246"/>
      <c r="H4850" s="247"/>
      <c r="I4850" s="86"/>
      <c r="J4850" s="86"/>
      <c r="K4850" s="248"/>
      <c r="M4850" s="249"/>
    </row>
    <row r="4851" ht="15.75" customHeight="1">
      <c r="A4851" s="243"/>
      <c r="B4851" s="244"/>
      <c r="C4851" s="243"/>
      <c r="D4851" s="244"/>
      <c r="E4851" s="245"/>
      <c r="F4851" s="244"/>
      <c r="G4851" s="246"/>
      <c r="H4851" s="247"/>
      <c r="I4851" s="86"/>
      <c r="J4851" s="86"/>
      <c r="K4851" s="248"/>
      <c r="M4851" s="249"/>
    </row>
    <row r="4852" ht="15.75" customHeight="1">
      <c r="A4852" s="243"/>
      <c r="B4852" s="244"/>
      <c r="C4852" s="243"/>
      <c r="D4852" s="244"/>
      <c r="E4852" s="245"/>
      <c r="F4852" s="244"/>
      <c r="G4852" s="246"/>
      <c r="H4852" s="247"/>
      <c r="I4852" s="86"/>
      <c r="J4852" s="86"/>
      <c r="K4852" s="248"/>
      <c r="M4852" s="249"/>
    </row>
    <row r="4853" ht="15.75" customHeight="1">
      <c r="A4853" s="243"/>
      <c r="B4853" s="244"/>
      <c r="C4853" s="243"/>
      <c r="D4853" s="244"/>
      <c r="E4853" s="245"/>
      <c r="F4853" s="244"/>
      <c r="G4853" s="246"/>
      <c r="H4853" s="247"/>
      <c r="I4853" s="86"/>
      <c r="J4853" s="86"/>
      <c r="K4853" s="248"/>
      <c r="M4853" s="249"/>
    </row>
    <row r="4854" ht="15.75" customHeight="1">
      <c r="A4854" s="243"/>
      <c r="B4854" s="244"/>
      <c r="C4854" s="243"/>
      <c r="D4854" s="244"/>
      <c r="E4854" s="245"/>
      <c r="F4854" s="244"/>
      <c r="G4854" s="246"/>
      <c r="H4854" s="247"/>
      <c r="I4854" s="86"/>
      <c r="J4854" s="86"/>
      <c r="K4854" s="248"/>
      <c r="M4854" s="249"/>
    </row>
    <row r="4855" ht="15.75" customHeight="1">
      <c r="A4855" s="243"/>
      <c r="B4855" s="244"/>
      <c r="C4855" s="243"/>
      <c r="D4855" s="244"/>
      <c r="E4855" s="245"/>
      <c r="F4855" s="244"/>
      <c r="G4855" s="246"/>
      <c r="H4855" s="247"/>
      <c r="I4855" s="86"/>
      <c r="J4855" s="86"/>
      <c r="K4855" s="248"/>
      <c r="M4855" s="249"/>
    </row>
    <row r="4856" ht="15.75" customHeight="1">
      <c r="A4856" s="243"/>
      <c r="B4856" s="244"/>
      <c r="C4856" s="243"/>
      <c r="D4856" s="244"/>
      <c r="E4856" s="245"/>
      <c r="F4856" s="244"/>
      <c r="G4856" s="246"/>
      <c r="H4856" s="247"/>
      <c r="I4856" s="86"/>
      <c r="J4856" s="86"/>
      <c r="K4856" s="248"/>
      <c r="M4856" s="249"/>
    </row>
    <row r="4857" ht="15.75" customHeight="1">
      <c r="A4857" s="243"/>
      <c r="B4857" s="244"/>
      <c r="C4857" s="243"/>
      <c r="D4857" s="244"/>
      <c r="E4857" s="245"/>
      <c r="F4857" s="244"/>
      <c r="G4857" s="246"/>
      <c r="H4857" s="247"/>
      <c r="I4857" s="86"/>
      <c r="J4857" s="86"/>
      <c r="K4857" s="248"/>
      <c r="M4857" s="249"/>
    </row>
    <row r="4858" ht="15.75" customHeight="1">
      <c r="A4858" s="243"/>
      <c r="B4858" s="244"/>
      <c r="C4858" s="243"/>
      <c r="D4858" s="244"/>
      <c r="E4858" s="245"/>
      <c r="F4858" s="244"/>
      <c r="G4858" s="246"/>
      <c r="H4858" s="247"/>
      <c r="I4858" s="86"/>
      <c r="J4858" s="86"/>
      <c r="K4858" s="248"/>
      <c r="M4858" s="249"/>
    </row>
    <row r="4859" ht="15.75" customHeight="1">
      <c r="A4859" s="243"/>
      <c r="B4859" s="244"/>
      <c r="C4859" s="243"/>
      <c r="D4859" s="244"/>
      <c r="E4859" s="245"/>
      <c r="F4859" s="244"/>
      <c r="G4859" s="246"/>
      <c r="H4859" s="247"/>
      <c r="I4859" s="86"/>
      <c r="J4859" s="86"/>
      <c r="K4859" s="248"/>
      <c r="M4859" s="249"/>
    </row>
    <row r="4860" ht="15.75" customHeight="1">
      <c r="A4860" s="243"/>
      <c r="B4860" s="244"/>
      <c r="C4860" s="243"/>
      <c r="D4860" s="244"/>
      <c r="E4860" s="245"/>
      <c r="F4860" s="244"/>
      <c r="G4860" s="246"/>
      <c r="H4860" s="247"/>
      <c r="I4860" s="86"/>
      <c r="J4860" s="86"/>
      <c r="K4860" s="248"/>
      <c r="M4860" s="249"/>
    </row>
    <row r="4861" ht="15.75" customHeight="1">
      <c r="A4861" s="243"/>
      <c r="B4861" s="244"/>
      <c r="C4861" s="243"/>
      <c r="D4861" s="244"/>
      <c r="E4861" s="245"/>
      <c r="F4861" s="244"/>
      <c r="G4861" s="246"/>
      <c r="H4861" s="247"/>
      <c r="I4861" s="86"/>
      <c r="J4861" s="86"/>
      <c r="K4861" s="248"/>
      <c r="M4861" s="249"/>
    </row>
    <row r="4862" ht="15.75" customHeight="1">
      <c r="A4862" s="243"/>
      <c r="B4862" s="244"/>
      <c r="C4862" s="243"/>
      <c r="D4862" s="244"/>
      <c r="E4862" s="245"/>
      <c r="F4862" s="244"/>
      <c r="G4862" s="246"/>
      <c r="H4862" s="247"/>
      <c r="I4862" s="86"/>
      <c r="J4862" s="86"/>
      <c r="K4862" s="248"/>
      <c r="M4862" s="249"/>
    </row>
    <row r="4863" ht="15.75" customHeight="1">
      <c r="A4863" s="243"/>
      <c r="B4863" s="244"/>
      <c r="C4863" s="243"/>
      <c r="D4863" s="244"/>
      <c r="E4863" s="245"/>
      <c r="F4863" s="244"/>
      <c r="G4863" s="246"/>
      <c r="H4863" s="247"/>
      <c r="I4863" s="86"/>
      <c r="J4863" s="86"/>
      <c r="K4863" s="248"/>
      <c r="M4863" s="249"/>
    </row>
    <row r="4864" ht="15.75" customHeight="1">
      <c r="A4864" s="243"/>
      <c r="B4864" s="244"/>
      <c r="C4864" s="243"/>
      <c r="D4864" s="244"/>
      <c r="E4864" s="245"/>
      <c r="F4864" s="244"/>
      <c r="G4864" s="246"/>
      <c r="H4864" s="247"/>
      <c r="I4864" s="86"/>
      <c r="J4864" s="86"/>
      <c r="K4864" s="248"/>
      <c r="M4864" s="249"/>
    </row>
    <row r="4865" ht="15.75" customHeight="1">
      <c r="A4865" s="243"/>
      <c r="B4865" s="244"/>
      <c r="C4865" s="243"/>
      <c r="D4865" s="244"/>
      <c r="E4865" s="245"/>
      <c r="F4865" s="244"/>
      <c r="G4865" s="246"/>
      <c r="H4865" s="247"/>
      <c r="I4865" s="86"/>
      <c r="J4865" s="86"/>
      <c r="K4865" s="248"/>
      <c r="M4865" s="249"/>
    </row>
    <row r="4866" ht="15.75" customHeight="1">
      <c r="A4866" s="243"/>
      <c r="B4866" s="244"/>
      <c r="C4866" s="243"/>
      <c r="D4866" s="244"/>
      <c r="E4866" s="245"/>
      <c r="F4866" s="244"/>
      <c r="G4866" s="246"/>
      <c r="H4866" s="247"/>
      <c r="I4866" s="86"/>
      <c r="J4866" s="86"/>
      <c r="K4866" s="248"/>
      <c r="M4866" s="249"/>
    </row>
    <row r="4867" ht="15.75" customHeight="1">
      <c r="A4867" s="243"/>
      <c r="B4867" s="244"/>
      <c r="C4867" s="243"/>
      <c r="D4867" s="244"/>
      <c r="E4867" s="245"/>
      <c r="F4867" s="244"/>
      <c r="G4867" s="246"/>
      <c r="H4867" s="247"/>
      <c r="I4867" s="86"/>
      <c r="J4867" s="86"/>
      <c r="K4867" s="248"/>
      <c r="M4867" s="249"/>
    </row>
    <row r="4868" ht="15.75" customHeight="1">
      <c r="A4868" s="243"/>
      <c r="B4868" s="244"/>
      <c r="C4868" s="243"/>
      <c r="D4868" s="244"/>
      <c r="E4868" s="245"/>
      <c r="F4868" s="244"/>
      <c r="G4868" s="246"/>
      <c r="H4868" s="247"/>
      <c r="I4868" s="86"/>
      <c r="J4868" s="86"/>
      <c r="K4868" s="248"/>
      <c r="M4868" s="249"/>
    </row>
    <row r="4869" ht="15.75" customHeight="1">
      <c r="A4869" s="243"/>
      <c r="B4869" s="244"/>
      <c r="C4869" s="243"/>
      <c r="D4869" s="244"/>
      <c r="E4869" s="245"/>
      <c r="F4869" s="244"/>
      <c r="G4869" s="246"/>
      <c r="H4869" s="247"/>
      <c r="I4869" s="86"/>
      <c r="J4869" s="86"/>
      <c r="K4869" s="248"/>
      <c r="M4869" s="249"/>
    </row>
    <row r="4870" ht="15.75" customHeight="1">
      <c r="A4870" s="243"/>
      <c r="B4870" s="244"/>
      <c r="C4870" s="243"/>
      <c r="D4870" s="244"/>
      <c r="E4870" s="245"/>
      <c r="F4870" s="244"/>
      <c r="G4870" s="246"/>
      <c r="H4870" s="247"/>
      <c r="I4870" s="86"/>
      <c r="J4870" s="86"/>
      <c r="K4870" s="248"/>
      <c r="M4870" s="249"/>
    </row>
    <row r="4871" ht="15.75" customHeight="1">
      <c r="A4871" s="243"/>
      <c r="B4871" s="244"/>
      <c r="C4871" s="243"/>
      <c r="D4871" s="244"/>
      <c r="E4871" s="245"/>
      <c r="F4871" s="244"/>
      <c r="G4871" s="246"/>
      <c r="H4871" s="247"/>
      <c r="I4871" s="86"/>
      <c r="J4871" s="86"/>
      <c r="K4871" s="248"/>
      <c r="M4871" s="249"/>
    </row>
    <row r="4872" ht="15.75" customHeight="1">
      <c r="A4872" s="243"/>
      <c r="B4872" s="244"/>
      <c r="C4872" s="243"/>
      <c r="D4872" s="244"/>
      <c r="E4872" s="245"/>
      <c r="F4872" s="244"/>
      <c r="G4872" s="246"/>
      <c r="H4872" s="247"/>
      <c r="I4872" s="86"/>
      <c r="J4872" s="86"/>
      <c r="K4872" s="248"/>
      <c r="M4872" s="249"/>
    </row>
    <row r="4873" ht="15.75" customHeight="1">
      <c r="A4873" s="243"/>
      <c r="B4873" s="244"/>
      <c r="C4873" s="243"/>
      <c r="D4873" s="244"/>
      <c r="E4873" s="245"/>
      <c r="F4873" s="244"/>
      <c r="G4873" s="246"/>
      <c r="H4873" s="247"/>
      <c r="I4873" s="86"/>
      <c r="J4873" s="86"/>
      <c r="K4873" s="248"/>
      <c r="M4873" s="249"/>
    </row>
    <row r="4874" ht="15.75" customHeight="1">
      <c r="A4874" s="243"/>
      <c r="B4874" s="244"/>
      <c r="C4874" s="243"/>
      <c r="D4874" s="244"/>
      <c r="E4874" s="245"/>
      <c r="F4874" s="244"/>
      <c r="G4874" s="246"/>
      <c r="H4874" s="247"/>
      <c r="I4874" s="86"/>
      <c r="J4874" s="86"/>
      <c r="K4874" s="248"/>
      <c r="M4874" s="249"/>
    </row>
    <row r="4875" ht="15.75" customHeight="1">
      <c r="A4875" s="243"/>
      <c r="B4875" s="244"/>
      <c r="C4875" s="243"/>
      <c r="D4875" s="244"/>
      <c r="E4875" s="245"/>
      <c r="F4875" s="244"/>
      <c r="G4875" s="246"/>
      <c r="H4875" s="247"/>
      <c r="I4875" s="86"/>
      <c r="J4875" s="86"/>
      <c r="K4875" s="248"/>
      <c r="M4875" s="249"/>
    </row>
    <row r="4876" ht="15.75" customHeight="1">
      <c r="A4876" s="243"/>
      <c r="B4876" s="244"/>
      <c r="C4876" s="243"/>
      <c r="D4876" s="244"/>
      <c r="E4876" s="245"/>
      <c r="F4876" s="244"/>
      <c r="G4876" s="246"/>
      <c r="H4876" s="247"/>
      <c r="I4876" s="86"/>
      <c r="J4876" s="86"/>
      <c r="K4876" s="248"/>
      <c r="M4876" s="249"/>
    </row>
    <row r="4877" ht="15.75" customHeight="1">
      <c r="A4877" s="243"/>
      <c r="B4877" s="244"/>
      <c r="C4877" s="243"/>
      <c r="D4877" s="244"/>
      <c r="E4877" s="245"/>
      <c r="F4877" s="244"/>
      <c r="G4877" s="246"/>
      <c r="H4877" s="247"/>
      <c r="I4877" s="86"/>
      <c r="J4877" s="86"/>
      <c r="K4877" s="248"/>
      <c r="M4877" s="249"/>
    </row>
    <row r="4878" ht="15.75" customHeight="1">
      <c r="A4878" s="243"/>
      <c r="B4878" s="244"/>
      <c r="C4878" s="243"/>
      <c r="D4878" s="244"/>
      <c r="E4878" s="245"/>
      <c r="F4878" s="244"/>
      <c r="G4878" s="246"/>
      <c r="H4878" s="247"/>
      <c r="I4878" s="86"/>
      <c r="J4878" s="86"/>
      <c r="K4878" s="248"/>
      <c r="M4878" s="249"/>
    </row>
    <row r="4879" ht="15.75" customHeight="1">
      <c r="A4879" s="243"/>
      <c r="B4879" s="244"/>
      <c r="C4879" s="243"/>
      <c r="D4879" s="244"/>
      <c r="E4879" s="245"/>
      <c r="F4879" s="244"/>
      <c r="G4879" s="246"/>
      <c r="H4879" s="247"/>
      <c r="I4879" s="86"/>
      <c r="J4879" s="86"/>
      <c r="K4879" s="248"/>
      <c r="M4879" s="249"/>
    </row>
    <row r="4880" ht="15.75" customHeight="1">
      <c r="A4880" s="243"/>
      <c r="B4880" s="244"/>
      <c r="C4880" s="243"/>
      <c r="D4880" s="244"/>
      <c r="E4880" s="245"/>
      <c r="F4880" s="244"/>
      <c r="G4880" s="246"/>
      <c r="H4880" s="247"/>
      <c r="I4880" s="86"/>
      <c r="J4880" s="86"/>
      <c r="K4880" s="248"/>
      <c r="M4880" s="249"/>
    </row>
    <row r="4881" ht="15.75" customHeight="1">
      <c r="A4881" s="243"/>
      <c r="B4881" s="244"/>
      <c r="C4881" s="243"/>
      <c r="D4881" s="244"/>
      <c r="E4881" s="245"/>
      <c r="F4881" s="244"/>
      <c r="G4881" s="246"/>
      <c r="H4881" s="247"/>
      <c r="I4881" s="86"/>
      <c r="J4881" s="86"/>
      <c r="K4881" s="248"/>
      <c r="M4881" s="249"/>
    </row>
    <row r="4882" ht="15.75" customHeight="1">
      <c r="A4882" s="243"/>
      <c r="B4882" s="244"/>
      <c r="C4882" s="243"/>
      <c r="D4882" s="244"/>
      <c r="E4882" s="245"/>
      <c r="F4882" s="244"/>
      <c r="G4882" s="246"/>
      <c r="H4882" s="247"/>
      <c r="I4882" s="86"/>
      <c r="J4882" s="86"/>
      <c r="K4882" s="248"/>
      <c r="M4882" s="249"/>
    </row>
    <row r="4883" ht="15.75" customHeight="1">
      <c r="A4883" s="243"/>
      <c r="B4883" s="244"/>
      <c r="C4883" s="243"/>
      <c r="D4883" s="244"/>
      <c r="E4883" s="245"/>
      <c r="F4883" s="244"/>
      <c r="G4883" s="246"/>
      <c r="H4883" s="247"/>
      <c r="I4883" s="86"/>
      <c r="J4883" s="86"/>
      <c r="K4883" s="248"/>
      <c r="M4883" s="249"/>
    </row>
    <row r="4884" ht="15.75" customHeight="1">
      <c r="A4884" s="243"/>
      <c r="B4884" s="244"/>
      <c r="C4884" s="243"/>
      <c r="D4884" s="244"/>
      <c r="E4884" s="245"/>
      <c r="F4884" s="244"/>
      <c r="G4884" s="246"/>
      <c r="H4884" s="247"/>
      <c r="I4884" s="86"/>
      <c r="J4884" s="86"/>
      <c r="K4884" s="248"/>
      <c r="M4884" s="249"/>
    </row>
    <row r="4885" ht="15.75" customHeight="1">
      <c r="A4885" s="243"/>
      <c r="B4885" s="244"/>
      <c r="C4885" s="243"/>
      <c r="D4885" s="244"/>
      <c r="E4885" s="245"/>
      <c r="F4885" s="244"/>
      <c r="G4885" s="246"/>
      <c r="H4885" s="247"/>
      <c r="I4885" s="86"/>
      <c r="J4885" s="86"/>
      <c r="K4885" s="248"/>
      <c r="M4885" s="249"/>
    </row>
    <row r="4886" ht="15.75" customHeight="1">
      <c r="A4886" s="243"/>
      <c r="B4886" s="244"/>
      <c r="C4886" s="243"/>
      <c r="D4886" s="244"/>
      <c r="E4886" s="245"/>
      <c r="F4886" s="244"/>
      <c r="G4886" s="246"/>
      <c r="H4886" s="247"/>
      <c r="I4886" s="86"/>
      <c r="J4886" s="86"/>
      <c r="K4886" s="248"/>
      <c r="M4886" s="249"/>
    </row>
    <row r="4887" ht="15.75" customHeight="1">
      <c r="A4887" s="243"/>
      <c r="B4887" s="244"/>
      <c r="C4887" s="243"/>
      <c r="D4887" s="244"/>
      <c r="E4887" s="245"/>
      <c r="F4887" s="244"/>
      <c r="G4887" s="246"/>
      <c r="H4887" s="247"/>
      <c r="I4887" s="86"/>
      <c r="J4887" s="86"/>
      <c r="K4887" s="248"/>
      <c r="M4887" s="249"/>
    </row>
    <row r="4888" ht="15.75" customHeight="1">
      <c r="A4888" s="243"/>
      <c r="B4888" s="244"/>
      <c r="C4888" s="243"/>
      <c r="D4888" s="244"/>
      <c r="E4888" s="245"/>
      <c r="F4888" s="244"/>
      <c r="G4888" s="246"/>
      <c r="H4888" s="247"/>
      <c r="I4888" s="86"/>
      <c r="J4888" s="86"/>
      <c r="K4888" s="248"/>
      <c r="M4888" s="249"/>
    </row>
    <row r="4889" ht="15.75" customHeight="1">
      <c r="A4889" s="243"/>
      <c r="B4889" s="244"/>
      <c r="C4889" s="243"/>
      <c r="D4889" s="244"/>
      <c r="E4889" s="245"/>
      <c r="F4889" s="244"/>
      <c r="G4889" s="246"/>
      <c r="H4889" s="247"/>
      <c r="I4889" s="86"/>
      <c r="J4889" s="86"/>
      <c r="K4889" s="248"/>
      <c r="M4889" s="249"/>
    </row>
    <row r="4890" ht="15.75" customHeight="1">
      <c r="A4890" s="243"/>
      <c r="B4890" s="244"/>
      <c r="C4890" s="243"/>
      <c r="D4890" s="244"/>
      <c r="E4890" s="245"/>
      <c r="F4890" s="244"/>
      <c r="G4890" s="246"/>
      <c r="H4890" s="247"/>
      <c r="I4890" s="86"/>
      <c r="J4890" s="86"/>
      <c r="K4890" s="248"/>
      <c r="M4890" s="249"/>
    </row>
    <row r="4891" ht="15.75" customHeight="1">
      <c r="A4891" s="243"/>
      <c r="B4891" s="244"/>
      <c r="C4891" s="243"/>
      <c r="D4891" s="244"/>
      <c r="E4891" s="245"/>
      <c r="F4891" s="244"/>
      <c r="G4891" s="246"/>
      <c r="H4891" s="247"/>
      <c r="I4891" s="86"/>
      <c r="J4891" s="86"/>
      <c r="K4891" s="248"/>
      <c r="M4891" s="249"/>
    </row>
    <row r="4892" ht="15.75" customHeight="1">
      <c r="A4892" s="243"/>
      <c r="B4892" s="244"/>
      <c r="C4892" s="243"/>
      <c r="D4892" s="244"/>
      <c r="E4892" s="245"/>
      <c r="F4892" s="244"/>
      <c r="G4892" s="246"/>
      <c r="H4892" s="247"/>
      <c r="I4892" s="86"/>
      <c r="J4892" s="86"/>
      <c r="K4892" s="248"/>
      <c r="M4892" s="249"/>
    </row>
    <row r="4893" ht="15.75" customHeight="1">
      <c r="A4893" s="243"/>
      <c r="B4893" s="244"/>
      <c r="C4893" s="243"/>
      <c r="D4893" s="244"/>
      <c r="E4893" s="245"/>
      <c r="F4893" s="244"/>
      <c r="G4893" s="246"/>
      <c r="H4893" s="247"/>
      <c r="I4893" s="86"/>
      <c r="J4893" s="86"/>
      <c r="K4893" s="248"/>
      <c r="M4893" s="249"/>
    </row>
    <row r="4894" ht="15.75" customHeight="1">
      <c r="A4894" s="243"/>
      <c r="B4894" s="244"/>
      <c r="C4894" s="243"/>
      <c r="D4894" s="244"/>
      <c r="E4894" s="245"/>
      <c r="F4894" s="244"/>
      <c r="G4894" s="246"/>
      <c r="H4894" s="247"/>
      <c r="I4894" s="86"/>
      <c r="J4894" s="86"/>
      <c r="K4894" s="248"/>
      <c r="M4894" s="249"/>
    </row>
    <row r="4895" ht="15.75" customHeight="1">
      <c r="A4895" s="243"/>
      <c r="B4895" s="244"/>
      <c r="C4895" s="243"/>
      <c r="D4895" s="244"/>
      <c r="E4895" s="245"/>
      <c r="F4895" s="244"/>
      <c r="G4895" s="246"/>
      <c r="H4895" s="247"/>
      <c r="I4895" s="86"/>
      <c r="J4895" s="86"/>
      <c r="K4895" s="248"/>
      <c r="M4895" s="249"/>
    </row>
    <row r="4896" ht="15.75" customHeight="1">
      <c r="A4896" s="243"/>
      <c r="B4896" s="244"/>
      <c r="C4896" s="243"/>
      <c r="D4896" s="244"/>
      <c r="E4896" s="245"/>
      <c r="F4896" s="244"/>
      <c r="G4896" s="246"/>
      <c r="H4896" s="247"/>
      <c r="I4896" s="86"/>
      <c r="J4896" s="86"/>
      <c r="K4896" s="248"/>
      <c r="M4896" s="249"/>
    </row>
    <row r="4897" ht="15.75" customHeight="1">
      <c r="A4897" s="243"/>
      <c r="B4897" s="244"/>
      <c r="C4897" s="243"/>
      <c r="D4897" s="244"/>
      <c r="E4897" s="245"/>
      <c r="F4897" s="244"/>
      <c r="G4897" s="246"/>
      <c r="H4897" s="247"/>
      <c r="I4897" s="86"/>
      <c r="J4897" s="86"/>
      <c r="K4897" s="248"/>
      <c r="M4897" s="249"/>
    </row>
    <row r="4898" ht="15.75" customHeight="1">
      <c r="A4898" s="243"/>
      <c r="B4898" s="244"/>
      <c r="C4898" s="243"/>
      <c r="D4898" s="244"/>
      <c r="E4898" s="245"/>
      <c r="F4898" s="244"/>
      <c r="G4898" s="246"/>
      <c r="H4898" s="247"/>
      <c r="I4898" s="86"/>
      <c r="J4898" s="86"/>
      <c r="K4898" s="248"/>
      <c r="M4898" s="249"/>
    </row>
    <row r="4899" ht="15.75" customHeight="1">
      <c r="A4899" s="243"/>
      <c r="B4899" s="244"/>
      <c r="C4899" s="243"/>
      <c r="D4899" s="244"/>
      <c r="E4899" s="245"/>
      <c r="F4899" s="244"/>
      <c r="G4899" s="246"/>
      <c r="H4899" s="247"/>
      <c r="I4899" s="86"/>
      <c r="J4899" s="86"/>
      <c r="K4899" s="248"/>
      <c r="M4899" s="249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