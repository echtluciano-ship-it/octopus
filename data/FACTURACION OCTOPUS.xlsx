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VTXKNDhbV5ku9LgoPUgdVJJaaGPAXGzjDqw82MeaI5g="/>
    </ext>
  </extLst>
</workbook>
</file>

<file path=xl/sharedStrings.xml><?xml version="1.0" encoding="utf-8"?>
<sst xmlns="http://schemas.openxmlformats.org/spreadsheetml/2006/main" count="14544" uniqueCount="4804">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</sst>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2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46">
        <v>45845.0</v>
      </c>
      <c r="B1180" s="46"/>
      <c r="C1180" s="135" t="s">
        <v>1277</v>
      </c>
      <c r="D1180" s="62" t="s">
        <v>15</v>
      </c>
      <c r="E1180" s="61" t="s">
        <v>1300</v>
      </c>
      <c r="F1180" s="137">
        <v>45863.0</v>
      </c>
      <c r="G1180" s="65">
        <v>402830.54</v>
      </c>
      <c r="H1180" s="9">
        <f t="shared" si="6"/>
        <v>84594.4134</v>
      </c>
      <c r="I1180" s="44">
        <v>12084.92</v>
      </c>
      <c r="J1180" s="49"/>
      <c r="K1180" s="10">
        <f t="shared" si="4"/>
        <v>499509.8734</v>
      </c>
      <c r="L1180" s="47"/>
      <c r="M1180" s="50"/>
    </row>
    <row r="1181" ht="15.75" customHeight="1">
      <c r="A1181" s="46">
        <v>45845.0</v>
      </c>
      <c r="B1181" s="46"/>
      <c r="C1181" s="135" t="s">
        <v>1277</v>
      </c>
      <c r="D1181" s="62" t="s">
        <v>15</v>
      </c>
      <c r="E1181" s="61" t="s">
        <v>1301</v>
      </c>
      <c r="F1181" s="137">
        <v>45863.0</v>
      </c>
      <c r="G1181" s="65">
        <v>601280.78</v>
      </c>
      <c r="H1181" s="9">
        <f t="shared" si="6"/>
        <v>126268.9638</v>
      </c>
      <c r="I1181" s="44">
        <v>18038.42</v>
      </c>
      <c r="J1181" s="49"/>
      <c r="K1181" s="10">
        <f t="shared" si="4"/>
        <v>745588.1638</v>
      </c>
      <c r="L1181" s="47"/>
      <c r="M1181" s="50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7"/>
      <c r="M1732" s="50"/>
    </row>
    <row r="1733" ht="15.75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5"/>
      <c r="C3334" s="31" t="s">
        <v>239</v>
      </c>
      <c r="D3334" s="32" t="s">
        <v>15</v>
      </c>
      <c r="E3334" s="31" t="s">
        <v>3618</v>
      </c>
      <c r="F3334" s="134">
        <v>46138.0</v>
      </c>
      <c r="G3334" s="59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5"/>
      <c r="C3335" s="31" t="s">
        <v>239</v>
      </c>
      <c r="D3335" s="32" t="s">
        <v>15</v>
      </c>
      <c r="E3335" s="31" t="s">
        <v>3619</v>
      </c>
      <c r="F3335" s="134">
        <v>46138.0</v>
      </c>
      <c r="G3335" s="59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5"/>
      <c r="C3336" s="31" t="s">
        <v>239</v>
      </c>
      <c r="D3336" s="32" t="s">
        <v>15</v>
      </c>
      <c r="E3336" s="31" t="s">
        <v>3620</v>
      </c>
      <c r="F3336" s="134">
        <v>46138.0</v>
      </c>
      <c r="G3336" s="59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5"/>
      <c r="C3337" s="31" t="s">
        <v>239</v>
      </c>
      <c r="D3337" s="32" t="s">
        <v>15</v>
      </c>
      <c r="E3337" s="31" t="s">
        <v>3621</v>
      </c>
      <c r="F3337" s="134">
        <v>46138.0</v>
      </c>
      <c r="G3337" s="59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519" si="11">G3531*0.21</f>
        <v>2727399.581</v>
      </c>
      <c r="I3531" s="22">
        <v>389628.51</v>
      </c>
      <c r="J3531" s="22"/>
      <c r="K3531" s="15">
        <f t="shared" ref="K3531:K4519" si="12">SUM(G3531:J3531)</f>
        <v>16104645.14</v>
      </c>
      <c r="L3531" s="45"/>
      <c r="M3531" s="6"/>
    </row>
    <row r="3532" ht="15.75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5"/>
      <c r="C3539" s="31" t="s">
        <v>3596</v>
      </c>
      <c r="D3539" s="32" t="s">
        <v>99</v>
      </c>
      <c r="E3539" s="31" t="s">
        <v>3827</v>
      </c>
      <c r="F3539" s="139">
        <v>46168.0</v>
      </c>
      <c r="G3539" s="59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218">
        <v>46171.0</v>
      </c>
      <c r="B3560" s="60"/>
      <c r="C3560" s="62" t="s">
        <v>122</v>
      </c>
      <c r="D3560" s="62" t="s">
        <v>15</v>
      </c>
      <c r="E3560" s="61" t="s">
        <v>3852</v>
      </c>
      <c r="F3560" s="136">
        <v>46168.0</v>
      </c>
      <c r="G3560" s="155">
        <v>6003611.57</v>
      </c>
      <c r="H3560" s="9">
        <f t="shared" si="11"/>
        <v>1260758.43</v>
      </c>
      <c r="I3560" s="44"/>
      <c r="J3560" s="44"/>
      <c r="K3560" s="10">
        <f t="shared" si="12"/>
        <v>7264370</v>
      </c>
      <c r="L3560" s="47"/>
      <c r="M3560" s="50"/>
    </row>
    <row r="3561" ht="15.75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218">
        <v>46171.0</v>
      </c>
      <c r="B3579" s="60"/>
      <c r="C3579" s="61" t="s">
        <v>3873</v>
      </c>
      <c r="D3579" s="62" t="s">
        <v>15</v>
      </c>
      <c r="E3579" s="61" t="s">
        <v>3874</v>
      </c>
      <c r="F3579" s="136">
        <v>46168.0</v>
      </c>
      <c r="G3579" s="155">
        <v>5972460.15</v>
      </c>
      <c r="H3579" s="9">
        <f t="shared" si="11"/>
        <v>1254216.632</v>
      </c>
      <c r="I3579" s="44"/>
      <c r="J3579" s="44"/>
      <c r="K3579" s="10">
        <f t="shared" si="12"/>
        <v>7226676.782</v>
      </c>
      <c r="L3579" s="47"/>
      <c r="M3579" s="50"/>
    </row>
    <row r="3580" ht="15.75" customHeight="1">
      <c r="A3580" s="218">
        <v>46171.0</v>
      </c>
      <c r="B3580" s="60"/>
      <c r="C3580" s="61" t="s">
        <v>3873</v>
      </c>
      <c r="D3580" s="62" t="s">
        <v>15</v>
      </c>
      <c r="E3580" s="61" t="s">
        <v>3875</v>
      </c>
      <c r="F3580" s="136">
        <v>46168.0</v>
      </c>
      <c r="G3580" s="155">
        <v>8721360.42</v>
      </c>
      <c r="H3580" s="9">
        <f t="shared" si="11"/>
        <v>1831485.688</v>
      </c>
      <c r="I3580" s="44"/>
      <c r="J3580" s="44"/>
      <c r="K3580" s="10">
        <f t="shared" si="12"/>
        <v>10552846.11</v>
      </c>
      <c r="L3580" s="47"/>
      <c r="M3580" s="50"/>
    </row>
    <row r="3581" ht="15.75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218">
        <v>46172.0</v>
      </c>
      <c r="B3602" s="60"/>
      <c r="C3602" s="61" t="s">
        <v>2958</v>
      </c>
      <c r="D3602" s="62" t="s">
        <v>15</v>
      </c>
      <c r="E3602" s="61" t="s">
        <v>3909</v>
      </c>
      <c r="F3602" s="136">
        <v>46168.0</v>
      </c>
      <c r="G3602" s="155">
        <v>9821360.52</v>
      </c>
      <c r="H3602" s="9">
        <f t="shared" si="11"/>
        <v>2062485.709</v>
      </c>
      <c r="I3602" s="44">
        <v>294640.82</v>
      </c>
      <c r="J3602" s="44"/>
      <c r="K3602" s="10">
        <f t="shared" si="12"/>
        <v>12178487.05</v>
      </c>
      <c r="L3602" s="47"/>
      <c r="M3602" s="50"/>
    </row>
    <row r="3603" ht="15.75" customHeight="1">
      <c r="A3603" s="218">
        <v>46172.0</v>
      </c>
      <c r="B3603" s="60"/>
      <c r="C3603" s="61" t="s">
        <v>2958</v>
      </c>
      <c r="D3603" s="62" t="s">
        <v>15</v>
      </c>
      <c r="E3603" s="61" t="s">
        <v>3910</v>
      </c>
      <c r="F3603" s="136">
        <v>46168.0</v>
      </c>
      <c r="G3603" s="155">
        <v>1.018875059E7</v>
      </c>
      <c r="H3603" s="9">
        <f t="shared" si="11"/>
        <v>2139637.624</v>
      </c>
      <c r="I3603" s="44">
        <v>305662.52</v>
      </c>
      <c r="J3603" s="44"/>
      <c r="K3603" s="10">
        <f t="shared" si="12"/>
        <v>12634050.73</v>
      </c>
      <c r="L3603" s="47"/>
      <c r="M3603" s="50"/>
    </row>
    <row r="3604" ht="15.75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5"/>
      <c r="C3608" s="31" t="s">
        <v>3883</v>
      </c>
      <c r="D3608" s="32" t="s">
        <v>15</v>
      </c>
      <c r="E3608" s="31" t="s">
        <v>3917</v>
      </c>
      <c r="F3608" s="139">
        <v>46168.0</v>
      </c>
      <c r="G3608" s="59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5"/>
      <c r="C3609" s="31" t="s">
        <v>3883</v>
      </c>
      <c r="D3609" s="32" t="s">
        <v>15</v>
      </c>
      <c r="E3609" s="31" t="s">
        <v>3918</v>
      </c>
      <c r="F3609" s="139">
        <v>46168.0</v>
      </c>
      <c r="G3609" s="59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218">
        <v>46177.0</v>
      </c>
      <c r="B3656" s="60"/>
      <c r="C3656" s="61" t="s">
        <v>2616</v>
      </c>
      <c r="D3656" s="62" t="s">
        <v>1543</v>
      </c>
      <c r="E3656" s="62" t="s">
        <v>3961</v>
      </c>
      <c r="F3656" s="136">
        <v>46168.0</v>
      </c>
      <c r="G3656" s="206">
        <v>8305402.13</v>
      </c>
      <c r="H3656" s="9">
        <f t="shared" si="11"/>
        <v>1744134.447</v>
      </c>
      <c r="I3656" s="44"/>
      <c r="J3656" s="44"/>
      <c r="K3656" s="10">
        <f t="shared" si="12"/>
        <v>10049536.58</v>
      </c>
      <c r="L3656" s="47"/>
      <c r="M3656" s="50"/>
    </row>
    <row r="3657" ht="15.75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5"/>
      <c r="C3678" s="31" t="s">
        <v>3596</v>
      </c>
      <c r="D3678" s="32" t="s">
        <v>99</v>
      </c>
      <c r="E3678" s="31" t="s">
        <v>3985</v>
      </c>
      <c r="F3678" s="134">
        <v>46199.0</v>
      </c>
      <c r="G3678" s="59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218">
        <v>46195.0</v>
      </c>
      <c r="B3752" s="60"/>
      <c r="C3752" s="61" t="s">
        <v>171</v>
      </c>
      <c r="D3752" s="62" t="s">
        <v>99</v>
      </c>
      <c r="E3752" s="61" t="s">
        <v>4062</v>
      </c>
      <c r="F3752" s="137">
        <v>46199.0</v>
      </c>
      <c r="G3752" s="155">
        <v>1.038893626E7</v>
      </c>
      <c r="H3752" s="9">
        <f t="shared" si="11"/>
        <v>2181676.615</v>
      </c>
      <c r="I3752" s="44"/>
      <c r="J3752" s="44"/>
      <c r="K3752" s="10">
        <f t="shared" si="12"/>
        <v>12570612.87</v>
      </c>
      <c r="L3752" s="47"/>
      <c r="M3752" s="50"/>
    </row>
    <row r="3753" ht="15.75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218">
        <v>46198.0</v>
      </c>
      <c r="B3768" s="60"/>
      <c r="C3768" s="61" t="s">
        <v>1179</v>
      </c>
      <c r="D3768" s="62" t="s">
        <v>99</v>
      </c>
      <c r="E3768" s="61" t="s">
        <v>4078</v>
      </c>
      <c r="F3768" s="137">
        <v>46199.0</v>
      </c>
      <c r="G3768" s="155">
        <v>6423480.42</v>
      </c>
      <c r="H3768" s="9">
        <f t="shared" si="11"/>
        <v>1348930.888</v>
      </c>
      <c r="I3768" s="44"/>
      <c r="J3768" s="44"/>
      <c r="K3768" s="10">
        <f t="shared" si="12"/>
        <v>7772411.308</v>
      </c>
      <c r="L3768" s="47"/>
      <c r="M3768" s="50"/>
    </row>
    <row r="3769" ht="15.75" customHeight="1">
      <c r="A3769" s="218">
        <v>46198.0</v>
      </c>
      <c r="B3769" s="60"/>
      <c r="C3769" s="61" t="s">
        <v>1179</v>
      </c>
      <c r="D3769" s="62" t="s">
        <v>99</v>
      </c>
      <c r="E3769" s="61" t="s">
        <v>4079</v>
      </c>
      <c r="F3769" s="137">
        <v>46199.0</v>
      </c>
      <c r="G3769" s="155">
        <v>7879650.23</v>
      </c>
      <c r="H3769" s="9">
        <f t="shared" si="11"/>
        <v>1654726.548</v>
      </c>
      <c r="I3769" s="44"/>
      <c r="J3769" s="44"/>
      <c r="K3769" s="10">
        <f t="shared" si="12"/>
        <v>9534376.778</v>
      </c>
      <c r="L3769" s="47"/>
      <c r="M3769" s="50"/>
    </row>
    <row r="3770" ht="15.75" customHeight="1">
      <c r="A3770" s="218">
        <v>46198.0</v>
      </c>
      <c r="B3770" s="60"/>
      <c r="C3770" s="61" t="s">
        <v>1179</v>
      </c>
      <c r="D3770" s="62" t="s">
        <v>99</v>
      </c>
      <c r="E3770" s="61" t="s">
        <v>4080</v>
      </c>
      <c r="F3770" s="137">
        <v>46199.0</v>
      </c>
      <c r="G3770" s="155">
        <v>9511490.43</v>
      </c>
      <c r="H3770" s="9">
        <f t="shared" si="11"/>
        <v>1997412.99</v>
      </c>
      <c r="I3770" s="44"/>
      <c r="J3770" s="44">
        <v>190229.81</v>
      </c>
      <c r="K3770" s="10">
        <f t="shared" si="12"/>
        <v>11699133.23</v>
      </c>
      <c r="L3770" s="47"/>
      <c r="M3770" s="50"/>
    </row>
    <row r="3771" ht="15.75" customHeight="1">
      <c r="A3771" s="218">
        <v>46198.0</v>
      </c>
      <c r="B3771" s="60"/>
      <c r="C3771" s="61" t="s">
        <v>1179</v>
      </c>
      <c r="D3771" s="62" t="s">
        <v>15</v>
      </c>
      <c r="E3771" s="61" t="s">
        <v>4081</v>
      </c>
      <c r="F3771" s="137">
        <v>46199.0</v>
      </c>
      <c r="G3771" s="155">
        <v>1.444928062E7</v>
      </c>
      <c r="H3771" s="9">
        <f t="shared" si="11"/>
        <v>3034348.93</v>
      </c>
      <c r="I3771" s="44"/>
      <c r="J3771" s="44">
        <v>288985.61</v>
      </c>
      <c r="K3771" s="10">
        <f t="shared" si="12"/>
        <v>17772615.16</v>
      </c>
      <c r="L3771" s="47"/>
      <c r="M3771" s="50"/>
    </row>
    <row r="3772" ht="15.75" customHeight="1">
      <c r="A3772" s="218">
        <v>46198.0</v>
      </c>
      <c r="B3772" s="60"/>
      <c r="C3772" s="61" t="s">
        <v>1179</v>
      </c>
      <c r="D3772" s="62" t="s">
        <v>15</v>
      </c>
      <c r="E3772" s="61" t="s">
        <v>4082</v>
      </c>
      <c r="F3772" s="137">
        <v>46199.0</v>
      </c>
      <c r="G3772" s="155">
        <v>1.337835007E7</v>
      </c>
      <c r="H3772" s="9">
        <f t="shared" si="11"/>
        <v>2809453.515</v>
      </c>
      <c r="I3772" s="44"/>
      <c r="J3772" s="44">
        <v>267567.0</v>
      </c>
      <c r="K3772" s="10">
        <f t="shared" si="12"/>
        <v>16455370.58</v>
      </c>
      <c r="L3772" s="47"/>
      <c r="M3772" s="50"/>
    </row>
    <row r="3773" ht="15.75" customHeight="1">
      <c r="A3773" s="218">
        <v>46198.0</v>
      </c>
      <c r="B3773" s="60"/>
      <c r="C3773" s="61" t="s">
        <v>1179</v>
      </c>
      <c r="D3773" s="62" t="s">
        <v>15</v>
      </c>
      <c r="E3773" s="61" t="s">
        <v>4083</v>
      </c>
      <c r="F3773" s="137">
        <v>46199.0</v>
      </c>
      <c r="G3773" s="155">
        <v>1.418644085E7</v>
      </c>
      <c r="H3773" s="9">
        <f t="shared" si="11"/>
        <v>2979152.579</v>
      </c>
      <c r="I3773" s="44"/>
      <c r="J3773" s="44">
        <v>283728.82</v>
      </c>
      <c r="K3773" s="10">
        <f t="shared" si="12"/>
        <v>17449322.25</v>
      </c>
      <c r="L3773" s="47"/>
      <c r="M3773" s="50"/>
    </row>
    <row r="3774" ht="15.75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218">
        <v>46202.0</v>
      </c>
      <c r="B3850" s="60"/>
      <c r="C3850" s="61" t="s">
        <v>268</v>
      </c>
      <c r="D3850" s="62" t="s">
        <v>99</v>
      </c>
      <c r="E3850" s="61" t="s">
        <v>4160</v>
      </c>
      <c r="F3850" s="137">
        <v>46199.0</v>
      </c>
      <c r="G3850" s="155">
        <v>1.635253312E7</v>
      </c>
      <c r="H3850" s="9">
        <f t="shared" si="11"/>
        <v>3434031.955</v>
      </c>
      <c r="I3850" s="44">
        <v>490575.99</v>
      </c>
      <c r="J3850" s="44">
        <v>327050.66</v>
      </c>
      <c r="K3850" s="10">
        <f t="shared" si="12"/>
        <v>20604191.73</v>
      </c>
      <c r="L3850" s="47"/>
      <c r="M3850" s="50"/>
    </row>
    <row r="3851" ht="15.75" customHeight="1">
      <c r="A3851" s="218">
        <v>46202.0</v>
      </c>
      <c r="B3851" s="60"/>
      <c r="C3851" s="61" t="s">
        <v>268</v>
      </c>
      <c r="D3851" s="62" t="s">
        <v>15</v>
      </c>
      <c r="E3851" s="61" t="s">
        <v>4161</v>
      </c>
      <c r="F3851" s="137">
        <v>46199.0</v>
      </c>
      <c r="G3851" s="155">
        <v>3.200081126E7</v>
      </c>
      <c r="H3851" s="9">
        <f t="shared" si="11"/>
        <v>6720170.365</v>
      </c>
      <c r="I3851" s="44">
        <v>960024.34</v>
      </c>
      <c r="J3851" s="44">
        <v>640016.23</v>
      </c>
      <c r="K3851" s="10">
        <f t="shared" si="12"/>
        <v>40321022.19</v>
      </c>
      <c r="L3851" s="47"/>
      <c r="M3851" s="50"/>
    </row>
    <row r="3852" ht="15.75" customHeight="1">
      <c r="A3852" s="218">
        <v>46202.0</v>
      </c>
      <c r="B3852" s="60"/>
      <c r="C3852" s="61" t="s">
        <v>268</v>
      </c>
      <c r="D3852" s="62" t="s">
        <v>15</v>
      </c>
      <c r="E3852" s="61" t="s">
        <v>4162</v>
      </c>
      <c r="F3852" s="137">
        <v>46199.0</v>
      </c>
      <c r="G3852" s="155">
        <v>5.250026562E7</v>
      </c>
      <c r="H3852" s="9">
        <f t="shared" si="11"/>
        <v>11025055.78</v>
      </c>
      <c r="I3852" s="44">
        <v>1575007.97</v>
      </c>
      <c r="J3852" s="44">
        <v>1050005.31</v>
      </c>
      <c r="K3852" s="10">
        <f t="shared" si="12"/>
        <v>66150334.68</v>
      </c>
      <c r="L3852" s="47"/>
      <c r="M3852" s="50"/>
    </row>
    <row r="3853" ht="15.75" customHeight="1">
      <c r="A3853" s="162">
        <v>46203.0</v>
      </c>
      <c r="B3853" s="55"/>
      <c r="C3853" s="31" t="s">
        <v>3596</v>
      </c>
      <c r="D3853" s="32" t="s">
        <v>99</v>
      </c>
      <c r="E3853" s="31" t="s">
        <v>4163</v>
      </c>
      <c r="F3853" s="134">
        <v>46199.0</v>
      </c>
      <c r="G3853" s="59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218">
        <v>46205.0</v>
      </c>
      <c r="B3869" s="60"/>
      <c r="C3869" s="61" t="s">
        <v>4183</v>
      </c>
      <c r="D3869" s="62" t="s">
        <v>1543</v>
      </c>
      <c r="E3869" s="62" t="s">
        <v>4184</v>
      </c>
      <c r="F3869" s="137">
        <v>46199.0</v>
      </c>
      <c r="G3869" s="206">
        <v>6370521.13</v>
      </c>
      <c r="H3869" s="9">
        <f t="shared" si="11"/>
        <v>1337809.437</v>
      </c>
      <c r="I3869" s="44"/>
      <c r="J3869" s="44"/>
      <c r="K3869" s="10">
        <f t="shared" si="12"/>
        <v>7708330.567</v>
      </c>
      <c r="L3869" s="47"/>
      <c r="M3869" s="50"/>
    </row>
    <row r="3870" ht="15.75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218">
        <v>46205.0</v>
      </c>
      <c r="B3873" s="60"/>
      <c r="C3873" s="61" t="s">
        <v>4183</v>
      </c>
      <c r="D3873" s="62" t="s">
        <v>1543</v>
      </c>
      <c r="E3873" s="62" t="s">
        <v>4188</v>
      </c>
      <c r="F3873" s="137">
        <v>46199.0</v>
      </c>
      <c r="G3873" s="206">
        <v>6007805.23</v>
      </c>
      <c r="H3873" s="9">
        <f t="shared" si="11"/>
        <v>1261639.098</v>
      </c>
      <c r="I3873" s="44"/>
      <c r="J3873" s="44"/>
      <c r="K3873" s="10">
        <f t="shared" si="12"/>
        <v>7269444.328</v>
      </c>
      <c r="L3873" s="47"/>
      <c r="M3873" s="50"/>
    </row>
    <row r="3874" ht="15.75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218">
        <v>46210.0</v>
      </c>
      <c r="B3930" s="60"/>
      <c r="C3930" s="61" t="s">
        <v>1312</v>
      </c>
      <c r="D3930" s="62" t="s">
        <v>99</v>
      </c>
      <c r="E3930" s="61" t="s">
        <v>4245</v>
      </c>
      <c r="F3930" s="137">
        <v>46229.0</v>
      </c>
      <c r="G3930" s="155">
        <v>1100511.25</v>
      </c>
      <c r="H3930" s="9">
        <f t="shared" si="11"/>
        <v>231107.3625</v>
      </c>
      <c r="I3930" s="44">
        <v>33015.34</v>
      </c>
      <c r="J3930" s="44"/>
      <c r="K3930" s="10">
        <f t="shared" si="12"/>
        <v>1364633.953</v>
      </c>
      <c r="L3930" s="47"/>
      <c r="M3930" s="50"/>
    </row>
    <row r="3931" ht="15.75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218">
        <v>46211.0</v>
      </c>
      <c r="B3951" s="60"/>
      <c r="C3951" s="61" t="s">
        <v>171</v>
      </c>
      <c r="D3951" s="62" t="s">
        <v>99</v>
      </c>
      <c r="E3951" s="61" t="s">
        <v>4266</v>
      </c>
      <c r="F3951" s="137">
        <v>46229.0</v>
      </c>
      <c r="G3951" s="155">
        <v>1.033623352E7</v>
      </c>
      <c r="H3951" s="9">
        <f t="shared" si="11"/>
        <v>2170609.039</v>
      </c>
      <c r="I3951" s="44"/>
      <c r="J3951" s="44"/>
      <c r="K3951" s="10">
        <f t="shared" si="12"/>
        <v>12506842.56</v>
      </c>
      <c r="L3951" s="47"/>
      <c r="M3951" s="50"/>
    </row>
    <row r="3952" ht="15.75" customHeight="1">
      <c r="A3952" s="218">
        <v>46211.0</v>
      </c>
      <c r="B3952" s="60"/>
      <c r="C3952" s="61" t="s">
        <v>171</v>
      </c>
      <c r="D3952" s="62" t="s">
        <v>99</v>
      </c>
      <c r="E3952" s="61" t="s">
        <v>4267</v>
      </c>
      <c r="F3952" s="137">
        <v>46229.0</v>
      </c>
      <c r="G3952" s="155">
        <v>1.183273315E7</v>
      </c>
      <c r="H3952" s="9">
        <f t="shared" si="11"/>
        <v>2484873.962</v>
      </c>
      <c r="I3952" s="44"/>
      <c r="J3952" s="44"/>
      <c r="K3952" s="10">
        <f t="shared" si="12"/>
        <v>14317607.11</v>
      </c>
      <c r="L3952" s="47"/>
      <c r="M3952" s="50"/>
    </row>
    <row r="3953" ht="15.75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customHeight="1">
      <c r="A3993" s="218">
        <v>46219.0</v>
      </c>
      <c r="B3993" s="60"/>
      <c r="C3993" s="61" t="s">
        <v>1312</v>
      </c>
      <c r="D3993" s="62" t="s">
        <v>99</v>
      </c>
      <c r="E3993" s="61" t="s">
        <v>4308</v>
      </c>
      <c r="F3993" s="137">
        <v>46229.0</v>
      </c>
      <c r="G3993" s="155">
        <v>1050650.0</v>
      </c>
      <c r="H3993" s="9">
        <f t="shared" si="11"/>
        <v>220636.5</v>
      </c>
      <c r="I3993" s="44">
        <v>31519.5</v>
      </c>
      <c r="J3993" s="44"/>
      <c r="K3993" s="10">
        <f t="shared" si="12"/>
        <v>1302806</v>
      </c>
      <c r="L3993" s="47"/>
      <c r="M3993" s="50"/>
    </row>
    <row r="3994" ht="15.75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customHeight="1">
      <c r="A3998" s="218">
        <v>46220.0</v>
      </c>
      <c r="B3998" s="60"/>
      <c r="C3998" s="61" t="s">
        <v>1312</v>
      </c>
      <c r="D3998" s="62" t="s">
        <v>99</v>
      </c>
      <c r="E3998" s="61" t="s">
        <v>4308</v>
      </c>
      <c r="F3998" s="137">
        <v>46229.0</v>
      </c>
      <c r="G3998" s="155">
        <v>1050650.0</v>
      </c>
      <c r="H3998" s="9">
        <f t="shared" si="11"/>
        <v>220636.5</v>
      </c>
      <c r="I3998" s="44">
        <v>31519.5</v>
      </c>
      <c r="J3998" s="44"/>
      <c r="K3998" s="10">
        <f t="shared" si="12"/>
        <v>1302806</v>
      </c>
      <c r="L3998" s="47"/>
      <c r="M3998" s="50"/>
    </row>
    <row r="3999" ht="15.75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customHeight="1">
      <c r="A4032" s="218">
        <v>46221.0</v>
      </c>
      <c r="B4032" s="60"/>
      <c r="C4032" s="61" t="s">
        <v>1312</v>
      </c>
      <c r="D4032" s="62" t="s">
        <v>99</v>
      </c>
      <c r="E4032" s="61" t="s">
        <v>4342</v>
      </c>
      <c r="F4032" s="137">
        <v>46229.0</v>
      </c>
      <c r="G4032" s="155">
        <v>1550650.59</v>
      </c>
      <c r="H4032" s="9">
        <f t="shared" si="11"/>
        <v>325636.6239</v>
      </c>
      <c r="I4032" s="44">
        <v>46519.52</v>
      </c>
      <c r="J4032" s="44"/>
      <c r="K4032" s="10">
        <f t="shared" si="12"/>
        <v>1922806.734</v>
      </c>
      <c r="L4032" s="47"/>
      <c r="M4032" s="50"/>
    </row>
    <row r="4033" ht="15.75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218">
        <v>46234.0</v>
      </c>
      <c r="B4078" s="60"/>
      <c r="C4078" s="61" t="s">
        <v>2958</v>
      </c>
      <c r="D4078" s="62" t="s">
        <v>15</v>
      </c>
      <c r="E4078" s="61" t="s">
        <v>4393</v>
      </c>
      <c r="F4078" s="137">
        <v>46229.0</v>
      </c>
      <c r="G4078" s="155">
        <v>1.001147082E7</v>
      </c>
      <c r="H4078" s="9">
        <f t="shared" si="11"/>
        <v>2102408.872</v>
      </c>
      <c r="I4078" s="44">
        <v>300344.12</v>
      </c>
      <c r="J4078" s="44"/>
      <c r="K4078" s="10">
        <f t="shared" si="12"/>
        <v>12414223.81</v>
      </c>
      <c r="L4078" s="47"/>
      <c r="M4078" s="50"/>
    </row>
    <row r="4079" ht="15.75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customHeight="1">
      <c r="A4085" s="218">
        <v>46235.0</v>
      </c>
      <c r="B4085" s="60"/>
      <c r="C4085" s="61" t="s">
        <v>3883</v>
      </c>
      <c r="D4085" s="62" t="s">
        <v>15</v>
      </c>
      <c r="E4085" s="62" t="s">
        <v>4400</v>
      </c>
      <c r="F4085" s="137">
        <v>46229.0</v>
      </c>
      <c r="G4085" s="206">
        <v>9356930.19</v>
      </c>
      <c r="H4085" s="9">
        <f t="shared" si="11"/>
        <v>1964955.34</v>
      </c>
      <c r="I4085" s="44">
        <v>748554.42</v>
      </c>
      <c r="J4085" s="44"/>
      <c r="K4085" s="10">
        <f t="shared" si="12"/>
        <v>12070439.95</v>
      </c>
      <c r="L4085" s="47"/>
      <c r="M4085" s="50"/>
    </row>
    <row r="4086" ht="15.75" customHeight="1">
      <c r="A4086" s="218">
        <v>46235.0</v>
      </c>
      <c r="B4086" s="60"/>
      <c r="C4086" s="61" t="s">
        <v>3883</v>
      </c>
      <c r="D4086" s="62" t="s">
        <v>15</v>
      </c>
      <c r="E4086" s="62" t="s">
        <v>4401</v>
      </c>
      <c r="F4086" s="137">
        <v>46229.0</v>
      </c>
      <c r="G4086" s="206">
        <v>9101345.16</v>
      </c>
      <c r="H4086" s="9">
        <f t="shared" si="11"/>
        <v>1911282.484</v>
      </c>
      <c r="I4086" s="44">
        <v>455067.26</v>
      </c>
      <c r="J4086" s="44"/>
      <c r="K4086" s="10">
        <f t="shared" si="12"/>
        <v>11467694.9</v>
      </c>
      <c r="L4086" s="47"/>
      <c r="M4086" s="50"/>
    </row>
    <row r="4087" ht="15.75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customHeight="1">
      <c r="A4088" s="162">
        <v>46235.0</v>
      </c>
      <c r="B4088" s="55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5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customHeight="1">
      <c r="A4091" s="218">
        <v>46235.0</v>
      </c>
      <c r="B4091" s="60"/>
      <c r="C4091" s="61" t="s">
        <v>3883</v>
      </c>
      <c r="D4091" s="62" t="s">
        <v>15</v>
      </c>
      <c r="E4091" s="62" t="s">
        <v>4406</v>
      </c>
      <c r="F4091" s="137">
        <v>46229.0</v>
      </c>
      <c r="G4091" s="206">
        <v>8014505.12</v>
      </c>
      <c r="H4091" s="9">
        <f t="shared" si="11"/>
        <v>1683046.075</v>
      </c>
      <c r="I4091" s="44">
        <v>400725.26</v>
      </c>
      <c r="J4091" s="44"/>
      <c r="K4091" s="10">
        <f t="shared" si="12"/>
        <v>10098276.46</v>
      </c>
      <c r="L4091" s="47"/>
      <c r="M4091" s="50"/>
    </row>
    <row r="4092" ht="15.75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customHeight="1">
      <c r="A4094" s="218">
        <v>46235.0</v>
      </c>
      <c r="B4094" s="60"/>
      <c r="C4094" s="61" t="s">
        <v>2613</v>
      </c>
      <c r="D4094" s="62" t="s">
        <v>99</v>
      </c>
      <c r="E4094" s="62" t="s">
        <v>3218</v>
      </c>
      <c r="F4094" s="137">
        <v>46229.0</v>
      </c>
      <c r="G4094" s="206">
        <v>1.548973E7</v>
      </c>
      <c r="H4094" s="9">
        <f t="shared" si="11"/>
        <v>3252843.3</v>
      </c>
      <c r="I4094" s="44">
        <v>464691.9</v>
      </c>
      <c r="J4094" s="44"/>
      <c r="K4094" s="10">
        <f t="shared" si="12"/>
        <v>19207265.2</v>
      </c>
      <c r="L4094" s="47"/>
      <c r="M4094" s="50"/>
    </row>
    <row r="4095" ht="15.75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customHeight="1">
      <c r="A4099" s="218">
        <v>46235.0</v>
      </c>
      <c r="B4099" s="60"/>
      <c r="C4099" s="61" t="s">
        <v>3883</v>
      </c>
      <c r="D4099" s="232" t="s">
        <v>1543</v>
      </c>
      <c r="E4099" s="62" t="s">
        <v>4412</v>
      </c>
      <c r="F4099" s="137">
        <v>46229.0</v>
      </c>
      <c r="G4099" s="206">
        <v>8231623.06</v>
      </c>
      <c r="H4099" s="9">
        <f t="shared" si="11"/>
        <v>1728640.843</v>
      </c>
      <c r="I4099" s="44"/>
      <c r="J4099" s="44"/>
      <c r="K4099" s="10">
        <f t="shared" si="12"/>
        <v>9960263.903</v>
      </c>
      <c r="L4099" s="47"/>
      <c r="M4099" s="50"/>
    </row>
    <row r="4100" ht="15.75" customHeight="1">
      <c r="A4100" s="218">
        <v>46235.0</v>
      </c>
      <c r="B4100" s="60"/>
      <c r="C4100" s="61" t="s">
        <v>3883</v>
      </c>
      <c r="D4100" s="232" t="s">
        <v>1543</v>
      </c>
      <c r="E4100" s="62" t="s">
        <v>4413</v>
      </c>
      <c r="F4100" s="137">
        <v>46229.0</v>
      </c>
      <c r="G4100" s="206">
        <v>8105306.35</v>
      </c>
      <c r="H4100" s="9">
        <f t="shared" si="11"/>
        <v>1702114.334</v>
      </c>
      <c r="I4100" s="44"/>
      <c r="J4100" s="44"/>
      <c r="K4100" s="10">
        <f t="shared" si="12"/>
        <v>9807420.684</v>
      </c>
      <c r="L4100" s="47"/>
      <c r="M4100" s="50"/>
    </row>
    <row r="4101" ht="15.75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218">
        <v>46238.0</v>
      </c>
      <c r="B4115" s="60"/>
      <c r="C4115" s="61" t="s">
        <v>4429</v>
      </c>
      <c r="D4115" s="62" t="s">
        <v>15</v>
      </c>
      <c r="E4115" s="61" t="s">
        <v>4430</v>
      </c>
      <c r="F4115" s="120" t="s">
        <v>4415</v>
      </c>
      <c r="G4115" s="155">
        <v>2.644726013E7</v>
      </c>
      <c r="H4115" s="9">
        <f t="shared" si="11"/>
        <v>5553924.627</v>
      </c>
      <c r="I4115" s="44">
        <v>793417.8</v>
      </c>
      <c r="J4115" s="44">
        <v>1322363.01</v>
      </c>
      <c r="K4115" s="10">
        <f t="shared" si="12"/>
        <v>34116965.57</v>
      </c>
      <c r="L4115" s="47"/>
      <c r="M4115" s="50"/>
    </row>
    <row r="4116" ht="15.75" customHeight="1">
      <c r="A4116" s="218">
        <v>46238.0</v>
      </c>
      <c r="B4116" s="60"/>
      <c r="C4116" s="61" t="s">
        <v>4429</v>
      </c>
      <c r="D4116" s="62" t="s">
        <v>15</v>
      </c>
      <c r="E4116" s="61" t="s">
        <v>4431</v>
      </c>
      <c r="F4116" s="120" t="s">
        <v>4415</v>
      </c>
      <c r="G4116" s="155">
        <v>1.790692513E7</v>
      </c>
      <c r="H4116" s="9">
        <f t="shared" si="11"/>
        <v>3760454.277</v>
      </c>
      <c r="I4116" s="44">
        <v>537207.75</v>
      </c>
      <c r="J4116" s="44">
        <v>895346.26</v>
      </c>
      <c r="K4116" s="10">
        <f t="shared" si="12"/>
        <v>23099933.42</v>
      </c>
      <c r="L4116" s="47"/>
      <c r="M4116" s="50"/>
    </row>
    <row r="4117" ht="15.75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218">
        <v>46241.0</v>
      </c>
      <c r="B4135" s="60"/>
      <c r="C4135" s="61" t="s">
        <v>4429</v>
      </c>
      <c r="D4135" s="62" t="s">
        <v>15</v>
      </c>
      <c r="E4135" s="62" t="s">
        <v>4451</v>
      </c>
      <c r="F4135" s="120" t="s">
        <v>4415</v>
      </c>
      <c r="G4135" s="155">
        <v>-2.644726013E7</v>
      </c>
      <c r="H4135" s="9">
        <f t="shared" si="11"/>
        <v>-5553924.627</v>
      </c>
      <c r="I4135" s="44">
        <v>-793417.8</v>
      </c>
      <c r="J4135" s="44">
        <v>-1322363.01</v>
      </c>
      <c r="K4135" s="10">
        <f t="shared" si="12"/>
        <v>-34116965.57</v>
      </c>
      <c r="L4135" s="47"/>
      <c r="M4135" s="50"/>
    </row>
    <row r="4136" ht="15.75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customHeight="1">
      <c r="A4151" s="218">
        <v>46244.0</v>
      </c>
      <c r="B4151" s="60"/>
      <c r="C4151" s="61" t="s">
        <v>1312</v>
      </c>
      <c r="D4151" s="62" t="s">
        <v>15</v>
      </c>
      <c r="E4151" s="61" t="s">
        <v>4470</v>
      </c>
      <c r="F4151" s="120" t="s">
        <v>4415</v>
      </c>
      <c r="G4151" s="155">
        <v>2400711.26</v>
      </c>
      <c r="H4151" s="9">
        <f t="shared" si="11"/>
        <v>504149.3646</v>
      </c>
      <c r="I4151" s="44">
        <v>72021.34</v>
      </c>
      <c r="J4151" s="44"/>
      <c r="K4151" s="10">
        <f t="shared" si="12"/>
        <v>2976881.965</v>
      </c>
      <c r="L4151" s="47"/>
      <c r="M4151" s="50"/>
    </row>
    <row r="4152" ht="15.75" customHeight="1">
      <c r="A4152" s="218">
        <v>46244.0</v>
      </c>
      <c r="B4152" s="60"/>
      <c r="C4152" s="61" t="s">
        <v>1277</v>
      </c>
      <c r="D4152" s="62" t="s">
        <v>15</v>
      </c>
      <c r="E4152" s="61" t="s">
        <v>4471</v>
      </c>
      <c r="F4152" s="120" t="s">
        <v>4415</v>
      </c>
      <c r="G4152" s="155">
        <v>3590550.16</v>
      </c>
      <c r="H4152" s="9">
        <f t="shared" si="11"/>
        <v>754015.5336</v>
      </c>
      <c r="I4152" s="44">
        <v>107716.5</v>
      </c>
      <c r="J4152" s="44"/>
      <c r="K4152" s="10">
        <f t="shared" si="12"/>
        <v>4452282.194</v>
      </c>
      <c r="L4152" s="47"/>
      <c r="M4152" s="50"/>
    </row>
    <row r="4153" ht="15.75" customHeight="1">
      <c r="A4153" s="218">
        <v>46244.0</v>
      </c>
      <c r="B4153" s="60"/>
      <c r="C4153" s="61" t="s">
        <v>1279</v>
      </c>
      <c r="D4153" s="62" t="s">
        <v>15</v>
      </c>
      <c r="E4153" s="61" t="s">
        <v>4472</v>
      </c>
      <c r="F4153" s="120" t="s">
        <v>4415</v>
      </c>
      <c r="G4153" s="155">
        <v>5850990.62</v>
      </c>
      <c r="H4153" s="9">
        <f t="shared" si="11"/>
        <v>1228708.03</v>
      </c>
      <c r="I4153" s="44">
        <v>175529.72</v>
      </c>
      <c r="J4153" s="44"/>
      <c r="K4153" s="10">
        <f t="shared" si="12"/>
        <v>7255228.37</v>
      </c>
      <c r="L4153" s="47"/>
      <c r="M4153" s="50"/>
    </row>
    <row r="4154" ht="15.75" customHeight="1">
      <c r="A4154" s="218">
        <v>46244.0</v>
      </c>
      <c r="B4154" s="60"/>
      <c r="C4154" s="61" t="s">
        <v>171</v>
      </c>
      <c r="D4154" s="62" t="s">
        <v>99</v>
      </c>
      <c r="E4154" s="61" t="s">
        <v>4473</v>
      </c>
      <c r="F4154" s="120" t="s">
        <v>4415</v>
      </c>
      <c r="G4154" s="155">
        <v>1.633522332E7</v>
      </c>
      <c r="H4154" s="9">
        <f t="shared" si="11"/>
        <v>3430396.897</v>
      </c>
      <c r="I4154" s="44"/>
      <c r="J4154" s="44"/>
      <c r="K4154" s="10">
        <f t="shared" si="12"/>
        <v>19765620.22</v>
      </c>
      <c r="L4154" s="47"/>
      <c r="M4154" s="50"/>
    </row>
    <row r="4155" ht="15.75" customHeight="1">
      <c r="A4155" s="218">
        <v>46244.0</v>
      </c>
      <c r="B4155" s="60"/>
      <c r="C4155" s="61" t="s">
        <v>171</v>
      </c>
      <c r="D4155" s="62" t="s">
        <v>99</v>
      </c>
      <c r="E4155" s="62" t="s">
        <v>4474</v>
      </c>
      <c r="F4155" s="120" t="s">
        <v>4415</v>
      </c>
      <c r="G4155" s="155">
        <v>8664777.26</v>
      </c>
      <c r="H4155" s="9">
        <f t="shared" si="11"/>
        <v>1819603.225</v>
      </c>
      <c r="I4155" s="44"/>
      <c r="J4155" s="44"/>
      <c r="K4155" s="10">
        <f t="shared" si="12"/>
        <v>10484380.48</v>
      </c>
      <c r="L4155" s="47"/>
      <c r="M4155" s="50"/>
    </row>
    <row r="4156" ht="15.75" customHeight="1">
      <c r="A4156" s="218">
        <v>46244.0</v>
      </c>
      <c r="B4156" s="60"/>
      <c r="C4156" s="61" t="s">
        <v>1283</v>
      </c>
      <c r="D4156" s="62" t="s">
        <v>15</v>
      </c>
      <c r="E4156" s="61" t="s">
        <v>4475</v>
      </c>
      <c r="F4156" s="120" t="s">
        <v>4415</v>
      </c>
      <c r="G4156" s="155">
        <v>3590605.16</v>
      </c>
      <c r="H4156" s="9">
        <f t="shared" si="11"/>
        <v>754027.0836</v>
      </c>
      <c r="I4156" s="44">
        <v>107718.15</v>
      </c>
      <c r="J4156" s="44"/>
      <c r="K4156" s="10">
        <f t="shared" si="12"/>
        <v>4452350.394</v>
      </c>
      <c r="L4156" s="47"/>
      <c r="M4156" s="50"/>
    </row>
    <row r="4157" ht="15.75" customHeight="1">
      <c r="A4157" s="218">
        <v>46246.0</v>
      </c>
      <c r="B4157" s="60"/>
      <c r="C4157" s="61" t="s">
        <v>1283</v>
      </c>
      <c r="D4157" s="62" t="s">
        <v>99</v>
      </c>
      <c r="E4157" s="61" t="s">
        <v>4476</v>
      </c>
      <c r="F4157" s="120" t="s">
        <v>4415</v>
      </c>
      <c r="G4157" s="155">
        <v>7010026.47</v>
      </c>
      <c r="H4157" s="9">
        <f t="shared" si="11"/>
        <v>1472105.559</v>
      </c>
      <c r="I4157" s="44">
        <v>210300.79</v>
      </c>
      <c r="J4157" s="44"/>
      <c r="K4157" s="10">
        <f t="shared" si="12"/>
        <v>8692432.819</v>
      </c>
      <c r="L4157" s="47"/>
      <c r="M4157" s="50"/>
    </row>
    <row r="4158" ht="15.75" customHeight="1">
      <c r="A4158" s="218">
        <v>46246.0</v>
      </c>
      <c r="B4158" s="60"/>
      <c r="C4158" s="61" t="s">
        <v>1279</v>
      </c>
      <c r="D4158" s="62" t="s">
        <v>99</v>
      </c>
      <c r="E4158" s="61" t="s">
        <v>4477</v>
      </c>
      <c r="F4158" s="120" t="s">
        <v>4415</v>
      </c>
      <c r="G4158" s="155">
        <v>1.432211633E7</v>
      </c>
      <c r="H4158" s="9">
        <f t="shared" si="11"/>
        <v>3007644.429</v>
      </c>
      <c r="I4158" s="44">
        <v>429663.49</v>
      </c>
      <c r="J4158" s="44"/>
      <c r="K4158" s="10">
        <f t="shared" si="12"/>
        <v>17759424.25</v>
      </c>
      <c r="L4158" s="47"/>
      <c r="M4158" s="50"/>
    </row>
    <row r="4159" ht="15.75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customHeight="1">
      <c r="A4160" s="218">
        <v>46246.0</v>
      </c>
      <c r="B4160" s="60"/>
      <c r="C4160" s="61" t="s">
        <v>1312</v>
      </c>
      <c r="D4160" s="62" t="s">
        <v>99</v>
      </c>
      <c r="E4160" s="61" t="s">
        <v>4479</v>
      </c>
      <c r="F4160" s="120" t="s">
        <v>4415</v>
      </c>
      <c r="G4160" s="155">
        <v>3232177.7</v>
      </c>
      <c r="H4160" s="9">
        <f t="shared" si="11"/>
        <v>678757.317</v>
      </c>
      <c r="I4160" s="44">
        <v>96965.33</v>
      </c>
      <c r="J4160" s="44"/>
      <c r="K4160" s="10">
        <f t="shared" si="12"/>
        <v>4007900.347</v>
      </c>
      <c r="L4160" s="47"/>
      <c r="M4160" s="50"/>
    </row>
    <row r="4161" ht="15.75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customHeight="1">
      <c r="A4191" s="218">
        <v>46247.0</v>
      </c>
      <c r="B4191" s="60"/>
      <c r="C4191" s="61" t="s">
        <v>1277</v>
      </c>
      <c r="D4191" s="62" t="s">
        <v>15</v>
      </c>
      <c r="E4191" s="61" t="s">
        <v>4510</v>
      </c>
      <c r="F4191" s="120" t="s">
        <v>4415</v>
      </c>
      <c r="G4191" s="155">
        <v>7012010.8</v>
      </c>
      <c r="H4191" s="9">
        <f t="shared" si="11"/>
        <v>1472522.268</v>
      </c>
      <c r="I4191" s="44">
        <v>210360.32</v>
      </c>
      <c r="J4191" s="44"/>
      <c r="K4191" s="10">
        <f t="shared" si="12"/>
        <v>8694893.388</v>
      </c>
      <c r="L4191" s="47"/>
      <c r="M4191" s="50"/>
    </row>
    <row r="4192" ht="15.75" customHeight="1">
      <c r="A4192" s="218">
        <v>46247.0</v>
      </c>
      <c r="B4192" s="60"/>
      <c r="C4192" s="61" t="s">
        <v>1283</v>
      </c>
      <c r="D4192" s="62" t="s">
        <v>15</v>
      </c>
      <c r="E4192" s="61" t="s">
        <v>4511</v>
      </c>
      <c r="F4192" s="120" t="s">
        <v>4415</v>
      </c>
      <c r="G4192" s="155">
        <v>7015085.27</v>
      </c>
      <c r="H4192" s="9">
        <f t="shared" si="11"/>
        <v>1473167.907</v>
      </c>
      <c r="I4192" s="44">
        <v>210452.56</v>
      </c>
      <c r="J4192" s="44"/>
      <c r="K4192" s="10">
        <f t="shared" si="12"/>
        <v>8698705.737</v>
      </c>
      <c r="L4192" s="47"/>
      <c r="M4192" s="50"/>
    </row>
    <row r="4193" ht="15.75" customHeight="1">
      <c r="A4193" s="218">
        <v>46247.0</v>
      </c>
      <c r="B4193" s="60"/>
      <c r="C4193" s="61" t="s">
        <v>1279</v>
      </c>
      <c r="D4193" s="62" t="s">
        <v>15</v>
      </c>
      <c r="E4193" s="61" t="s">
        <v>4512</v>
      </c>
      <c r="F4193" s="120" t="s">
        <v>4415</v>
      </c>
      <c r="G4193" s="155">
        <v>1.301402331E7</v>
      </c>
      <c r="H4193" s="9">
        <f t="shared" si="11"/>
        <v>2732944.895</v>
      </c>
      <c r="I4193" s="44">
        <v>390420.7</v>
      </c>
      <c r="J4193" s="44"/>
      <c r="K4193" s="10">
        <f t="shared" si="12"/>
        <v>16137388.91</v>
      </c>
      <c r="L4193" s="47"/>
      <c r="M4193" s="50"/>
    </row>
    <row r="4194" ht="15.75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218">
        <v>46252.0</v>
      </c>
      <c r="B4204" s="60"/>
      <c r="C4204" s="61" t="s">
        <v>1283</v>
      </c>
      <c r="D4204" s="62" t="s">
        <v>99</v>
      </c>
      <c r="E4204" s="61" t="s">
        <v>4523</v>
      </c>
      <c r="F4204" s="120" t="s">
        <v>4415</v>
      </c>
      <c r="G4204" s="155">
        <v>2510140.26</v>
      </c>
      <c r="H4204" s="9">
        <f t="shared" si="11"/>
        <v>527129.4546</v>
      </c>
      <c r="I4204" s="44">
        <v>75304.21</v>
      </c>
      <c r="J4204" s="44"/>
      <c r="K4204" s="10">
        <f t="shared" si="12"/>
        <v>3112573.925</v>
      </c>
      <c r="L4204" s="47"/>
      <c r="M4204" s="50"/>
    </row>
    <row r="4205" ht="15.75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customHeight="1">
      <c r="A4206" s="218">
        <v>46252.0</v>
      </c>
      <c r="B4206" s="60"/>
      <c r="C4206" s="61" t="s">
        <v>1279</v>
      </c>
      <c r="D4206" s="62" t="s">
        <v>99</v>
      </c>
      <c r="E4206" s="61" t="s">
        <v>4525</v>
      </c>
      <c r="F4206" s="120" t="s">
        <v>4415</v>
      </c>
      <c r="G4206" s="155">
        <v>8050501.19</v>
      </c>
      <c r="H4206" s="9">
        <f t="shared" si="11"/>
        <v>1690605.25</v>
      </c>
      <c r="I4206" s="44">
        <v>241515.04</v>
      </c>
      <c r="J4206" s="44"/>
      <c r="K4206" s="10">
        <f t="shared" si="12"/>
        <v>9982621.48</v>
      </c>
      <c r="L4206" s="47"/>
      <c r="M4206" s="50"/>
    </row>
    <row r="4207" ht="15.75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B4214" s="60"/>
      <c r="C4214" s="61" t="s">
        <v>4531</v>
      </c>
      <c r="D4214" s="62" t="s">
        <v>15</v>
      </c>
      <c r="E4214" s="61" t="s">
        <v>4534</v>
      </c>
      <c r="F4214" s="120" t="s">
        <v>4415</v>
      </c>
      <c r="G4214" s="155">
        <v>1.489568075E7</v>
      </c>
      <c r="H4214" s="9">
        <f t="shared" si="11"/>
        <v>3128092.958</v>
      </c>
      <c r="I4214" s="44"/>
      <c r="J4214" s="44">
        <v>446870.42</v>
      </c>
      <c r="K4214" s="10">
        <f t="shared" si="12"/>
        <v>18470644.13</v>
      </c>
      <c r="L4214" s="47"/>
      <c r="M4214" s="50"/>
    </row>
    <row r="4215" ht="15.75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customHeight="1">
      <c r="A4230" s="218">
        <v>46258.0</v>
      </c>
      <c r="B4230" s="60"/>
      <c r="C4230" s="61" t="s">
        <v>3859</v>
      </c>
      <c r="D4230" s="62" t="s">
        <v>99</v>
      </c>
      <c r="E4230" s="61" t="s">
        <v>4550</v>
      </c>
      <c r="F4230" s="120" t="s">
        <v>4415</v>
      </c>
      <c r="G4230" s="155">
        <v>2.600105562E7</v>
      </c>
      <c r="H4230" s="9">
        <f t="shared" si="11"/>
        <v>5460221.68</v>
      </c>
      <c r="I4230" s="44">
        <v>780031.67</v>
      </c>
      <c r="J4230" s="44">
        <v>390015.83</v>
      </c>
      <c r="K4230" s="10">
        <f t="shared" si="12"/>
        <v>32631324.8</v>
      </c>
      <c r="L4230" s="47"/>
      <c r="M4230" s="50"/>
    </row>
    <row r="4231" ht="15.75" customHeight="1">
      <c r="A4231" s="218">
        <v>46258.0</v>
      </c>
      <c r="B4231" s="60"/>
      <c r="C4231" s="61" t="s">
        <v>1721</v>
      </c>
      <c r="D4231" s="62" t="s">
        <v>99</v>
      </c>
      <c r="E4231" s="62" t="s">
        <v>4551</v>
      </c>
      <c r="F4231" s="120" t="s">
        <v>4415</v>
      </c>
      <c r="G4231" s="155">
        <v>2.400119463E7</v>
      </c>
      <c r="H4231" s="9">
        <f t="shared" si="11"/>
        <v>5040250.872</v>
      </c>
      <c r="I4231" s="44">
        <v>720035.84</v>
      </c>
      <c r="J4231" s="44">
        <v>1200059.73</v>
      </c>
      <c r="K4231" s="10">
        <f t="shared" si="12"/>
        <v>30961541.07</v>
      </c>
      <c r="L4231" s="47"/>
      <c r="M4231" s="50"/>
    </row>
    <row r="4232" ht="15.75" customHeight="1">
      <c r="A4232" s="218">
        <v>46258.0</v>
      </c>
      <c r="B4232" s="60"/>
      <c r="C4232" s="61" t="s">
        <v>3117</v>
      </c>
      <c r="D4232" s="62" t="s">
        <v>99</v>
      </c>
      <c r="E4232" s="61" t="s">
        <v>4552</v>
      </c>
      <c r="F4232" s="120" t="s">
        <v>4415</v>
      </c>
      <c r="G4232" s="155">
        <v>1.500076118E7</v>
      </c>
      <c r="H4232" s="9">
        <f t="shared" si="11"/>
        <v>3150159.848</v>
      </c>
      <c r="I4232" s="44">
        <v>450022.84</v>
      </c>
      <c r="J4232" s="44">
        <v>225011.42</v>
      </c>
      <c r="K4232" s="10">
        <f t="shared" si="12"/>
        <v>18825955.29</v>
      </c>
      <c r="L4232" s="47"/>
      <c r="M4232" s="50"/>
    </row>
    <row r="4233" ht="15.75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218">
        <v>46260.0</v>
      </c>
      <c r="B4284" s="60"/>
      <c r="C4284" s="62" t="s">
        <v>3836</v>
      </c>
      <c r="D4284" s="62" t="s">
        <v>15</v>
      </c>
      <c r="E4284" s="62" t="s">
        <v>4606</v>
      </c>
      <c r="F4284" s="120" t="s">
        <v>4415</v>
      </c>
      <c r="G4284" s="155">
        <v>6869993.12</v>
      </c>
      <c r="H4284" s="9">
        <f t="shared" si="11"/>
        <v>1442698.555</v>
      </c>
      <c r="I4284" s="44"/>
      <c r="J4284" s="44"/>
      <c r="K4284" s="10">
        <f t="shared" si="12"/>
        <v>8312691.675</v>
      </c>
      <c r="L4284" s="47"/>
      <c r="M4284" s="50"/>
    </row>
    <row r="4285" ht="15.75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218">
        <v>46262.0</v>
      </c>
      <c r="B4293" s="60"/>
      <c r="C4293" s="61" t="s">
        <v>1980</v>
      </c>
      <c r="D4293" s="62" t="s">
        <v>15</v>
      </c>
      <c r="E4293" s="234" t="s">
        <v>4615</v>
      </c>
      <c r="F4293" s="120" t="s">
        <v>4415</v>
      </c>
      <c r="G4293" s="155">
        <v>1.39502265E7</v>
      </c>
      <c r="H4293" s="9">
        <f t="shared" si="11"/>
        <v>2929547.565</v>
      </c>
      <c r="I4293" s="44">
        <v>418506.8</v>
      </c>
      <c r="J4293" s="44">
        <v>697511.33</v>
      </c>
      <c r="K4293" s="10">
        <f t="shared" si="12"/>
        <v>17995792.2</v>
      </c>
      <c r="L4293" s="47"/>
      <c r="M4293" s="50"/>
    </row>
    <row r="4294" ht="15.75" customHeight="1">
      <c r="A4294" s="218">
        <v>46262.0</v>
      </c>
      <c r="B4294" s="60"/>
      <c r="C4294" s="61" t="s">
        <v>1980</v>
      </c>
      <c r="D4294" s="62" t="s">
        <v>15</v>
      </c>
      <c r="E4294" s="234" t="s">
        <v>4616</v>
      </c>
      <c r="F4294" s="120" t="s">
        <v>4415</v>
      </c>
      <c r="G4294" s="155">
        <v>4073300.0</v>
      </c>
      <c r="H4294" s="9">
        <f t="shared" si="11"/>
        <v>855393</v>
      </c>
      <c r="I4294" s="44">
        <v>122199.0</v>
      </c>
      <c r="J4294" s="44">
        <v>203665.0</v>
      </c>
      <c r="K4294" s="10">
        <f t="shared" si="12"/>
        <v>5254557</v>
      </c>
      <c r="L4294" s="47"/>
      <c r="M4294" s="50"/>
    </row>
    <row r="4295" ht="15.75" customHeight="1">
      <c r="A4295" s="218">
        <v>46262.0</v>
      </c>
      <c r="B4295" s="60"/>
      <c r="C4295" s="61" t="s">
        <v>1980</v>
      </c>
      <c r="D4295" s="62" t="s">
        <v>15</v>
      </c>
      <c r="E4295" s="234" t="s">
        <v>4617</v>
      </c>
      <c r="F4295" s="120" t="s">
        <v>4415</v>
      </c>
      <c r="G4295" s="155">
        <v>3.58215317E7</v>
      </c>
      <c r="H4295" s="9">
        <f t="shared" si="11"/>
        <v>7522521.657</v>
      </c>
      <c r="I4295" s="44">
        <v>1074645.95</v>
      </c>
      <c r="J4295" s="44">
        <v>1791076.59</v>
      </c>
      <c r="K4295" s="10">
        <f t="shared" si="12"/>
        <v>46209775.9</v>
      </c>
      <c r="L4295" s="47"/>
      <c r="M4295" s="50"/>
    </row>
    <row r="4296" ht="15.75" customHeight="1">
      <c r="A4296" s="218">
        <v>46262.0</v>
      </c>
      <c r="B4296" s="60"/>
      <c r="C4296" s="61" t="s">
        <v>1980</v>
      </c>
      <c r="D4296" s="62" t="s">
        <v>15</v>
      </c>
      <c r="E4296" s="234" t="s">
        <v>4618</v>
      </c>
      <c r="F4296" s="120" t="s">
        <v>4415</v>
      </c>
      <c r="G4296" s="155">
        <v>3.0239455E7</v>
      </c>
      <c r="H4296" s="9">
        <f t="shared" si="11"/>
        <v>6350285.55</v>
      </c>
      <c r="I4296" s="44">
        <v>907183.65</v>
      </c>
      <c r="J4296" s="44">
        <v>1511972.75</v>
      </c>
      <c r="K4296" s="10">
        <f t="shared" si="12"/>
        <v>39008896.95</v>
      </c>
      <c r="L4296" s="47"/>
      <c r="M4296" s="50"/>
    </row>
    <row r="4297" ht="15.75" customHeight="1">
      <c r="A4297" s="218">
        <v>46263.0</v>
      </c>
      <c r="B4297" s="60"/>
      <c r="C4297" s="61" t="s">
        <v>4619</v>
      </c>
      <c r="D4297" s="62" t="s">
        <v>15</v>
      </c>
      <c r="E4297" s="232" t="s">
        <v>4620</v>
      </c>
      <c r="F4297" s="120" t="s">
        <v>4415</v>
      </c>
      <c r="G4297" s="155">
        <v>3002350.29</v>
      </c>
      <c r="H4297" s="9">
        <f t="shared" si="11"/>
        <v>630493.5609</v>
      </c>
      <c r="I4297" s="44"/>
      <c r="J4297" s="44">
        <v>33025.85</v>
      </c>
      <c r="K4297" s="10">
        <f t="shared" si="12"/>
        <v>3665869.701</v>
      </c>
      <c r="L4297" s="47"/>
      <c r="M4297" s="50"/>
    </row>
    <row r="4298" ht="15.75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customHeight="1">
      <c r="A4301" s="218">
        <v>46263.0</v>
      </c>
      <c r="B4301" s="60"/>
      <c r="C4301" s="61" t="s">
        <v>1980</v>
      </c>
      <c r="D4301" s="62" t="s">
        <v>15</v>
      </c>
      <c r="E4301" s="234" t="s">
        <v>4624</v>
      </c>
      <c r="F4301" s="120" t="s">
        <v>4415</v>
      </c>
      <c r="G4301" s="155">
        <v>1.982773275E7</v>
      </c>
      <c r="H4301" s="9">
        <f t="shared" si="11"/>
        <v>4163823.878</v>
      </c>
      <c r="I4301" s="44">
        <v>594831.98</v>
      </c>
      <c r="J4301" s="44">
        <v>991386.64</v>
      </c>
      <c r="K4301" s="10">
        <f t="shared" si="12"/>
        <v>25577775.25</v>
      </c>
      <c r="L4301" s="47"/>
      <c r="M4301" s="50"/>
    </row>
    <row r="4302" ht="15.75" customHeight="1">
      <c r="A4302" s="218">
        <v>46263.0</v>
      </c>
      <c r="B4302" s="60"/>
      <c r="C4302" s="61" t="s">
        <v>1980</v>
      </c>
      <c r="D4302" s="62" t="s">
        <v>15</v>
      </c>
      <c r="E4302" s="234" t="s">
        <v>4625</v>
      </c>
      <c r="F4302" s="120" t="s">
        <v>4415</v>
      </c>
      <c r="G4302" s="155">
        <v>2.35214675E7</v>
      </c>
      <c r="H4302" s="9">
        <f t="shared" si="11"/>
        <v>4939508.175</v>
      </c>
      <c r="I4302" s="44">
        <v>705644.03</v>
      </c>
      <c r="J4302" s="44">
        <v>1176073.38</v>
      </c>
      <c r="K4302" s="10">
        <f t="shared" si="12"/>
        <v>30342693.09</v>
      </c>
      <c r="L4302" s="47"/>
      <c r="M4302" s="50"/>
    </row>
    <row r="4303" ht="15.75" customHeight="1">
      <c r="A4303" s="218">
        <v>46263.0</v>
      </c>
      <c r="B4303" s="60"/>
      <c r="C4303" s="61" t="s">
        <v>1980</v>
      </c>
      <c r="D4303" s="62" t="s">
        <v>15</v>
      </c>
      <c r="E4303" s="234" t="s">
        <v>4626</v>
      </c>
      <c r="F4303" s="120" t="s">
        <v>4415</v>
      </c>
      <c r="G4303" s="155">
        <v>2.103670045E7</v>
      </c>
      <c r="H4303" s="9">
        <f t="shared" si="11"/>
        <v>4417707.095</v>
      </c>
      <c r="I4303" s="44">
        <v>631101.01</v>
      </c>
      <c r="J4303" s="44">
        <v>1051835.02</v>
      </c>
      <c r="K4303" s="10">
        <f t="shared" si="12"/>
        <v>27137343.57</v>
      </c>
      <c r="L4303" s="47"/>
      <c r="M4303" s="50"/>
    </row>
    <row r="4304" ht="15.75" customHeight="1">
      <c r="A4304" s="218">
        <v>46263.0</v>
      </c>
      <c r="B4304" s="60"/>
      <c r="C4304" s="61" t="s">
        <v>1980</v>
      </c>
      <c r="D4304" s="62" t="s">
        <v>15</v>
      </c>
      <c r="E4304" s="232" t="s">
        <v>4627</v>
      </c>
      <c r="F4304" s="120" t="s">
        <v>4415</v>
      </c>
      <c r="G4304" s="155">
        <v>1.96986125E7</v>
      </c>
      <c r="H4304" s="9">
        <f t="shared" si="11"/>
        <v>4136708.625</v>
      </c>
      <c r="I4304" s="44">
        <v>590958.38</v>
      </c>
      <c r="J4304" s="44">
        <v>984930.63</v>
      </c>
      <c r="K4304" s="10">
        <f t="shared" si="12"/>
        <v>25411210.14</v>
      </c>
      <c r="L4304" s="47"/>
      <c r="M4304" s="50"/>
    </row>
    <row r="4305" ht="15.75" customHeight="1">
      <c r="A4305" s="218">
        <v>46263.0</v>
      </c>
      <c r="B4305" s="60"/>
      <c r="C4305" s="61" t="s">
        <v>1980</v>
      </c>
      <c r="D4305" s="62" t="s">
        <v>15</v>
      </c>
      <c r="E4305" s="234" t="s">
        <v>4628</v>
      </c>
      <c r="F4305" s="120" t="s">
        <v>4415</v>
      </c>
      <c r="G4305" s="155">
        <v>2.103670045E7</v>
      </c>
      <c r="H4305" s="9">
        <f t="shared" si="11"/>
        <v>4417707.095</v>
      </c>
      <c r="I4305" s="44">
        <v>631101.01</v>
      </c>
      <c r="J4305" s="44">
        <v>1051835.02</v>
      </c>
      <c r="K4305" s="10">
        <f t="shared" si="12"/>
        <v>27137343.57</v>
      </c>
      <c r="L4305" s="47"/>
      <c r="M4305" s="50"/>
    </row>
    <row r="4306" ht="15.75" customHeight="1">
      <c r="A4306" s="218">
        <v>46263.0</v>
      </c>
      <c r="B4306" s="60"/>
      <c r="C4306" s="61" t="s">
        <v>1980</v>
      </c>
      <c r="D4306" s="62" t="s">
        <v>15</v>
      </c>
      <c r="E4306" s="232" t="s">
        <v>4629</v>
      </c>
      <c r="F4306" s="120" t="s">
        <v>4415</v>
      </c>
      <c r="G4306" s="155">
        <v>1.96986125E7</v>
      </c>
      <c r="H4306" s="9">
        <f t="shared" si="11"/>
        <v>4136708.625</v>
      </c>
      <c r="I4306" s="44">
        <v>590958.38</v>
      </c>
      <c r="J4306" s="44">
        <v>984930.63</v>
      </c>
      <c r="K4306" s="10">
        <f t="shared" si="12"/>
        <v>25411210.14</v>
      </c>
      <c r="L4306" s="47"/>
      <c r="M4306" s="50"/>
    </row>
    <row r="4307" ht="15.75" customHeight="1">
      <c r="A4307" s="218">
        <v>46263.0</v>
      </c>
      <c r="B4307" s="60"/>
      <c r="C4307" s="61" t="s">
        <v>1980</v>
      </c>
      <c r="D4307" s="62" t="s">
        <v>15</v>
      </c>
      <c r="E4307" s="232" t="s">
        <v>4630</v>
      </c>
      <c r="F4307" s="120" t="s">
        <v>4415</v>
      </c>
      <c r="G4307" s="155">
        <v>1.982773275E7</v>
      </c>
      <c r="H4307" s="9">
        <f t="shared" si="11"/>
        <v>4163823.878</v>
      </c>
      <c r="I4307" s="44">
        <v>594831.98</v>
      </c>
      <c r="J4307" s="44">
        <v>991386.64</v>
      </c>
      <c r="K4307" s="10">
        <f t="shared" si="12"/>
        <v>25577775.25</v>
      </c>
      <c r="L4307" s="47"/>
      <c r="M4307" s="50"/>
    </row>
    <row r="4308" ht="15.75" customHeight="1">
      <c r="A4308" s="218">
        <v>46263.0</v>
      </c>
      <c r="B4308" s="60"/>
      <c r="C4308" s="61" t="s">
        <v>1980</v>
      </c>
      <c r="D4308" s="62" t="s">
        <v>15</v>
      </c>
      <c r="E4308" s="232" t="s">
        <v>4631</v>
      </c>
      <c r="F4308" s="120" t="s">
        <v>4415</v>
      </c>
      <c r="G4308" s="155">
        <v>2.35160625E7</v>
      </c>
      <c r="H4308" s="9">
        <f t="shared" si="11"/>
        <v>4938373.125</v>
      </c>
      <c r="I4308" s="44">
        <v>705481.88</v>
      </c>
      <c r="J4308" s="44">
        <v>1175803.13</v>
      </c>
      <c r="K4308" s="10">
        <f t="shared" si="12"/>
        <v>30335720.64</v>
      </c>
      <c r="L4308" s="47"/>
      <c r="M4308" s="50"/>
    </row>
    <row r="4309" ht="15.75" customHeight="1">
      <c r="A4309" s="218">
        <v>46263.0</v>
      </c>
      <c r="B4309" s="60"/>
      <c r="C4309" s="61" t="s">
        <v>1980</v>
      </c>
      <c r="D4309" s="62" t="s">
        <v>15</v>
      </c>
      <c r="E4309" s="234" t="s">
        <v>4632</v>
      </c>
      <c r="F4309" s="120" t="s">
        <v>4415</v>
      </c>
      <c r="G4309" s="155">
        <v>2.3828E7</v>
      </c>
      <c r="H4309" s="9">
        <f t="shared" si="11"/>
        <v>5003880</v>
      </c>
      <c r="I4309" s="44">
        <v>714840.0</v>
      </c>
      <c r="J4309" s="44">
        <v>1191400.0</v>
      </c>
      <c r="K4309" s="10">
        <f t="shared" si="12"/>
        <v>30738120</v>
      </c>
      <c r="L4309" s="47"/>
      <c r="M4309" s="50"/>
    </row>
    <row r="4310" ht="15.75" customHeight="1">
      <c r="A4310" s="218">
        <v>46263.0</v>
      </c>
      <c r="B4310" s="60"/>
      <c r="C4310" s="61" t="s">
        <v>1980</v>
      </c>
      <c r="D4310" s="62" t="s">
        <v>15</v>
      </c>
      <c r="E4310" s="232" t="s">
        <v>4633</v>
      </c>
      <c r="F4310" s="120" t="s">
        <v>4415</v>
      </c>
      <c r="G4310" s="155">
        <v>1.77744E7</v>
      </c>
      <c r="H4310" s="9">
        <f t="shared" si="11"/>
        <v>3732624</v>
      </c>
      <c r="I4310" s="44">
        <v>533232.0</v>
      </c>
      <c r="J4310" s="44">
        <v>888720.0</v>
      </c>
      <c r="K4310" s="10">
        <f t="shared" si="12"/>
        <v>22928976</v>
      </c>
      <c r="L4310" s="47"/>
      <c r="M4310" s="50"/>
    </row>
    <row r="4311" ht="15.75" customHeight="1">
      <c r="A4311" s="218">
        <v>46263.0</v>
      </c>
      <c r="B4311" s="60"/>
      <c r="C4311" s="61" t="s">
        <v>1980</v>
      </c>
      <c r="D4311" s="62" t="s">
        <v>15</v>
      </c>
      <c r="E4311" s="232" t="s">
        <v>4634</v>
      </c>
      <c r="F4311" s="120" t="s">
        <v>4415</v>
      </c>
      <c r="G4311" s="155">
        <v>3.205272E7</v>
      </c>
      <c r="H4311" s="9">
        <f t="shared" si="11"/>
        <v>6731071.2</v>
      </c>
      <c r="I4311" s="44">
        <v>961581.6</v>
      </c>
      <c r="J4311" s="44">
        <v>1602636.0</v>
      </c>
      <c r="K4311" s="10">
        <f t="shared" si="12"/>
        <v>41348008.8</v>
      </c>
      <c r="L4311" s="47"/>
      <c r="M4311" s="50"/>
    </row>
    <row r="4312" ht="15.75" customHeight="1">
      <c r="A4312" s="218">
        <v>46263.0</v>
      </c>
      <c r="B4312" s="60"/>
      <c r="C4312" s="61" t="s">
        <v>1980</v>
      </c>
      <c r="D4312" s="62" t="s">
        <v>15</v>
      </c>
      <c r="E4312" s="232" t="s">
        <v>4635</v>
      </c>
      <c r="F4312" s="120" t="s">
        <v>4415</v>
      </c>
      <c r="G4312" s="155">
        <v>3.61445E7</v>
      </c>
      <c r="H4312" s="9">
        <f t="shared" si="11"/>
        <v>7590345</v>
      </c>
      <c r="I4312" s="44">
        <v>1084335.0</v>
      </c>
      <c r="J4312" s="44">
        <v>1807225.0</v>
      </c>
      <c r="K4312" s="10">
        <f t="shared" si="12"/>
        <v>46626405</v>
      </c>
      <c r="L4312" s="47"/>
      <c r="M4312" s="50"/>
    </row>
    <row r="4313" ht="15.75" customHeight="1">
      <c r="A4313" s="218">
        <v>46263.0</v>
      </c>
      <c r="B4313" s="60"/>
      <c r="C4313" s="61" t="s">
        <v>1980</v>
      </c>
      <c r="D4313" s="62" t="s">
        <v>15</v>
      </c>
      <c r="E4313" s="232" t="s">
        <v>4636</v>
      </c>
      <c r="F4313" s="120" t="s">
        <v>4415</v>
      </c>
      <c r="G4313" s="155">
        <v>2.87273E7</v>
      </c>
      <c r="H4313" s="9">
        <f t="shared" si="11"/>
        <v>6032733</v>
      </c>
      <c r="I4313" s="44">
        <v>861819.0</v>
      </c>
      <c r="J4313" s="44">
        <v>1436365.0</v>
      </c>
      <c r="K4313" s="10">
        <f t="shared" si="12"/>
        <v>37058217</v>
      </c>
      <c r="L4313" s="47"/>
      <c r="M4313" s="50"/>
    </row>
    <row r="4314" ht="15.75" customHeight="1">
      <c r="A4314" s="218">
        <v>46263.0</v>
      </c>
      <c r="B4314" s="60"/>
      <c r="C4314" s="61" t="s">
        <v>1980</v>
      </c>
      <c r="D4314" s="62" t="s">
        <v>15</v>
      </c>
      <c r="E4314" s="232" t="s">
        <v>4637</v>
      </c>
      <c r="F4314" s="120" t="s">
        <v>4415</v>
      </c>
      <c r="G4314" s="155">
        <v>2.6726E7</v>
      </c>
      <c r="H4314" s="9">
        <f t="shared" si="11"/>
        <v>5612460</v>
      </c>
      <c r="I4314" s="44">
        <v>801780.0</v>
      </c>
      <c r="J4314" s="44">
        <v>1336300.0</v>
      </c>
      <c r="K4314" s="10">
        <f t="shared" si="12"/>
        <v>34476540</v>
      </c>
      <c r="L4314" s="47"/>
      <c r="M4314" s="50"/>
    </row>
    <row r="4315" ht="15.75" customHeight="1">
      <c r="A4315" s="218">
        <v>46263.0</v>
      </c>
      <c r="B4315" s="60"/>
      <c r="C4315" s="61" t="s">
        <v>1980</v>
      </c>
      <c r="D4315" s="62" t="s">
        <v>15</v>
      </c>
      <c r="E4315" s="232" t="s">
        <v>4638</v>
      </c>
      <c r="F4315" s="120" t="s">
        <v>4415</v>
      </c>
      <c r="G4315" s="155">
        <v>2.103670045E7</v>
      </c>
      <c r="H4315" s="9">
        <f t="shared" si="11"/>
        <v>4417707.095</v>
      </c>
      <c r="I4315" s="44">
        <v>631101.01</v>
      </c>
      <c r="J4315" s="44">
        <v>1051835.02</v>
      </c>
      <c r="K4315" s="10">
        <f t="shared" si="12"/>
        <v>27137343.57</v>
      </c>
      <c r="L4315" s="47"/>
      <c r="M4315" s="50"/>
    </row>
    <row r="4316" ht="15.75" customHeight="1">
      <c r="A4316" s="218">
        <v>46263.0</v>
      </c>
      <c r="B4316" s="60"/>
      <c r="C4316" s="61" t="s">
        <v>1980</v>
      </c>
      <c r="D4316" s="62" t="s">
        <v>15</v>
      </c>
      <c r="E4316" s="232" t="s">
        <v>4639</v>
      </c>
      <c r="F4316" s="120" t="s">
        <v>4415</v>
      </c>
      <c r="G4316" s="155">
        <v>1.96986125E7</v>
      </c>
      <c r="H4316" s="9">
        <f t="shared" si="11"/>
        <v>4136708.625</v>
      </c>
      <c r="I4316" s="44">
        <v>590958.38</v>
      </c>
      <c r="J4316" s="44">
        <v>984930.63</v>
      </c>
      <c r="K4316" s="10">
        <f t="shared" si="12"/>
        <v>25411210.14</v>
      </c>
      <c r="L4316" s="47"/>
      <c r="M4316" s="50"/>
    </row>
    <row r="4317" ht="15.75" customHeight="1">
      <c r="A4317" s="218">
        <v>46263.0</v>
      </c>
      <c r="B4317" s="60"/>
      <c r="C4317" s="61" t="s">
        <v>1980</v>
      </c>
      <c r="D4317" s="62" t="s">
        <v>15</v>
      </c>
      <c r="E4317" s="232" t="s">
        <v>4640</v>
      </c>
      <c r="F4317" s="120" t="s">
        <v>4415</v>
      </c>
      <c r="G4317" s="155">
        <v>1.982773275E7</v>
      </c>
      <c r="H4317" s="9">
        <f t="shared" si="11"/>
        <v>4163823.878</v>
      </c>
      <c r="I4317" s="44">
        <v>594831.98</v>
      </c>
      <c r="J4317" s="44">
        <v>991386.64</v>
      </c>
      <c r="K4317" s="10">
        <f t="shared" si="12"/>
        <v>25577775.25</v>
      </c>
      <c r="L4317" s="47"/>
      <c r="M4317" s="50"/>
    </row>
    <row r="4318" ht="15.75" customHeight="1">
      <c r="A4318" s="218">
        <v>46263.0</v>
      </c>
      <c r="B4318" s="60"/>
      <c r="C4318" s="61" t="s">
        <v>1980</v>
      </c>
      <c r="D4318" s="62" t="s">
        <v>15</v>
      </c>
      <c r="E4318" s="232" t="s">
        <v>4641</v>
      </c>
      <c r="F4318" s="120" t="s">
        <v>4415</v>
      </c>
      <c r="G4318" s="155">
        <v>2.35214675E7</v>
      </c>
      <c r="H4318" s="9">
        <f t="shared" si="11"/>
        <v>4939508.175</v>
      </c>
      <c r="I4318" s="44">
        <v>705644.03</v>
      </c>
      <c r="J4318" s="44">
        <v>1176073.38</v>
      </c>
      <c r="K4318" s="10">
        <f t="shared" si="12"/>
        <v>30342693.09</v>
      </c>
      <c r="L4318" s="47"/>
      <c r="M4318" s="50"/>
    </row>
    <row r="4319" ht="15.75" customHeight="1">
      <c r="A4319" s="218">
        <v>46263.0</v>
      </c>
      <c r="B4319" s="60"/>
      <c r="C4319" s="61" t="s">
        <v>1980</v>
      </c>
      <c r="D4319" s="62" t="s">
        <v>99</v>
      </c>
      <c r="E4319" s="234" t="s">
        <v>4642</v>
      </c>
      <c r="F4319" s="120" t="s">
        <v>4415</v>
      </c>
      <c r="G4319" s="155">
        <v>1.139716125E7</v>
      </c>
      <c r="H4319" s="9">
        <f t="shared" si="11"/>
        <v>2393403.863</v>
      </c>
      <c r="I4319" s="44">
        <v>341914.84</v>
      </c>
      <c r="J4319" s="44">
        <v>569858.06</v>
      </c>
      <c r="K4319" s="10">
        <f t="shared" si="12"/>
        <v>14702338.01</v>
      </c>
      <c r="L4319" s="47"/>
      <c r="M4319" s="50"/>
    </row>
    <row r="4320" ht="15.75" customHeight="1">
      <c r="A4320" s="218">
        <v>46263.0</v>
      </c>
      <c r="B4320" s="60"/>
      <c r="C4320" s="61" t="s">
        <v>1980</v>
      </c>
      <c r="D4320" s="62" t="s">
        <v>99</v>
      </c>
      <c r="E4320" s="232" t="s">
        <v>4643</v>
      </c>
      <c r="F4320" s="120" t="s">
        <v>4415</v>
      </c>
      <c r="G4320" s="155">
        <v>1.186221225E7</v>
      </c>
      <c r="H4320" s="9">
        <f t="shared" si="11"/>
        <v>2491064.573</v>
      </c>
      <c r="I4320" s="44">
        <v>355866.37</v>
      </c>
      <c r="J4320" s="44">
        <v>593110.61</v>
      </c>
      <c r="K4320" s="10">
        <f t="shared" si="12"/>
        <v>15302253.8</v>
      </c>
      <c r="L4320" s="47"/>
      <c r="M4320" s="50"/>
    </row>
    <row r="4321" ht="15.75" customHeight="1">
      <c r="A4321" s="218">
        <v>46263.0</v>
      </c>
      <c r="B4321" s="60"/>
      <c r="C4321" s="61" t="s">
        <v>1980</v>
      </c>
      <c r="D4321" s="62" t="s">
        <v>99</v>
      </c>
      <c r="E4321" s="232" t="s">
        <v>4644</v>
      </c>
      <c r="F4321" s="120" t="s">
        <v>4415</v>
      </c>
      <c r="G4321" s="155">
        <v>1.27763917E7</v>
      </c>
      <c r="H4321" s="9">
        <f t="shared" si="11"/>
        <v>2683042.257</v>
      </c>
      <c r="I4321" s="44">
        <v>383291.75</v>
      </c>
      <c r="J4321" s="44">
        <v>638819.59</v>
      </c>
      <c r="K4321" s="10">
        <f t="shared" si="12"/>
        <v>16481545.3</v>
      </c>
      <c r="L4321" s="47"/>
      <c r="M4321" s="50"/>
    </row>
    <row r="4322" ht="15.75" customHeight="1">
      <c r="A4322" s="218">
        <v>46263.0</v>
      </c>
      <c r="B4322" s="60"/>
      <c r="C4322" s="61" t="s">
        <v>1980</v>
      </c>
      <c r="D4322" s="62" t="s">
        <v>99</v>
      </c>
      <c r="E4322" s="232" t="s">
        <v>4645</v>
      </c>
      <c r="F4322" s="120" t="s">
        <v>4415</v>
      </c>
      <c r="G4322" s="155">
        <v>1.139716125E7</v>
      </c>
      <c r="H4322" s="9">
        <f t="shared" si="11"/>
        <v>2393403.863</v>
      </c>
      <c r="I4322" s="44">
        <v>341914.84</v>
      </c>
      <c r="J4322" s="44">
        <v>569858.06</v>
      </c>
      <c r="K4322" s="10">
        <f t="shared" si="12"/>
        <v>14702338.01</v>
      </c>
      <c r="L4322" s="47"/>
      <c r="M4322" s="50"/>
    </row>
    <row r="4323" ht="15.75" customHeight="1">
      <c r="A4323" s="218">
        <v>46263.0</v>
      </c>
      <c r="B4323" s="60"/>
      <c r="C4323" s="61" t="s">
        <v>1980</v>
      </c>
      <c r="D4323" s="62" t="s">
        <v>99</v>
      </c>
      <c r="E4323" s="232" t="s">
        <v>4646</v>
      </c>
      <c r="F4323" s="120" t="s">
        <v>4415</v>
      </c>
      <c r="G4323" s="155">
        <v>1.186006933E7</v>
      </c>
      <c r="H4323" s="9">
        <f t="shared" si="11"/>
        <v>2490614.559</v>
      </c>
      <c r="I4323" s="44">
        <v>355802.08</v>
      </c>
      <c r="J4323" s="44">
        <v>593003.47</v>
      </c>
      <c r="K4323" s="10">
        <f t="shared" si="12"/>
        <v>15299489.44</v>
      </c>
      <c r="L4323" s="47"/>
      <c r="M4323" s="50"/>
    </row>
    <row r="4324" ht="15.75" customHeight="1">
      <c r="A4324" s="218">
        <v>46263.0</v>
      </c>
      <c r="B4324" s="60"/>
      <c r="C4324" s="61" t="s">
        <v>1980</v>
      </c>
      <c r="D4324" s="62" t="s">
        <v>99</v>
      </c>
      <c r="E4324" s="232" t="s">
        <v>4647</v>
      </c>
      <c r="F4324" s="120" t="s">
        <v>4415</v>
      </c>
      <c r="G4324" s="155">
        <v>1.27763917E7</v>
      </c>
      <c r="H4324" s="9">
        <f t="shared" si="11"/>
        <v>2683042.257</v>
      </c>
      <c r="I4324" s="44">
        <v>383291.75</v>
      </c>
      <c r="J4324" s="44">
        <v>638819.59</v>
      </c>
      <c r="K4324" s="10">
        <f t="shared" si="12"/>
        <v>16481545.3</v>
      </c>
      <c r="L4324" s="47"/>
      <c r="M4324" s="50"/>
    </row>
    <row r="4325" ht="15.75" customHeight="1">
      <c r="A4325" s="218">
        <v>46263.0</v>
      </c>
      <c r="B4325" s="60"/>
      <c r="C4325" s="61" t="s">
        <v>1980</v>
      </c>
      <c r="D4325" s="62" t="s">
        <v>99</v>
      </c>
      <c r="E4325" s="232" t="s">
        <v>4648</v>
      </c>
      <c r="F4325" s="120" t="s">
        <v>4415</v>
      </c>
      <c r="G4325" s="155">
        <v>1.139716125E7</v>
      </c>
      <c r="H4325" s="9">
        <f t="shared" si="11"/>
        <v>2393403.863</v>
      </c>
      <c r="I4325" s="44">
        <v>341914.84</v>
      </c>
      <c r="J4325" s="44">
        <v>569858.06</v>
      </c>
      <c r="K4325" s="10">
        <f t="shared" si="12"/>
        <v>14702338.01</v>
      </c>
      <c r="L4325" s="47"/>
      <c r="M4325" s="50"/>
    </row>
    <row r="4326" ht="15.75" customHeight="1">
      <c r="A4326" s="218">
        <v>46263.0</v>
      </c>
      <c r="B4326" s="60"/>
      <c r="C4326" s="61" t="s">
        <v>1980</v>
      </c>
      <c r="D4326" s="62" t="s">
        <v>99</v>
      </c>
      <c r="E4326" s="232" t="s">
        <v>4649</v>
      </c>
      <c r="F4326" s="120" t="s">
        <v>4415</v>
      </c>
      <c r="G4326" s="155">
        <v>1.186221225E7</v>
      </c>
      <c r="H4326" s="9">
        <f t="shared" si="11"/>
        <v>2491064.573</v>
      </c>
      <c r="I4326" s="44">
        <v>355866.37</v>
      </c>
      <c r="J4326" s="44">
        <v>593110.61</v>
      </c>
      <c r="K4326" s="10">
        <f t="shared" si="12"/>
        <v>15302253.8</v>
      </c>
      <c r="L4326" s="47"/>
      <c r="M4326" s="50"/>
    </row>
    <row r="4327" ht="15.75" customHeight="1">
      <c r="A4327" s="218">
        <v>46263.0</v>
      </c>
      <c r="B4327" s="60"/>
      <c r="C4327" s="61" t="s">
        <v>1980</v>
      </c>
      <c r="D4327" s="62" t="s">
        <v>99</v>
      </c>
      <c r="E4327" s="232" t="s">
        <v>4650</v>
      </c>
      <c r="F4327" s="120" t="s">
        <v>4415</v>
      </c>
      <c r="G4327" s="155">
        <v>1.27763917E7</v>
      </c>
      <c r="H4327" s="9">
        <f t="shared" si="11"/>
        <v>2683042.257</v>
      </c>
      <c r="I4327" s="44">
        <v>383291.75</v>
      </c>
      <c r="J4327" s="44">
        <v>638819.59</v>
      </c>
      <c r="K4327" s="10">
        <f t="shared" si="12"/>
        <v>16481545.3</v>
      </c>
      <c r="L4327" s="47"/>
      <c r="M4327" s="50"/>
    </row>
    <row r="4328" ht="15.75" customHeight="1">
      <c r="A4328" s="218">
        <v>46263.0</v>
      </c>
      <c r="B4328" s="60"/>
      <c r="C4328" s="61" t="s">
        <v>1980</v>
      </c>
      <c r="D4328" s="62" t="s">
        <v>99</v>
      </c>
      <c r="E4328" s="232" t="s">
        <v>4651</v>
      </c>
      <c r="F4328" s="120" t="s">
        <v>4415</v>
      </c>
      <c r="G4328" s="155">
        <v>1.83195E7</v>
      </c>
      <c r="H4328" s="9">
        <f t="shared" si="11"/>
        <v>3847095</v>
      </c>
      <c r="I4328" s="44">
        <v>549585.0</v>
      </c>
      <c r="J4328" s="44">
        <v>915975.0</v>
      </c>
      <c r="K4328" s="10">
        <f t="shared" si="12"/>
        <v>23632155</v>
      </c>
      <c r="L4328" s="47"/>
      <c r="M4328" s="50"/>
    </row>
    <row r="4329" ht="15.75" customHeight="1">
      <c r="A4329" s="218">
        <v>46263.0</v>
      </c>
      <c r="B4329" s="60"/>
      <c r="C4329" s="61" t="s">
        <v>1980</v>
      </c>
      <c r="D4329" s="62" t="s">
        <v>99</v>
      </c>
      <c r="E4329" s="232" t="s">
        <v>4652</v>
      </c>
      <c r="F4329" s="120" t="s">
        <v>4415</v>
      </c>
      <c r="G4329" s="155">
        <v>1.80366E7</v>
      </c>
      <c r="H4329" s="9">
        <f t="shared" si="11"/>
        <v>3787686</v>
      </c>
      <c r="I4329" s="44">
        <v>541098.0</v>
      </c>
      <c r="J4329" s="44">
        <v>901830.0</v>
      </c>
      <c r="K4329" s="10">
        <f t="shared" si="12"/>
        <v>23267214</v>
      </c>
      <c r="L4329" s="47"/>
      <c r="M4329" s="50"/>
    </row>
    <row r="4330" ht="15.75" customHeight="1">
      <c r="A4330" s="218">
        <v>46263.0</v>
      </c>
      <c r="B4330" s="60"/>
      <c r="C4330" s="61" t="s">
        <v>1980</v>
      </c>
      <c r="D4330" s="62" t="s">
        <v>99</v>
      </c>
      <c r="E4330" s="232" t="s">
        <v>4653</v>
      </c>
      <c r="F4330" s="120" t="s">
        <v>4415</v>
      </c>
      <c r="G4330" s="155">
        <v>1.873938E7</v>
      </c>
      <c r="H4330" s="9">
        <f t="shared" si="11"/>
        <v>3935269.8</v>
      </c>
      <c r="I4330" s="44">
        <v>562181.4</v>
      </c>
      <c r="J4330" s="44">
        <v>936969.0</v>
      </c>
      <c r="K4330" s="10">
        <f t="shared" si="12"/>
        <v>24173800.2</v>
      </c>
      <c r="L4330" s="47"/>
      <c r="M4330" s="50"/>
    </row>
    <row r="4331" ht="15.75" customHeight="1">
      <c r="A4331" s="218">
        <v>46263.0</v>
      </c>
      <c r="B4331" s="60"/>
      <c r="C4331" s="61" t="s">
        <v>1980</v>
      </c>
      <c r="D4331" s="62" t="s">
        <v>99</v>
      </c>
      <c r="E4331" s="232" t="s">
        <v>4654</v>
      </c>
      <c r="F4331" s="120" t="s">
        <v>4415</v>
      </c>
      <c r="G4331" s="155">
        <v>1.57272E7</v>
      </c>
      <c r="H4331" s="9">
        <f t="shared" si="11"/>
        <v>3302712</v>
      </c>
      <c r="I4331" s="44">
        <v>471816.0</v>
      </c>
      <c r="J4331" s="44">
        <v>786360.0</v>
      </c>
      <c r="K4331" s="10">
        <f t="shared" si="12"/>
        <v>20288088</v>
      </c>
      <c r="L4331" s="47"/>
      <c r="M4331" s="50"/>
    </row>
    <row r="4332" ht="15.75" customHeight="1">
      <c r="A4332" s="218">
        <v>46263.0</v>
      </c>
      <c r="B4332" s="60"/>
      <c r="C4332" s="61" t="s">
        <v>1980</v>
      </c>
      <c r="D4332" s="62" t="s">
        <v>99</v>
      </c>
      <c r="E4332" s="232" t="s">
        <v>4655</v>
      </c>
      <c r="F4332" s="120" t="s">
        <v>4415</v>
      </c>
      <c r="G4332" s="155">
        <v>1.139716125E7</v>
      </c>
      <c r="H4332" s="9">
        <f t="shared" si="11"/>
        <v>2393403.863</v>
      </c>
      <c r="I4332" s="44">
        <v>341914.84</v>
      </c>
      <c r="J4332" s="44">
        <v>569858.06</v>
      </c>
      <c r="K4332" s="10">
        <f t="shared" si="12"/>
        <v>14702338.01</v>
      </c>
      <c r="L4332" s="47"/>
      <c r="M4332" s="50"/>
    </row>
    <row r="4333" ht="15.75" customHeight="1">
      <c r="A4333" s="218">
        <v>46263.0</v>
      </c>
      <c r="B4333" s="60"/>
      <c r="C4333" s="61" t="s">
        <v>1980</v>
      </c>
      <c r="D4333" s="62" t="s">
        <v>99</v>
      </c>
      <c r="E4333" s="232" t="s">
        <v>4656</v>
      </c>
      <c r="F4333" s="120" t="s">
        <v>4415</v>
      </c>
      <c r="G4333" s="155">
        <v>1.186221225E7</v>
      </c>
      <c r="H4333" s="9">
        <f t="shared" si="11"/>
        <v>2491064.573</v>
      </c>
      <c r="I4333" s="44">
        <v>355866.37</v>
      </c>
      <c r="J4333" s="44">
        <v>593110.61</v>
      </c>
      <c r="K4333" s="10">
        <f t="shared" si="12"/>
        <v>15302253.8</v>
      </c>
      <c r="L4333" s="47"/>
      <c r="M4333" s="50"/>
    </row>
    <row r="4334" ht="15.75" customHeight="1">
      <c r="A4334" s="218">
        <v>46263.0</v>
      </c>
      <c r="B4334" s="60"/>
      <c r="C4334" s="61" t="s">
        <v>1980</v>
      </c>
      <c r="D4334" s="62" t="s">
        <v>99</v>
      </c>
      <c r="E4334" s="232" t="s">
        <v>4657</v>
      </c>
      <c r="F4334" s="120" t="s">
        <v>4415</v>
      </c>
      <c r="G4334" s="155">
        <v>1.27763917E7</v>
      </c>
      <c r="H4334" s="9">
        <f t="shared" si="11"/>
        <v>2683042.257</v>
      </c>
      <c r="I4334" s="44">
        <v>383291.75</v>
      </c>
      <c r="J4334" s="44">
        <v>638819.59</v>
      </c>
      <c r="K4334" s="10">
        <f t="shared" si="12"/>
        <v>16481545.3</v>
      </c>
      <c r="L4334" s="47"/>
      <c r="M4334" s="50"/>
    </row>
    <row r="4335" ht="15.75" customHeight="1">
      <c r="A4335" s="218">
        <v>46265.0</v>
      </c>
      <c r="B4335" s="60"/>
      <c r="C4335" s="61" t="s">
        <v>1980</v>
      </c>
      <c r="D4335" s="62" t="s">
        <v>99</v>
      </c>
      <c r="E4335" s="232" t="s">
        <v>4658</v>
      </c>
      <c r="F4335" s="120" t="s">
        <v>4415</v>
      </c>
      <c r="G4335" s="155">
        <v>-9110300.01</v>
      </c>
      <c r="H4335" s="9">
        <f t="shared" si="11"/>
        <v>-1913163.002</v>
      </c>
      <c r="I4335" s="44"/>
      <c r="J4335" s="44">
        <v>-455515.0</v>
      </c>
      <c r="K4335" s="10">
        <f t="shared" si="12"/>
        <v>-11478978.01</v>
      </c>
      <c r="L4335" s="47"/>
      <c r="M4335" s="50"/>
    </row>
    <row r="4336" ht="15.75" customHeight="1">
      <c r="A4336" s="218">
        <v>46265.0</v>
      </c>
      <c r="B4336" s="60"/>
      <c r="C4336" s="61" t="s">
        <v>1980</v>
      </c>
      <c r="D4336" s="62" t="s">
        <v>99</v>
      </c>
      <c r="E4336" s="234" t="s">
        <v>4659</v>
      </c>
      <c r="F4336" s="120" t="s">
        <v>4415</v>
      </c>
      <c r="G4336" s="155">
        <v>5498100.01</v>
      </c>
      <c r="H4336" s="9">
        <f t="shared" si="11"/>
        <v>1154601.002</v>
      </c>
      <c r="I4336" s="44"/>
      <c r="J4336" s="44">
        <v>274905.0</v>
      </c>
      <c r="K4336" s="10">
        <f t="shared" si="12"/>
        <v>6927606.012</v>
      </c>
      <c r="L4336" s="47"/>
      <c r="M4336" s="50"/>
    </row>
    <row r="4337" ht="15.75" customHeight="1">
      <c r="A4337" s="218">
        <v>46265.0</v>
      </c>
      <c r="B4337" s="60"/>
      <c r="C4337" s="61" t="s">
        <v>1980</v>
      </c>
      <c r="D4337" s="62" t="s">
        <v>99</v>
      </c>
      <c r="E4337" s="234" t="s">
        <v>4660</v>
      </c>
      <c r="F4337" s="120" t="s">
        <v>4415</v>
      </c>
      <c r="G4337" s="155">
        <v>9110300.01</v>
      </c>
      <c r="H4337" s="9">
        <f t="shared" si="11"/>
        <v>1913163.002</v>
      </c>
      <c r="I4337" s="44"/>
      <c r="J4337" s="44">
        <v>455515.0</v>
      </c>
      <c r="K4337" s="10">
        <f t="shared" si="12"/>
        <v>11478978.01</v>
      </c>
      <c r="L4337" s="47"/>
      <c r="M4337" s="50"/>
    </row>
    <row r="4338" ht="15.75" customHeight="1">
      <c r="A4338" s="218">
        <v>46265.0</v>
      </c>
      <c r="B4338" s="60"/>
      <c r="C4338" s="61" t="s">
        <v>1980</v>
      </c>
      <c r="D4338" s="62" t="s">
        <v>99</v>
      </c>
      <c r="E4338" s="232" t="s">
        <v>4661</v>
      </c>
      <c r="F4338" s="120" t="s">
        <v>4415</v>
      </c>
      <c r="G4338" s="155">
        <v>6919490.01</v>
      </c>
      <c r="H4338" s="9">
        <f t="shared" si="11"/>
        <v>1453092.902</v>
      </c>
      <c r="I4338" s="44"/>
      <c r="J4338" s="44">
        <v>345974.5</v>
      </c>
      <c r="K4338" s="10">
        <f t="shared" si="12"/>
        <v>8718557.412</v>
      </c>
      <c r="L4338" s="47"/>
      <c r="M4338" s="50"/>
    </row>
    <row r="4339" ht="15.75" customHeight="1">
      <c r="A4339" s="218">
        <v>46265.0</v>
      </c>
      <c r="B4339" s="60"/>
      <c r="C4339" s="61" t="s">
        <v>1980</v>
      </c>
      <c r="D4339" s="62" t="s">
        <v>15</v>
      </c>
      <c r="E4339" s="234" t="s">
        <v>4662</v>
      </c>
      <c r="F4339" s="120" t="s">
        <v>4415</v>
      </c>
      <c r="G4339" s="155">
        <v>8400500.01</v>
      </c>
      <c r="H4339" s="9">
        <f t="shared" si="11"/>
        <v>1764105.002</v>
      </c>
      <c r="I4339" s="44"/>
      <c r="J4339" s="44">
        <v>420025.0</v>
      </c>
      <c r="K4339" s="10">
        <f t="shared" si="12"/>
        <v>10584630.01</v>
      </c>
      <c r="L4339" s="47"/>
      <c r="M4339" s="50"/>
    </row>
    <row r="4340" ht="15.75" customHeight="1">
      <c r="A4340" s="218">
        <v>46265.0</v>
      </c>
      <c r="B4340" s="60"/>
      <c r="C4340" s="61" t="s">
        <v>1980</v>
      </c>
      <c r="D4340" s="62" t="s">
        <v>15</v>
      </c>
      <c r="E4340" s="234" t="s">
        <v>4663</v>
      </c>
      <c r="F4340" s="120" t="s">
        <v>4415</v>
      </c>
      <c r="G4340" s="155">
        <v>8279200.01</v>
      </c>
      <c r="H4340" s="9">
        <f t="shared" si="11"/>
        <v>1738632.002</v>
      </c>
      <c r="I4340" s="44"/>
      <c r="J4340" s="44">
        <v>413960.0</v>
      </c>
      <c r="K4340" s="10">
        <f t="shared" si="12"/>
        <v>10431792.01</v>
      </c>
      <c r="L4340" s="47"/>
      <c r="M4340" s="50"/>
    </row>
    <row r="4341" ht="15.75" customHeight="1">
      <c r="A4341" s="218">
        <v>46265.0</v>
      </c>
      <c r="B4341" s="60"/>
      <c r="C4341" s="61" t="s">
        <v>1980</v>
      </c>
      <c r="D4341" s="62" t="s">
        <v>15</v>
      </c>
      <c r="E4341" s="234" t="s">
        <v>4664</v>
      </c>
      <c r="F4341" s="120" t="s">
        <v>4415</v>
      </c>
      <c r="G4341" s="155">
        <v>7952920.01</v>
      </c>
      <c r="H4341" s="9">
        <f t="shared" si="11"/>
        <v>1670113.202</v>
      </c>
      <c r="I4341" s="44"/>
      <c r="J4341" s="44">
        <v>397646.0</v>
      </c>
      <c r="K4341" s="10">
        <f t="shared" si="12"/>
        <v>10020679.21</v>
      </c>
      <c r="L4341" s="47"/>
      <c r="M4341" s="50"/>
    </row>
    <row r="4342" ht="15.75" customHeight="1">
      <c r="A4342" s="218">
        <v>46265.0</v>
      </c>
      <c r="B4342" s="60"/>
      <c r="C4342" s="61" t="s">
        <v>1980</v>
      </c>
      <c r="D4342" s="62" t="s">
        <v>15</v>
      </c>
      <c r="E4342" s="232" t="s">
        <v>4665</v>
      </c>
      <c r="F4342" s="120" t="s">
        <v>4415</v>
      </c>
      <c r="G4342" s="155">
        <v>9566000.1</v>
      </c>
      <c r="H4342" s="9">
        <f t="shared" si="11"/>
        <v>2008860.021</v>
      </c>
      <c r="I4342" s="44"/>
      <c r="J4342" s="44">
        <v>478300.0</v>
      </c>
      <c r="K4342" s="10">
        <f t="shared" si="12"/>
        <v>12053160.12</v>
      </c>
      <c r="L4342" s="47"/>
      <c r="M4342" s="50"/>
    </row>
    <row r="4343" ht="15.75" customHeight="1">
      <c r="A4343" s="218">
        <v>46265.0</v>
      </c>
      <c r="B4343" s="60"/>
      <c r="C4343" s="61" t="s">
        <v>1980</v>
      </c>
      <c r="D4343" s="62" t="s">
        <v>15</v>
      </c>
      <c r="E4343" s="232" t="s">
        <v>4666</v>
      </c>
      <c r="F4343" s="120" t="s">
        <v>4415</v>
      </c>
      <c r="G4343" s="155">
        <v>7892810.01</v>
      </c>
      <c r="H4343" s="9">
        <f t="shared" si="11"/>
        <v>1657490.102</v>
      </c>
      <c r="I4343" s="44"/>
      <c r="J4343" s="44">
        <v>394640.5</v>
      </c>
      <c r="K4343" s="10">
        <f t="shared" si="12"/>
        <v>9944940.612</v>
      </c>
      <c r="L4343" s="47"/>
      <c r="M4343" s="50"/>
    </row>
    <row r="4344" ht="15.75" customHeight="1">
      <c r="A4344" s="218">
        <v>46265.0</v>
      </c>
      <c r="B4344" s="60"/>
      <c r="C4344" s="61" t="s">
        <v>1980</v>
      </c>
      <c r="D4344" s="62" t="s">
        <v>15</v>
      </c>
      <c r="E4344" s="232" t="s">
        <v>4667</v>
      </c>
      <c r="F4344" s="120" t="s">
        <v>4415</v>
      </c>
      <c r="G4344" s="155">
        <v>6911200.01</v>
      </c>
      <c r="H4344" s="9">
        <f t="shared" si="11"/>
        <v>1451352.002</v>
      </c>
      <c r="I4344" s="44"/>
      <c r="J4344" s="44">
        <v>345560.0</v>
      </c>
      <c r="K4344" s="10">
        <f t="shared" si="12"/>
        <v>8708112.012</v>
      </c>
      <c r="L4344" s="47"/>
      <c r="M4344" s="50"/>
    </row>
    <row r="4345" ht="15.75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customHeight="1">
      <c r="A4350" s="218">
        <v>46266.0</v>
      </c>
      <c r="B4350" s="60"/>
      <c r="C4350" s="61" t="s">
        <v>247</v>
      </c>
      <c r="D4350" s="62" t="s">
        <v>15</v>
      </c>
      <c r="E4350" s="232" t="s">
        <v>4673</v>
      </c>
      <c r="F4350" s="120" t="s">
        <v>4415</v>
      </c>
      <c r="G4350" s="206">
        <v>1.16723573E7</v>
      </c>
      <c r="H4350" s="9">
        <f t="shared" si="11"/>
        <v>2451195.033</v>
      </c>
      <c r="I4350" s="44"/>
      <c r="J4350" s="44"/>
      <c r="K4350" s="10">
        <f t="shared" si="12"/>
        <v>14123552.33</v>
      </c>
      <c r="L4350" s="47"/>
      <c r="M4350" s="50"/>
    </row>
    <row r="4351" ht="15.75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customHeight="1">
      <c r="A4352" s="218">
        <v>46266.0</v>
      </c>
      <c r="B4352" s="60"/>
      <c r="C4352" s="61" t="s">
        <v>247</v>
      </c>
      <c r="D4352" s="62" t="s">
        <v>15</v>
      </c>
      <c r="E4352" s="232" t="s">
        <v>4675</v>
      </c>
      <c r="F4352" s="120" t="s">
        <v>4415</v>
      </c>
      <c r="G4352" s="206">
        <v>1.33295632E7</v>
      </c>
      <c r="H4352" s="9">
        <f t="shared" si="11"/>
        <v>2799208.272</v>
      </c>
      <c r="I4352" s="44"/>
      <c r="J4352" s="44"/>
      <c r="K4352" s="10">
        <f t="shared" si="12"/>
        <v>16128771.47</v>
      </c>
      <c r="L4352" s="47"/>
      <c r="M4352" s="50"/>
    </row>
    <row r="4353" ht="15.75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218">
        <v>46266.0</v>
      </c>
      <c r="B4364" s="60"/>
      <c r="C4364" s="61" t="s">
        <v>171</v>
      </c>
      <c r="D4364" s="62" t="s">
        <v>15</v>
      </c>
      <c r="E4364" s="234" t="s">
        <v>4687</v>
      </c>
      <c r="F4364" s="212">
        <v>46291.0</v>
      </c>
      <c r="G4364" s="155">
        <v>1.843623311E7</v>
      </c>
      <c r="H4364" s="9">
        <f t="shared" si="11"/>
        <v>3871608.953</v>
      </c>
      <c r="I4364" s="44"/>
      <c r="J4364" s="44"/>
      <c r="K4364" s="10">
        <f t="shared" si="12"/>
        <v>22307842.06</v>
      </c>
      <c r="L4364" s="47"/>
      <c r="M4364" s="50"/>
    </row>
    <row r="4365" ht="15.75" customHeight="1">
      <c r="A4365" s="218">
        <v>46266.0</v>
      </c>
      <c r="B4365" s="60"/>
      <c r="C4365" s="61" t="s">
        <v>171</v>
      </c>
      <c r="D4365" s="62" t="s">
        <v>15</v>
      </c>
      <c r="E4365" s="234" t="s">
        <v>4688</v>
      </c>
      <c r="F4365" s="212">
        <v>46291.0</v>
      </c>
      <c r="G4365" s="155">
        <v>1.189933626E7</v>
      </c>
      <c r="H4365" s="9">
        <f t="shared" si="11"/>
        <v>2498860.615</v>
      </c>
      <c r="I4365" s="44"/>
      <c r="J4365" s="44"/>
      <c r="K4365" s="10">
        <f t="shared" si="12"/>
        <v>14398196.87</v>
      </c>
      <c r="L4365" s="47"/>
      <c r="M4365" s="50"/>
    </row>
    <row r="4366" ht="15.75" customHeight="1">
      <c r="A4366" s="236">
        <v>46266.0</v>
      </c>
      <c r="B4366" s="60"/>
      <c r="C4366" s="61" t="s">
        <v>171</v>
      </c>
      <c r="D4366" s="62" t="s">
        <v>15</v>
      </c>
      <c r="E4366" s="234" t="s">
        <v>4689</v>
      </c>
      <c r="F4366" s="212">
        <v>46291.0</v>
      </c>
      <c r="G4366" s="155">
        <v>2.147483329E7</v>
      </c>
      <c r="H4366" s="9">
        <f t="shared" si="11"/>
        <v>4509714.991</v>
      </c>
      <c r="I4366" s="44"/>
      <c r="J4366" s="44"/>
      <c r="K4366" s="10">
        <f t="shared" si="12"/>
        <v>25984548.28</v>
      </c>
      <c r="L4366" s="47"/>
      <c r="M4366" s="50"/>
    </row>
    <row r="4367" ht="15.75" customHeight="1">
      <c r="A4367" s="236">
        <v>46266.0</v>
      </c>
      <c r="B4367" s="60"/>
      <c r="C4367" s="61" t="s">
        <v>171</v>
      </c>
      <c r="D4367" s="62" t="s">
        <v>15</v>
      </c>
      <c r="E4367" s="232" t="s">
        <v>4690</v>
      </c>
      <c r="F4367" s="212">
        <v>46291.0</v>
      </c>
      <c r="G4367" s="155">
        <v>1.844523311E7</v>
      </c>
      <c r="H4367" s="9">
        <f t="shared" si="11"/>
        <v>3873498.953</v>
      </c>
      <c r="I4367" s="44"/>
      <c r="J4367" s="44"/>
      <c r="K4367" s="10">
        <f t="shared" si="12"/>
        <v>22318732.06</v>
      </c>
      <c r="L4367" s="47"/>
      <c r="M4367" s="50"/>
    </row>
    <row r="4368" ht="15.75" customHeight="1">
      <c r="A4368" s="236">
        <v>46266.0</v>
      </c>
      <c r="B4368" s="60"/>
      <c r="C4368" s="61" t="s">
        <v>171</v>
      </c>
      <c r="D4368" s="62" t="s">
        <v>15</v>
      </c>
      <c r="E4368" s="234" t="s">
        <v>4691</v>
      </c>
      <c r="F4368" s="212">
        <v>46291.0</v>
      </c>
      <c r="G4368" s="155">
        <v>1.092233913E7</v>
      </c>
      <c r="H4368" s="9">
        <f t="shared" si="11"/>
        <v>2293691.217</v>
      </c>
      <c r="I4368" s="44"/>
      <c r="J4368" s="44"/>
      <c r="K4368" s="10">
        <f t="shared" si="12"/>
        <v>13216030.35</v>
      </c>
      <c r="L4368" s="47"/>
      <c r="M4368" s="50"/>
    </row>
    <row r="4369" ht="15.75" customHeight="1">
      <c r="A4369" s="236">
        <v>46266.0</v>
      </c>
      <c r="B4369" s="60"/>
      <c r="C4369" s="61" t="s">
        <v>171</v>
      </c>
      <c r="D4369" s="62" t="s">
        <v>15</v>
      </c>
      <c r="E4369" s="232" t="s">
        <v>4692</v>
      </c>
      <c r="F4369" s="212">
        <v>46291.0</v>
      </c>
      <c r="G4369" s="155">
        <v>1.1474323E7</v>
      </c>
      <c r="H4369" s="9">
        <f t="shared" si="11"/>
        <v>2409607.83</v>
      </c>
      <c r="I4369" s="44"/>
      <c r="J4369" s="44"/>
      <c r="K4369" s="10">
        <f t="shared" si="12"/>
        <v>13883930.83</v>
      </c>
      <c r="L4369" s="47"/>
      <c r="M4369" s="50"/>
    </row>
    <row r="4370" ht="15.75" customHeight="1">
      <c r="A4370" s="236">
        <v>46267.0</v>
      </c>
      <c r="B4370" s="60"/>
      <c r="C4370" s="61" t="s">
        <v>268</v>
      </c>
      <c r="D4370" s="62" t="s">
        <v>99</v>
      </c>
      <c r="E4370" s="232" t="s">
        <v>3219</v>
      </c>
      <c r="F4370" s="120" t="s">
        <v>4415</v>
      </c>
      <c r="G4370" s="206">
        <v>2.24373355E7</v>
      </c>
      <c r="H4370" s="9">
        <f t="shared" si="11"/>
        <v>4711840.455</v>
      </c>
      <c r="I4370" s="44">
        <v>673120.07</v>
      </c>
      <c r="J4370" s="44">
        <v>448746.71</v>
      </c>
      <c r="K4370" s="10">
        <f t="shared" si="12"/>
        <v>28271042.74</v>
      </c>
      <c r="L4370" s="47"/>
      <c r="M4370" s="50"/>
    </row>
    <row r="4371" ht="15.75" customHeight="1">
      <c r="A4371" s="236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customHeight="1">
      <c r="A4372" s="236">
        <v>46267.0</v>
      </c>
      <c r="B4372" s="60"/>
      <c r="C4372" s="62" t="s">
        <v>268</v>
      </c>
      <c r="D4372" s="62" t="s">
        <v>99</v>
      </c>
      <c r="E4372" s="232" t="s">
        <v>3221</v>
      </c>
      <c r="F4372" s="120" t="s">
        <v>4415</v>
      </c>
      <c r="G4372" s="206">
        <v>4890209.4</v>
      </c>
      <c r="H4372" s="9">
        <f t="shared" si="11"/>
        <v>1026943.974</v>
      </c>
      <c r="I4372" s="44"/>
      <c r="J4372" s="44"/>
      <c r="K4372" s="10">
        <f t="shared" si="12"/>
        <v>5917153.374</v>
      </c>
      <c r="L4372" s="47"/>
      <c r="M4372" s="50"/>
    </row>
    <row r="4373" ht="15.75" customHeight="1">
      <c r="A4373" s="236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customHeight="1">
      <c r="A4374" s="236">
        <v>46267.0</v>
      </c>
      <c r="B4374" s="60"/>
      <c r="C4374" s="62" t="s">
        <v>268</v>
      </c>
      <c r="D4374" s="62" t="s">
        <v>99</v>
      </c>
      <c r="E4374" s="232" t="s">
        <v>4694</v>
      </c>
      <c r="F4374" s="120" t="s">
        <v>4415</v>
      </c>
      <c r="G4374" s="206">
        <v>3812224.8</v>
      </c>
      <c r="H4374" s="9">
        <f t="shared" si="11"/>
        <v>800567.208</v>
      </c>
      <c r="I4374" s="44"/>
      <c r="J4374" s="44">
        <v>76244.5</v>
      </c>
      <c r="K4374" s="10">
        <f t="shared" si="12"/>
        <v>4689036.508</v>
      </c>
      <c r="L4374" s="47"/>
      <c r="M4374" s="50"/>
    </row>
    <row r="4375" ht="15.75" customHeight="1">
      <c r="A4375" s="236">
        <v>46267.0</v>
      </c>
      <c r="B4375" s="60"/>
      <c r="C4375" s="62" t="s">
        <v>268</v>
      </c>
      <c r="D4375" s="62" t="s">
        <v>99</v>
      </c>
      <c r="E4375" s="232" t="s">
        <v>4695</v>
      </c>
      <c r="F4375" s="120" t="s">
        <v>4415</v>
      </c>
      <c r="G4375" s="206">
        <v>5028333.15</v>
      </c>
      <c r="H4375" s="9">
        <f t="shared" si="11"/>
        <v>1055949.962</v>
      </c>
      <c r="I4375" s="44"/>
      <c r="J4375" s="44">
        <v>100566.66</v>
      </c>
      <c r="K4375" s="10">
        <f t="shared" si="12"/>
        <v>6184849.772</v>
      </c>
      <c r="L4375" s="47"/>
      <c r="M4375" s="50"/>
    </row>
    <row r="4376" ht="15.75" customHeight="1">
      <c r="A4376" s="236">
        <v>46267.0</v>
      </c>
      <c r="B4376" s="60"/>
      <c r="C4376" s="62" t="s">
        <v>268</v>
      </c>
      <c r="D4376" s="62" t="s">
        <v>99</v>
      </c>
      <c r="E4376" s="232" t="s">
        <v>4696</v>
      </c>
      <c r="F4376" s="120" t="s">
        <v>4415</v>
      </c>
      <c r="G4376" s="206">
        <v>7226463.0</v>
      </c>
      <c r="H4376" s="9">
        <f t="shared" si="11"/>
        <v>1517557.23</v>
      </c>
      <c r="I4376" s="44">
        <v>216793.89</v>
      </c>
      <c r="J4376" s="44">
        <v>144529.26</v>
      </c>
      <c r="K4376" s="10">
        <f t="shared" si="12"/>
        <v>9105343.38</v>
      </c>
      <c r="L4376" s="47"/>
      <c r="M4376" s="50"/>
    </row>
    <row r="4377" ht="15.75" customHeight="1">
      <c r="A4377" s="236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customHeight="1">
      <c r="A4378" s="236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customHeight="1">
      <c r="A4379" s="236">
        <v>46267.0</v>
      </c>
      <c r="B4379" s="60"/>
      <c r="C4379" s="61" t="s">
        <v>2221</v>
      </c>
      <c r="D4379" s="62" t="s">
        <v>15</v>
      </c>
      <c r="E4379" s="232" t="s">
        <v>4699</v>
      </c>
      <c r="F4379" s="120" t="s">
        <v>4415</v>
      </c>
      <c r="G4379" s="206">
        <v>1.038847935E7</v>
      </c>
      <c r="H4379" s="9">
        <f t="shared" si="11"/>
        <v>2181580.664</v>
      </c>
      <c r="I4379" s="44">
        <v>311654.38</v>
      </c>
      <c r="J4379" s="44"/>
      <c r="K4379" s="10">
        <f t="shared" si="12"/>
        <v>12881714.39</v>
      </c>
      <c r="L4379" s="47"/>
      <c r="M4379" s="50"/>
    </row>
    <row r="4380" ht="15.75" customHeight="1">
      <c r="A4380" s="236">
        <v>46267.0</v>
      </c>
      <c r="B4380" s="60"/>
      <c r="C4380" s="61" t="s">
        <v>2221</v>
      </c>
      <c r="D4380" s="62" t="s">
        <v>15</v>
      </c>
      <c r="E4380" s="232" t="s">
        <v>4700</v>
      </c>
      <c r="F4380" s="120" t="s">
        <v>4415</v>
      </c>
      <c r="G4380" s="206">
        <v>1.058799266E7</v>
      </c>
      <c r="H4380" s="9">
        <f t="shared" si="11"/>
        <v>2223478.459</v>
      </c>
      <c r="I4380" s="44">
        <v>317639.78</v>
      </c>
      <c r="J4380" s="44"/>
      <c r="K4380" s="10">
        <f t="shared" si="12"/>
        <v>13129110.9</v>
      </c>
      <c r="L4380" s="47"/>
      <c r="M4380" s="50"/>
    </row>
    <row r="4381" ht="15.75" customHeight="1">
      <c r="A4381" s="236">
        <v>46267.0</v>
      </c>
      <c r="B4381" s="60"/>
      <c r="C4381" s="61" t="s">
        <v>2221</v>
      </c>
      <c r="D4381" s="62" t="s">
        <v>15</v>
      </c>
      <c r="E4381" s="232" t="s">
        <v>4701</v>
      </c>
      <c r="F4381" s="120" t="s">
        <v>4415</v>
      </c>
      <c r="G4381" s="206">
        <v>1.003371169E7</v>
      </c>
      <c r="H4381" s="9">
        <f t="shared" si="11"/>
        <v>2107079.455</v>
      </c>
      <c r="I4381" s="44">
        <v>301011.35</v>
      </c>
      <c r="J4381" s="44"/>
      <c r="K4381" s="10">
        <f t="shared" si="12"/>
        <v>12441802.49</v>
      </c>
      <c r="L4381" s="47"/>
      <c r="M4381" s="50"/>
    </row>
    <row r="4382" ht="15.75" customHeight="1">
      <c r="A4382" s="236">
        <v>46267.0</v>
      </c>
      <c r="B4382" s="60"/>
      <c r="C4382" s="61" t="s">
        <v>2221</v>
      </c>
      <c r="D4382" s="62" t="s">
        <v>15</v>
      </c>
      <c r="E4382" s="232" t="s">
        <v>4702</v>
      </c>
      <c r="F4382" s="120" t="s">
        <v>4415</v>
      </c>
      <c r="G4382" s="206">
        <v>8787606.6</v>
      </c>
      <c r="H4382" s="9">
        <f t="shared" si="11"/>
        <v>1845397.386</v>
      </c>
      <c r="I4382" s="44">
        <v>263628.2</v>
      </c>
      <c r="J4382" s="44"/>
      <c r="K4382" s="10">
        <f t="shared" si="12"/>
        <v>10896632.19</v>
      </c>
      <c r="L4382" s="47"/>
      <c r="M4382" s="50"/>
    </row>
    <row r="4383" ht="15.75" customHeight="1">
      <c r="A4383" s="236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customHeight="1">
      <c r="A4384" s="237">
        <v>46267.0</v>
      </c>
      <c r="B4384" s="55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9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37">
        <v>46267.0</v>
      </c>
      <c r="B4385" s="55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9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36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customHeight="1">
      <c r="A4387" s="237">
        <v>46267.0</v>
      </c>
      <c r="B4387" s="55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9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36">
        <v>46267.0</v>
      </c>
      <c r="B4388" s="60"/>
      <c r="C4388" s="61" t="s">
        <v>2221</v>
      </c>
      <c r="D4388" s="62" t="s">
        <v>15</v>
      </c>
      <c r="E4388" s="232" t="s">
        <v>4708</v>
      </c>
      <c r="F4388" s="120" t="s">
        <v>4415</v>
      </c>
      <c r="G4388" s="206">
        <v>1.07362719E7</v>
      </c>
      <c r="H4388" s="9">
        <f t="shared" si="11"/>
        <v>2254617.099</v>
      </c>
      <c r="I4388" s="44">
        <v>322088.16</v>
      </c>
      <c r="J4388" s="44"/>
      <c r="K4388" s="10">
        <f t="shared" si="12"/>
        <v>13312977.16</v>
      </c>
      <c r="L4388" s="47"/>
      <c r="M4388" s="50"/>
    </row>
    <row r="4389" ht="15.75" customHeight="1">
      <c r="A4389" s="236">
        <v>46267.0</v>
      </c>
      <c r="B4389" s="60"/>
      <c r="C4389" s="61" t="s">
        <v>2221</v>
      </c>
      <c r="D4389" s="62" t="s">
        <v>15</v>
      </c>
      <c r="E4389" s="232" t="s">
        <v>4709</v>
      </c>
      <c r="F4389" s="120" t="s">
        <v>4415</v>
      </c>
      <c r="G4389" s="206">
        <v>9599627.4</v>
      </c>
      <c r="H4389" s="9">
        <f t="shared" si="11"/>
        <v>2015921.754</v>
      </c>
      <c r="I4389" s="44">
        <v>287988.82</v>
      </c>
      <c r="J4389" s="44"/>
      <c r="K4389" s="10">
        <f t="shared" si="12"/>
        <v>11903537.97</v>
      </c>
      <c r="L4389" s="47"/>
      <c r="M4389" s="50"/>
    </row>
    <row r="4390" ht="15.75" customHeight="1">
      <c r="A4390" s="236">
        <v>46267.0</v>
      </c>
      <c r="B4390" s="60"/>
      <c r="C4390" s="61" t="s">
        <v>1112</v>
      </c>
      <c r="D4390" s="62" t="s">
        <v>99</v>
      </c>
      <c r="E4390" s="62" t="s">
        <v>4710</v>
      </c>
      <c r="F4390" s="212">
        <v>46291.0</v>
      </c>
      <c r="G4390" s="155">
        <v>1.512168E7</v>
      </c>
      <c r="H4390" s="9">
        <f t="shared" si="11"/>
        <v>3175552.8</v>
      </c>
      <c r="I4390" s="44"/>
      <c r="J4390" s="44">
        <v>1512.17</v>
      </c>
      <c r="K4390" s="10">
        <f t="shared" si="12"/>
        <v>18298744.97</v>
      </c>
      <c r="L4390" s="47"/>
      <c r="M4390" s="50"/>
    </row>
    <row r="4391" ht="15.75" customHeight="1">
      <c r="A4391" s="236">
        <v>46267.0</v>
      </c>
      <c r="B4391" s="60"/>
      <c r="C4391" s="61" t="s">
        <v>1112</v>
      </c>
      <c r="D4391" s="62" t="s">
        <v>99</v>
      </c>
      <c r="E4391" s="62" t="s">
        <v>4711</v>
      </c>
      <c r="F4391" s="212">
        <v>46291.0</v>
      </c>
      <c r="G4391" s="155">
        <v>1.533646E7</v>
      </c>
      <c r="H4391" s="9">
        <f t="shared" si="11"/>
        <v>3220656.6</v>
      </c>
      <c r="I4391" s="44"/>
      <c r="J4391" s="44">
        <v>1533.65</v>
      </c>
      <c r="K4391" s="10">
        <f t="shared" si="12"/>
        <v>18558650.25</v>
      </c>
      <c r="L4391" s="47"/>
      <c r="M4391" s="50"/>
    </row>
    <row r="4392" ht="15.75" customHeight="1">
      <c r="A4392" s="236">
        <v>46267.0</v>
      </c>
      <c r="B4392" s="60"/>
      <c r="C4392" s="61" t="s">
        <v>1112</v>
      </c>
      <c r="D4392" s="62" t="s">
        <v>99</v>
      </c>
      <c r="E4392" s="62" t="s">
        <v>4712</v>
      </c>
      <c r="F4392" s="212">
        <v>46291.0</v>
      </c>
      <c r="G4392" s="155">
        <v>1.493558E7</v>
      </c>
      <c r="H4392" s="9">
        <f t="shared" si="11"/>
        <v>3136471.8</v>
      </c>
      <c r="I4392" s="44"/>
      <c r="J4392" s="44">
        <v>1493.56</v>
      </c>
      <c r="K4392" s="10">
        <f t="shared" si="12"/>
        <v>18073545.36</v>
      </c>
      <c r="L4392" s="47"/>
      <c r="M4392" s="50"/>
    </row>
    <row r="4393" ht="15.75" customHeight="1">
      <c r="A4393" s="236">
        <v>46267.0</v>
      </c>
      <c r="B4393" s="60"/>
      <c r="C4393" s="61" t="s">
        <v>1112</v>
      </c>
      <c r="D4393" s="62" t="s">
        <v>99</v>
      </c>
      <c r="E4393" s="62" t="s">
        <v>4713</v>
      </c>
      <c r="F4393" s="212">
        <v>46291.0</v>
      </c>
      <c r="G4393" s="155">
        <v>1.465137E7</v>
      </c>
      <c r="H4393" s="9">
        <f t="shared" si="11"/>
        <v>3076787.7</v>
      </c>
      <c r="I4393" s="44"/>
      <c r="J4393" s="44">
        <v>1465.14</v>
      </c>
      <c r="K4393" s="10">
        <f t="shared" si="12"/>
        <v>17729622.84</v>
      </c>
      <c r="L4393" s="47"/>
      <c r="M4393" s="50"/>
    </row>
    <row r="4394" ht="15.75" customHeight="1">
      <c r="A4394" s="236">
        <v>46267.0</v>
      </c>
      <c r="B4394" s="60"/>
      <c r="C4394" s="61" t="s">
        <v>1112</v>
      </c>
      <c r="D4394" s="62" t="s">
        <v>15</v>
      </c>
      <c r="E4394" s="62" t="s">
        <v>4714</v>
      </c>
      <c r="F4394" s="212">
        <v>46291.0</v>
      </c>
      <c r="G4394" s="155">
        <v>1.534837E7</v>
      </c>
      <c r="H4394" s="9">
        <f t="shared" si="11"/>
        <v>3223157.7</v>
      </c>
      <c r="I4394" s="44"/>
      <c r="J4394" s="44">
        <v>1534.84</v>
      </c>
      <c r="K4394" s="10">
        <f t="shared" si="12"/>
        <v>18573062.54</v>
      </c>
      <c r="L4394" s="47"/>
      <c r="M4394" s="50"/>
    </row>
    <row r="4395" ht="15.75" customHeight="1">
      <c r="A4395" s="236">
        <v>46267.0</v>
      </c>
      <c r="B4395" s="60"/>
      <c r="C4395" s="61" t="s">
        <v>1112</v>
      </c>
      <c r="D4395" s="62" t="s">
        <v>15</v>
      </c>
      <c r="E4395" s="62" t="s">
        <v>4715</v>
      </c>
      <c r="F4395" s="212">
        <v>46291.0</v>
      </c>
      <c r="G4395" s="155">
        <v>1.535268E7</v>
      </c>
      <c r="H4395" s="9">
        <f t="shared" si="11"/>
        <v>3224062.8</v>
      </c>
      <c r="I4395" s="44"/>
      <c r="J4395" s="44">
        <v>1535.27</v>
      </c>
      <c r="K4395" s="10">
        <f t="shared" si="12"/>
        <v>18578278.07</v>
      </c>
      <c r="L4395" s="47"/>
      <c r="M4395" s="50"/>
    </row>
    <row r="4396" ht="15.75" customHeight="1">
      <c r="A4396" s="236">
        <v>46267.0</v>
      </c>
      <c r="B4396" s="60"/>
      <c r="C4396" s="61" t="s">
        <v>1112</v>
      </c>
      <c r="D4396" s="62" t="s">
        <v>15</v>
      </c>
      <c r="E4396" s="61" t="s">
        <v>4716</v>
      </c>
      <c r="F4396" s="212">
        <v>46291.0</v>
      </c>
      <c r="G4396" s="155">
        <v>1.464078E7</v>
      </c>
      <c r="H4396" s="9">
        <f t="shared" si="11"/>
        <v>3074563.8</v>
      </c>
      <c r="I4396" s="44"/>
      <c r="J4396" s="44">
        <v>1464.08</v>
      </c>
      <c r="K4396" s="10">
        <f t="shared" si="12"/>
        <v>17716807.88</v>
      </c>
      <c r="L4396" s="47"/>
      <c r="M4396" s="50"/>
    </row>
    <row r="4397" ht="15.75" customHeight="1">
      <c r="A4397" s="236">
        <v>46267.0</v>
      </c>
      <c r="B4397" s="60"/>
      <c r="C4397" s="61" t="s">
        <v>1112</v>
      </c>
      <c r="D4397" s="62" t="s">
        <v>15</v>
      </c>
      <c r="E4397" s="62" t="s">
        <v>4717</v>
      </c>
      <c r="F4397" s="212">
        <v>46291.0</v>
      </c>
      <c r="G4397" s="155">
        <v>1.472267E7</v>
      </c>
      <c r="H4397" s="9">
        <f t="shared" si="11"/>
        <v>3091760.7</v>
      </c>
      <c r="I4397" s="44"/>
      <c r="J4397" s="44">
        <v>1472.27</v>
      </c>
      <c r="K4397" s="10">
        <f t="shared" si="12"/>
        <v>17815902.97</v>
      </c>
      <c r="L4397" s="47"/>
      <c r="M4397" s="50"/>
    </row>
    <row r="4398" ht="15.75" customHeight="1">
      <c r="A4398" s="236">
        <v>46268.0</v>
      </c>
      <c r="B4398" s="60"/>
      <c r="C4398" s="61" t="s">
        <v>2221</v>
      </c>
      <c r="D4398" s="62" t="s">
        <v>15</v>
      </c>
      <c r="E4398" s="62" t="s">
        <v>4718</v>
      </c>
      <c r="F4398" s="120" t="s">
        <v>4415</v>
      </c>
      <c r="G4398" s="206">
        <v>7140316.06</v>
      </c>
      <c r="H4398" s="9">
        <f t="shared" si="11"/>
        <v>1499466.373</v>
      </c>
      <c r="I4398" s="44">
        <v>214209.48</v>
      </c>
      <c r="J4398" s="44"/>
      <c r="K4398" s="10">
        <f t="shared" si="12"/>
        <v>8853991.913</v>
      </c>
      <c r="L4398" s="47"/>
      <c r="M4398" s="50"/>
    </row>
    <row r="4399" ht="15.75" customHeight="1">
      <c r="A4399" s="236">
        <v>46268.0</v>
      </c>
      <c r="B4399" s="60"/>
      <c r="C4399" s="61" t="s">
        <v>4719</v>
      </c>
      <c r="D4399" s="62" t="s">
        <v>15</v>
      </c>
      <c r="E4399" s="62" t="s">
        <v>4720</v>
      </c>
      <c r="F4399" s="120" t="s">
        <v>4415</v>
      </c>
      <c r="G4399" s="206">
        <v>1.780283329E7</v>
      </c>
      <c r="H4399" s="9">
        <f t="shared" si="11"/>
        <v>3738594.991</v>
      </c>
      <c r="I4399" s="44"/>
      <c r="J4399" s="44">
        <v>8901.42</v>
      </c>
      <c r="K4399" s="10">
        <f t="shared" si="12"/>
        <v>21550329.7</v>
      </c>
      <c r="L4399" s="47"/>
      <c r="M4399" s="50"/>
    </row>
    <row r="4400" ht="15.75" customHeight="1">
      <c r="A4400" s="236">
        <v>46268.0</v>
      </c>
      <c r="B4400" s="60"/>
      <c r="C4400" s="61" t="s">
        <v>2221</v>
      </c>
      <c r="D4400" s="62" t="s">
        <v>15</v>
      </c>
      <c r="E4400" s="62" t="s">
        <v>4721</v>
      </c>
      <c r="F4400" s="120" t="s">
        <v>4415</v>
      </c>
      <c r="G4400" s="206">
        <v>6317844.68</v>
      </c>
      <c r="H4400" s="9">
        <f t="shared" si="11"/>
        <v>1326747.383</v>
      </c>
      <c r="I4400" s="44">
        <v>189535.34</v>
      </c>
      <c r="J4400" s="44"/>
      <c r="K4400" s="10">
        <f t="shared" si="12"/>
        <v>7834127.403</v>
      </c>
      <c r="L4400" s="47"/>
      <c r="M4400" s="50"/>
    </row>
    <row r="4401" ht="15.75" customHeight="1">
      <c r="A4401" s="236">
        <v>46268.0</v>
      </c>
      <c r="B4401" s="60"/>
      <c r="C4401" s="61" t="s">
        <v>4719</v>
      </c>
      <c r="D4401" s="62" t="s">
        <v>15</v>
      </c>
      <c r="E4401" s="62" t="s">
        <v>4722</v>
      </c>
      <c r="F4401" s="120" t="s">
        <v>4415</v>
      </c>
      <c r="G4401" s="206">
        <v>2.379011156E7</v>
      </c>
      <c r="H4401" s="9">
        <f t="shared" si="11"/>
        <v>4995923.428</v>
      </c>
      <c r="I4401" s="44"/>
      <c r="J4401" s="44">
        <v>11895.06</v>
      </c>
      <c r="K4401" s="10">
        <f t="shared" si="12"/>
        <v>28797930.05</v>
      </c>
      <c r="L4401" s="47"/>
      <c r="M4401" s="50"/>
    </row>
    <row r="4402" ht="15.75" customHeight="1">
      <c r="A4402" s="236">
        <v>46268.0</v>
      </c>
      <c r="B4402" s="60"/>
      <c r="C4402" s="61" t="s">
        <v>3973</v>
      </c>
      <c r="D4402" s="62" t="s">
        <v>15</v>
      </c>
      <c r="E4402" s="62" t="s">
        <v>4723</v>
      </c>
      <c r="F4402" s="120" t="s">
        <v>4415</v>
      </c>
      <c r="G4402" s="206">
        <v>6726121.56</v>
      </c>
      <c r="H4402" s="9">
        <f t="shared" si="11"/>
        <v>1412485.528</v>
      </c>
      <c r="I4402" s="44">
        <v>201783.65</v>
      </c>
      <c r="J4402" s="44"/>
      <c r="K4402" s="10">
        <f t="shared" si="12"/>
        <v>8340390.738</v>
      </c>
      <c r="L4402" s="47"/>
      <c r="M4402" s="50"/>
    </row>
    <row r="4403" ht="15.75" customHeight="1">
      <c r="A4403" s="236">
        <v>46268.0</v>
      </c>
      <c r="B4403" s="60"/>
      <c r="C4403" s="61" t="s">
        <v>4719</v>
      </c>
      <c r="D4403" s="62" t="s">
        <v>15</v>
      </c>
      <c r="E4403" s="62" t="s">
        <v>4724</v>
      </c>
      <c r="F4403" s="120" t="s">
        <v>4415</v>
      </c>
      <c r="G4403" s="206">
        <v>1.283376212E7</v>
      </c>
      <c r="H4403" s="9">
        <f t="shared" si="11"/>
        <v>2695090.045</v>
      </c>
      <c r="I4403" s="44"/>
      <c r="J4403" s="44">
        <v>6416.88</v>
      </c>
      <c r="K4403" s="10">
        <f t="shared" si="12"/>
        <v>15535269.05</v>
      </c>
      <c r="L4403" s="47"/>
      <c r="M4403" s="50"/>
    </row>
    <row r="4404" ht="15.75" customHeight="1">
      <c r="A4404" s="236">
        <v>46268.0</v>
      </c>
      <c r="B4404" s="60"/>
      <c r="C4404" s="61" t="s">
        <v>3973</v>
      </c>
      <c r="D4404" s="62" t="s">
        <v>15</v>
      </c>
      <c r="E4404" s="62" t="s">
        <v>4725</v>
      </c>
      <c r="F4404" s="120" t="s">
        <v>4415</v>
      </c>
      <c r="G4404" s="206">
        <v>6974298.71</v>
      </c>
      <c r="H4404" s="9">
        <f t="shared" si="11"/>
        <v>1464602.729</v>
      </c>
      <c r="I4404" s="44">
        <v>209228.96</v>
      </c>
      <c r="J4404" s="44"/>
      <c r="K4404" s="10">
        <f t="shared" si="12"/>
        <v>8648130.399</v>
      </c>
      <c r="L4404" s="47"/>
      <c r="M4404" s="50"/>
    </row>
    <row r="4405" ht="15.75" customHeight="1">
      <c r="A4405" s="236">
        <v>46268.0</v>
      </c>
      <c r="B4405" s="60"/>
      <c r="C4405" s="61" t="s">
        <v>4719</v>
      </c>
      <c r="D4405" s="62" t="s">
        <v>15</v>
      </c>
      <c r="E4405" s="62" t="s">
        <v>4726</v>
      </c>
      <c r="F4405" s="120" t="s">
        <v>4415</v>
      </c>
      <c r="G4405" s="206">
        <v>2.557329417E7</v>
      </c>
      <c r="H4405" s="9">
        <f t="shared" si="11"/>
        <v>5370391.776</v>
      </c>
      <c r="I4405" s="44"/>
      <c r="J4405" s="44">
        <v>12786.65</v>
      </c>
      <c r="K4405" s="10">
        <f t="shared" si="12"/>
        <v>30956472.6</v>
      </c>
      <c r="L4405" s="47"/>
      <c r="M4405" s="50"/>
    </row>
    <row r="4406" ht="15.75" customHeight="1">
      <c r="A4406" s="236">
        <v>46268.0</v>
      </c>
      <c r="B4406" s="60"/>
      <c r="C4406" s="61" t="s">
        <v>3973</v>
      </c>
      <c r="D4406" s="62" t="s">
        <v>15</v>
      </c>
      <c r="E4406" s="62" t="s">
        <v>4727</v>
      </c>
      <c r="F4406" s="120" t="s">
        <v>4415</v>
      </c>
      <c r="G4406" s="206">
        <v>6016004.41</v>
      </c>
      <c r="H4406" s="9">
        <f t="shared" si="11"/>
        <v>1263360.926</v>
      </c>
      <c r="I4406" s="44"/>
      <c r="J4406" s="44"/>
      <c r="K4406" s="10">
        <f t="shared" si="12"/>
        <v>7279365.336</v>
      </c>
      <c r="L4406" s="47"/>
      <c r="M4406" s="50"/>
    </row>
    <row r="4407" ht="15.75" customHeight="1">
      <c r="A4407" s="236">
        <v>46268.0</v>
      </c>
      <c r="B4407" s="60"/>
      <c r="C4407" s="61" t="s">
        <v>3973</v>
      </c>
      <c r="D4407" s="62" t="s">
        <v>15</v>
      </c>
      <c r="E4407" s="62" t="s">
        <v>4728</v>
      </c>
      <c r="F4407" s="120" t="s">
        <v>4415</v>
      </c>
      <c r="G4407" s="206">
        <v>7136807.74</v>
      </c>
      <c r="H4407" s="9">
        <f t="shared" si="11"/>
        <v>1498729.625</v>
      </c>
      <c r="I4407" s="44">
        <v>214104.23</v>
      </c>
      <c r="J4407" s="44"/>
      <c r="K4407" s="10">
        <f t="shared" si="12"/>
        <v>8849641.595</v>
      </c>
      <c r="L4407" s="47"/>
      <c r="M4407" s="50"/>
    </row>
    <row r="4408" ht="15.75" customHeight="1">
      <c r="A4408" s="236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customHeight="1">
      <c r="A4409" s="236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customHeight="1">
      <c r="A4410" s="236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customHeight="1">
      <c r="A4411" s="236">
        <v>46268.0</v>
      </c>
      <c r="B4411" s="60"/>
      <c r="C4411" s="61" t="s">
        <v>4719</v>
      </c>
      <c r="D4411" s="62" t="s">
        <v>99</v>
      </c>
      <c r="E4411" s="62" t="s">
        <v>3291</v>
      </c>
      <c r="F4411" s="120" t="s">
        <v>4415</v>
      </c>
      <c r="G4411" s="206">
        <v>1.193322312E7</v>
      </c>
      <c r="H4411" s="9">
        <f t="shared" si="11"/>
        <v>2505976.855</v>
      </c>
      <c r="I4411" s="44">
        <v>5966.61</v>
      </c>
      <c r="J4411" s="44"/>
      <c r="K4411" s="10">
        <f t="shared" si="12"/>
        <v>14445166.59</v>
      </c>
      <c r="L4411" s="47"/>
      <c r="M4411" s="50"/>
    </row>
    <row r="4412" ht="15.75" customHeight="1">
      <c r="A4412" s="236">
        <v>46268.0</v>
      </c>
      <c r="B4412" s="60"/>
      <c r="C4412" s="61" t="s">
        <v>4719</v>
      </c>
      <c r="D4412" s="62" t="s">
        <v>99</v>
      </c>
      <c r="E4412" s="62" t="s">
        <v>4733</v>
      </c>
      <c r="F4412" s="120" t="s">
        <v>4415</v>
      </c>
      <c r="G4412" s="206">
        <v>9822093.08</v>
      </c>
      <c r="H4412" s="9">
        <f t="shared" si="11"/>
        <v>2062639.547</v>
      </c>
      <c r="I4412" s="44"/>
      <c r="J4412" s="44">
        <v>4911.05</v>
      </c>
      <c r="K4412" s="10">
        <f t="shared" si="12"/>
        <v>11889643.68</v>
      </c>
      <c r="L4412" s="47"/>
      <c r="M4412" s="50"/>
    </row>
    <row r="4413" ht="15.75" customHeight="1">
      <c r="A4413" s="236">
        <v>46268.0</v>
      </c>
      <c r="B4413" s="60"/>
      <c r="C4413" s="61" t="s">
        <v>4719</v>
      </c>
      <c r="D4413" s="62" t="s">
        <v>99</v>
      </c>
      <c r="E4413" s="62" t="s">
        <v>4734</v>
      </c>
      <c r="F4413" s="120" t="s">
        <v>4415</v>
      </c>
      <c r="G4413" s="206">
        <v>9381733.52</v>
      </c>
      <c r="H4413" s="9">
        <f t="shared" si="11"/>
        <v>1970164.039</v>
      </c>
      <c r="I4413" s="44"/>
      <c r="J4413" s="44">
        <v>4690.87</v>
      </c>
      <c r="K4413" s="10">
        <f t="shared" si="12"/>
        <v>11356588.43</v>
      </c>
      <c r="L4413" s="47"/>
      <c r="M4413" s="50"/>
    </row>
    <row r="4414" ht="15.75" customHeight="1">
      <c r="A4414" s="236">
        <v>46268.0</v>
      </c>
      <c r="B4414" s="60"/>
      <c r="C4414" s="61" t="s">
        <v>434</v>
      </c>
      <c r="D4414" s="62" t="s">
        <v>15</v>
      </c>
      <c r="E4414" s="62" t="s">
        <v>4735</v>
      </c>
      <c r="F4414" s="120" t="s">
        <v>4415</v>
      </c>
      <c r="G4414" s="206">
        <v>1.4995458E7</v>
      </c>
      <c r="H4414" s="9">
        <f t="shared" si="11"/>
        <v>3149046.18</v>
      </c>
      <c r="I4414" s="44">
        <v>449863.74</v>
      </c>
      <c r="J4414" s="44">
        <v>119963.66</v>
      </c>
      <c r="K4414" s="10">
        <f t="shared" si="12"/>
        <v>18714331.58</v>
      </c>
      <c r="L4414" s="47"/>
      <c r="M4414" s="50"/>
    </row>
    <row r="4415" ht="15.75" customHeight="1">
      <c r="A4415" s="236">
        <v>46268.0</v>
      </c>
      <c r="B4415" s="60"/>
      <c r="C4415" s="61" t="s">
        <v>434</v>
      </c>
      <c r="D4415" s="62" t="s">
        <v>15</v>
      </c>
      <c r="E4415" s="62" t="s">
        <v>4736</v>
      </c>
      <c r="F4415" s="120" t="s">
        <v>4415</v>
      </c>
      <c r="G4415" s="206">
        <v>1.201136017E7</v>
      </c>
      <c r="H4415" s="9">
        <f t="shared" si="11"/>
        <v>2522385.636</v>
      </c>
      <c r="I4415" s="44"/>
      <c r="J4415" s="44">
        <v>96090.88</v>
      </c>
      <c r="K4415" s="10">
        <f t="shared" si="12"/>
        <v>14629836.69</v>
      </c>
      <c r="L4415" s="47"/>
      <c r="M4415" s="50"/>
    </row>
    <row r="4416" ht="15.75" customHeight="1">
      <c r="A4416" s="236">
        <v>46268.0</v>
      </c>
      <c r="B4416" s="60"/>
      <c r="C4416" s="61" t="s">
        <v>434</v>
      </c>
      <c r="D4416" s="62" t="s">
        <v>15</v>
      </c>
      <c r="E4416" s="62" t="s">
        <v>4737</v>
      </c>
      <c r="F4416" s="120" t="s">
        <v>4415</v>
      </c>
      <c r="G4416" s="206">
        <v>1.3012571E7</v>
      </c>
      <c r="H4416" s="9">
        <f t="shared" si="11"/>
        <v>2732639.91</v>
      </c>
      <c r="I4416" s="44">
        <v>390377.13</v>
      </c>
      <c r="J4416" s="44">
        <v>104100.57</v>
      </c>
      <c r="K4416" s="10">
        <f t="shared" si="12"/>
        <v>16239688.61</v>
      </c>
      <c r="L4416" s="47"/>
      <c r="M4416" s="50"/>
    </row>
    <row r="4417" ht="15.75" customHeight="1">
      <c r="A4417" s="236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customHeight="1">
      <c r="A4418" s="236">
        <v>46268.0</v>
      </c>
      <c r="B4418" s="60"/>
      <c r="C4418" s="61" t="s">
        <v>1980</v>
      </c>
      <c r="D4418" s="62" t="s">
        <v>15</v>
      </c>
      <c r="E4418" s="62" t="s">
        <v>4739</v>
      </c>
      <c r="F4418" s="120" t="s">
        <v>4415</v>
      </c>
      <c r="G4418" s="206">
        <v>7102200.0</v>
      </c>
      <c r="H4418" s="9">
        <f t="shared" si="11"/>
        <v>1491462</v>
      </c>
      <c r="I4418" s="44"/>
      <c r="J4418" s="44">
        <v>355110.0</v>
      </c>
      <c r="K4418" s="10">
        <f t="shared" si="12"/>
        <v>8948772</v>
      </c>
      <c r="L4418" s="47"/>
      <c r="M4418" s="50"/>
    </row>
    <row r="4419" ht="15.75" customHeight="1">
      <c r="A4419" s="236">
        <v>46268.0</v>
      </c>
      <c r="B4419" s="60"/>
      <c r="C4419" s="61" t="s">
        <v>1980</v>
      </c>
      <c r="D4419" s="62" t="s">
        <v>15</v>
      </c>
      <c r="E4419" s="62" t="s">
        <v>4740</v>
      </c>
      <c r="F4419" s="120" t="s">
        <v>4415</v>
      </c>
      <c r="G4419" s="206">
        <v>1.01316E7</v>
      </c>
      <c r="H4419" s="9">
        <f t="shared" si="11"/>
        <v>2127636</v>
      </c>
      <c r="I4419" s="44"/>
      <c r="J4419" s="44">
        <v>506580.0</v>
      </c>
      <c r="K4419" s="10">
        <f t="shared" si="12"/>
        <v>12765816</v>
      </c>
      <c r="L4419" s="47"/>
      <c r="M4419" s="50"/>
    </row>
    <row r="4420" ht="15.75" customHeight="1">
      <c r="A4420" s="236">
        <v>46268.0</v>
      </c>
      <c r="B4420" s="60"/>
      <c r="C4420" s="61" t="s">
        <v>1980</v>
      </c>
      <c r="D4420" s="62" t="s">
        <v>15</v>
      </c>
      <c r="E4420" s="62" t="s">
        <v>4741</v>
      </c>
      <c r="F4420" s="120" t="s">
        <v>4415</v>
      </c>
      <c r="G4420" s="206">
        <v>9837600.0</v>
      </c>
      <c r="H4420" s="9">
        <f t="shared" si="11"/>
        <v>2065896</v>
      </c>
      <c r="I4420" s="44"/>
      <c r="J4420" s="44">
        <v>491880.0</v>
      </c>
      <c r="K4420" s="10">
        <f t="shared" si="12"/>
        <v>12395376</v>
      </c>
      <c r="L4420" s="47"/>
      <c r="M4420" s="50"/>
    </row>
    <row r="4421" ht="15.75" customHeight="1">
      <c r="A4421" s="236">
        <v>46268.0</v>
      </c>
      <c r="B4421" s="60"/>
      <c r="C4421" s="61" t="s">
        <v>64</v>
      </c>
      <c r="D4421" s="61" t="s">
        <v>1543</v>
      </c>
      <c r="E4421" s="62" t="s">
        <v>4742</v>
      </c>
      <c r="F4421" s="212">
        <v>46291.0</v>
      </c>
      <c r="G4421" s="206">
        <v>1.092136015E7</v>
      </c>
      <c r="H4421" s="9">
        <f t="shared" si="11"/>
        <v>2293485.632</v>
      </c>
      <c r="I4421" s="44"/>
      <c r="J4421" s="44"/>
      <c r="K4421" s="10">
        <f t="shared" si="12"/>
        <v>13214845.78</v>
      </c>
      <c r="L4421" s="47"/>
      <c r="M4421" s="50"/>
    </row>
    <row r="4422" ht="15.75" customHeight="1">
      <c r="A4422" s="236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customHeight="1">
      <c r="A4423" s="236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customHeight="1">
      <c r="A4424" s="236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customHeight="1">
      <c r="A4425" s="236">
        <v>46268.0</v>
      </c>
      <c r="B4425" s="60"/>
      <c r="C4425" s="61" t="s">
        <v>64</v>
      </c>
      <c r="D4425" s="62" t="s">
        <v>15</v>
      </c>
      <c r="E4425" s="61" t="s">
        <v>4746</v>
      </c>
      <c r="F4425" s="212">
        <v>46291.0</v>
      </c>
      <c r="G4425" s="155">
        <v>3.510136056E7</v>
      </c>
      <c r="H4425" s="9">
        <f t="shared" si="11"/>
        <v>7371285.718</v>
      </c>
      <c r="I4425" s="44"/>
      <c r="J4425" s="44"/>
      <c r="K4425" s="10">
        <f t="shared" si="12"/>
        <v>42472646.28</v>
      </c>
      <c r="L4425" s="47"/>
      <c r="M4425" s="50"/>
    </row>
    <row r="4426" ht="15.75" customHeight="1">
      <c r="A4426" s="236">
        <v>46268.0</v>
      </c>
      <c r="B4426" s="60"/>
      <c r="C4426" s="61" t="s">
        <v>64</v>
      </c>
      <c r="D4426" s="62" t="s">
        <v>99</v>
      </c>
      <c r="E4426" s="61" t="s">
        <v>4747</v>
      </c>
      <c r="F4426" s="212">
        <v>46291.0</v>
      </c>
      <c r="G4426" s="155">
        <v>3.102246029E7</v>
      </c>
      <c r="H4426" s="9">
        <f t="shared" si="11"/>
        <v>6514716.661</v>
      </c>
      <c r="I4426" s="44">
        <v>930673.81</v>
      </c>
      <c r="J4426" s="44"/>
      <c r="K4426" s="10">
        <f t="shared" si="12"/>
        <v>38467850.76</v>
      </c>
      <c r="L4426" s="47"/>
      <c r="M4426" s="50"/>
    </row>
    <row r="4427" ht="15.75" customHeight="1">
      <c r="A4427" s="236">
        <v>46269.0</v>
      </c>
      <c r="B4427" s="60"/>
      <c r="C4427" s="61" t="s">
        <v>4748</v>
      </c>
      <c r="D4427" s="62" t="s">
        <v>15</v>
      </c>
      <c r="E4427" s="62" t="s">
        <v>4749</v>
      </c>
      <c r="F4427" s="120" t="s">
        <v>4415</v>
      </c>
      <c r="G4427" s="206">
        <v>2.572213034E7</v>
      </c>
      <c r="H4427" s="9">
        <f t="shared" si="11"/>
        <v>5401647.371</v>
      </c>
      <c r="I4427" s="44"/>
      <c r="J4427" s="44">
        <v>514442.61</v>
      </c>
      <c r="K4427" s="10">
        <f t="shared" si="12"/>
        <v>31638220.32</v>
      </c>
      <c r="L4427" s="47"/>
      <c r="M4427" s="50"/>
    </row>
    <row r="4428" ht="15.75" customHeight="1">
      <c r="A4428" s="236">
        <v>46269.0</v>
      </c>
      <c r="B4428" s="60"/>
      <c r="C4428" s="61" t="s">
        <v>4748</v>
      </c>
      <c r="D4428" s="62" t="s">
        <v>15</v>
      </c>
      <c r="E4428" s="62" t="s">
        <v>4750</v>
      </c>
      <c r="F4428" s="120" t="s">
        <v>4415</v>
      </c>
      <c r="G4428" s="206">
        <v>2.427786966E7</v>
      </c>
      <c r="H4428" s="9">
        <f t="shared" si="11"/>
        <v>5098352.629</v>
      </c>
      <c r="I4428" s="44"/>
      <c r="J4428" s="44">
        <v>485557.39</v>
      </c>
      <c r="K4428" s="10">
        <f t="shared" si="12"/>
        <v>29861779.68</v>
      </c>
      <c r="L4428" s="47"/>
      <c r="M4428" s="50"/>
    </row>
    <row r="4429" ht="15.75" customHeight="1">
      <c r="A4429" s="236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customHeight="1">
      <c r="A4430" s="236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customHeight="1">
      <c r="A4436" s="162">
        <v>46269.0</v>
      </c>
      <c r="B4436" s="55"/>
      <c r="C4436" s="31" t="s">
        <v>567</v>
      </c>
      <c r="D4436" s="32" t="s">
        <v>99</v>
      </c>
      <c r="E4436" s="31" t="s">
        <v>4760</v>
      </c>
      <c r="F4436" s="235">
        <v>46291.0</v>
      </c>
      <c r="G4436" s="59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5"/>
      <c r="C4437" s="31" t="s">
        <v>567</v>
      </c>
      <c r="D4437" s="32" t="s">
        <v>99</v>
      </c>
      <c r="E4437" s="31" t="s">
        <v>4761</v>
      </c>
      <c r="F4437" s="235">
        <v>46291.0</v>
      </c>
      <c r="G4437" s="59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5"/>
      <c r="C4438" s="31" t="s">
        <v>567</v>
      </c>
      <c r="D4438" s="32" t="s">
        <v>15</v>
      </c>
      <c r="E4438" s="31" t="s">
        <v>4762</v>
      </c>
      <c r="F4438" s="235">
        <v>46291.0</v>
      </c>
      <c r="G4438" s="59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5"/>
      <c r="C4439" s="31" t="s">
        <v>567</v>
      </c>
      <c r="D4439" s="32" t="s">
        <v>15</v>
      </c>
      <c r="E4439" s="31" t="s">
        <v>4763</v>
      </c>
      <c r="F4439" s="235">
        <v>46291.0</v>
      </c>
      <c r="G4439" s="59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customHeight="1">
      <c r="A4441" s="217">
        <v>46272.0</v>
      </c>
      <c r="B4441" s="60"/>
      <c r="C4441" s="61" t="s">
        <v>4765</v>
      </c>
      <c r="D4441" s="62" t="s">
        <v>99</v>
      </c>
      <c r="E4441" s="62" t="s">
        <v>4766</v>
      </c>
      <c r="F4441" s="212">
        <v>46291.0</v>
      </c>
      <c r="G4441" s="155">
        <v>6.189750211E7</v>
      </c>
      <c r="H4441" s="9">
        <f t="shared" si="11"/>
        <v>12998475.44</v>
      </c>
      <c r="I4441" s="44">
        <v>1856925.06</v>
      </c>
      <c r="J4441" s="44"/>
      <c r="K4441" s="10">
        <f t="shared" si="12"/>
        <v>76752902.61</v>
      </c>
      <c r="L4441" s="47"/>
      <c r="M4441" s="50"/>
    </row>
    <row r="4442" ht="15.75" customHeight="1">
      <c r="A4442" s="217">
        <v>46273.0</v>
      </c>
      <c r="B4442" s="60"/>
      <c r="C4442" s="61" t="s">
        <v>196</v>
      </c>
      <c r="D4442" s="62" t="s">
        <v>1543</v>
      </c>
      <c r="E4442" s="62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47"/>
      <c r="M4442" s="50"/>
    </row>
    <row r="4443" ht="15.75" customHeight="1">
      <c r="A4443" s="217">
        <v>46273.0</v>
      </c>
      <c r="B4443" s="60"/>
      <c r="C4443" s="61" t="s">
        <v>196</v>
      </c>
      <c r="D4443" s="62" t="s">
        <v>1543</v>
      </c>
      <c r="E4443" s="62" t="s">
        <v>4768</v>
      </c>
      <c r="F4443" s="120" t="s">
        <v>4415</v>
      </c>
      <c r="G4443" s="206">
        <v>1.10012058E7</v>
      </c>
      <c r="H4443" s="9">
        <f t="shared" si="11"/>
        <v>2310253.218</v>
      </c>
      <c r="I4443" s="44"/>
      <c r="J4443" s="44"/>
      <c r="K4443" s="10">
        <f t="shared" si="12"/>
        <v>13311459.02</v>
      </c>
      <c r="L4443" s="47"/>
      <c r="M4443" s="50"/>
    </row>
    <row r="4444" ht="15.75" customHeight="1">
      <c r="A4444" s="217">
        <v>46273.0</v>
      </c>
      <c r="B4444" s="60"/>
      <c r="C4444" s="61" t="s">
        <v>196</v>
      </c>
      <c r="D4444" s="62" t="s">
        <v>1543</v>
      </c>
      <c r="E4444" s="62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47"/>
      <c r="M4444" s="50"/>
    </row>
    <row r="4445" ht="15.75" customHeight="1">
      <c r="A4445" s="217">
        <v>46273.0</v>
      </c>
      <c r="B4445" s="60"/>
      <c r="C4445" s="61" t="s">
        <v>196</v>
      </c>
      <c r="D4445" s="62" t="s">
        <v>1543</v>
      </c>
      <c r="E4445" s="62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47"/>
      <c r="M4445" s="50"/>
    </row>
    <row r="4446" ht="15.75" customHeight="1">
      <c r="A4446" s="162">
        <v>46273.0</v>
      </c>
      <c r="B4446" s="55"/>
      <c r="C4446" s="31" t="s">
        <v>2346</v>
      </c>
      <c r="D4446" s="32" t="s">
        <v>15</v>
      </c>
      <c r="E4446" s="31" t="s">
        <v>4771</v>
      </c>
      <c r="F4446" s="235">
        <v>46291.0</v>
      </c>
      <c r="G4446" s="59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60"/>
      <c r="C4447" s="61" t="s">
        <v>1854</v>
      </c>
      <c r="D4447" s="62" t="s">
        <v>99</v>
      </c>
      <c r="E4447" s="61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47"/>
      <c r="M4447" s="50"/>
    </row>
    <row r="4448" ht="15.75" customHeight="1">
      <c r="A4448" s="217">
        <v>46273.0</v>
      </c>
      <c r="B4448" s="60"/>
      <c r="C4448" s="61" t="s">
        <v>1854</v>
      </c>
      <c r="D4448" s="62" t="s">
        <v>99</v>
      </c>
      <c r="E4448" s="61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47"/>
      <c r="M4448" s="50"/>
    </row>
    <row r="4449" ht="15.75" customHeight="1">
      <c r="A4449" s="217">
        <v>46273.0</v>
      </c>
      <c r="B4449" s="60"/>
      <c r="C4449" s="61" t="s">
        <v>1854</v>
      </c>
      <c r="D4449" s="62" t="s">
        <v>99</v>
      </c>
      <c r="E4449" s="61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47"/>
      <c r="M4449" s="50"/>
    </row>
    <row r="4450" ht="15.75" customHeight="1">
      <c r="A4450" s="217">
        <v>46273.0</v>
      </c>
      <c r="B4450" s="60"/>
      <c r="C4450" s="61" t="s">
        <v>1854</v>
      </c>
      <c r="D4450" s="62" t="s">
        <v>99</v>
      </c>
      <c r="E4450" s="61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47"/>
      <c r="M4450" s="50"/>
    </row>
    <row r="4451" ht="15.75" customHeight="1">
      <c r="A4451" s="217">
        <v>46273.0</v>
      </c>
      <c r="B4451" s="60"/>
      <c r="C4451" s="61" t="s">
        <v>1854</v>
      </c>
      <c r="D4451" s="62" t="s">
        <v>99</v>
      </c>
      <c r="E4451" s="61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47"/>
      <c r="M4451" s="50"/>
    </row>
    <row r="4452" ht="15.75" customHeight="1">
      <c r="A4452" s="217">
        <v>46273.0</v>
      </c>
      <c r="B4452" s="60"/>
      <c r="C4452" s="61" t="s">
        <v>1854</v>
      </c>
      <c r="D4452" s="62" t="s">
        <v>99</v>
      </c>
      <c r="E4452" s="61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47"/>
      <c r="M4452" s="50"/>
    </row>
    <row r="4453" ht="15.75" customHeight="1">
      <c r="A4453" s="217">
        <v>46273.0</v>
      </c>
      <c r="B4453" s="60"/>
      <c r="C4453" s="61" t="s">
        <v>1854</v>
      </c>
      <c r="D4453" s="62" t="s">
        <v>99</v>
      </c>
      <c r="E4453" s="61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47"/>
      <c r="M4453" s="50"/>
    </row>
    <row r="4454" ht="15.75" customHeight="1">
      <c r="A4454" s="217">
        <v>46273.0</v>
      </c>
      <c r="B4454" s="60"/>
      <c r="C4454" s="61" t="s">
        <v>1854</v>
      </c>
      <c r="D4454" s="62" t="s">
        <v>99</v>
      </c>
      <c r="E4454" s="61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47"/>
      <c r="M4454" s="50"/>
    </row>
    <row r="4455" ht="15.75" customHeight="1">
      <c r="A4455" s="217">
        <v>46273.0</v>
      </c>
      <c r="B4455" s="60"/>
      <c r="C4455" s="61" t="s">
        <v>1854</v>
      </c>
      <c r="D4455" s="62" t="s">
        <v>15</v>
      </c>
      <c r="E4455" s="61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47"/>
      <c r="M4455" s="50"/>
    </row>
    <row r="4456" ht="15.75" customHeight="1">
      <c r="A4456" s="217">
        <v>46273.0</v>
      </c>
      <c r="B4456" s="60"/>
      <c r="C4456" s="61" t="s">
        <v>1854</v>
      </c>
      <c r="D4456" s="62" t="s">
        <v>15</v>
      </c>
      <c r="E4456" s="61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47"/>
      <c r="M4456" s="50"/>
    </row>
    <row r="4457" ht="15.75" customHeight="1">
      <c r="A4457" s="217">
        <v>46273.0</v>
      </c>
      <c r="B4457" s="60"/>
      <c r="C4457" s="61" t="s">
        <v>1854</v>
      </c>
      <c r="D4457" s="62" t="s">
        <v>15</v>
      </c>
      <c r="E4457" s="61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47"/>
      <c r="M4457" s="50"/>
    </row>
    <row r="4458" ht="15.75" customHeight="1">
      <c r="A4458" s="217">
        <v>46273.0</v>
      </c>
      <c r="B4458" s="60"/>
      <c r="C4458" s="61" t="s">
        <v>1854</v>
      </c>
      <c r="D4458" s="62" t="s">
        <v>15</v>
      </c>
      <c r="E4458" s="61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47"/>
      <c r="M4458" s="50"/>
    </row>
    <row r="4459" ht="15.75" customHeight="1">
      <c r="A4459" s="217">
        <v>46273.0</v>
      </c>
      <c r="B4459" s="60"/>
      <c r="C4459" s="61" t="s">
        <v>1854</v>
      </c>
      <c r="D4459" s="62" t="s">
        <v>15</v>
      </c>
      <c r="E4459" s="61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47"/>
      <c r="M4459" s="50"/>
    </row>
    <row r="4460" ht="15.75" customHeight="1">
      <c r="A4460" s="217">
        <v>46273.0</v>
      </c>
      <c r="B4460" s="60"/>
      <c r="C4460" s="61" t="s">
        <v>1854</v>
      </c>
      <c r="D4460" s="62" t="s">
        <v>15</v>
      </c>
      <c r="E4460" s="61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47"/>
      <c r="M4460" s="50"/>
    </row>
    <row r="4461" ht="15.75" customHeight="1">
      <c r="A4461" s="217">
        <v>46273.0</v>
      </c>
      <c r="B4461" s="60"/>
      <c r="C4461" s="61" t="s">
        <v>1854</v>
      </c>
      <c r="D4461" s="62" t="s">
        <v>15</v>
      </c>
      <c r="E4461" s="61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47"/>
      <c r="M4461" s="50"/>
    </row>
    <row r="4462" ht="15.75" customHeight="1">
      <c r="A4462" s="217">
        <v>46273.0</v>
      </c>
      <c r="B4462" s="60"/>
      <c r="C4462" s="61" t="s">
        <v>1854</v>
      </c>
      <c r="D4462" s="62" t="s">
        <v>15</v>
      </c>
      <c r="E4462" s="61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47"/>
      <c r="M4462" s="50"/>
    </row>
    <row r="4463" ht="15.75" customHeight="1">
      <c r="A4463" s="217">
        <v>46273.0</v>
      </c>
      <c r="B4463" s="60"/>
      <c r="C4463" s="61" t="s">
        <v>1854</v>
      </c>
      <c r="D4463" s="62" t="s">
        <v>15</v>
      </c>
      <c r="E4463" s="61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47"/>
      <c r="M4463" s="50"/>
    </row>
    <row r="4464" ht="15.75" customHeight="1">
      <c r="A4464" s="217">
        <v>46273.0</v>
      </c>
      <c r="B4464" s="60"/>
      <c r="C4464" s="61" t="s">
        <v>1854</v>
      </c>
      <c r="D4464" s="62" t="s">
        <v>15</v>
      </c>
      <c r="E4464" s="61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47"/>
      <c r="M4464" s="50"/>
    </row>
    <row r="4465" ht="15.75" customHeight="1">
      <c r="A4465" s="217">
        <v>46273.0</v>
      </c>
      <c r="B4465" s="60"/>
      <c r="C4465" s="61" t="s">
        <v>1854</v>
      </c>
      <c r="D4465" s="62" t="s">
        <v>15</v>
      </c>
      <c r="E4465" s="61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47"/>
      <c r="M4465" s="50"/>
    </row>
    <row r="4466" ht="15.75" customHeight="1">
      <c r="A4466" s="217">
        <v>46273.0</v>
      </c>
      <c r="B4466" s="60"/>
      <c r="C4466" s="61" t="s">
        <v>1854</v>
      </c>
      <c r="D4466" s="62" t="s">
        <v>15</v>
      </c>
      <c r="E4466" s="61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47"/>
      <c r="M4466" s="50"/>
    </row>
    <row r="4467" ht="15.75" customHeight="1">
      <c r="A4467" s="217">
        <v>46273.0</v>
      </c>
      <c r="B4467" s="60"/>
      <c r="C4467" s="61" t="s">
        <v>1854</v>
      </c>
      <c r="D4467" s="62" t="s">
        <v>15</v>
      </c>
      <c r="E4467" s="61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47"/>
      <c r="M4467" s="50"/>
    </row>
    <row r="4468" ht="15.75" customHeight="1">
      <c r="A4468" s="217">
        <v>46273.0</v>
      </c>
      <c r="B4468" s="60"/>
      <c r="C4468" s="61" t="s">
        <v>1858</v>
      </c>
      <c r="D4468" s="62" t="s">
        <v>15</v>
      </c>
      <c r="E4468" s="61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47"/>
      <c r="M4468" s="50"/>
    </row>
    <row r="4469" ht="15.75" customHeight="1">
      <c r="A4469" s="217">
        <v>46273.0</v>
      </c>
      <c r="B4469" s="60"/>
      <c r="C4469" s="61" t="s">
        <v>1858</v>
      </c>
      <c r="D4469" s="62" t="s">
        <v>15</v>
      </c>
      <c r="E4469" s="61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47"/>
      <c r="M4469" s="50"/>
    </row>
    <row r="4470" ht="15.75" customHeight="1">
      <c r="A4470" s="217">
        <v>46273.0</v>
      </c>
      <c r="B4470" s="60"/>
      <c r="C4470" s="61" t="s">
        <v>1858</v>
      </c>
      <c r="D4470" s="62" t="s">
        <v>15</v>
      </c>
      <c r="E4470" s="61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47"/>
      <c r="M4470" s="50"/>
    </row>
    <row r="4471" ht="15.75" customHeight="1">
      <c r="A4471" s="217">
        <v>46273.0</v>
      </c>
      <c r="B4471" s="60"/>
      <c r="C4471" s="61" t="s">
        <v>1858</v>
      </c>
      <c r="D4471" s="62" t="s">
        <v>15</v>
      </c>
      <c r="E4471" s="61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47"/>
      <c r="M4471" s="50"/>
    </row>
    <row r="4472" ht="15.75" customHeight="1">
      <c r="A4472" s="217">
        <v>46273.0</v>
      </c>
      <c r="B4472" s="60"/>
      <c r="C4472" s="61" t="s">
        <v>1861</v>
      </c>
      <c r="D4472" s="62" t="s">
        <v>15</v>
      </c>
      <c r="E4472" s="61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47"/>
      <c r="M4472" s="50"/>
    </row>
    <row r="4473" ht="15.75" customHeight="1">
      <c r="A4473" s="217">
        <v>46273.0</v>
      </c>
      <c r="B4473" s="60"/>
      <c r="C4473" s="61" t="s">
        <v>1861</v>
      </c>
      <c r="D4473" s="62" t="s">
        <v>15</v>
      </c>
      <c r="E4473" s="61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47"/>
      <c r="M4473" s="50"/>
    </row>
    <row r="4474" ht="15.75" customHeight="1">
      <c r="A4474" s="217">
        <v>46273.0</v>
      </c>
      <c r="B4474" s="60"/>
      <c r="C4474" s="61" t="s">
        <v>1861</v>
      </c>
      <c r="D4474" s="62" t="s">
        <v>99</v>
      </c>
      <c r="E4474" s="61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47"/>
      <c r="M4474" s="50"/>
    </row>
    <row r="4475" ht="15.75" customHeight="1">
      <c r="A4475" s="217">
        <v>46273.0</v>
      </c>
      <c r="B4475" s="60"/>
      <c r="C4475" s="61" t="s">
        <v>1861</v>
      </c>
      <c r="D4475" s="62" t="s">
        <v>99</v>
      </c>
      <c r="E4475" s="61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47"/>
      <c r="M4475" s="50"/>
    </row>
    <row r="4476" ht="15.75" customHeight="1">
      <c r="A4476" s="217">
        <v>46273.0</v>
      </c>
      <c r="B4476" s="60"/>
      <c r="C4476" s="61" t="s">
        <v>1861</v>
      </c>
      <c r="D4476" s="238" t="s">
        <v>99</v>
      </c>
      <c r="E4476" s="61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47"/>
      <c r="M4476" s="50"/>
    </row>
    <row r="4477" ht="15.75" customHeight="1">
      <c r="A4477" s="217">
        <v>46273.0</v>
      </c>
      <c r="B4477" s="60"/>
      <c r="C4477" s="62" t="s">
        <v>53</v>
      </c>
      <c r="D4477" s="62" t="s">
        <v>15</v>
      </c>
      <c r="E4477" s="61" t="s">
        <v>4802</v>
      </c>
      <c r="F4477" s="212">
        <v>46291.0</v>
      </c>
      <c r="G4477" s="155">
        <v>4182917.36</v>
      </c>
      <c r="H4477" s="9">
        <f t="shared" si="11"/>
        <v>878412.6456</v>
      </c>
      <c r="I4477" s="44"/>
      <c r="J4477" s="44"/>
      <c r="K4477" s="10">
        <f t="shared" si="12"/>
        <v>5061330.006</v>
      </c>
      <c r="L4477" s="47"/>
      <c r="M4477" s="50"/>
    </row>
    <row r="4478" ht="15.75" customHeight="1">
      <c r="A4478" s="217">
        <v>46273.0</v>
      </c>
      <c r="B4478" s="60"/>
      <c r="C4478" s="62" t="s">
        <v>53</v>
      </c>
      <c r="D4478" s="62" t="s">
        <v>15</v>
      </c>
      <c r="E4478" s="61" t="s">
        <v>4803</v>
      </c>
      <c r="F4478" s="212">
        <v>46291.0</v>
      </c>
      <c r="G4478" s="155">
        <v>1.243757025E7</v>
      </c>
      <c r="H4478" s="9">
        <f t="shared" si="11"/>
        <v>2611889.753</v>
      </c>
      <c r="I4478" s="44"/>
      <c r="J4478" s="44"/>
      <c r="K4478" s="10">
        <f t="shared" si="12"/>
        <v>15049460</v>
      </c>
      <c r="L4478" s="47"/>
      <c r="M4478" s="50"/>
    </row>
    <row r="4479" ht="15.75" customHeight="1">
      <c r="A4479" s="64"/>
      <c r="B4479" s="60"/>
      <c r="C4479" s="239"/>
      <c r="D4479" s="156"/>
      <c r="E4479" s="240"/>
      <c r="F4479" s="60"/>
      <c r="G4479" s="241"/>
      <c r="H4479" s="9">
        <f t="shared" si="11"/>
        <v>0</v>
      </c>
      <c r="I4479" s="44"/>
      <c r="J4479" s="44"/>
      <c r="K4479" s="10">
        <f t="shared" si="12"/>
        <v>0</v>
      </c>
      <c r="L4479" s="47"/>
      <c r="M4479" s="50"/>
    </row>
    <row r="4480" ht="15.75" customHeight="1">
      <c r="A4480" s="64"/>
      <c r="B4480" s="60"/>
      <c r="C4480" s="239"/>
      <c r="D4480" s="156"/>
      <c r="E4480" s="240"/>
      <c r="F4480" s="60"/>
      <c r="G4480" s="241"/>
      <c r="H4480" s="9">
        <f t="shared" si="11"/>
        <v>0</v>
      </c>
      <c r="I4480" s="44"/>
      <c r="J4480" s="44"/>
      <c r="K4480" s="10">
        <f t="shared" si="12"/>
        <v>0</v>
      </c>
      <c r="L4480" s="47"/>
      <c r="M4480" s="50"/>
    </row>
    <row r="4481" ht="15.75" customHeight="1">
      <c r="A4481" s="64"/>
      <c r="B4481" s="60"/>
      <c r="C4481" s="239"/>
      <c r="D4481" s="156"/>
      <c r="E4481" s="240"/>
      <c r="F4481" s="60"/>
      <c r="G4481" s="241"/>
      <c r="H4481" s="9">
        <f t="shared" si="11"/>
        <v>0</v>
      </c>
      <c r="I4481" s="44"/>
      <c r="J4481" s="44"/>
      <c r="K4481" s="10">
        <f t="shared" si="12"/>
        <v>0</v>
      </c>
      <c r="L4481" s="47"/>
      <c r="M4481" s="50"/>
    </row>
    <row r="4482" ht="15.75" customHeight="1">
      <c r="A4482" s="64"/>
      <c r="B4482" s="60"/>
      <c r="C4482" s="239"/>
      <c r="D4482" s="156"/>
      <c r="E4482" s="242"/>
      <c r="F4482" s="60"/>
      <c r="G4482" s="241"/>
      <c r="H4482" s="9">
        <f t="shared" si="11"/>
        <v>0</v>
      </c>
      <c r="I4482" s="44"/>
      <c r="J4482" s="44"/>
      <c r="K4482" s="10">
        <f t="shared" si="12"/>
        <v>0</v>
      </c>
      <c r="L4482" s="47"/>
      <c r="M4482" s="50"/>
    </row>
    <row r="4483" ht="15.75" customHeight="1">
      <c r="A4483" s="64"/>
      <c r="B4483" s="60"/>
      <c r="C4483" s="239"/>
      <c r="D4483" s="156"/>
      <c r="E4483" s="242"/>
      <c r="F4483" s="60"/>
      <c r="G4483" s="241"/>
      <c r="H4483" s="9">
        <f t="shared" si="11"/>
        <v>0</v>
      </c>
      <c r="I4483" s="44"/>
      <c r="J4483" s="44"/>
      <c r="K4483" s="10">
        <f t="shared" si="12"/>
        <v>0</v>
      </c>
      <c r="L4483" s="47"/>
      <c r="M4483" s="50"/>
    </row>
    <row r="4484" ht="15.75" customHeight="1">
      <c r="A4484" s="64"/>
      <c r="B4484" s="60"/>
      <c r="C4484" s="239"/>
      <c r="D4484" s="156"/>
      <c r="E4484" s="242"/>
      <c r="F4484" s="60"/>
      <c r="G4484" s="241"/>
      <c r="H4484" s="9">
        <f t="shared" si="11"/>
        <v>0</v>
      </c>
      <c r="I4484" s="44"/>
      <c r="J4484" s="44"/>
      <c r="K4484" s="10">
        <f t="shared" si="12"/>
        <v>0</v>
      </c>
      <c r="L4484" s="47"/>
      <c r="M4484" s="50"/>
    </row>
    <row r="4485" ht="15.75" customHeight="1">
      <c r="A4485" s="64"/>
      <c r="B4485" s="60"/>
      <c r="C4485" s="64"/>
      <c r="D4485" s="156"/>
      <c r="E4485" s="242"/>
      <c r="F4485" s="60"/>
      <c r="G4485" s="241"/>
      <c r="H4485" s="9">
        <f t="shared" si="11"/>
        <v>0</v>
      </c>
      <c r="I4485" s="44"/>
      <c r="J4485" s="44"/>
      <c r="K4485" s="10">
        <f t="shared" si="12"/>
        <v>0</v>
      </c>
      <c r="L4485" s="47"/>
      <c r="M4485" s="50"/>
    </row>
    <row r="4486" ht="15.75" customHeight="1">
      <c r="A4486" s="64"/>
      <c r="B4486" s="60"/>
      <c r="C4486" s="64"/>
      <c r="D4486" s="156"/>
      <c r="E4486" s="242"/>
      <c r="F4486" s="60"/>
      <c r="G4486" s="241"/>
      <c r="H4486" s="9">
        <f t="shared" si="11"/>
        <v>0</v>
      </c>
      <c r="I4486" s="44"/>
      <c r="J4486" s="44"/>
      <c r="K4486" s="10">
        <f t="shared" si="12"/>
        <v>0</v>
      </c>
      <c r="L4486" s="47"/>
      <c r="M4486" s="50"/>
    </row>
    <row r="4487" ht="15.75" customHeight="1">
      <c r="A4487" s="64"/>
      <c r="B4487" s="60"/>
      <c r="C4487" s="64"/>
      <c r="D4487" s="156"/>
      <c r="E4487" s="242"/>
      <c r="F4487" s="60"/>
      <c r="G4487" s="241"/>
      <c r="H4487" s="9">
        <f t="shared" si="11"/>
        <v>0</v>
      </c>
      <c r="I4487" s="44"/>
      <c r="J4487" s="44"/>
      <c r="K4487" s="10">
        <f t="shared" si="12"/>
        <v>0</v>
      </c>
      <c r="L4487" s="47"/>
      <c r="M4487" s="50"/>
    </row>
    <row r="4488" ht="15.75" customHeight="1">
      <c r="A4488" s="64"/>
      <c r="B4488" s="60"/>
      <c r="C4488" s="64"/>
      <c r="D4488" s="156"/>
      <c r="E4488" s="242"/>
      <c r="F4488" s="60"/>
      <c r="G4488" s="241"/>
      <c r="H4488" s="9">
        <f t="shared" si="11"/>
        <v>0</v>
      </c>
      <c r="I4488" s="44"/>
      <c r="J4488" s="44"/>
      <c r="K4488" s="10">
        <f t="shared" si="12"/>
        <v>0</v>
      </c>
      <c r="L4488" s="47"/>
      <c r="M4488" s="50"/>
    </row>
    <row r="4489" ht="15.75" customHeight="1">
      <c r="A4489" s="64"/>
      <c r="B4489" s="60"/>
      <c r="C4489" s="64"/>
      <c r="D4489" s="156"/>
      <c r="E4489" s="242"/>
      <c r="F4489" s="60"/>
      <c r="G4489" s="241"/>
      <c r="H4489" s="9">
        <f t="shared" si="11"/>
        <v>0</v>
      </c>
      <c r="I4489" s="44"/>
      <c r="J4489" s="44"/>
      <c r="K4489" s="10">
        <f t="shared" si="12"/>
        <v>0</v>
      </c>
      <c r="L4489" s="47"/>
      <c r="M4489" s="50"/>
    </row>
    <row r="4490" ht="15.75" customHeight="1">
      <c r="A4490" s="64"/>
      <c r="B4490" s="60"/>
      <c r="C4490" s="64"/>
      <c r="D4490" s="60"/>
      <c r="E4490" s="242"/>
      <c r="F4490" s="60"/>
      <c r="G4490" s="241"/>
      <c r="H4490" s="9">
        <f t="shared" si="11"/>
        <v>0</v>
      </c>
      <c r="I4490" s="44"/>
      <c r="J4490" s="44"/>
      <c r="K4490" s="10">
        <f t="shared" si="12"/>
        <v>0</v>
      </c>
      <c r="L4490" s="47"/>
      <c r="M4490" s="50"/>
    </row>
    <row r="4491" ht="15.75" customHeight="1">
      <c r="A4491" s="64"/>
      <c r="B4491" s="60"/>
      <c r="C4491" s="64"/>
      <c r="D4491" s="60"/>
      <c r="E4491" s="242"/>
      <c r="F4491" s="60"/>
      <c r="G4491" s="241"/>
      <c r="H4491" s="9">
        <f t="shared" si="11"/>
        <v>0</v>
      </c>
      <c r="I4491" s="44"/>
      <c r="J4491" s="44"/>
      <c r="K4491" s="10">
        <f t="shared" si="12"/>
        <v>0</v>
      </c>
      <c r="L4491" s="47"/>
      <c r="M4491" s="50"/>
    </row>
    <row r="4492" ht="15.75" customHeight="1">
      <c r="A4492" s="64"/>
      <c r="B4492" s="60"/>
      <c r="C4492" s="64"/>
      <c r="D4492" s="60"/>
      <c r="E4492" s="242"/>
      <c r="F4492" s="60"/>
      <c r="G4492" s="241"/>
      <c r="H4492" s="9">
        <f t="shared" si="11"/>
        <v>0</v>
      </c>
      <c r="I4492" s="44"/>
      <c r="J4492" s="44"/>
      <c r="K4492" s="10">
        <f t="shared" si="12"/>
        <v>0</v>
      </c>
      <c r="L4492" s="47"/>
      <c r="M4492" s="50"/>
    </row>
    <row r="4493" ht="15.75" customHeight="1">
      <c r="A4493" s="64"/>
      <c r="B4493" s="60"/>
      <c r="C4493" s="64"/>
      <c r="D4493" s="60"/>
      <c r="E4493" s="242"/>
      <c r="F4493" s="60"/>
      <c r="G4493" s="241"/>
      <c r="H4493" s="9">
        <f t="shared" si="11"/>
        <v>0</v>
      </c>
      <c r="I4493" s="44"/>
      <c r="J4493" s="44"/>
      <c r="K4493" s="10">
        <f t="shared" si="12"/>
        <v>0</v>
      </c>
      <c r="L4493" s="47"/>
      <c r="M4493" s="50"/>
    </row>
    <row r="4494" ht="15.75" customHeight="1">
      <c r="A4494" s="64"/>
      <c r="B4494" s="60"/>
      <c r="C4494" s="64"/>
      <c r="D4494" s="60"/>
      <c r="E4494" s="242"/>
      <c r="F4494" s="60"/>
      <c r="G4494" s="241"/>
      <c r="H4494" s="9">
        <f t="shared" si="11"/>
        <v>0</v>
      </c>
      <c r="I4494" s="44"/>
      <c r="J4494" s="44"/>
      <c r="K4494" s="10">
        <f t="shared" si="12"/>
        <v>0</v>
      </c>
      <c r="L4494" s="47"/>
      <c r="M4494" s="50"/>
    </row>
    <row r="4495" ht="15.75" customHeight="1">
      <c r="A4495" s="64"/>
      <c r="B4495" s="60"/>
      <c r="C4495" s="64"/>
      <c r="D4495" s="60"/>
      <c r="E4495" s="242"/>
      <c r="F4495" s="60"/>
      <c r="G4495" s="241"/>
      <c r="H4495" s="9">
        <f t="shared" si="11"/>
        <v>0</v>
      </c>
      <c r="I4495" s="44"/>
      <c r="J4495" s="44"/>
      <c r="K4495" s="10">
        <f t="shared" si="12"/>
        <v>0</v>
      </c>
      <c r="L4495" s="47"/>
      <c r="M4495" s="50"/>
    </row>
    <row r="4496" ht="15.75" customHeight="1">
      <c r="A4496" s="64"/>
      <c r="B4496" s="60"/>
      <c r="C4496" s="64"/>
      <c r="D4496" s="60"/>
      <c r="E4496" s="242"/>
      <c r="F4496" s="60"/>
      <c r="G4496" s="241"/>
      <c r="H4496" s="9">
        <f t="shared" si="11"/>
        <v>0</v>
      </c>
      <c r="I4496" s="44"/>
      <c r="J4496" s="44"/>
      <c r="K4496" s="10">
        <f t="shared" si="12"/>
        <v>0</v>
      </c>
      <c r="L4496" s="47"/>
      <c r="M4496" s="50"/>
    </row>
    <row r="4497" ht="15.75" customHeight="1">
      <c r="A4497" s="64"/>
      <c r="B4497" s="60"/>
      <c r="C4497" s="64"/>
      <c r="D4497" s="60"/>
      <c r="E4497" s="242"/>
      <c r="F4497" s="60"/>
      <c r="G4497" s="241"/>
      <c r="H4497" s="9">
        <f t="shared" si="11"/>
        <v>0</v>
      </c>
      <c r="I4497" s="44"/>
      <c r="J4497" s="44"/>
      <c r="K4497" s="10">
        <f t="shared" si="12"/>
        <v>0</v>
      </c>
      <c r="L4497" s="47"/>
      <c r="M4497" s="50"/>
    </row>
    <row r="4498" ht="15.75" customHeight="1">
      <c r="A4498" s="64"/>
      <c r="B4498" s="60"/>
      <c r="C4498" s="64"/>
      <c r="D4498" s="60"/>
      <c r="E4498" s="242"/>
      <c r="F4498" s="60"/>
      <c r="G4498" s="241"/>
      <c r="H4498" s="9">
        <f t="shared" si="11"/>
        <v>0</v>
      </c>
      <c r="I4498" s="44"/>
      <c r="J4498" s="44"/>
      <c r="K4498" s="10">
        <f t="shared" si="12"/>
        <v>0</v>
      </c>
      <c r="L4498" s="47"/>
      <c r="M4498" s="50"/>
    </row>
    <row r="4499" ht="15.75" customHeight="1">
      <c r="A4499" s="64"/>
      <c r="B4499" s="60"/>
      <c r="C4499" s="64"/>
      <c r="D4499" s="60"/>
      <c r="E4499" s="242"/>
      <c r="F4499" s="60"/>
      <c r="G4499" s="241"/>
      <c r="H4499" s="9">
        <f t="shared" si="11"/>
        <v>0</v>
      </c>
      <c r="I4499" s="44"/>
      <c r="J4499" s="44"/>
      <c r="K4499" s="10">
        <f t="shared" si="12"/>
        <v>0</v>
      </c>
      <c r="L4499" s="47"/>
      <c r="M4499" s="50"/>
    </row>
    <row r="4500" ht="15.75" customHeight="1">
      <c r="A4500" s="64"/>
      <c r="B4500" s="60"/>
      <c r="C4500" s="64"/>
      <c r="D4500" s="60"/>
      <c r="E4500" s="242"/>
      <c r="F4500" s="60"/>
      <c r="G4500" s="241"/>
      <c r="H4500" s="9">
        <f t="shared" si="11"/>
        <v>0</v>
      </c>
      <c r="I4500" s="44"/>
      <c r="J4500" s="44"/>
      <c r="K4500" s="10">
        <f t="shared" si="12"/>
        <v>0</v>
      </c>
      <c r="L4500" s="47"/>
      <c r="M4500" s="50"/>
    </row>
    <row r="4501" ht="15.75" customHeight="1">
      <c r="A4501" s="64"/>
      <c r="B4501" s="60"/>
      <c r="C4501" s="64"/>
      <c r="D4501" s="60"/>
      <c r="E4501" s="242"/>
      <c r="F4501" s="60"/>
      <c r="G4501" s="241"/>
      <c r="H4501" s="9">
        <f t="shared" si="11"/>
        <v>0</v>
      </c>
      <c r="I4501" s="44"/>
      <c r="J4501" s="44"/>
      <c r="K4501" s="10">
        <f t="shared" si="12"/>
        <v>0</v>
      </c>
      <c r="L4501" s="47"/>
      <c r="M4501" s="50"/>
    </row>
    <row r="4502" ht="15.75" customHeight="1">
      <c r="A4502" s="64"/>
      <c r="B4502" s="60"/>
      <c r="C4502" s="64"/>
      <c r="D4502" s="60"/>
      <c r="E4502" s="242"/>
      <c r="F4502" s="60"/>
      <c r="G4502" s="241"/>
      <c r="H4502" s="9">
        <f t="shared" si="11"/>
        <v>0</v>
      </c>
      <c r="I4502" s="44"/>
      <c r="J4502" s="44"/>
      <c r="K4502" s="10">
        <f t="shared" si="12"/>
        <v>0</v>
      </c>
      <c r="L4502" s="47"/>
      <c r="M4502" s="50"/>
    </row>
    <row r="4503" ht="15.75" customHeight="1">
      <c r="A4503" s="64"/>
      <c r="B4503" s="60"/>
      <c r="C4503" s="64"/>
      <c r="D4503" s="60"/>
      <c r="E4503" s="242"/>
      <c r="F4503" s="60"/>
      <c r="G4503" s="241"/>
      <c r="H4503" s="9">
        <f t="shared" si="11"/>
        <v>0</v>
      </c>
      <c r="I4503" s="44"/>
      <c r="J4503" s="44"/>
      <c r="K4503" s="10">
        <f t="shared" si="12"/>
        <v>0</v>
      </c>
      <c r="L4503" s="47"/>
      <c r="M4503" s="50"/>
    </row>
    <row r="4504" ht="15.75" customHeight="1">
      <c r="A4504" s="64"/>
      <c r="B4504" s="60"/>
      <c r="C4504" s="64"/>
      <c r="D4504" s="60"/>
      <c r="E4504" s="242"/>
      <c r="F4504" s="60"/>
      <c r="G4504" s="241"/>
      <c r="H4504" s="9">
        <f t="shared" si="11"/>
        <v>0</v>
      </c>
      <c r="I4504" s="44"/>
      <c r="J4504" s="44"/>
      <c r="K4504" s="10">
        <f t="shared" si="12"/>
        <v>0</v>
      </c>
      <c r="L4504" s="47"/>
      <c r="M4504" s="50"/>
    </row>
    <row r="4505" ht="15.75" customHeight="1">
      <c r="A4505" s="64"/>
      <c r="B4505" s="60"/>
      <c r="C4505" s="64"/>
      <c r="D4505" s="60"/>
      <c r="E4505" s="242"/>
      <c r="F4505" s="60"/>
      <c r="G4505" s="241"/>
      <c r="H4505" s="9">
        <f t="shared" si="11"/>
        <v>0</v>
      </c>
      <c r="I4505" s="44"/>
      <c r="J4505" s="44"/>
      <c r="K4505" s="10">
        <f t="shared" si="12"/>
        <v>0</v>
      </c>
      <c r="L4505" s="47"/>
      <c r="M4505" s="50"/>
    </row>
    <row r="4506" ht="15.75" customHeight="1">
      <c r="A4506" s="64"/>
      <c r="B4506" s="60"/>
      <c r="C4506" s="64"/>
      <c r="D4506" s="60"/>
      <c r="E4506" s="242"/>
      <c r="F4506" s="60"/>
      <c r="G4506" s="241"/>
      <c r="H4506" s="9">
        <f t="shared" si="11"/>
        <v>0</v>
      </c>
      <c r="I4506" s="44"/>
      <c r="J4506" s="44"/>
      <c r="K4506" s="10">
        <f t="shared" si="12"/>
        <v>0</v>
      </c>
      <c r="L4506" s="47"/>
      <c r="M4506" s="50"/>
    </row>
    <row r="4507" ht="15.75" customHeight="1">
      <c r="A4507" s="64"/>
      <c r="B4507" s="60"/>
      <c r="C4507" s="64"/>
      <c r="D4507" s="60"/>
      <c r="E4507" s="242"/>
      <c r="F4507" s="60"/>
      <c r="G4507" s="241"/>
      <c r="H4507" s="9">
        <f t="shared" si="11"/>
        <v>0</v>
      </c>
      <c r="I4507" s="44"/>
      <c r="J4507" s="44"/>
      <c r="K4507" s="10">
        <f t="shared" si="12"/>
        <v>0</v>
      </c>
      <c r="L4507" s="47"/>
      <c r="M4507" s="50"/>
    </row>
    <row r="4508" ht="15.75" customHeight="1">
      <c r="A4508" s="64"/>
      <c r="B4508" s="60"/>
      <c r="C4508" s="64"/>
      <c r="D4508" s="60"/>
      <c r="E4508" s="242"/>
      <c r="F4508" s="60"/>
      <c r="G4508" s="241"/>
      <c r="H4508" s="9">
        <f t="shared" si="11"/>
        <v>0</v>
      </c>
      <c r="I4508" s="44"/>
      <c r="J4508" s="44"/>
      <c r="K4508" s="10">
        <f t="shared" si="12"/>
        <v>0</v>
      </c>
      <c r="L4508" s="47"/>
      <c r="M4508" s="50"/>
    </row>
    <row r="4509" ht="15.75" customHeight="1">
      <c r="A4509" s="64"/>
      <c r="B4509" s="60"/>
      <c r="C4509" s="64"/>
      <c r="D4509" s="60"/>
      <c r="E4509" s="242"/>
      <c r="F4509" s="60"/>
      <c r="G4509" s="241"/>
      <c r="H4509" s="9">
        <f t="shared" si="11"/>
        <v>0</v>
      </c>
      <c r="I4509" s="44"/>
      <c r="J4509" s="44"/>
      <c r="K4509" s="10">
        <f t="shared" si="12"/>
        <v>0</v>
      </c>
      <c r="L4509" s="47"/>
      <c r="M4509" s="50"/>
    </row>
    <row r="4510" ht="15.75" customHeight="1">
      <c r="A4510" s="64"/>
      <c r="B4510" s="60"/>
      <c r="C4510" s="64"/>
      <c r="D4510" s="60"/>
      <c r="E4510" s="242"/>
      <c r="F4510" s="60"/>
      <c r="G4510" s="241"/>
      <c r="H4510" s="9">
        <f t="shared" si="11"/>
        <v>0</v>
      </c>
      <c r="I4510" s="44"/>
      <c r="J4510" s="44"/>
      <c r="K4510" s="10">
        <f t="shared" si="12"/>
        <v>0</v>
      </c>
      <c r="L4510" s="47"/>
      <c r="M4510" s="50"/>
    </row>
    <row r="4511" ht="15.75" customHeight="1">
      <c r="A4511" s="64"/>
      <c r="B4511" s="60"/>
      <c r="C4511" s="64"/>
      <c r="D4511" s="60"/>
      <c r="E4511" s="242"/>
      <c r="F4511" s="60"/>
      <c r="G4511" s="241"/>
      <c r="H4511" s="9">
        <f t="shared" si="11"/>
        <v>0</v>
      </c>
      <c r="I4511" s="44"/>
      <c r="J4511" s="44"/>
      <c r="K4511" s="10">
        <f t="shared" si="12"/>
        <v>0</v>
      </c>
      <c r="L4511" s="47"/>
      <c r="M4511" s="50"/>
    </row>
    <row r="4512" ht="15.75" customHeight="1">
      <c r="A4512" s="64"/>
      <c r="B4512" s="60"/>
      <c r="C4512" s="64"/>
      <c r="D4512" s="60"/>
      <c r="E4512" s="242"/>
      <c r="F4512" s="60"/>
      <c r="G4512" s="241"/>
      <c r="H4512" s="9">
        <f t="shared" si="11"/>
        <v>0</v>
      </c>
      <c r="I4512" s="44"/>
      <c r="J4512" s="44"/>
      <c r="K4512" s="10">
        <f t="shared" si="12"/>
        <v>0</v>
      </c>
      <c r="L4512" s="47"/>
      <c r="M4512" s="50"/>
    </row>
    <row r="4513" ht="15.75" customHeight="1">
      <c r="A4513" s="64"/>
      <c r="B4513" s="60"/>
      <c r="C4513" s="64"/>
      <c r="D4513" s="60"/>
      <c r="E4513" s="242"/>
      <c r="F4513" s="60"/>
      <c r="G4513" s="241"/>
      <c r="H4513" s="9">
        <f t="shared" si="11"/>
        <v>0</v>
      </c>
      <c r="I4513" s="44"/>
      <c r="J4513" s="44"/>
      <c r="K4513" s="10">
        <f t="shared" si="12"/>
        <v>0</v>
      </c>
      <c r="L4513" s="47"/>
      <c r="M4513" s="50"/>
    </row>
    <row r="4514" ht="15.75" customHeight="1">
      <c r="A4514" s="64"/>
      <c r="B4514" s="60"/>
      <c r="C4514" s="64"/>
      <c r="D4514" s="60"/>
      <c r="E4514" s="242"/>
      <c r="F4514" s="60"/>
      <c r="G4514" s="241"/>
      <c r="H4514" s="9">
        <f t="shared" si="11"/>
        <v>0</v>
      </c>
      <c r="I4514" s="44"/>
      <c r="J4514" s="44"/>
      <c r="K4514" s="10">
        <f t="shared" si="12"/>
        <v>0</v>
      </c>
      <c r="L4514" s="47"/>
      <c r="M4514" s="50"/>
    </row>
    <row r="4515" ht="15.75" customHeight="1">
      <c r="A4515" s="243"/>
      <c r="B4515" s="244"/>
      <c r="C4515" s="243"/>
      <c r="D4515" s="244"/>
      <c r="E4515" s="245"/>
      <c r="F4515" s="244"/>
      <c r="G4515" s="246"/>
      <c r="H4515" s="9">
        <f t="shared" si="11"/>
        <v>0</v>
      </c>
      <c r="I4515" s="44"/>
      <c r="J4515" s="44"/>
      <c r="K4515" s="10">
        <f t="shared" si="12"/>
        <v>0</v>
      </c>
      <c r="L4515" s="47"/>
      <c r="M4515" s="50"/>
    </row>
    <row r="4516" ht="15.75" customHeight="1">
      <c r="A4516" s="243"/>
      <c r="B4516" s="244"/>
      <c r="C4516" s="243"/>
      <c r="D4516" s="244"/>
      <c r="E4516" s="245"/>
      <c r="F4516" s="244"/>
      <c r="G4516" s="246"/>
      <c r="H4516" s="9">
        <f t="shared" si="11"/>
        <v>0</v>
      </c>
      <c r="I4516" s="44"/>
      <c r="J4516" s="44"/>
      <c r="K4516" s="10">
        <f t="shared" si="12"/>
        <v>0</v>
      </c>
      <c r="L4516" s="47"/>
      <c r="M4516" s="50"/>
    </row>
    <row r="4517" ht="15.75" customHeight="1">
      <c r="A4517" s="243"/>
      <c r="B4517" s="244"/>
      <c r="C4517" s="243"/>
      <c r="D4517" s="244"/>
      <c r="E4517" s="245"/>
      <c r="F4517" s="244"/>
      <c r="G4517" s="246"/>
      <c r="H4517" s="9">
        <f t="shared" si="11"/>
        <v>0</v>
      </c>
      <c r="I4517" s="44"/>
      <c r="J4517" s="44"/>
      <c r="K4517" s="10">
        <f t="shared" si="12"/>
        <v>0</v>
      </c>
      <c r="L4517" s="47"/>
      <c r="M4517" s="50"/>
    </row>
    <row r="4518" ht="15.75" customHeight="1">
      <c r="A4518" s="243"/>
      <c r="B4518" s="244"/>
      <c r="C4518" s="243"/>
      <c r="D4518" s="244"/>
      <c r="E4518" s="245"/>
      <c r="F4518" s="244"/>
      <c r="G4518" s="246"/>
      <c r="H4518" s="9">
        <f t="shared" si="11"/>
        <v>0</v>
      </c>
      <c r="I4518" s="44"/>
      <c r="J4518" s="44"/>
      <c r="K4518" s="10">
        <f t="shared" si="12"/>
        <v>0</v>
      </c>
      <c r="L4518" s="47"/>
      <c r="M4518" s="50"/>
    </row>
    <row r="4519" ht="15.75" customHeight="1">
      <c r="A4519" s="243"/>
      <c r="B4519" s="244"/>
      <c r="C4519" s="243"/>
      <c r="D4519" s="244"/>
      <c r="E4519" s="245"/>
      <c r="F4519" s="244"/>
      <c r="G4519" s="246"/>
      <c r="H4519" s="9">
        <f t="shared" si="11"/>
        <v>0</v>
      </c>
      <c r="I4519" s="44"/>
      <c r="J4519" s="44"/>
      <c r="K4519" s="10">
        <f t="shared" si="12"/>
        <v>0</v>
      </c>
      <c r="L4519" s="47"/>
      <c r="M4519" s="50"/>
    </row>
    <row r="4520" ht="15.75" customHeight="1">
      <c r="A4520" s="243"/>
      <c r="B4520" s="244"/>
      <c r="C4520" s="243"/>
      <c r="D4520" s="244"/>
      <c r="E4520" s="245"/>
      <c r="F4520" s="244"/>
      <c r="G4520" s="246"/>
      <c r="H4520" s="247"/>
      <c r="I4520" s="86"/>
      <c r="J4520" s="86"/>
      <c r="K4520" s="248"/>
      <c r="M4520" s="249"/>
    </row>
    <row r="4521" ht="15.75" customHeight="1">
      <c r="A4521" s="243"/>
      <c r="B4521" s="244"/>
      <c r="C4521" s="243"/>
      <c r="D4521" s="244"/>
      <c r="E4521" s="245"/>
      <c r="F4521" s="244"/>
      <c r="G4521" s="246"/>
      <c r="H4521" s="247"/>
      <c r="I4521" s="86"/>
      <c r="J4521" s="86"/>
      <c r="K4521" s="248"/>
      <c r="M4521" s="249"/>
    </row>
    <row r="4522" ht="15.75" customHeight="1">
      <c r="A4522" s="243"/>
      <c r="B4522" s="244"/>
      <c r="C4522" s="243"/>
      <c r="D4522" s="244"/>
      <c r="E4522" s="245"/>
      <c r="F4522" s="244"/>
      <c r="G4522" s="246"/>
      <c r="H4522" s="247"/>
      <c r="I4522" s="86"/>
      <c r="J4522" s="86"/>
      <c r="K4522" s="248"/>
      <c r="M4522" s="249"/>
    </row>
    <row r="4523" ht="15.75" customHeight="1">
      <c r="A4523" s="243"/>
      <c r="B4523" s="244"/>
      <c r="C4523" s="243"/>
      <c r="D4523" s="244"/>
      <c r="E4523" s="245"/>
      <c r="F4523" s="244"/>
      <c r="G4523" s="246"/>
      <c r="H4523" s="247"/>
      <c r="I4523" s="86"/>
      <c r="J4523" s="86"/>
      <c r="K4523" s="248"/>
      <c r="M4523" s="249"/>
    </row>
    <row r="4524" ht="15.75" customHeight="1">
      <c r="A4524" s="243"/>
      <c r="B4524" s="244"/>
      <c r="C4524" s="243"/>
      <c r="D4524" s="244"/>
      <c r="E4524" s="245"/>
      <c r="F4524" s="244"/>
      <c r="G4524" s="246"/>
      <c r="H4524" s="247"/>
      <c r="I4524" s="86"/>
      <c r="J4524" s="86"/>
      <c r="K4524" s="248"/>
      <c r="M4524" s="249"/>
    </row>
    <row r="4525" ht="15.75" customHeight="1">
      <c r="A4525" s="243"/>
      <c r="B4525" s="244"/>
      <c r="C4525" s="243"/>
      <c r="D4525" s="244"/>
      <c r="E4525" s="245"/>
      <c r="F4525" s="244"/>
      <c r="G4525" s="246"/>
      <c r="H4525" s="247"/>
      <c r="I4525" s="86"/>
      <c r="J4525" s="86"/>
      <c r="K4525" s="248"/>
      <c r="M4525" s="249"/>
    </row>
    <row r="4526" ht="15.75" customHeight="1">
      <c r="A4526" s="243"/>
      <c r="B4526" s="244"/>
      <c r="C4526" s="243"/>
      <c r="D4526" s="244"/>
      <c r="E4526" s="245"/>
      <c r="F4526" s="244"/>
      <c r="G4526" s="246"/>
      <c r="H4526" s="247"/>
      <c r="I4526" s="86"/>
      <c r="J4526" s="86"/>
      <c r="K4526" s="248"/>
      <c r="M4526" s="249"/>
    </row>
    <row r="4527" ht="15.75" customHeight="1">
      <c r="A4527" s="243"/>
      <c r="B4527" s="244"/>
      <c r="C4527" s="243"/>
      <c r="D4527" s="244"/>
      <c r="E4527" s="245"/>
      <c r="F4527" s="244"/>
      <c r="G4527" s="246"/>
      <c r="H4527" s="247"/>
      <c r="I4527" s="86"/>
      <c r="J4527" s="86"/>
      <c r="K4527" s="248"/>
      <c r="M4527" s="249"/>
    </row>
    <row r="4528" ht="15.75" customHeight="1">
      <c r="A4528" s="243"/>
      <c r="B4528" s="244"/>
      <c r="C4528" s="243"/>
      <c r="D4528" s="244"/>
      <c r="E4528" s="245"/>
      <c r="F4528" s="244"/>
      <c r="G4528" s="246"/>
      <c r="H4528" s="247"/>
      <c r="I4528" s="86"/>
      <c r="J4528" s="86"/>
      <c r="K4528" s="248"/>
      <c r="M4528" s="249"/>
    </row>
    <row r="4529" ht="15.75" customHeight="1">
      <c r="A4529" s="243"/>
      <c r="B4529" s="244"/>
      <c r="C4529" s="243"/>
      <c r="D4529" s="244"/>
      <c r="E4529" s="245"/>
      <c r="F4529" s="244"/>
      <c r="G4529" s="246"/>
      <c r="H4529" s="247"/>
      <c r="I4529" s="86"/>
      <c r="J4529" s="86"/>
      <c r="K4529" s="248"/>
      <c r="M4529" s="249"/>
    </row>
    <row r="4530" ht="15.75" customHeight="1">
      <c r="A4530" s="243"/>
      <c r="B4530" s="244"/>
      <c r="C4530" s="243"/>
      <c r="D4530" s="244"/>
      <c r="E4530" s="245"/>
      <c r="F4530" s="244"/>
      <c r="G4530" s="246"/>
      <c r="H4530" s="247"/>
      <c r="I4530" s="86"/>
      <c r="J4530" s="86"/>
      <c r="K4530" s="248"/>
      <c r="M4530" s="249"/>
    </row>
    <row r="4531" ht="15.75" customHeight="1">
      <c r="A4531" s="243"/>
      <c r="B4531" s="244"/>
      <c r="C4531" s="243"/>
      <c r="D4531" s="244"/>
      <c r="E4531" s="245"/>
      <c r="F4531" s="244"/>
      <c r="G4531" s="246"/>
      <c r="H4531" s="247"/>
      <c r="I4531" s="86"/>
      <c r="J4531" s="86"/>
      <c r="K4531" s="248"/>
      <c r="M4531" s="249"/>
    </row>
    <row r="4532" ht="15.75" customHeight="1">
      <c r="A4532" s="243"/>
      <c r="B4532" s="244"/>
      <c r="C4532" s="243"/>
      <c r="D4532" s="244"/>
      <c r="E4532" s="245"/>
      <c r="F4532" s="244"/>
      <c r="G4532" s="246"/>
      <c r="H4532" s="247"/>
      <c r="I4532" s="86"/>
      <c r="J4532" s="86"/>
      <c r="K4532" s="248"/>
      <c r="M4532" s="249"/>
    </row>
    <row r="4533" ht="15.75" customHeight="1">
      <c r="A4533" s="243"/>
      <c r="B4533" s="244"/>
      <c r="C4533" s="243"/>
      <c r="D4533" s="244"/>
      <c r="E4533" s="245"/>
      <c r="F4533" s="244"/>
      <c r="G4533" s="246"/>
      <c r="H4533" s="247"/>
      <c r="I4533" s="86"/>
      <c r="J4533" s="86"/>
      <c r="K4533" s="248"/>
      <c r="M4533" s="249"/>
    </row>
    <row r="4534" ht="15.75" customHeight="1">
      <c r="A4534" s="243"/>
      <c r="B4534" s="244"/>
      <c r="C4534" s="243"/>
      <c r="D4534" s="244"/>
      <c r="E4534" s="245"/>
      <c r="F4534" s="244"/>
      <c r="G4534" s="246"/>
      <c r="H4534" s="247"/>
      <c r="I4534" s="86"/>
      <c r="J4534" s="86"/>
      <c r="K4534" s="248"/>
      <c r="M4534" s="249"/>
    </row>
    <row r="4535" ht="15.75" customHeight="1">
      <c r="A4535" s="243"/>
      <c r="B4535" s="244"/>
      <c r="C4535" s="243"/>
      <c r="D4535" s="244"/>
      <c r="E4535" s="245"/>
      <c r="F4535" s="244"/>
      <c r="G4535" s="246"/>
      <c r="H4535" s="247"/>
      <c r="I4535" s="86"/>
      <c r="J4535" s="86"/>
      <c r="K4535" s="248"/>
      <c r="M4535" s="249"/>
    </row>
    <row r="4536" ht="15.75" customHeight="1">
      <c r="A4536" s="243"/>
      <c r="B4536" s="244"/>
      <c r="C4536" s="243"/>
      <c r="D4536" s="244"/>
      <c r="E4536" s="245"/>
      <c r="F4536" s="244"/>
      <c r="G4536" s="246"/>
      <c r="H4536" s="247"/>
      <c r="I4536" s="86"/>
      <c r="J4536" s="86"/>
      <c r="K4536" s="248"/>
      <c r="M4536" s="249"/>
    </row>
    <row r="4537" ht="15.75" customHeight="1">
      <c r="A4537" s="243"/>
      <c r="B4537" s="244"/>
      <c r="C4537" s="243"/>
      <c r="D4537" s="244"/>
      <c r="E4537" s="245"/>
      <c r="F4537" s="244"/>
      <c r="G4537" s="246"/>
      <c r="H4537" s="247"/>
      <c r="I4537" s="86"/>
      <c r="J4537" s="86"/>
      <c r="K4537" s="248"/>
      <c r="M4537" s="249"/>
    </row>
    <row r="4538" ht="15.75" customHeight="1">
      <c r="A4538" s="243"/>
      <c r="B4538" s="244"/>
      <c r="C4538" s="243"/>
      <c r="D4538" s="244"/>
      <c r="E4538" s="245"/>
      <c r="F4538" s="244"/>
      <c r="G4538" s="246"/>
      <c r="H4538" s="247"/>
      <c r="I4538" s="86"/>
      <c r="J4538" s="86"/>
      <c r="K4538" s="248"/>
      <c r="M4538" s="249"/>
    </row>
    <row r="4539" ht="15.75" customHeight="1">
      <c r="A4539" s="243"/>
      <c r="B4539" s="244"/>
      <c r="C4539" s="243"/>
      <c r="D4539" s="244"/>
      <c r="E4539" s="245"/>
      <c r="F4539" s="244"/>
      <c r="G4539" s="246"/>
      <c r="H4539" s="247"/>
      <c r="I4539" s="86"/>
      <c r="J4539" s="86"/>
      <c r="K4539" s="248"/>
      <c r="M4539" s="249"/>
    </row>
    <row r="4540" ht="15.75" customHeight="1">
      <c r="A4540" s="243"/>
      <c r="B4540" s="244"/>
      <c r="C4540" s="243"/>
      <c r="D4540" s="244"/>
      <c r="E4540" s="245"/>
      <c r="F4540" s="244"/>
      <c r="G4540" s="246"/>
      <c r="H4540" s="247"/>
      <c r="I4540" s="86"/>
      <c r="J4540" s="86"/>
      <c r="K4540" s="248"/>
      <c r="M4540" s="249"/>
    </row>
    <row r="4541" ht="15.75" customHeight="1">
      <c r="A4541" s="243"/>
      <c r="B4541" s="244"/>
      <c r="C4541" s="243"/>
      <c r="D4541" s="244"/>
      <c r="E4541" s="245"/>
      <c r="F4541" s="244"/>
      <c r="G4541" s="246"/>
      <c r="H4541" s="247"/>
      <c r="I4541" s="86"/>
      <c r="J4541" s="86"/>
      <c r="K4541" s="248"/>
      <c r="M4541" s="249"/>
    </row>
    <row r="4542" ht="15.75" customHeight="1">
      <c r="A4542" s="243"/>
      <c r="B4542" s="244"/>
      <c r="C4542" s="243"/>
      <c r="D4542" s="244"/>
      <c r="E4542" s="245"/>
      <c r="F4542" s="244"/>
      <c r="G4542" s="246"/>
      <c r="H4542" s="247"/>
      <c r="I4542" s="86"/>
      <c r="J4542" s="86"/>
      <c r="K4542" s="248"/>
      <c r="M4542" s="249"/>
    </row>
    <row r="4543" ht="15.75" customHeight="1">
      <c r="A4543" s="243"/>
      <c r="B4543" s="244"/>
      <c r="C4543" s="243"/>
      <c r="D4543" s="244"/>
      <c r="E4543" s="245"/>
      <c r="F4543" s="244"/>
      <c r="G4543" s="246"/>
      <c r="H4543" s="247"/>
      <c r="I4543" s="86"/>
      <c r="J4543" s="86"/>
      <c r="K4543" s="248"/>
      <c r="M4543" s="249"/>
    </row>
    <row r="4544" ht="15.75" customHeight="1">
      <c r="A4544" s="243"/>
      <c r="B4544" s="244"/>
      <c r="C4544" s="243"/>
      <c r="D4544" s="244"/>
      <c r="E4544" s="245"/>
      <c r="F4544" s="244"/>
      <c r="G4544" s="246"/>
      <c r="H4544" s="247"/>
      <c r="I4544" s="86"/>
      <c r="J4544" s="86"/>
      <c r="K4544" s="248"/>
      <c r="M4544" s="249"/>
    </row>
    <row r="4545" ht="15.75" customHeight="1">
      <c r="A4545" s="243"/>
      <c r="B4545" s="244"/>
      <c r="C4545" s="243"/>
      <c r="D4545" s="244"/>
      <c r="E4545" s="245"/>
      <c r="F4545" s="244"/>
      <c r="G4545" s="246"/>
      <c r="H4545" s="247"/>
      <c r="I4545" s="86"/>
      <c r="J4545" s="86"/>
      <c r="K4545" s="248"/>
      <c r="M4545" s="249"/>
    </row>
    <row r="4546" ht="15.75" customHeight="1">
      <c r="A4546" s="243"/>
      <c r="B4546" s="244"/>
      <c r="C4546" s="243"/>
      <c r="D4546" s="244"/>
      <c r="E4546" s="245"/>
      <c r="F4546" s="244"/>
      <c r="G4546" s="246"/>
      <c r="H4546" s="247"/>
      <c r="I4546" s="86"/>
      <c r="J4546" s="86"/>
      <c r="K4546" s="248"/>
      <c r="M4546" s="249"/>
    </row>
    <row r="4547" ht="15.75" customHeight="1">
      <c r="A4547" s="243"/>
      <c r="B4547" s="244"/>
      <c r="C4547" s="243"/>
      <c r="D4547" s="244"/>
      <c r="E4547" s="245"/>
      <c r="F4547" s="244"/>
      <c r="G4547" s="246"/>
      <c r="H4547" s="247"/>
      <c r="I4547" s="86"/>
      <c r="J4547" s="86"/>
      <c r="K4547" s="248"/>
      <c r="M4547" s="249"/>
    </row>
    <row r="4548" ht="15.75" customHeight="1">
      <c r="A4548" s="243"/>
      <c r="B4548" s="244"/>
      <c r="C4548" s="243"/>
      <c r="D4548" s="244"/>
      <c r="E4548" s="245"/>
      <c r="F4548" s="244"/>
      <c r="G4548" s="246"/>
      <c r="H4548" s="247"/>
      <c r="I4548" s="86"/>
      <c r="J4548" s="86"/>
      <c r="K4548" s="248"/>
      <c r="M4548" s="249"/>
    </row>
    <row r="4549" ht="15.75" customHeight="1">
      <c r="A4549" s="243"/>
      <c r="B4549" s="244"/>
      <c r="C4549" s="243"/>
      <c r="D4549" s="244"/>
      <c r="E4549" s="245"/>
      <c r="F4549" s="244"/>
      <c r="G4549" s="246"/>
      <c r="H4549" s="247"/>
      <c r="I4549" s="86"/>
      <c r="J4549" s="86"/>
      <c r="K4549" s="248"/>
      <c r="M4549" s="249"/>
    </row>
    <row r="4550" ht="15.75" customHeight="1">
      <c r="A4550" s="243"/>
      <c r="B4550" s="244"/>
      <c r="C4550" s="243"/>
      <c r="D4550" s="244"/>
      <c r="E4550" s="245"/>
      <c r="F4550" s="244"/>
      <c r="G4550" s="246"/>
      <c r="H4550" s="247"/>
      <c r="I4550" s="86"/>
      <c r="J4550" s="86"/>
      <c r="K4550" s="248"/>
      <c r="M4550" s="249"/>
    </row>
    <row r="4551" ht="15.75" customHeight="1">
      <c r="A4551" s="243"/>
      <c r="B4551" s="244"/>
      <c r="C4551" s="243"/>
      <c r="D4551" s="244"/>
      <c r="E4551" s="245"/>
      <c r="F4551" s="244"/>
      <c r="G4551" s="246"/>
      <c r="H4551" s="247"/>
      <c r="I4551" s="86"/>
      <c r="J4551" s="86"/>
      <c r="K4551" s="248"/>
      <c r="M4551" s="249"/>
    </row>
    <row r="4552" ht="15.75" customHeight="1">
      <c r="A4552" s="243"/>
      <c r="B4552" s="244"/>
      <c r="C4552" s="243"/>
      <c r="D4552" s="244"/>
      <c r="E4552" s="245"/>
      <c r="F4552" s="244"/>
      <c r="G4552" s="246"/>
      <c r="H4552" s="247"/>
      <c r="I4552" s="86"/>
      <c r="J4552" s="86"/>
      <c r="K4552" s="248"/>
      <c r="M4552" s="249"/>
    </row>
    <row r="4553" ht="15.75" customHeight="1">
      <c r="A4553" s="243"/>
      <c r="B4553" s="244"/>
      <c r="C4553" s="243"/>
      <c r="D4553" s="244"/>
      <c r="E4553" s="245"/>
      <c r="F4553" s="244"/>
      <c r="G4553" s="246"/>
      <c r="H4553" s="247"/>
      <c r="I4553" s="86"/>
      <c r="J4553" s="86"/>
      <c r="K4553" s="248"/>
      <c r="M4553" s="249"/>
    </row>
    <row r="4554" ht="15.75" customHeight="1">
      <c r="A4554" s="243"/>
      <c r="B4554" s="244"/>
      <c r="C4554" s="243"/>
      <c r="D4554" s="244"/>
      <c r="E4554" s="245"/>
      <c r="F4554" s="244"/>
      <c r="G4554" s="246"/>
      <c r="H4554" s="247"/>
      <c r="I4554" s="86"/>
      <c r="J4554" s="86"/>
      <c r="K4554" s="248"/>
      <c r="M4554" s="249"/>
    </row>
    <row r="4555" ht="15.75" customHeight="1">
      <c r="A4555" s="243"/>
      <c r="B4555" s="244"/>
      <c r="C4555" s="243"/>
      <c r="D4555" s="244"/>
      <c r="E4555" s="245"/>
      <c r="F4555" s="244"/>
      <c r="G4555" s="246"/>
      <c r="H4555" s="247"/>
      <c r="I4555" s="86"/>
      <c r="J4555" s="86"/>
      <c r="K4555" s="248"/>
      <c r="M4555" s="249"/>
    </row>
    <row r="4556" ht="15.75" customHeight="1">
      <c r="A4556" s="243"/>
      <c r="B4556" s="244"/>
      <c r="C4556" s="243"/>
      <c r="D4556" s="244"/>
      <c r="E4556" s="245"/>
      <c r="F4556" s="244"/>
      <c r="G4556" s="246"/>
      <c r="H4556" s="247"/>
      <c r="I4556" s="86"/>
      <c r="J4556" s="86"/>
      <c r="K4556" s="248"/>
      <c r="M4556" s="249"/>
    </row>
    <row r="4557" ht="15.75" customHeight="1">
      <c r="A4557" s="243"/>
      <c r="B4557" s="244"/>
      <c r="C4557" s="243"/>
      <c r="D4557" s="244"/>
      <c r="E4557" s="245"/>
      <c r="F4557" s="244"/>
      <c r="G4557" s="246"/>
      <c r="H4557" s="247"/>
      <c r="I4557" s="86"/>
      <c r="J4557" s="86"/>
      <c r="K4557" s="248"/>
      <c r="M4557" s="249"/>
    </row>
    <row r="4558" ht="15.75" customHeight="1">
      <c r="A4558" s="243"/>
      <c r="B4558" s="244"/>
      <c r="C4558" s="243"/>
      <c r="D4558" s="244"/>
      <c r="E4558" s="245"/>
      <c r="F4558" s="244"/>
      <c r="G4558" s="246"/>
      <c r="H4558" s="247"/>
      <c r="I4558" s="86"/>
      <c r="J4558" s="86"/>
      <c r="K4558" s="248"/>
      <c r="M4558" s="249"/>
    </row>
    <row r="4559" ht="15.75" customHeight="1">
      <c r="A4559" s="243"/>
      <c r="B4559" s="244"/>
      <c r="C4559" s="243"/>
      <c r="D4559" s="244"/>
      <c r="E4559" s="245"/>
      <c r="F4559" s="244"/>
      <c r="G4559" s="246"/>
      <c r="H4559" s="247"/>
      <c r="I4559" s="86"/>
      <c r="J4559" s="86"/>
      <c r="K4559" s="248"/>
      <c r="M4559" s="249"/>
    </row>
    <row r="4560" ht="15.75" customHeight="1">
      <c r="A4560" s="243"/>
      <c r="B4560" s="244"/>
      <c r="C4560" s="243"/>
      <c r="D4560" s="244"/>
      <c r="E4560" s="245"/>
      <c r="F4560" s="244"/>
      <c r="G4560" s="246"/>
      <c r="H4560" s="247"/>
      <c r="I4560" s="86"/>
      <c r="J4560" s="86"/>
      <c r="K4560" s="248"/>
      <c r="M4560" s="249"/>
    </row>
    <row r="4561" ht="15.75" customHeight="1">
      <c r="A4561" s="243"/>
      <c r="B4561" s="244"/>
      <c r="C4561" s="243"/>
      <c r="D4561" s="244"/>
      <c r="E4561" s="245"/>
      <c r="F4561" s="244"/>
      <c r="G4561" s="246"/>
      <c r="H4561" s="247"/>
      <c r="I4561" s="86"/>
      <c r="J4561" s="86"/>
      <c r="K4561" s="248"/>
      <c r="M4561" s="249"/>
    </row>
    <row r="4562" ht="15.75" customHeight="1">
      <c r="A4562" s="243"/>
      <c r="B4562" s="244"/>
      <c r="C4562" s="243"/>
      <c r="D4562" s="244"/>
      <c r="E4562" s="245"/>
      <c r="F4562" s="244"/>
      <c r="G4562" s="246"/>
      <c r="H4562" s="247"/>
      <c r="I4562" s="86"/>
      <c r="J4562" s="86"/>
      <c r="K4562" s="248"/>
      <c r="M4562" s="249"/>
    </row>
    <row r="4563" ht="15.75" customHeight="1">
      <c r="A4563" s="243"/>
      <c r="B4563" s="244"/>
      <c r="C4563" s="243"/>
      <c r="D4563" s="244"/>
      <c r="E4563" s="245"/>
      <c r="F4563" s="244"/>
      <c r="G4563" s="246"/>
      <c r="H4563" s="247"/>
      <c r="I4563" s="86"/>
      <c r="J4563" s="86"/>
      <c r="K4563" s="248"/>
      <c r="M4563" s="249"/>
    </row>
    <row r="4564" ht="15.75" customHeight="1">
      <c r="A4564" s="243"/>
      <c r="B4564" s="244"/>
      <c r="C4564" s="243"/>
      <c r="D4564" s="244"/>
      <c r="E4564" s="245"/>
      <c r="F4564" s="244"/>
      <c r="G4564" s="246"/>
      <c r="H4564" s="247"/>
      <c r="I4564" s="86"/>
      <c r="J4564" s="86"/>
      <c r="K4564" s="248"/>
      <c r="M4564" s="249"/>
    </row>
    <row r="4565" ht="15.75" customHeight="1">
      <c r="A4565" s="243"/>
      <c r="B4565" s="244"/>
      <c r="C4565" s="243"/>
      <c r="D4565" s="244"/>
      <c r="E4565" s="245"/>
      <c r="F4565" s="244"/>
      <c r="G4565" s="246"/>
      <c r="H4565" s="247"/>
      <c r="I4565" s="86"/>
      <c r="J4565" s="86"/>
      <c r="K4565" s="248"/>
      <c r="M4565" s="249"/>
    </row>
    <row r="4566" ht="15.75" customHeight="1">
      <c r="A4566" s="243"/>
      <c r="B4566" s="244"/>
      <c r="C4566" s="243"/>
      <c r="D4566" s="244"/>
      <c r="E4566" s="245"/>
      <c r="F4566" s="244"/>
      <c r="G4566" s="246"/>
      <c r="H4566" s="247"/>
      <c r="I4566" s="86"/>
      <c r="J4566" s="86"/>
      <c r="K4566" s="248"/>
      <c r="M4566" s="249"/>
    </row>
    <row r="4567" ht="15.75" customHeight="1">
      <c r="A4567" s="243"/>
      <c r="B4567" s="244"/>
      <c r="C4567" s="243"/>
      <c r="D4567" s="244"/>
      <c r="E4567" s="245"/>
      <c r="F4567" s="244"/>
      <c r="G4567" s="246"/>
      <c r="H4567" s="247"/>
      <c r="I4567" s="86"/>
      <c r="J4567" s="86"/>
      <c r="K4567" s="248"/>
      <c r="M4567" s="249"/>
    </row>
    <row r="4568" ht="15.75" customHeight="1">
      <c r="A4568" s="243"/>
      <c r="B4568" s="244"/>
      <c r="C4568" s="243"/>
      <c r="D4568" s="244"/>
      <c r="E4568" s="245"/>
      <c r="F4568" s="244"/>
      <c r="G4568" s="246"/>
      <c r="H4568" s="247"/>
      <c r="I4568" s="86"/>
      <c r="J4568" s="86"/>
      <c r="K4568" s="248"/>
      <c r="M4568" s="249"/>
    </row>
    <row r="4569" ht="15.75" customHeight="1">
      <c r="A4569" s="243"/>
      <c r="B4569" s="244"/>
      <c r="C4569" s="243"/>
      <c r="D4569" s="244"/>
      <c r="E4569" s="245"/>
      <c r="F4569" s="244"/>
      <c r="G4569" s="246"/>
      <c r="H4569" s="247"/>
      <c r="I4569" s="86"/>
      <c r="J4569" s="86"/>
      <c r="K4569" s="248"/>
      <c r="M4569" s="249"/>
    </row>
    <row r="4570" ht="15.75" customHeight="1">
      <c r="A4570" s="243"/>
      <c r="B4570" s="244"/>
      <c r="C4570" s="243"/>
      <c r="D4570" s="244"/>
      <c r="E4570" s="245"/>
      <c r="F4570" s="244"/>
      <c r="G4570" s="246"/>
      <c r="H4570" s="247"/>
      <c r="I4570" s="86"/>
      <c r="J4570" s="86"/>
      <c r="K4570" s="248"/>
      <c r="M4570" s="249"/>
    </row>
    <row r="4571" ht="15.75" customHeight="1">
      <c r="A4571" s="243"/>
      <c r="B4571" s="244"/>
      <c r="C4571" s="243"/>
      <c r="D4571" s="244"/>
      <c r="E4571" s="245"/>
      <c r="F4571" s="244"/>
      <c r="G4571" s="246"/>
      <c r="H4571" s="247"/>
      <c r="I4571" s="86"/>
      <c r="J4571" s="86"/>
      <c r="K4571" s="248"/>
      <c r="M4571" s="249"/>
    </row>
    <row r="4572" ht="15.75" customHeight="1">
      <c r="A4572" s="243"/>
      <c r="B4572" s="244"/>
      <c r="C4572" s="243"/>
      <c r="D4572" s="244"/>
      <c r="E4572" s="245"/>
      <c r="F4572" s="244"/>
      <c r="G4572" s="246"/>
      <c r="H4572" s="247"/>
      <c r="I4572" s="86"/>
      <c r="J4572" s="86"/>
      <c r="K4572" s="248"/>
      <c r="M4572" s="249"/>
    </row>
    <row r="4573" ht="15.75" customHeight="1">
      <c r="A4573" s="243"/>
      <c r="B4573" s="244"/>
      <c r="C4573" s="243"/>
      <c r="D4573" s="244"/>
      <c r="E4573" s="245"/>
      <c r="F4573" s="244"/>
      <c r="G4573" s="246"/>
      <c r="H4573" s="247"/>
      <c r="I4573" s="86"/>
      <c r="J4573" s="86"/>
      <c r="K4573" s="248"/>
      <c r="M4573" s="249"/>
    </row>
    <row r="4574" ht="15.75" customHeight="1">
      <c r="A4574" s="243"/>
      <c r="B4574" s="244"/>
      <c r="C4574" s="243"/>
      <c r="D4574" s="244"/>
      <c r="E4574" s="245"/>
      <c r="F4574" s="244"/>
      <c r="G4574" s="246"/>
      <c r="H4574" s="247"/>
      <c r="I4574" s="86"/>
      <c r="J4574" s="86"/>
      <c r="K4574" s="248"/>
      <c r="M4574" s="249"/>
    </row>
    <row r="4575" ht="15.75" customHeight="1">
      <c r="A4575" s="243"/>
      <c r="B4575" s="244"/>
      <c r="C4575" s="243"/>
      <c r="D4575" s="244"/>
      <c r="E4575" s="245"/>
      <c r="F4575" s="244"/>
      <c r="G4575" s="246"/>
      <c r="H4575" s="247"/>
      <c r="I4575" s="86"/>
      <c r="J4575" s="86"/>
      <c r="K4575" s="248"/>
      <c r="M4575" s="249"/>
    </row>
    <row r="4576" ht="15.75" customHeight="1">
      <c r="A4576" s="243"/>
      <c r="B4576" s="244"/>
      <c r="C4576" s="243"/>
      <c r="D4576" s="244"/>
      <c r="E4576" s="245"/>
      <c r="F4576" s="244"/>
      <c r="G4576" s="246"/>
      <c r="H4576" s="247"/>
      <c r="I4576" s="86"/>
      <c r="J4576" s="86"/>
      <c r="K4576" s="248"/>
      <c r="M4576" s="249"/>
    </row>
    <row r="4577" ht="15.75" customHeight="1">
      <c r="A4577" s="243"/>
      <c r="B4577" s="244"/>
      <c r="C4577" s="243"/>
      <c r="D4577" s="244"/>
      <c r="E4577" s="245"/>
      <c r="F4577" s="244"/>
      <c r="G4577" s="246"/>
      <c r="H4577" s="247"/>
      <c r="I4577" s="86"/>
      <c r="J4577" s="86"/>
      <c r="K4577" s="248"/>
      <c r="M4577" s="249"/>
    </row>
    <row r="4578" ht="15.75" customHeight="1">
      <c r="A4578" s="243"/>
      <c r="B4578" s="244"/>
      <c r="C4578" s="243"/>
      <c r="D4578" s="244"/>
      <c r="E4578" s="245"/>
      <c r="F4578" s="244"/>
      <c r="G4578" s="246"/>
      <c r="H4578" s="247"/>
      <c r="I4578" s="86"/>
      <c r="J4578" s="86"/>
      <c r="K4578" s="248"/>
      <c r="M4578" s="249"/>
    </row>
    <row r="4579" ht="15.75" customHeight="1">
      <c r="A4579" s="243"/>
      <c r="B4579" s="244"/>
      <c r="C4579" s="243"/>
      <c r="D4579" s="244"/>
      <c r="E4579" s="245"/>
      <c r="F4579" s="244"/>
      <c r="G4579" s="246"/>
      <c r="H4579" s="247"/>
      <c r="I4579" s="86"/>
      <c r="J4579" s="86"/>
      <c r="K4579" s="248"/>
      <c r="M4579" s="249"/>
    </row>
    <row r="4580" ht="15.75" customHeight="1">
      <c r="A4580" s="243"/>
      <c r="B4580" s="244"/>
      <c r="C4580" s="243"/>
      <c r="D4580" s="244"/>
      <c r="E4580" s="245"/>
      <c r="F4580" s="244"/>
      <c r="G4580" s="246"/>
      <c r="H4580" s="247"/>
      <c r="I4580" s="86"/>
      <c r="J4580" s="86"/>
      <c r="K4580" s="248"/>
      <c r="M4580" s="249"/>
    </row>
    <row r="4581" ht="15.75" customHeight="1">
      <c r="A4581" s="243"/>
      <c r="B4581" s="244"/>
      <c r="C4581" s="243"/>
      <c r="D4581" s="244"/>
      <c r="E4581" s="245"/>
      <c r="F4581" s="244"/>
      <c r="G4581" s="246"/>
      <c r="H4581" s="247"/>
      <c r="I4581" s="86"/>
      <c r="J4581" s="86"/>
      <c r="K4581" s="248"/>
      <c r="M4581" s="249"/>
    </row>
    <row r="4582" ht="15.75" customHeight="1">
      <c r="A4582" s="243"/>
      <c r="B4582" s="244"/>
      <c r="C4582" s="243"/>
      <c r="D4582" s="244"/>
      <c r="E4582" s="245"/>
      <c r="F4582" s="244"/>
      <c r="G4582" s="246"/>
      <c r="H4582" s="247"/>
      <c r="I4582" s="86"/>
      <c r="J4582" s="86"/>
      <c r="K4582" s="248"/>
      <c r="M4582" s="249"/>
    </row>
    <row r="4583" ht="15.75" customHeight="1">
      <c r="A4583" s="243"/>
      <c r="B4583" s="244"/>
      <c r="C4583" s="243"/>
      <c r="D4583" s="244"/>
      <c r="E4583" s="245"/>
      <c r="F4583" s="244"/>
      <c r="G4583" s="246"/>
      <c r="H4583" s="247"/>
      <c r="I4583" s="86"/>
      <c r="J4583" s="86"/>
      <c r="K4583" s="248"/>
      <c r="M4583" s="249"/>
    </row>
    <row r="4584" ht="15.75" customHeight="1">
      <c r="A4584" s="243"/>
      <c r="B4584" s="244"/>
      <c r="C4584" s="243"/>
      <c r="D4584" s="244"/>
      <c r="E4584" s="245"/>
      <c r="F4584" s="244"/>
      <c r="G4584" s="246"/>
      <c r="H4584" s="247"/>
      <c r="I4584" s="86"/>
      <c r="J4584" s="86"/>
      <c r="K4584" s="248"/>
      <c r="M4584" s="249"/>
    </row>
    <row r="4585" ht="15.75" customHeight="1">
      <c r="A4585" s="243"/>
      <c r="B4585" s="244"/>
      <c r="C4585" s="243"/>
      <c r="D4585" s="244"/>
      <c r="E4585" s="245"/>
      <c r="F4585" s="244"/>
      <c r="G4585" s="246"/>
      <c r="H4585" s="247"/>
      <c r="I4585" s="86"/>
      <c r="J4585" s="86"/>
      <c r="K4585" s="248"/>
      <c r="M4585" s="249"/>
    </row>
    <row r="4586" ht="15.75" customHeight="1">
      <c r="A4586" s="243"/>
      <c r="B4586" s="244"/>
      <c r="C4586" s="243"/>
      <c r="D4586" s="244"/>
      <c r="E4586" s="245"/>
      <c r="F4586" s="244"/>
      <c r="G4586" s="246"/>
      <c r="H4586" s="247"/>
      <c r="I4586" s="86"/>
      <c r="J4586" s="86"/>
      <c r="K4586" s="248"/>
      <c r="M4586" s="249"/>
    </row>
    <row r="4587" ht="15.75" customHeight="1">
      <c r="A4587" s="243"/>
      <c r="B4587" s="244"/>
      <c r="C4587" s="243"/>
      <c r="D4587" s="244"/>
      <c r="E4587" s="245"/>
      <c r="F4587" s="244"/>
      <c r="G4587" s="246"/>
      <c r="H4587" s="247"/>
      <c r="I4587" s="86"/>
      <c r="J4587" s="86"/>
      <c r="K4587" s="248"/>
      <c r="M4587" s="249"/>
    </row>
    <row r="4588" ht="15.75" customHeight="1">
      <c r="A4588" s="243"/>
      <c r="B4588" s="244"/>
      <c r="C4588" s="243"/>
      <c r="D4588" s="244"/>
      <c r="E4588" s="245"/>
      <c r="F4588" s="244"/>
      <c r="G4588" s="246"/>
      <c r="H4588" s="247"/>
      <c r="I4588" s="86"/>
      <c r="J4588" s="86"/>
      <c r="K4588" s="248"/>
      <c r="M4588" s="249"/>
    </row>
    <row r="4589" ht="15.75" customHeight="1">
      <c r="A4589" s="243"/>
      <c r="B4589" s="244"/>
      <c r="C4589" s="243"/>
      <c r="D4589" s="244"/>
      <c r="E4589" s="245"/>
      <c r="F4589" s="244"/>
      <c r="G4589" s="246"/>
      <c r="H4589" s="247"/>
      <c r="I4589" s="86"/>
      <c r="J4589" s="86"/>
      <c r="K4589" s="248"/>
      <c r="M4589" s="249"/>
    </row>
    <row r="4590" ht="15.75" customHeight="1">
      <c r="A4590" s="243"/>
      <c r="B4590" s="244"/>
      <c r="C4590" s="243"/>
      <c r="D4590" s="244"/>
      <c r="E4590" s="245"/>
      <c r="F4590" s="244"/>
      <c r="G4590" s="246"/>
      <c r="H4590" s="247"/>
      <c r="I4590" s="86"/>
      <c r="J4590" s="86"/>
      <c r="K4590" s="248"/>
      <c r="M4590" s="249"/>
    </row>
    <row r="4591" ht="15.75" customHeight="1">
      <c r="A4591" s="243"/>
      <c r="B4591" s="244"/>
      <c r="C4591" s="243"/>
      <c r="D4591" s="244"/>
      <c r="E4591" s="245"/>
      <c r="F4591" s="244"/>
      <c r="G4591" s="246"/>
      <c r="H4591" s="247"/>
      <c r="I4591" s="86"/>
      <c r="J4591" s="86"/>
      <c r="K4591" s="248"/>
      <c r="M4591" s="249"/>
    </row>
    <row r="4592" ht="15.75" customHeight="1">
      <c r="A4592" s="243"/>
      <c r="B4592" s="244"/>
      <c r="C4592" s="243"/>
      <c r="D4592" s="244"/>
      <c r="E4592" s="245"/>
      <c r="F4592" s="244"/>
      <c r="G4592" s="246"/>
      <c r="H4592" s="247"/>
      <c r="I4592" s="86"/>
      <c r="J4592" s="86"/>
      <c r="K4592" s="248"/>
      <c r="M4592" s="249"/>
    </row>
    <row r="4593" ht="15.75" customHeight="1">
      <c r="A4593" s="243"/>
      <c r="B4593" s="244"/>
      <c r="C4593" s="243"/>
      <c r="D4593" s="244"/>
      <c r="E4593" s="245"/>
      <c r="F4593" s="244"/>
      <c r="G4593" s="246"/>
      <c r="H4593" s="247"/>
      <c r="I4593" s="86"/>
      <c r="J4593" s="86"/>
      <c r="K4593" s="248"/>
      <c r="M4593" s="249"/>
    </row>
    <row r="4594" ht="15.75" customHeight="1">
      <c r="A4594" s="243"/>
      <c r="B4594" s="244"/>
      <c r="C4594" s="243"/>
      <c r="D4594" s="244"/>
      <c r="E4594" s="245"/>
      <c r="F4594" s="244"/>
      <c r="G4594" s="246"/>
      <c r="H4594" s="247"/>
      <c r="I4594" s="86"/>
      <c r="J4594" s="86"/>
      <c r="K4594" s="248"/>
      <c r="M4594" s="249"/>
    </row>
    <row r="4595" ht="15.75" customHeight="1">
      <c r="A4595" s="243"/>
      <c r="B4595" s="244"/>
      <c r="C4595" s="243"/>
      <c r="D4595" s="244"/>
      <c r="E4595" s="245"/>
      <c r="F4595" s="244"/>
      <c r="G4595" s="246"/>
      <c r="H4595" s="247"/>
      <c r="I4595" s="86"/>
      <c r="J4595" s="86"/>
      <c r="K4595" s="248"/>
      <c r="M4595" s="249"/>
    </row>
    <row r="4596" ht="15.75" customHeight="1">
      <c r="A4596" s="243"/>
      <c r="B4596" s="244"/>
      <c r="C4596" s="243"/>
      <c r="D4596" s="244"/>
      <c r="E4596" s="245"/>
      <c r="F4596" s="244"/>
      <c r="G4596" s="246"/>
      <c r="H4596" s="247"/>
      <c r="I4596" s="86"/>
      <c r="J4596" s="86"/>
      <c r="K4596" s="248"/>
      <c r="M4596" s="249"/>
    </row>
    <row r="4597" ht="15.75" customHeight="1">
      <c r="A4597" s="243"/>
      <c r="B4597" s="244"/>
      <c r="C4597" s="243"/>
      <c r="D4597" s="244"/>
      <c r="E4597" s="245"/>
      <c r="F4597" s="244"/>
      <c r="G4597" s="246"/>
      <c r="H4597" s="247"/>
      <c r="I4597" s="86"/>
      <c r="J4597" s="86"/>
      <c r="K4597" s="248"/>
      <c r="M4597" s="249"/>
    </row>
    <row r="4598" ht="15.75" customHeight="1">
      <c r="A4598" s="243"/>
      <c r="B4598" s="244"/>
      <c r="C4598" s="243"/>
      <c r="D4598" s="244"/>
      <c r="E4598" s="245"/>
      <c r="F4598" s="244"/>
      <c r="G4598" s="246"/>
      <c r="H4598" s="247"/>
      <c r="I4598" s="86"/>
      <c r="J4598" s="86"/>
      <c r="K4598" s="248"/>
      <c r="M4598" s="249"/>
    </row>
    <row r="4599" ht="15.75" customHeight="1">
      <c r="A4599" s="243"/>
      <c r="B4599" s="244"/>
      <c r="C4599" s="243"/>
      <c r="D4599" s="244"/>
      <c r="E4599" s="245"/>
      <c r="F4599" s="244"/>
      <c r="G4599" s="246"/>
      <c r="H4599" s="247"/>
      <c r="I4599" s="86"/>
      <c r="J4599" s="86"/>
      <c r="K4599" s="248"/>
      <c r="M4599" s="249"/>
    </row>
    <row r="4600" ht="15.75" customHeight="1">
      <c r="A4600" s="243"/>
      <c r="B4600" s="244"/>
      <c r="C4600" s="243"/>
      <c r="D4600" s="244"/>
      <c r="E4600" s="245"/>
      <c r="F4600" s="244"/>
      <c r="G4600" s="246"/>
      <c r="H4600" s="247"/>
      <c r="I4600" s="86"/>
      <c r="J4600" s="86"/>
      <c r="K4600" s="248"/>
      <c r="M4600" s="249"/>
    </row>
    <row r="4601" ht="15.75" customHeight="1">
      <c r="A4601" s="243"/>
      <c r="B4601" s="244"/>
      <c r="C4601" s="243"/>
      <c r="D4601" s="244"/>
      <c r="E4601" s="245"/>
      <c r="F4601" s="244"/>
      <c r="G4601" s="246"/>
      <c r="H4601" s="247"/>
      <c r="I4601" s="86"/>
      <c r="J4601" s="86"/>
      <c r="K4601" s="248"/>
      <c r="M4601" s="249"/>
    </row>
    <row r="4602" ht="15.75" customHeight="1">
      <c r="A4602" s="243"/>
      <c r="B4602" s="244"/>
      <c r="C4602" s="243"/>
      <c r="D4602" s="244"/>
      <c r="E4602" s="245"/>
      <c r="F4602" s="244"/>
      <c r="G4602" s="246"/>
      <c r="H4602" s="247"/>
      <c r="I4602" s="86"/>
      <c r="J4602" s="86"/>
      <c r="K4602" s="248"/>
      <c r="M4602" s="249"/>
    </row>
    <row r="4603" ht="15.75" customHeight="1">
      <c r="A4603" s="243"/>
      <c r="B4603" s="244"/>
      <c r="C4603" s="243"/>
      <c r="D4603" s="244"/>
      <c r="E4603" s="245"/>
      <c r="F4603" s="244"/>
      <c r="G4603" s="246"/>
      <c r="H4603" s="247"/>
      <c r="I4603" s="86"/>
      <c r="J4603" s="86"/>
      <c r="K4603" s="248"/>
      <c r="M4603" s="249"/>
    </row>
    <row r="4604" ht="15.75" customHeight="1">
      <c r="A4604" s="243"/>
      <c r="B4604" s="244"/>
      <c r="C4604" s="243"/>
      <c r="D4604" s="244"/>
      <c r="E4604" s="245"/>
      <c r="F4604" s="244"/>
      <c r="G4604" s="246"/>
      <c r="H4604" s="247"/>
      <c r="I4604" s="86"/>
      <c r="J4604" s="86"/>
      <c r="K4604" s="248"/>
      <c r="M4604" s="249"/>
    </row>
    <row r="4605" ht="15.75" customHeight="1">
      <c r="A4605" s="243"/>
      <c r="B4605" s="244"/>
      <c r="C4605" s="243"/>
      <c r="D4605" s="244"/>
      <c r="E4605" s="245"/>
      <c r="F4605" s="244"/>
      <c r="G4605" s="246"/>
      <c r="H4605" s="247"/>
      <c r="I4605" s="86"/>
      <c r="J4605" s="86"/>
      <c r="K4605" s="248"/>
      <c r="M4605" s="249"/>
    </row>
    <row r="4606" ht="15.75" customHeight="1">
      <c r="A4606" s="243"/>
      <c r="B4606" s="244"/>
      <c r="C4606" s="243"/>
      <c r="D4606" s="244"/>
      <c r="E4606" s="245"/>
      <c r="F4606" s="244"/>
      <c r="G4606" s="246"/>
      <c r="H4606" s="247"/>
      <c r="I4606" s="86"/>
      <c r="J4606" s="86"/>
      <c r="K4606" s="248"/>
      <c r="M4606" s="249"/>
    </row>
    <row r="4607" ht="15.75" customHeight="1">
      <c r="A4607" s="243"/>
      <c r="B4607" s="244"/>
      <c r="C4607" s="243"/>
      <c r="D4607" s="244"/>
      <c r="E4607" s="245"/>
      <c r="F4607" s="244"/>
      <c r="G4607" s="246"/>
      <c r="H4607" s="247"/>
      <c r="I4607" s="86"/>
      <c r="J4607" s="86"/>
      <c r="K4607" s="248"/>
      <c r="M4607" s="249"/>
    </row>
    <row r="4608" ht="15.75" customHeight="1">
      <c r="A4608" s="243"/>
      <c r="B4608" s="244"/>
      <c r="C4608" s="243"/>
      <c r="D4608" s="244"/>
      <c r="E4608" s="245"/>
      <c r="F4608" s="244"/>
      <c r="G4608" s="246"/>
      <c r="H4608" s="247"/>
      <c r="I4608" s="86"/>
      <c r="J4608" s="86"/>
      <c r="K4608" s="248"/>
      <c r="M4608" s="249"/>
    </row>
    <row r="4609" ht="15.75" customHeight="1">
      <c r="A4609" s="243"/>
      <c r="B4609" s="244"/>
      <c r="C4609" s="243"/>
      <c r="D4609" s="244"/>
      <c r="E4609" s="245"/>
      <c r="F4609" s="244"/>
      <c r="G4609" s="246"/>
      <c r="H4609" s="247"/>
      <c r="I4609" s="86"/>
      <c r="J4609" s="86"/>
      <c r="K4609" s="248"/>
      <c r="M4609" s="249"/>
    </row>
    <row r="4610" ht="15.75" customHeight="1">
      <c r="A4610" s="243"/>
      <c r="B4610" s="244"/>
      <c r="C4610" s="243"/>
      <c r="D4610" s="244"/>
      <c r="E4610" s="245"/>
      <c r="F4610" s="244"/>
      <c r="G4610" s="246"/>
      <c r="H4610" s="247"/>
      <c r="I4610" s="86"/>
      <c r="J4610" s="86"/>
      <c r="K4610" s="248"/>
      <c r="M4610" s="249"/>
    </row>
    <row r="4611" ht="15.75" customHeight="1">
      <c r="A4611" s="243"/>
      <c r="B4611" s="244"/>
      <c r="C4611" s="243"/>
      <c r="D4611" s="244"/>
      <c r="E4611" s="245"/>
      <c r="F4611" s="244"/>
      <c r="G4611" s="246"/>
      <c r="H4611" s="247"/>
      <c r="I4611" s="86"/>
      <c r="J4611" s="86"/>
      <c r="K4611" s="248"/>
      <c r="M4611" s="249"/>
    </row>
    <row r="4612" ht="15.75" customHeight="1">
      <c r="A4612" s="243"/>
      <c r="B4612" s="244"/>
      <c r="C4612" s="243"/>
      <c r="D4612" s="244"/>
      <c r="E4612" s="245"/>
      <c r="F4612" s="244"/>
      <c r="G4612" s="246"/>
      <c r="H4612" s="247"/>
      <c r="I4612" s="86"/>
      <c r="J4612" s="86"/>
      <c r="K4612" s="248"/>
      <c r="M4612" s="249"/>
    </row>
    <row r="4613" ht="15.75" customHeight="1">
      <c r="A4613" s="243"/>
      <c r="B4613" s="244"/>
      <c r="C4613" s="243"/>
      <c r="D4613" s="244"/>
      <c r="E4613" s="245"/>
      <c r="F4613" s="244"/>
      <c r="G4613" s="246"/>
      <c r="H4613" s="247"/>
      <c r="I4613" s="86"/>
      <c r="J4613" s="86"/>
      <c r="K4613" s="248"/>
      <c r="M4613" s="249"/>
    </row>
    <row r="4614" ht="15.75" customHeight="1">
      <c r="A4614" s="243"/>
      <c r="B4614" s="244"/>
      <c r="C4614" s="243"/>
      <c r="D4614" s="244"/>
      <c r="E4614" s="245"/>
      <c r="F4614" s="244"/>
      <c r="G4614" s="246"/>
      <c r="H4614" s="247"/>
      <c r="I4614" s="86"/>
      <c r="J4614" s="86"/>
      <c r="K4614" s="248"/>
      <c r="M4614" s="249"/>
    </row>
    <row r="4615" ht="15.75" customHeight="1">
      <c r="A4615" s="243"/>
      <c r="B4615" s="244"/>
      <c r="C4615" s="243"/>
      <c r="D4615" s="244"/>
      <c r="E4615" s="245"/>
      <c r="F4615" s="244"/>
      <c r="G4615" s="246"/>
      <c r="H4615" s="247"/>
      <c r="I4615" s="86"/>
      <c r="J4615" s="86"/>
      <c r="K4615" s="248"/>
      <c r="M4615" s="249"/>
    </row>
    <row r="4616" ht="15.75" customHeight="1">
      <c r="A4616" s="243"/>
      <c r="B4616" s="244"/>
      <c r="C4616" s="243"/>
      <c r="D4616" s="244"/>
      <c r="E4616" s="245"/>
      <c r="F4616" s="244"/>
      <c r="G4616" s="246"/>
      <c r="H4616" s="247"/>
      <c r="I4616" s="86"/>
      <c r="J4616" s="86"/>
      <c r="K4616" s="248"/>
      <c r="M4616" s="249"/>
    </row>
    <row r="4617" ht="15.75" customHeight="1">
      <c r="A4617" s="243"/>
      <c r="B4617" s="244"/>
      <c r="C4617" s="243"/>
      <c r="D4617" s="244"/>
      <c r="E4617" s="245"/>
      <c r="F4617" s="244"/>
      <c r="G4617" s="246"/>
      <c r="H4617" s="247"/>
      <c r="I4617" s="86"/>
      <c r="J4617" s="86"/>
      <c r="K4617" s="248"/>
      <c r="M4617" s="249"/>
    </row>
    <row r="4618" ht="15.75" customHeight="1">
      <c r="A4618" s="243"/>
      <c r="B4618" s="244"/>
      <c r="C4618" s="243"/>
      <c r="D4618" s="244"/>
      <c r="E4618" s="245"/>
      <c r="F4618" s="244"/>
      <c r="G4618" s="246"/>
      <c r="H4618" s="247"/>
      <c r="I4618" s="86"/>
      <c r="J4618" s="86"/>
      <c r="K4618" s="248"/>
      <c r="M4618" s="249"/>
    </row>
    <row r="4619" ht="15.75" customHeight="1">
      <c r="A4619" s="243"/>
      <c r="B4619" s="244"/>
      <c r="C4619" s="243"/>
      <c r="D4619" s="244"/>
      <c r="E4619" s="245"/>
      <c r="F4619" s="244"/>
      <c r="G4619" s="246"/>
      <c r="H4619" s="247"/>
      <c r="I4619" s="86"/>
      <c r="J4619" s="86"/>
      <c r="K4619" s="248"/>
      <c r="M4619" s="249"/>
    </row>
    <row r="4620" ht="15.75" customHeight="1">
      <c r="A4620" s="243"/>
      <c r="B4620" s="244"/>
      <c r="C4620" s="243"/>
      <c r="D4620" s="244"/>
      <c r="E4620" s="245"/>
      <c r="F4620" s="244"/>
      <c r="G4620" s="246"/>
      <c r="H4620" s="247"/>
      <c r="I4620" s="86"/>
      <c r="J4620" s="86"/>
      <c r="K4620" s="248"/>
      <c r="M4620" s="249"/>
    </row>
    <row r="4621" ht="15.75" customHeight="1">
      <c r="A4621" s="243"/>
      <c r="B4621" s="244"/>
      <c r="C4621" s="243"/>
      <c r="D4621" s="244"/>
      <c r="E4621" s="245"/>
      <c r="F4621" s="244"/>
      <c r="G4621" s="246"/>
      <c r="H4621" s="247"/>
      <c r="I4621" s="86"/>
      <c r="J4621" s="86"/>
      <c r="K4621" s="248"/>
      <c r="M4621" s="249"/>
    </row>
    <row r="4622" ht="15.75" customHeight="1">
      <c r="A4622" s="243"/>
      <c r="B4622" s="244"/>
      <c r="C4622" s="243"/>
      <c r="D4622" s="244"/>
      <c r="E4622" s="245"/>
      <c r="F4622" s="244"/>
      <c r="G4622" s="246"/>
      <c r="H4622" s="247"/>
      <c r="I4622" s="86"/>
      <c r="J4622" s="86"/>
      <c r="K4622" s="248"/>
      <c r="M4622" s="249"/>
    </row>
    <row r="4623" ht="15.75" customHeight="1">
      <c r="A4623" s="243"/>
      <c r="B4623" s="244"/>
      <c r="C4623" s="243"/>
      <c r="D4623" s="244"/>
      <c r="E4623" s="245"/>
      <c r="F4623" s="244"/>
      <c r="G4623" s="246"/>
      <c r="H4623" s="247"/>
      <c r="I4623" s="86"/>
      <c r="J4623" s="86"/>
      <c r="K4623" s="248"/>
      <c r="M4623" s="249"/>
    </row>
    <row r="4624" ht="15.75" customHeight="1">
      <c r="A4624" s="243"/>
      <c r="B4624" s="244"/>
      <c r="C4624" s="243"/>
      <c r="D4624" s="244"/>
      <c r="E4624" s="245"/>
      <c r="F4624" s="244"/>
      <c r="G4624" s="246"/>
      <c r="H4624" s="247"/>
      <c r="I4624" s="86"/>
      <c r="J4624" s="86"/>
      <c r="K4624" s="248"/>
      <c r="M4624" s="249"/>
    </row>
    <row r="4625" ht="15.75" customHeight="1">
      <c r="A4625" s="243"/>
      <c r="B4625" s="244"/>
      <c r="C4625" s="243"/>
      <c r="D4625" s="244"/>
      <c r="E4625" s="245"/>
      <c r="F4625" s="244"/>
      <c r="G4625" s="246"/>
      <c r="H4625" s="247"/>
      <c r="I4625" s="86"/>
      <c r="J4625" s="86"/>
      <c r="K4625" s="248"/>
      <c r="M4625" s="249"/>
    </row>
    <row r="4626" ht="15.75" customHeight="1">
      <c r="A4626" s="243"/>
      <c r="B4626" s="244"/>
      <c r="C4626" s="243"/>
      <c r="D4626" s="244"/>
      <c r="E4626" s="245"/>
      <c r="F4626" s="244"/>
      <c r="G4626" s="246"/>
      <c r="H4626" s="247"/>
      <c r="I4626" s="86"/>
      <c r="J4626" s="86"/>
      <c r="K4626" s="248"/>
      <c r="M4626" s="249"/>
    </row>
    <row r="4627" ht="15.75" customHeight="1">
      <c r="A4627" s="243"/>
      <c r="B4627" s="244"/>
      <c r="C4627" s="243"/>
      <c r="D4627" s="244"/>
      <c r="E4627" s="245"/>
      <c r="F4627" s="244"/>
      <c r="G4627" s="246"/>
      <c r="H4627" s="247"/>
      <c r="I4627" s="86"/>
      <c r="J4627" s="86"/>
      <c r="K4627" s="248"/>
      <c r="M4627" s="249"/>
    </row>
    <row r="4628" ht="15.75" customHeight="1">
      <c r="A4628" s="243"/>
      <c r="B4628" s="244"/>
      <c r="C4628" s="243"/>
      <c r="D4628" s="244"/>
      <c r="E4628" s="245"/>
      <c r="F4628" s="244"/>
      <c r="G4628" s="246"/>
      <c r="H4628" s="247"/>
      <c r="I4628" s="86"/>
      <c r="J4628" s="86"/>
      <c r="K4628" s="248"/>
      <c r="M4628" s="249"/>
    </row>
    <row r="4629" ht="15.75" customHeight="1">
      <c r="A4629" s="243"/>
      <c r="B4629" s="244"/>
      <c r="C4629" s="243"/>
      <c r="D4629" s="244"/>
      <c r="E4629" s="245"/>
      <c r="F4629" s="244"/>
      <c r="G4629" s="246"/>
      <c r="H4629" s="247"/>
      <c r="I4629" s="86"/>
      <c r="J4629" s="86"/>
      <c r="K4629" s="248"/>
      <c r="M4629" s="249"/>
    </row>
    <row r="4630" ht="15.75" customHeight="1">
      <c r="A4630" s="243"/>
      <c r="B4630" s="244"/>
      <c r="C4630" s="243"/>
      <c r="D4630" s="244"/>
      <c r="E4630" s="245"/>
      <c r="F4630" s="244"/>
      <c r="G4630" s="246"/>
      <c r="H4630" s="247"/>
      <c r="I4630" s="86"/>
      <c r="J4630" s="86"/>
      <c r="K4630" s="248"/>
      <c r="M4630" s="249"/>
    </row>
    <row r="4631" ht="15.75" customHeight="1">
      <c r="A4631" s="243"/>
      <c r="B4631" s="244"/>
      <c r="C4631" s="243"/>
      <c r="D4631" s="244"/>
      <c r="E4631" s="245"/>
      <c r="F4631" s="244"/>
      <c r="G4631" s="246"/>
      <c r="H4631" s="247"/>
      <c r="I4631" s="86"/>
      <c r="J4631" s="86"/>
      <c r="K4631" s="248"/>
      <c r="M4631" s="249"/>
    </row>
    <row r="4632" ht="15.75" customHeight="1">
      <c r="A4632" s="243"/>
      <c r="B4632" s="244"/>
      <c r="C4632" s="243"/>
      <c r="D4632" s="244"/>
      <c r="E4632" s="245"/>
      <c r="F4632" s="244"/>
      <c r="G4632" s="246"/>
      <c r="H4632" s="247"/>
      <c r="I4632" s="86"/>
      <c r="J4632" s="86"/>
      <c r="K4632" s="248"/>
      <c r="M4632" s="249"/>
    </row>
    <row r="4633" ht="15.75" customHeight="1">
      <c r="A4633" s="243"/>
      <c r="B4633" s="244"/>
      <c r="C4633" s="243"/>
      <c r="D4633" s="244"/>
      <c r="E4633" s="245"/>
      <c r="F4633" s="244"/>
      <c r="G4633" s="246"/>
      <c r="H4633" s="247"/>
      <c r="I4633" s="86"/>
      <c r="J4633" s="86"/>
      <c r="K4633" s="248"/>
      <c r="M4633" s="249"/>
    </row>
    <row r="4634" ht="15.75" customHeight="1">
      <c r="A4634" s="243"/>
      <c r="B4634" s="244"/>
      <c r="C4634" s="243"/>
      <c r="D4634" s="244"/>
      <c r="E4634" s="245"/>
      <c r="F4634" s="244"/>
      <c r="G4634" s="246"/>
      <c r="H4634" s="247"/>
      <c r="I4634" s="86"/>
      <c r="J4634" s="86"/>
      <c r="K4634" s="248"/>
      <c r="M4634" s="249"/>
    </row>
    <row r="4635" ht="15.75" customHeight="1">
      <c r="A4635" s="243"/>
      <c r="B4635" s="244"/>
      <c r="C4635" s="243"/>
      <c r="D4635" s="244"/>
      <c r="E4635" s="245"/>
      <c r="F4635" s="244"/>
      <c r="G4635" s="246"/>
      <c r="H4635" s="247"/>
      <c r="I4635" s="86"/>
      <c r="J4635" s="86"/>
      <c r="K4635" s="248"/>
      <c r="M4635" s="249"/>
    </row>
    <row r="4636" ht="15.75" customHeight="1">
      <c r="A4636" s="243"/>
      <c r="B4636" s="244"/>
      <c r="C4636" s="243"/>
      <c r="D4636" s="244"/>
      <c r="E4636" s="245"/>
      <c r="F4636" s="244"/>
      <c r="G4636" s="246"/>
      <c r="H4636" s="247"/>
      <c r="I4636" s="86"/>
      <c r="J4636" s="86"/>
      <c r="K4636" s="248"/>
      <c r="M4636" s="249"/>
    </row>
    <row r="4637" ht="15.75" customHeight="1">
      <c r="A4637" s="243"/>
      <c r="B4637" s="244"/>
      <c r="C4637" s="243"/>
      <c r="D4637" s="244"/>
      <c r="E4637" s="245"/>
      <c r="F4637" s="244"/>
      <c r="G4637" s="246"/>
      <c r="H4637" s="247"/>
      <c r="I4637" s="86"/>
      <c r="J4637" s="86"/>
      <c r="K4637" s="248"/>
      <c r="M4637" s="249"/>
    </row>
    <row r="4638" ht="15.75" customHeight="1">
      <c r="A4638" s="243"/>
      <c r="B4638" s="244"/>
      <c r="C4638" s="243"/>
      <c r="D4638" s="244"/>
      <c r="E4638" s="245"/>
      <c r="F4638" s="244"/>
      <c r="G4638" s="246"/>
      <c r="H4638" s="247"/>
      <c r="I4638" s="86"/>
      <c r="J4638" s="86"/>
      <c r="K4638" s="248"/>
      <c r="M4638" s="249"/>
    </row>
    <row r="4639" ht="15.75" customHeight="1">
      <c r="A4639" s="243"/>
      <c r="B4639" s="244"/>
      <c r="C4639" s="243"/>
      <c r="D4639" s="244"/>
      <c r="E4639" s="245"/>
      <c r="F4639" s="244"/>
      <c r="G4639" s="246"/>
      <c r="H4639" s="247"/>
      <c r="I4639" s="86"/>
      <c r="J4639" s="86"/>
      <c r="K4639" s="248"/>
      <c r="M4639" s="249"/>
    </row>
    <row r="4640" ht="15.75" customHeight="1">
      <c r="A4640" s="243"/>
      <c r="B4640" s="244"/>
      <c r="C4640" s="243"/>
      <c r="D4640" s="244"/>
      <c r="E4640" s="245"/>
      <c r="F4640" s="244"/>
      <c r="G4640" s="246"/>
      <c r="H4640" s="247"/>
      <c r="I4640" s="86"/>
      <c r="J4640" s="86"/>
      <c r="K4640" s="248"/>
      <c r="M4640" s="249"/>
    </row>
    <row r="4641" ht="15.75" customHeight="1">
      <c r="A4641" s="243"/>
      <c r="B4641" s="244"/>
      <c r="C4641" s="243"/>
      <c r="D4641" s="244"/>
      <c r="E4641" s="245"/>
      <c r="F4641" s="244"/>
      <c r="G4641" s="246"/>
      <c r="H4641" s="247"/>
      <c r="I4641" s="86"/>
      <c r="J4641" s="86"/>
      <c r="K4641" s="248"/>
      <c r="M4641" s="249"/>
    </row>
    <row r="4642" ht="15.75" customHeight="1">
      <c r="A4642" s="243"/>
      <c r="B4642" s="244"/>
      <c r="C4642" s="243"/>
      <c r="D4642" s="244"/>
      <c r="E4642" s="245"/>
      <c r="F4642" s="244"/>
      <c r="G4642" s="246"/>
      <c r="H4642" s="247"/>
      <c r="I4642" s="86"/>
      <c r="J4642" s="86"/>
      <c r="K4642" s="248"/>
      <c r="M4642" s="249"/>
    </row>
    <row r="4643" ht="15.75" customHeight="1">
      <c r="A4643" s="243"/>
      <c r="B4643" s="244"/>
      <c r="C4643" s="243"/>
      <c r="D4643" s="244"/>
      <c r="E4643" s="245"/>
      <c r="F4643" s="244"/>
      <c r="G4643" s="246"/>
      <c r="H4643" s="247"/>
      <c r="I4643" s="86"/>
      <c r="J4643" s="86"/>
      <c r="K4643" s="248"/>
      <c r="M4643" s="249"/>
    </row>
    <row r="4644" ht="15.75" customHeight="1">
      <c r="A4644" s="243"/>
      <c r="B4644" s="244"/>
      <c r="C4644" s="243"/>
      <c r="D4644" s="244"/>
      <c r="E4644" s="245"/>
      <c r="F4644" s="244"/>
      <c r="G4644" s="246"/>
      <c r="H4644" s="247"/>
      <c r="I4644" s="86"/>
      <c r="J4644" s="86"/>
      <c r="K4644" s="248"/>
      <c r="M4644" s="249"/>
    </row>
    <row r="4645" ht="15.75" customHeight="1">
      <c r="A4645" s="243"/>
      <c r="B4645" s="244"/>
      <c r="C4645" s="243"/>
      <c r="D4645" s="244"/>
      <c r="E4645" s="245"/>
      <c r="F4645" s="244"/>
      <c r="G4645" s="246"/>
      <c r="H4645" s="247"/>
      <c r="I4645" s="86"/>
      <c r="J4645" s="86"/>
      <c r="K4645" s="248"/>
      <c r="M4645" s="249"/>
    </row>
    <row r="4646" ht="15.75" customHeight="1">
      <c r="A4646" s="243"/>
      <c r="B4646" s="244"/>
      <c r="C4646" s="243"/>
      <c r="D4646" s="244"/>
      <c r="E4646" s="245"/>
      <c r="F4646" s="244"/>
      <c r="G4646" s="246"/>
      <c r="H4646" s="247"/>
      <c r="I4646" s="86"/>
      <c r="J4646" s="86"/>
      <c r="K4646" s="248"/>
      <c r="M4646" s="249"/>
    </row>
    <row r="4647" ht="15.75" customHeight="1">
      <c r="A4647" s="243"/>
      <c r="B4647" s="244"/>
      <c r="C4647" s="243"/>
      <c r="D4647" s="244"/>
      <c r="E4647" s="245"/>
      <c r="F4647" s="244"/>
      <c r="G4647" s="246"/>
      <c r="H4647" s="247"/>
      <c r="I4647" s="86"/>
      <c r="J4647" s="86"/>
      <c r="K4647" s="248"/>
      <c r="M4647" s="249"/>
    </row>
    <row r="4648" ht="15.75" customHeight="1">
      <c r="A4648" s="243"/>
      <c r="B4648" s="244"/>
      <c r="C4648" s="243"/>
      <c r="D4648" s="244"/>
      <c r="E4648" s="245"/>
      <c r="F4648" s="244"/>
      <c r="G4648" s="246"/>
      <c r="H4648" s="247"/>
      <c r="I4648" s="86"/>
      <c r="J4648" s="86"/>
      <c r="K4648" s="248"/>
      <c r="M4648" s="249"/>
    </row>
    <row r="4649" ht="15.75" customHeight="1">
      <c r="A4649" s="243"/>
      <c r="B4649" s="244"/>
      <c r="C4649" s="243"/>
      <c r="D4649" s="244"/>
      <c r="E4649" s="245"/>
      <c r="F4649" s="244"/>
      <c r="G4649" s="246"/>
      <c r="H4649" s="247"/>
      <c r="I4649" s="86"/>
      <c r="J4649" s="86"/>
      <c r="K4649" s="248"/>
      <c r="M4649" s="249"/>
    </row>
    <row r="4650" ht="15.75" customHeight="1">
      <c r="A4650" s="243"/>
      <c r="B4650" s="244"/>
      <c r="C4650" s="243"/>
      <c r="D4650" s="244"/>
      <c r="E4650" s="245"/>
      <c r="F4650" s="244"/>
      <c r="G4650" s="246"/>
      <c r="H4650" s="247"/>
      <c r="I4650" s="86"/>
      <c r="J4650" s="86"/>
      <c r="K4650" s="248"/>
      <c r="M4650" s="249"/>
    </row>
    <row r="4651" ht="15.75" customHeight="1">
      <c r="A4651" s="243"/>
      <c r="B4651" s="244"/>
      <c r="C4651" s="243"/>
      <c r="D4651" s="244"/>
      <c r="E4651" s="245"/>
      <c r="F4651" s="244"/>
      <c r="G4651" s="246"/>
      <c r="H4651" s="247"/>
      <c r="I4651" s="86"/>
      <c r="J4651" s="86"/>
      <c r="K4651" s="248"/>
      <c r="M4651" s="249"/>
    </row>
    <row r="4652" ht="15.75" customHeight="1">
      <c r="A4652" s="243"/>
      <c r="B4652" s="244"/>
      <c r="C4652" s="243"/>
      <c r="D4652" s="244"/>
      <c r="E4652" s="245"/>
      <c r="F4652" s="244"/>
      <c r="G4652" s="246"/>
      <c r="H4652" s="247"/>
      <c r="I4652" s="86"/>
      <c r="J4652" s="86"/>
      <c r="K4652" s="248"/>
      <c r="M4652" s="249"/>
    </row>
    <row r="4653" ht="15.75" customHeight="1">
      <c r="A4653" s="243"/>
      <c r="B4653" s="244"/>
      <c r="C4653" s="243"/>
      <c r="D4653" s="244"/>
      <c r="E4653" s="245"/>
      <c r="F4653" s="244"/>
      <c r="G4653" s="246"/>
      <c r="H4653" s="247"/>
      <c r="I4653" s="86"/>
      <c r="J4653" s="86"/>
      <c r="K4653" s="248"/>
      <c r="M4653" s="249"/>
    </row>
    <row r="4654" ht="15.75" customHeight="1">
      <c r="A4654" s="243"/>
      <c r="B4654" s="244"/>
      <c r="C4654" s="243"/>
      <c r="D4654" s="244"/>
      <c r="E4654" s="245"/>
      <c r="F4654" s="244"/>
      <c r="G4654" s="246"/>
      <c r="H4654" s="247"/>
      <c r="I4654" s="86"/>
      <c r="J4654" s="86"/>
      <c r="K4654" s="248"/>
      <c r="M4654" s="249"/>
    </row>
    <row r="4655" ht="15.75" customHeight="1">
      <c r="A4655" s="243"/>
      <c r="B4655" s="244"/>
      <c r="C4655" s="243"/>
      <c r="D4655" s="244"/>
      <c r="E4655" s="245"/>
      <c r="F4655" s="244"/>
      <c r="G4655" s="246"/>
      <c r="H4655" s="247"/>
      <c r="I4655" s="86"/>
      <c r="J4655" s="86"/>
      <c r="K4655" s="248"/>
      <c r="M4655" s="249"/>
    </row>
    <row r="4656" ht="15.75" customHeight="1">
      <c r="A4656" s="243"/>
      <c r="B4656" s="244"/>
      <c r="C4656" s="243"/>
      <c r="D4656" s="244"/>
      <c r="E4656" s="245"/>
      <c r="F4656" s="244"/>
      <c r="G4656" s="246"/>
      <c r="H4656" s="247"/>
      <c r="I4656" s="86"/>
      <c r="J4656" s="86"/>
      <c r="K4656" s="248"/>
      <c r="M4656" s="249"/>
    </row>
    <row r="4657" ht="15.75" customHeight="1">
      <c r="A4657" s="243"/>
      <c r="B4657" s="244"/>
      <c r="C4657" s="243"/>
      <c r="D4657" s="244"/>
      <c r="E4657" s="245"/>
      <c r="F4657" s="244"/>
      <c r="G4657" s="246"/>
      <c r="H4657" s="247"/>
      <c r="I4657" s="86"/>
      <c r="J4657" s="86"/>
      <c r="K4657" s="248"/>
      <c r="M4657" s="249"/>
    </row>
    <row r="4658" ht="15.75" customHeight="1">
      <c r="A4658" s="243"/>
      <c r="B4658" s="244"/>
      <c r="C4658" s="243"/>
      <c r="D4658" s="244"/>
      <c r="E4658" s="245"/>
      <c r="F4658" s="244"/>
      <c r="G4658" s="246"/>
      <c r="H4658" s="247"/>
      <c r="I4658" s="86"/>
      <c r="J4658" s="86"/>
      <c r="K4658" s="248"/>
      <c r="M4658" s="249"/>
    </row>
    <row r="4659" ht="15.75" customHeight="1">
      <c r="A4659" s="243"/>
      <c r="B4659" s="244"/>
      <c r="C4659" s="243"/>
      <c r="D4659" s="244"/>
      <c r="E4659" s="245"/>
      <c r="F4659" s="244"/>
      <c r="G4659" s="246"/>
      <c r="H4659" s="247"/>
      <c r="I4659" s="86"/>
      <c r="J4659" s="86"/>
      <c r="K4659" s="248"/>
      <c r="M4659" s="249"/>
    </row>
    <row r="4660" ht="15.75" customHeight="1">
      <c r="A4660" s="243"/>
      <c r="B4660" s="244"/>
      <c r="C4660" s="243"/>
      <c r="D4660" s="244"/>
      <c r="E4660" s="245"/>
      <c r="F4660" s="244"/>
      <c r="G4660" s="246"/>
      <c r="H4660" s="247"/>
      <c r="I4660" s="86"/>
      <c r="J4660" s="86"/>
      <c r="K4660" s="248"/>
      <c r="M4660" s="249"/>
    </row>
    <row r="4661" ht="15.75" customHeight="1">
      <c r="A4661" s="243"/>
      <c r="B4661" s="244"/>
      <c r="C4661" s="243"/>
      <c r="D4661" s="244"/>
      <c r="E4661" s="245"/>
      <c r="F4661" s="244"/>
      <c r="G4661" s="246"/>
      <c r="H4661" s="247"/>
      <c r="I4661" s="86"/>
      <c r="J4661" s="86"/>
      <c r="K4661" s="248"/>
      <c r="M4661" s="249"/>
    </row>
    <row r="4662" ht="15.75" customHeight="1">
      <c r="A4662" s="243"/>
      <c r="B4662" s="244"/>
      <c r="C4662" s="243"/>
      <c r="D4662" s="244"/>
      <c r="E4662" s="245"/>
      <c r="F4662" s="244"/>
      <c r="G4662" s="246"/>
      <c r="H4662" s="247"/>
      <c r="I4662" s="86"/>
      <c r="J4662" s="86"/>
      <c r="K4662" s="248"/>
      <c r="M4662" s="249"/>
    </row>
    <row r="4663" ht="15.75" customHeight="1">
      <c r="A4663" s="243"/>
      <c r="B4663" s="244"/>
      <c r="C4663" s="243"/>
      <c r="D4663" s="244"/>
      <c r="E4663" s="245"/>
      <c r="F4663" s="244"/>
      <c r="G4663" s="246"/>
      <c r="H4663" s="247"/>
      <c r="I4663" s="86"/>
      <c r="J4663" s="86"/>
      <c r="K4663" s="248"/>
      <c r="M4663" s="249"/>
    </row>
    <row r="4664" ht="15.75" customHeight="1">
      <c r="A4664" s="243"/>
      <c r="B4664" s="244"/>
      <c r="C4664" s="243"/>
      <c r="D4664" s="244"/>
      <c r="E4664" s="245"/>
      <c r="F4664" s="244"/>
      <c r="G4664" s="246"/>
      <c r="H4664" s="247"/>
      <c r="I4664" s="86"/>
      <c r="J4664" s="86"/>
      <c r="K4664" s="248"/>
      <c r="M4664" s="249"/>
    </row>
    <row r="4665" ht="15.75" customHeight="1">
      <c r="A4665" s="243"/>
      <c r="B4665" s="244"/>
      <c r="C4665" s="243"/>
      <c r="D4665" s="244"/>
      <c r="E4665" s="245"/>
      <c r="F4665" s="244"/>
      <c r="G4665" s="246"/>
      <c r="H4665" s="247"/>
      <c r="I4665" s="86"/>
      <c r="J4665" s="86"/>
      <c r="K4665" s="248"/>
      <c r="M4665" s="249"/>
    </row>
    <row r="4666" ht="15.75" customHeight="1">
      <c r="A4666" s="243"/>
      <c r="B4666" s="244"/>
      <c r="C4666" s="243"/>
      <c r="D4666" s="244"/>
      <c r="E4666" s="245"/>
      <c r="F4666" s="244"/>
      <c r="G4666" s="246"/>
      <c r="H4666" s="247"/>
      <c r="I4666" s="86"/>
      <c r="J4666" s="86"/>
      <c r="K4666" s="248"/>
      <c r="M4666" s="249"/>
    </row>
    <row r="4667" ht="15.75" customHeight="1">
      <c r="A4667" s="243"/>
      <c r="B4667" s="244"/>
      <c r="C4667" s="243"/>
      <c r="D4667" s="244"/>
      <c r="E4667" s="245"/>
      <c r="F4667" s="244"/>
      <c r="G4667" s="246"/>
      <c r="H4667" s="247"/>
      <c r="I4667" s="86"/>
      <c r="J4667" s="86"/>
      <c r="K4667" s="248"/>
      <c r="M4667" s="249"/>
    </row>
    <row r="4668" ht="15.75" customHeight="1">
      <c r="A4668" s="243"/>
      <c r="B4668" s="244"/>
      <c r="C4668" s="243"/>
      <c r="D4668" s="244"/>
      <c r="E4668" s="245"/>
      <c r="F4668" s="244"/>
      <c r="G4668" s="246"/>
      <c r="H4668" s="247"/>
      <c r="I4668" s="86"/>
      <c r="J4668" s="86"/>
      <c r="K4668" s="248"/>
      <c r="M4668" s="249"/>
    </row>
    <row r="4669" ht="15.75" customHeight="1">
      <c r="A4669" s="243"/>
      <c r="B4669" s="244"/>
      <c r="C4669" s="243"/>
      <c r="D4669" s="244"/>
      <c r="E4669" s="245"/>
      <c r="F4669" s="244"/>
      <c r="G4669" s="246"/>
      <c r="H4669" s="247"/>
      <c r="I4669" s="86"/>
      <c r="J4669" s="86"/>
      <c r="K4669" s="248"/>
      <c r="M4669" s="249"/>
    </row>
    <row r="4670" ht="15.75" customHeight="1">
      <c r="A4670" s="243"/>
      <c r="B4670" s="244"/>
      <c r="C4670" s="243"/>
      <c r="D4670" s="244"/>
      <c r="E4670" s="245"/>
      <c r="F4670" s="244"/>
      <c r="G4670" s="246"/>
      <c r="H4670" s="247"/>
      <c r="I4670" s="86"/>
      <c r="J4670" s="86"/>
      <c r="K4670" s="248"/>
      <c r="M4670" s="249"/>
    </row>
    <row r="4671" ht="15.75" customHeight="1">
      <c r="A4671" s="243"/>
      <c r="B4671" s="244"/>
      <c r="C4671" s="243"/>
      <c r="D4671" s="244"/>
      <c r="E4671" s="245"/>
      <c r="F4671" s="244"/>
      <c r="G4671" s="246"/>
      <c r="H4671" s="247"/>
      <c r="I4671" s="86"/>
      <c r="J4671" s="86"/>
      <c r="K4671" s="248"/>
      <c r="M4671" s="249"/>
    </row>
    <row r="4672" ht="15.75" customHeight="1">
      <c r="A4672" s="243"/>
      <c r="B4672" s="244"/>
      <c r="C4672" s="243"/>
      <c r="D4672" s="244"/>
      <c r="E4672" s="245"/>
      <c r="F4672" s="244"/>
      <c r="G4672" s="246"/>
      <c r="H4672" s="247"/>
      <c r="I4672" s="86"/>
      <c r="J4672" s="86"/>
      <c r="K4672" s="248"/>
      <c r="M4672" s="249"/>
    </row>
    <row r="4673" ht="15.75" customHeight="1">
      <c r="A4673" s="243"/>
      <c r="B4673" s="244"/>
      <c r="C4673" s="243"/>
      <c r="D4673" s="244"/>
      <c r="E4673" s="245"/>
      <c r="F4673" s="244"/>
      <c r="G4673" s="246"/>
      <c r="H4673" s="247"/>
      <c r="I4673" s="86"/>
      <c r="J4673" s="86"/>
      <c r="K4673" s="248"/>
      <c r="M4673" s="249"/>
    </row>
    <row r="4674" ht="15.75" customHeight="1">
      <c r="A4674" s="243"/>
      <c r="B4674" s="244"/>
      <c r="C4674" s="243"/>
      <c r="D4674" s="244"/>
      <c r="E4674" s="245"/>
      <c r="F4674" s="244"/>
      <c r="G4674" s="246"/>
      <c r="H4674" s="247"/>
      <c r="I4674" s="86"/>
      <c r="J4674" s="86"/>
      <c r="K4674" s="248"/>
      <c r="M4674" s="249"/>
    </row>
    <row r="4675" ht="15.75" customHeight="1">
      <c r="A4675" s="243"/>
      <c r="B4675" s="244"/>
      <c r="C4675" s="243"/>
      <c r="D4675" s="244"/>
      <c r="E4675" s="245"/>
      <c r="F4675" s="244"/>
      <c r="G4675" s="246"/>
      <c r="H4675" s="247"/>
      <c r="I4675" s="86"/>
      <c r="J4675" s="86"/>
      <c r="K4675" s="248"/>
      <c r="M4675" s="249"/>
    </row>
    <row r="4676" ht="15.75" customHeight="1">
      <c r="A4676" s="243"/>
      <c r="B4676" s="244"/>
      <c r="C4676" s="243"/>
      <c r="D4676" s="244"/>
      <c r="E4676" s="245"/>
      <c r="F4676" s="244"/>
      <c r="G4676" s="246"/>
      <c r="H4676" s="247"/>
      <c r="I4676" s="86"/>
      <c r="J4676" s="86"/>
      <c r="K4676" s="248"/>
      <c r="M4676" s="249"/>
    </row>
    <row r="4677" ht="15.75" customHeight="1">
      <c r="A4677" s="243"/>
      <c r="B4677" s="244"/>
      <c r="C4677" s="243"/>
      <c r="D4677" s="244"/>
      <c r="E4677" s="245"/>
      <c r="F4677" s="244"/>
      <c r="G4677" s="246"/>
      <c r="H4677" s="247"/>
      <c r="I4677" s="86"/>
      <c r="J4677" s="86"/>
      <c r="K4677" s="248"/>
      <c r="M4677" s="249"/>
    </row>
    <row r="4678" ht="15.75" customHeight="1">
      <c r="A4678" s="243"/>
      <c r="B4678" s="244"/>
      <c r="C4678" s="243"/>
      <c r="D4678" s="244"/>
      <c r="E4678" s="245"/>
      <c r="F4678" s="244"/>
      <c r="G4678" s="246"/>
      <c r="H4678" s="247"/>
      <c r="I4678" s="86"/>
      <c r="J4678" s="86"/>
      <c r="K4678" s="248"/>
      <c r="M4678" s="249"/>
    </row>
    <row r="4679" ht="15.75" customHeight="1">
      <c r="A4679" s="243"/>
      <c r="B4679" s="244"/>
      <c r="C4679" s="243"/>
      <c r="D4679" s="244"/>
      <c r="E4679" s="245"/>
      <c r="F4679" s="244"/>
      <c r="G4679" s="246"/>
      <c r="H4679" s="247"/>
      <c r="I4679" s="86"/>
      <c r="J4679" s="86"/>
      <c r="K4679" s="248"/>
      <c r="M4679" s="249"/>
    </row>
    <row r="4680" ht="15.75" customHeight="1">
      <c r="A4680" s="243"/>
      <c r="B4680" s="244"/>
      <c r="C4680" s="243"/>
      <c r="D4680" s="244"/>
      <c r="E4680" s="245"/>
      <c r="F4680" s="244"/>
      <c r="G4680" s="246"/>
      <c r="H4680" s="247"/>
      <c r="I4680" s="86"/>
      <c r="J4680" s="86"/>
      <c r="K4680" s="248"/>
      <c r="M4680" s="249"/>
    </row>
    <row r="4681" ht="15.75" customHeight="1">
      <c r="A4681" s="243"/>
      <c r="B4681" s="244"/>
      <c r="C4681" s="243"/>
      <c r="D4681" s="244"/>
      <c r="E4681" s="245"/>
      <c r="F4681" s="244"/>
      <c r="G4681" s="246"/>
      <c r="H4681" s="247"/>
      <c r="I4681" s="86"/>
      <c r="J4681" s="86"/>
      <c r="K4681" s="248"/>
      <c r="M4681" s="249"/>
    </row>
    <row r="4682" ht="15.75" customHeight="1">
      <c r="A4682" s="243"/>
      <c r="B4682" s="244"/>
      <c r="C4682" s="243"/>
      <c r="D4682" s="244"/>
      <c r="E4682" s="245"/>
      <c r="F4682" s="244"/>
      <c r="G4682" s="246"/>
      <c r="H4682" s="247"/>
      <c r="I4682" s="86"/>
      <c r="J4682" s="86"/>
      <c r="K4682" s="248"/>
      <c r="M4682" s="249"/>
    </row>
    <row r="4683" ht="15.75" customHeight="1">
      <c r="A4683" s="243"/>
      <c r="B4683" s="244"/>
      <c r="C4683" s="243"/>
      <c r="D4683" s="244"/>
      <c r="E4683" s="245"/>
      <c r="F4683" s="244"/>
      <c r="G4683" s="246"/>
      <c r="H4683" s="247"/>
      <c r="I4683" s="86"/>
      <c r="J4683" s="86"/>
      <c r="K4683" s="248"/>
      <c r="M4683" s="249"/>
    </row>
    <row r="4684" ht="15.75" customHeight="1">
      <c r="A4684" s="243"/>
      <c r="B4684" s="244"/>
      <c r="C4684" s="243"/>
      <c r="D4684" s="244"/>
      <c r="E4684" s="245"/>
      <c r="F4684" s="244"/>
      <c r="G4684" s="246"/>
      <c r="H4684" s="247"/>
      <c r="I4684" s="86"/>
      <c r="J4684" s="86"/>
      <c r="K4684" s="248"/>
      <c r="M4684" s="249"/>
    </row>
    <row r="4685" ht="15.75" customHeight="1">
      <c r="A4685" s="243"/>
      <c r="B4685" s="244"/>
      <c r="C4685" s="243"/>
      <c r="D4685" s="244"/>
      <c r="E4685" s="245"/>
      <c r="F4685" s="244"/>
      <c r="G4685" s="246"/>
      <c r="H4685" s="247"/>
      <c r="I4685" s="86"/>
      <c r="J4685" s="86"/>
      <c r="K4685" s="248"/>
      <c r="M4685" s="249"/>
    </row>
    <row r="4686" ht="15.75" customHeight="1">
      <c r="A4686" s="243"/>
      <c r="B4686" s="244"/>
      <c r="C4686" s="243"/>
      <c r="D4686" s="244"/>
      <c r="E4686" s="245"/>
      <c r="F4686" s="244"/>
      <c r="G4686" s="246"/>
      <c r="H4686" s="247"/>
      <c r="I4686" s="86"/>
      <c r="J4686" s="86"/>
      <c r="K4686" s="248"/>
      <c r="M4686" s="249"/>
    </row>
    <row r="4687" ht="15.75" customHeight="1">
      <c r="A4687" s="243"/>
      <c r="B4687" s="244"/>
      <c r="C4687" s="243"/>
      <c r="D4687" s="244"/>
      <c r="E4687" s="245"/>
      <c r="F4687" s="244"/>
      <c r="G4687" s="246"/>
      <c r="H4687" s="247"/>
      <c r="I4687" s="86"/>
      <c r="J4687" s="86"/>
      <c r="K4687" s="248"/>
      <c r="M4687" s="249"/>
    </row>
    <row r="4688" ht="15.75" customHeight="1">
      <c r="A4688" s="243"/>
      <c r="B4688" s="244"/>
      <c r="C4688" s="243"/>
      <c r="D4688" s="244"/>
      <c r="E4688" s="245"/>
      <c r="F4688" s="244"/>
      <c r="G4688" s="246"/>
      <c r="H4688" s="247"/>
      <c r="I4688" s="86"/>
      <c r="J4688" s="86"/>
      <c r="K4688" s="248"/>
      <c r="M4688" s="249"/>
    </row>
    <row r="4689" ht="15.75" customHeight="1">
      <c r="A4689" s="243"/>
      <c r="B4689" s="244"/>
      <c r="C4689" s="243"/>
      <c r="D4689" s="244"/>
      <c r="E4689" s="245"/>
      <c r="F4689" s="244"/>
      <c r="G4689" s="246"/>
      <c r="H4689" s="247"/>
      <c r="I4689" s="86"/>
      <c r="J4689" s="86"/>
      <c r="K4689" s="248"/>
      <c r="M4689" s="249"/>
    </row>
    <row r="4690" ht="15.75" customHeight="1">
      <c r="A4690" s="243"/>
      <c r="B4690" s="244"/>
      <c r="C4690" s="243"/>
      <c r="D4690" s="244"/>
      <c r="E4690" s="245"/>
      <c r="F4690" s="244"/>
      <c r="G4690" s="246"/>
      <c r="H4690" s="247"/>
      <c r="I4690" s="86"/>
      <c r="J4690" s="86"/>
      <c r="K4690" s="248"/>
      <c r="M4690" s="249"/>
    </row>
    <row r="4691" ht="15.75" customHeight="1">
      <c r="A4691" s="243"/>
      <c r="B4691" s="244"/>
      <c r="C4691" s="243"/>
      <c r="D4691" s="244"/>
      <c r="E4691" s="245"/>
      <c r="F4691" s="244"/>
      <c r="G4691" s="246"/>
      <c r="H4691" s="247"/>
      <c r="I4691" s="86"/>
      <c r="J4691" s="86"/>
      <c r="K4691" s="248"/>
      <c r="M4691" s="249"/>
    </row>
    <row r="4692" ht="15.75" customHeight="1">
      <c r="A4692" s="243"/>
      <c r="B4692" s="244"/>
      <c r="C4692" s="243"/>
      <c r="D4692" s="244"/>
      <c r="E4692" s="245"/>
      <c r="F4692" s="244"/>
      <c r="G4692" s="246"/>
      <c r="H4692" s="247"/>
      <c r="I4692" s="86"/>
      <c r="J4692" s="86"/>
      <c r="K4692" s="248"/>
      <c r="M4692" s="249"/>
    </row>
    <row r="4693" ht="15.75" customHeight="1">
      <c r="A4693" s="243"/>
      <c r="B4693" s="244"/>
      <c r="C4693" s="243"/>
      <c r="D4693" s="244"/>
      <c r="E4693" s="245"/>
      <c r="F4693" s="244"/>
      <c r="G4693" s="246"/>
      <c r="H4693" s="247"/>
      <c r="I4693" s="86"/>
      <c r="J4693" s="86"/>
      <c r="K4693" s="248"/>
      <c r="M4693" s="249"/>
    </row>
    <row r="4694" ht="15.75" customHeight="1">
      <c r="A4694" s="243"/>
      <c r="B4694" s="244"/>
      <c r="C4694" s="243"/>
      <c r="D4694" s="244"/>
      <c r="E4694" s="245"/>
      <c r="F4694" s="244"/>
      <c r="G4694" s="246"/>
      <c r="H4694" s="247"/>
      <c r="I4694" s="86"/>
      <c r="J4694" s="86"/>
      <c r="K4694" s="248"/>
      <c r="M4694" s="249"/>
    </row>
    <row r="4695" ht="15.75" customHeight="1">
      <c r="A4695" s="243"/>
      <c r="B4695" s="244"/>
      <c r="C4695" s="243"/>
      <c r="D4695" s="244"/>
      <c r="E4695" s="245"/>
      <c r="F4695" s="244"/>
      <c r="G4695" s="246"/>
      <c r="H4695" s="247"/>
      <c r="I4695" s="86"/>
      <c r="J4695" s="86"/>
      <c r="K4695" s="248"/>
      <c r="M4695" s="249"/>
    </row>
    <row r="4696" ht="15.75" customHeight="1">
      <c r="A4696" s="243"/>
      <c r="B4696" s="244"/>
      <c r="C4696" s="243"/>
      <c r="D4696" s="244"/>
      <c r="E4696" s="245"/>
      <c r="F4696" s="244"/>
      <c r="G4696" s="246"/>
      <c r="H4696" s="247"/>
      <c r="I4696" s="86"/>
      <c r="J4696" s="86"/>
      <c r="K4696" s="248"/>
      <c r="M4696" s="249"/>
    </row>
    <row r="4697" ht="15.75" customHeight="1">
      <c r="A4697" s="243"/>
      <c r="B4697" s="244"/>
      <c r="C4697" s="243"/>
      <c r="D4697" s="244"/>
      <c r="E4697" s="245"/>
      <c r="F4697" s="244"/>
      <c r="G4697" s="246"/>
      <c r="H4697" s="247"/>
      <c r="I4697" s="86"/>
      <c r="J4697" s="86"/>
      <c r="K4697" s="248"/>
      <c r="M4697" s="249"/>
    </row>
    <row r="4698" ht="15.75" customHeight="1">
      <c r="A4698" s="243"/>
      <c r="B4698" s="244"/>
      <c r="C4698" s="243"/>
      <c r="D4698" s="244"/>
      <c r="E4698" s="245"/>
      <c r="F4698" s="244"/>
      <c r="G4698" s="246"/>
      <c r="H4698" s="247"/>
      <c r="I4698" s="86"/>
      <c r="J4698" s="86"/>
      <c r="K4698" s="248"/>
      <c r="M4698" s="249"/>
    </row>
    <row r="4699" ht="15.75" customHeight="1">
      <c r="A4699" s="243"/>
      <c r="B4699" s="244"/>
      <c r="C4699" s="243"/>
      <c r="D4699" s="244"/>
      <c r="E4699" s="245"/>
      <c r="F4699" s="244"/>
      <c r="G4699" s="246"/>
      <c r="H4699" s="247"/>
      <c r="I4699" s="86"/>
      <c r="J4699" s="86"/>
      <c r="K4699" s="248"/>
      <c r="M4699" s="249"/>
    </row>
    <row r="4700" ht="15.75" customHeight="1">
      <c r="A4700" s="243"/>
      <c r="B4700" s="244"/>
      <c r="C4700" s="243"/>
      <c r="D4700" s="244"/>
      <c r="E4700" s="245"/>
      <c r="F4700" s="244"/>
      <c r="G4700" s="246"/>
      <c r="H4700" s="247"/>
      <c r="I4700" s="86"/>
      <c r="J4700" s="86"/>
      <c r="K4700" s="248"/>
      <c r="M4700" s="249"/>
    </row>
    <row r="4701" ht="15.75" customHeight="1">
      <c r="A4701" s="243"/>
      <c r="B4701" s="244"/>
      <c r="C4701" s="243"/>
      <c r="D4701" s="244"/>
      <c r="E4701" s="245"/>
      <c r="F4701" s="244"/>
      <c r="G4701" s="246"/>
      <c r="H4701" s="247"/>
      <c r="I4701" s="86"/>
      <c r="J4701" s="86"/>
      <c r="K4701" s="248"/>
      <c r="M4701" s="249"/>
    </row>
    <row r="4702" ht="15.75" customHeight="1">
      <c r="A4702" s="243"/>
      <c r="B4702" s="244"/>
      <c r="C4702" s="243"/>
      <c r="D4702" s="244"/>
      <c r="E4702" s="245"/>
      <c r="F4702" s="244"/>
      <c r="G4702" s="246"/>
      <c r="H4702" s="247"/>
      <c r="I4702" s="86"/>
      <c r="J4702" s="86"/>
      <c r="K4702" s="248"/>
      <c r="M4702" s="249"/>
    </row>
    <row r="4703" ht="15.75" customHeight="1">
      <c r="A4703" s="243"/>
      <c r="B4703" s="244"/>
      <c r="C4703" s="243"/>
      <c r="D4703" s="244"/>
      <c r="E4703" s="245"/>
      <c r="F4703" s="244"/>
      <c r="G4703" s="246"/>
      <c r="H4703" s="247"/>
      <c r="I4703" s="86"/>
      <c r="J4703" s="86"/>
      <c r="K4703" s="248"/>
      <c r="M4703" s="249"/>
    </row>
    <row r="4704" ht="15.75" customHeight="1">
      <c r="A4704" s="243"/>
      <c r="B4704" s="244"/>
      <c r="C4704" s="243"/>
      <c r="D4704" s="244"/>
      <c r="E4704" s="245"/>
      <c r="F4704" s="244"/>
      <c r="G4704" s="246"/>
      <c r="H4704" s="247"/>
      <c r="I4704" s="86"/>
      <c r="J4704" s="86"/>
      <c r="K4704" s="248"/>
      <c r="M4704" s="249"/>
    </row>
    <row r="4705" ht="15.75" customHeight="1">
      <c r="A4705" s="243"/>
      <c r="B4705" s="244"/>
      <c r="C4705" s="243"/>
      <c r="D4705" s="244"/>
      <c r="E4705" s="245"/>
      <c r="F4705" s="244"/>
      <c r="G4705" s="246"/>
      <c r="H4705" s="247"/>
      <c r="I4705" s="86"/>
      <c r="J4705" s="86"/>
      <c r="K4705" s="248"/>
      <c r="M4705" s="249"/>
    </row>
    <row r="4706" ht="15.75" customHeight="1">
      <c r="A4706" s="243"/>
      <c r="B4706" s="244"/>
      <c r="C4706" s="243"/>
      <c r="D4706" s="244"/>
      <c r="E4706" s="245"/>
      <c r="F4706" s="244"/>
      <c r="G4706" s="246"/>
      <c r="H4706" s="247"/>
      <c r="I4706" s="86"/>
      <c r="J4706" s="86"/>
      <c r="K4706" s="248"/>
      <c r="M4706" s="249"/>
    </row>
    <row r="4707" ht="15.75" customHeight="1">
      <c r="A4707" s="243"/>
      <c r="B4707" s="244"/>
      <c r="C4707" s="243"/>
      <c r="D4707" s="244"/>
      <c r="E4707" s="245"/>
      <c r="F4707" s="244"/>
      <c r="G4707" s="246"/>
      <c r="H4707" s="247"/>
      <c r="I4707" s="86"/>
      <c r="J4707" s="86"/>
      <c r="K4707" s="248"/>
      <c r="M4707" s="249"/>
    </row>
    <row r="4708" ht="15.75" customHeight="1">
      <c r="A4708" s="243"/>
      <c r="B4708" s="244"/>
      <c r="C4708" s="243"/>
      <c r="D4708" s="244"/>
      <c r="E4708" s="245"/>
      <c r="F4708" s="244"/>
      <c r="G4708" s="246"/>
      <c r="H4708" s="247"/>
      <c r="I4708" s="86"/>
      <c r="J4708" s="86"/>
      <c r="K4708" s="248"/>
      <c r="M4708" s="249"/>
    </row>
    <row r="4709" ht="15.75" customHeight="1">
      <c r="A4709" s="243"/>
      <c r="B4709" s="244"/>
      <c r="C4709" s="243"/>
      <c r="D4709" s="244"/>
      <c r="E4709" s="245"/>
      <c r="F4709" s="244"/>
      <c r="G4709" s="246"/>
      <c r="H4709" s="247"/>
      <c r="I4709" s="86"/>
      <c r="J4709" s="86"/>
      <c r="K4709" s="248"/>
      <c r="M4709" s="249"/>
    </row>
    <row r="4710" ht="15.75" customHeight="1">
      <c r="A4710" s="243"/>
      <c r="B4710" s="244"/>
      <c r="C4710" s="243"/>
      <c r="D4710" s="244"/>
      <c r="E4710" s="245"/>
      <c r="F4710" s="244"/>
      <c r="G4710" s="246"/>
      <c r="H4710" s="247"/>
      <c r="I4710" s="86"/>
      <c r="J4710" s="86"/>
      <c r="K4710" s="248"/>
      <c r="M4710" s="249"/>
    </row>
    <row r="4711" ht="15.75" customHeight="1">
      <c r="A4711" s="243"/>
      <c r="B4711" s="244"/>
      <c r="C4711" s="243"/>
      <c r="D4711" s="244"/>
      <c r="E4711" s="245"/>
      <c r="F4711" s="244"/>
      <c r="G4711" s="246"/>
      <c r="H4711" s="247"/>
      <c r="I4711" s="86"/>
      <c r="J4711" s="86"/>
      <c r="K4711" s="248"/>
      <c r="M4711" s="249"/>
    </row>
    <row r="4712" ht="15.75" customHeight="1">
      <c r="A4712" s="243"/>
      <c r="B4712" s="244"/>
      <c r="C4712" s="243"/>
      <c r="D4712" s="244"/>
      <c r="E4712" s="245"/>
      <c r="F4712" s="244"/>
      <c r="G4712" s="246"/>
      <c r="H4712" s="247"/>
      <c r="I4712" s="86"/>
      <c r="J4712" s="86"/>
      <c r="K4712" s="248"/>
      <c r="M4712" s="249"/>
    </row>
    <row r="4713" ht="15.75" customHeight="1">
      <c r="A4713" s="243"/>
      <c r="B4713" s="244"/>
      <c r="C4713" s="243"/>
      <c r="D4713" s="244"/>
      <c r="E4713" s="245"/>
      <c r="F4713" s="244"/>
      <c r="G4713" s="246"/>
      <c r="H4713" s="247"/>
      <c r="I4713" s="86"/>
      <c r="J4713" s="86"/>
      <c r="K4713" s="248"/>
      <c r="M4713" s="249"/>
    </row>
    <row r="4714" ht="15.75" customHeight="1">
      <c r="A4714" s="243"/>
      <c r="B4714" s="244"/>
      <c r="C4714" s="243"/>
      <c r="D4714" s="244"/>
      <c r="E4714" s="245"/>
      <c r="F4714" s="244"/>
      <c r="G4714" s="246"/>
      <c r="H4714" s="247"/>
      <c r="I4714" s="86"/>
      <c r="J4714" s="86"/>
      <c r="K4714" s="248"/>
      <c r="M4714" s="249"/>
    </row>
    <row r="4715" ht="15.75" customHeight="1">
      <c r="A4715" s="243"/>
      <c r="B4715" s="244"/>
      <c r="C4715" s="243"/>
      <c r="D4715" s="244"/>
      <c r="E4715" s="245"/>
      <c r="F4715" s="244"/>
      <c r="G4715" s="246"/>
      <c r="H4715" s="247"/>
      <c r="I4715" s="86"/>
      <c r="J4715" s="86"/>
      <c r="K4715" s="248"/>
      <c r="M4715" s="249"/>
    </row>
    <row r="4716" ht="15.75" customHeight="1">
      <c r="A4716" s="243"/>
      <c r="B4716" s="244"/>
      <c r="C4716" s="243"/>
      <c r="D4716" s="244"/>
      <c r="E4716" s="245"/>
      <c r="F4716" s="244"/>
      <c r="G4716" s="246"/>
      <c r="H4716" s="247"/>
      <c r="I4716" s="86"/>
      <c r="J4716" s="86"/>
      <c r="K4716" s="248"/>
      <c r="M4716" s="249"/>
    </row>
    <row r="4717" ht="15.75" customHeight="1">
      <c r="A4717" s="243"/>
      <c r="B4717" s="244"/>
      <c r="C4717" s="243"/>
      <c r="D4717" s="244"/>
      <c r="E4717" s="245"/>
      <c r="F4717" s="244"/>
      <c r="G4717" s="246"/>
      <c r="H4717" s="247"/>
      <c r="I4717" s="86"/>
      <c r="J4717" s="86"/>
      <c r="K4717" s="248"/>
      <c r="M4717" s="249"/>
    </row>
    <row r="4718" ht="15.75" customHeight="1">
      <c r="A4718" s="243"/>
      <c r="B4718" s="244"/>
      <c r="C4718" s="243"/>
      <c r="D4718" s="244"/>
      <c r="E4718" s="245"/>
      <c r="F4718" s="244"/>
      <c r="G4718" s="246"/>
      <c r="H4718" s="247"/>
      <c r="I4718" s="86"/>
      <c r="J4718" s="86"/>
      <c r="K4718" s="248"/>
      <c r="M4718" s="249"/>
    </row>
    <row r="4719" ht="15.75" customHeight="1">
      <c r="A4719" s="243"/>
      <c r="B4719" s="244"/>
      <c r="C4719" s="243"/>
      <c r="D4719" s="244"/>
      <c r="E4719" s="245"/>
      <c r="F4719" s="244"/>
      <c r="G4719" s="246"/>
      <c r="H4719" s="247"/>
      <c r="I4719" s="86"/>
      <c r="J4719" s="86"/>
      <c r="K4719" s="248"/>
      <c r="M4719" s="249"/>
    </row>
    <row r="4720" ht="15.75" customHeight="1">
      <c r="A4720" s="243"/>
      <c r="B4720" s="244"/>
      <c r="C4720" s="243"/>
      <c r="D4720" s="244"/>
      <c r="E4720" s="245"/>
      <c r="F4720" s="244"/>
      <c r="G4720" s="246"/>
      <c r="H4720" s="247"/>
      <c r="I4720" s="86"/>
      <c r="J4720" s="86"/>
      <c r="K4720" s="248"/>
      <c r="M4720" s="249"/>
    </row>
    <row r="4721" ht="15.75" customHeight="1">
      <c r="A4721" s="243"/>
      <c r="B4721" s="244"/>
      <c r="C4721" s="243"/>
      <c r="D4721" s="244"/>
      <c r="E4721" s="245"/>
      <c r="F4721" s="244"/>
      <c r="G4721" s="246"/>
      <c r="H4721" s="247"/>
      <c r="I4721" s="86"/>
      <c r="J4721" s="86"/>
      <c r="K4721" s="248"/>
      <c r="M4721" s="249"/>
    </row>
    <row r="4722" ht="15.75" customHeight="1">
      <c r="A4722" s="243"/>
      <c r="B4722" s="244"/>
      <c r="C4722" s="243"/>
      <c r="D4722" s="244"/>
      <c r="E4722" s="245"/>
      <c r="F4722" s="244"/>
      <c r="G4722" s="246"/>
      <c r="H4722" s="247"/>
      <c r="I4722" s="86"/>
      <c r="J4722" s="86"/>
      <c r="K4722" s="248"/>
      <c r="M4722" s="249"/>
    </row>
    <row r="4723" ht="15.75" customHeight="1">
      <c r="A4723" s="243"/>
      <c r="B4723" s="244"/>
      <c r="C4723" s="243"/>
      <c r="D4723" s="244"/>
      <c r="E4723" s="245"/>
      <c r="F4723" s="244"/>
      <c r="G4723" s="246"/>
      <c r="H4723" s="247"/>
      <c r="I4723" s="86"/>
      <c r="J4723" s="86"/>
      <c r="K4723" s="248"/>
      <c r="M4723" s="249"/>
    </row>
    <row r="4724" ht="15.75" customHeight="1">
      <c r="A4724" s="243"/>
      <c r="B4724" s="244"/>
      <c r="C4724" s="243"/>
      <c r="D4724" s="244"/>
      <c r="E4724" s="245"/>
      <c r="F4724" s="244"/>
      <c r="G4724" s="246"/>
      <c r="H4724" s="247"/>
      <c r="I4724" s="86"/>
      <c r="J4724" s="86"/>
      <c r="K4724" s="248"/>
      <c r="M4724" s="249"/>
    </row>
    <row r="4725" ht="15.75" customHeight="1">
      <c r="A4725" s="243"/>
      <c r="B4725" s="244"/>
      <c r="C4725" s="243"/>
      <c r="D4725" s="244"/>
      <c r="E4725" s="245"/>
      <c r="F4725" s="244"/>
      <c r="G4725" s="246"/>
      <c r="H4725" s="247"/>
      <c r="I4725" s="86"/>
      <c r="J4725" s="86"/>
      <c r="K4725" s="248"/>
      <c r="M4725" s="249"/>
    </row>
    <row r="4726" ht="15.75" customHeight="1">
      <c r="A4726" s="243"/>
      <c r="B4726" s="244"/>
      <c r="C4726" s="243"/>
      <c r="D4726" s="244"/>
      <c r="E4726" s="245"/>
      <c r="F4726" s="244"/>
      <c r="G4726" s="246"/>
      <c r="H4726" s="247"/>
      <c r="I4726" s="86"/>
      <c r="J4726" s="86"/>
      <c r="K4726" s="248"/>
      <c r="M4726" s="249"/>
    </row>
    <row r="4727" ht="15.75" customHeight="1">
      <c r="A4727" s="243"/>
      <c r="B4727" s="244"/>
      <c r="C4727" s="243"/>
      <c r="D4727" s="244"/>
      <c r="E4727" s="245"/>
      <c r="F4727" s="244"/>
      <c r="G4727" s="246"/>
      <c r="H4727" s="247"/>
      <c r="I4727" s="86"/>
      <c r="J4727" s="86"/>
      <c r="K4727" s="248"/>
      <c r="M4727" s="249"/>
    </row>
    <row r="4728" ht="15.75" customHeight="1">
      <c r="A4728" s="243"/>
      <c r="B4728" s="244"/>
      <c r="C4728" s="243"/>
      <c r="D4728" s="244"/>
      <c r="E4728" s="245"/>
      <c r="F4728" s="244"/>
      <c r="G4728" s="246"/>
      <c r="H4728" s="247"/>
      <c r="I4728" s="86"/>
      <c r="J4728" s="86"/>
      <c r="K4728" s="248"/>
      <c r="M4728" s="249"/>
    </row>
    <row r="4729" ht="15.75" customHeight="1">
      <c r="A4729" s="243"/>
      <c r="B4729" s="244"/>
      <c r="C4729" s="243"/>
      <c r="D4729" s="244"/>
      <c r="E4729" s="245"/>
      <c r="F4729" s="244"/>
      <c r="G4729" s="246"/>
      <c r="H4729" s="247"/>
      <c r="I4729" s="86"/>
      <c r="J4729" s="86"/>
      <c r="K4729" s="248"/>
      <c r="M4729" s="249"/>
    </row>
    <row r="4730" ht="15.75" customHeight="1">
      <c r="A4730" s="243"/>
      <c r="B4730" s="244"/>
      <c r="C4730" s="243"/>
      <c r="D4730" s="244"/>
      <c r="E4730" s="245"/>
      <c r="F4730" s="244"/>
      <c r="G4730" s="246"/>
      <c r="H4730" s="247"/>
      <c r="I4730" s="86"/>
      <c r="J4730" s="86"/>
      <c r="K4730" s="248"/>
      <c r="M4730" s="249"/>
    </row>
    <row r="4731" ht="15.75" customHeight="1">
      <c r="A4731" s="243"/>
      <c r="B4731" s="244"/>
      <c r="C4731" s="243"/>
      <c r="D4731" s="244"/>
      <c r="E4731" s="245"/>
      <c r="F4731" s="244"/>
      <c r="G4731" s="246"/>
      <c r="H4731" s="247"/>
      <c r="I4731" s="86"/>
      <c r="J4731" s="86"/>
      <c r="K4731" s="248"/>
      <c r="M4731" s="249"/>
    </row>
    <row r="4732" ht="15.75" customHeight="1">
      <c r="A4732" s="243"/>
      <c r="B4732" s="244"/>
      <c r="C4732" s="243"/>
      <c r="D4732" s="244"/>
      <c r="E4732" s="245"/>
      <c r="F4732" s="244"/>
      <c r="G4732" s="246"/>
      <c r="H4732" s="247"/>
      <c r="I4732" s="86"/>
      <c r="J4732" s="86"/>
      <c r="K4732" s="248"/>
      <c r="M4732" s="249"/>
    </row>
    <row r="4733" ht="15.75" customHeight="1">
      <c r="A4733" s="243"/>
      <c r="B4733" s="244"/>
      <c r="C4733" s="243"/>
      <c r="D4733" s="244"/>
      <c r="E4733" s="245"/>
      <c r="F4733" s="244"/>
      <c r="G4733" s="246"/>
      <c r="H4733" s="247"/>
      <c r="I4733" s="86"/>
      <c r="J4733" s="86"/>
      <c r="K4733" s="248"/>
      <c r="M4733" s="249"/>
    </row>
    <row r="4734" ht="15.75" customHeight="1">
      <c r="A4734" s="243"/>
      <c r="B4734" s="244"/>
      <c r="C4734" s="243"/>
      <c r="D4734" s="244"/>
      <c r="E4734" s="245"/>
      <c r="F4734" s="244"/>
      <c r="G4734" s="246"/>
      <c r="H4734" s="247"/>
      <c r="I4734" s="86"/>
      <c r="J4734" s="86"/>
      <c r="K4734" s="248"/>
      <c r="M4734" s="249"/>
    </row>
    <row r="4735" ht="15.75" customHeight="1">
      <c r="A4735" s="243"/>
      <c r="B4735" s="244"/>
      <c r="C4735" s="243"/>
      <c r="D4735" s="244"/>
      <c r="E4735" s="245"/>
      <c r="F4735" s="244"/>
      <c r="G4735" s="246"/>
      <c r="H4735" s="247"/>
      <c r="I4735" s="86"/>
      <c r="J4735" s="86"/>
      <c r="K4735" s="248"/>
      <c r="M4735" s="249"/>
    </row>
    <row r="4736" ht="15.75" customHeight="1">
      <c r="A4736" s="243"/>
      <c r="B4736" s="244"/>
      <c r="C4736" s="243"/>
      <c r="D4736" s="244"/>
      <c r="E4736" s="245"/>
      <c r="F4736" s="244"/>
      <c r="G4736" s="246"/>
      <c r="H4736" s="247"/>
      <c r="I4736" s="86"/>
      <c r="J4736" s="86"/>
      <c r="K4736" s="248"/>
      <c r="M4736" s="249"/>
    </row>
    <row r="4737" ht="15.75" customHeight="1">
      <c r="A4737" s="243"/>
      <c r="B4737" s="244"/>
      <c r="C4737" s="243"/>
      <c r="D4737" s="244"/>
      <c r="E4737" s="245"/>
      <c r="F4737" s="244"/>
      <c r="G4737" s="246"/>
      <c r="H4737" s="247"/>
      <c r="I4737" s="86"/>
      <c r="J4737" s="86"/>
      <c r="K4737" s="248"/>
      <c r="M4737" s="249"/>
    </row>
    <row r="4738" ht="15.75" customHeight="1">
      <c r="A4738" s="243"/>
      <c r="B4738" s="244"/>
      <c r="C4738" s="243"/>
      <c r="D4738" s="244"/>
      <c r="E4738" s="245"/>
      <c r="F4738" s="244"/>
      <c r="G4738" s="246"/>
      <c r="H4738" s="247"/>
      <c r="I4738" s="86"/>
      <c r="J4738" s="86"/>
      <c r="K4738" s="248"/>
      <c r="M4738" s="249"/>
    </row>
    <row r="4739" ht="15.75" customHeight="1">
      <c r="A4739" s="243"/>
      <c r="B4739" s="244"/>
      <c r="C4739" s="243"/>
      <c r="D4739" s="244"/>
      <c r="E4739" s="245"/>
      <c r="F4739" s="244"/>
      <c r="G4739" s="246"/>
      <c r="H4739" s="247"/>
      <c r="I4739" s="86"/>
      <c r="J4739" s="86"/>
      <c r="K4739" s="248"/>
      <c r="M4739" s="249"/>
    </row>
    <row r="4740" ht="15.75" customHeight="1">
      <c r="A4740" s="243"/>
      <c r="B4740" s="244"/>
      <c r="C4740" s="243"/>
      <c r="D4740" s="244"/>
      <c r="E4740" s="245"/>
      <c r="F4740" s="244"/>
      <c r="G4740" s="246"/>
      <c r="H4740" s="247"/>
      <c r="I4740" s="86"/>
      <c r="J4740" s="86"/>
      <c r="K4740" s="248"/>
      <c r="M4740" s="249"/>
    </row>
    <row r="4741" ht="15.75" customHeight="1">
      <c r="A4741" s="243"/>
      <c r="B4741" s="244"/>
      <c r="C4741" s="243"/>
      <c r="D4741" s="244"/>
      <c r="E4741" s="245"/>
      <c r="F4741" s="244"/>
      <c r="G4741" s="246"/>
      <c r="H4741" s="247"/>
      <c r="I4741" s="86"/>
      <c r="J4741" s="86"/>
      <c r="K4741" s="248"/>
      <c r="M4741" s="249"/>
    </row>
    <row r="4742" ht="15.75" customHeight="1">
      <c r="A4742" s="243"/>
      <c r="B4742" s="244"/>
      <c r="C4742" s="243"/>
      <c r="D4742" s="244"/>
      <c r="E4742" s="245"/>
      <c r="F4742" s="244"/>
      <c r="G4742" s="246"/>
      <c r="H4742" s="247"/>
      <c r="I4742" s="86"/>
      <c r="J4742" s="86"/>
      <c r="K4742" s="248"/>
      <c r="M4742" s="249"/>
    </row>
    <row r="4743" ht="15.75" customHeight="1">
      <c r="A4743" s="243"/>
      <c r="B4743" s="244"/>
      <c r="C4743" s="243"/>
      <c r="D4743" s="244"/>
      <c r="E4743" s="245"/>
      <c r="F4743" s="244"/>
      <c r="G4743" s="246"/>
      <c r="H4743" s="247"/>
      <c r="I4743" s="86"/>
      <c r="J4743" s="86"/>
      <c r="K4743" s="248"/>
      <c r="M4743" s="249"/>
    </row>
    <row r="4744" ht="15.75" customHeight="1">
      <c r="A4744" s="243"/>
      <c r="B4744" s="244"/>
      <c r="C4744" s="243"/>
      <c r="D4744" s="244"/>
      <c r="E4744" s="245"/>
      <c r="F4744" s="244"/>
      <c r="G4744" s="246"/>
      <c r="H4744" s="247"/>
      <c r="I4744" s="86"/>
      <c r="J4744" s="86"/>
      <c r="K4744" s="248"/>
      <c r="M4744" s="249"/>
    </row>
    <row r="4745" ht="15.75" customHeight="1">
      <c r="A4745" s="243"/>
      <c r="B4745" s="244"/>
      <c r="C4745" s="243"/>
      <c r="D4745" s="244"/>
      <c r="E4745" s="245"/>
      <c r="F4745" s="244"/>
      <c r="G4745" s="246"/>
      <c r="H4745" s="247"/>
      <c r="I4745" s="86"/>
      <c r="J4745" s="86"/>
      <c r="K4745" s="248"/>
      <c r="M4745" s="249"/>
    </row>
    <row r="4746" ht="15.75" customHeight="1">
      <c r="A4746" s="243"/>
      <c r="B4746" s="244"/>
      <c r="C4746" s="243"/>
      <c r="D4746" s="244"/>
      <c r="E4746" s="245"/>
      <c r="F4746" s="244"/>
      <c r="G4746" s="246"/>
      <c r="H4746" s="247"/>
      <c r="I4746" s="86"/>
      <c r="J4746" s="86"/>
      <c r="K4746" s="248"/>
      <c r="M4746" s="249"/>
    </row>
    <row r="4747" ht="15.75" customHeight="1">
      <c r="A4747" s="243"/>
      <c r="B4747" s="244"/>
      <c r="C4747" s="243"/>
      <c r="D4747" s="244"/>
      <c r="E4747" s="245"/>
      <c r="F4747" s="244"/>
      <c r="G4747" s="246"/>
      <c r="H4747" s="247"/>
      <c r="I4747" s="86"/>
      <c r="J4747" s="86"/>
      <c r="K4747" s="248"/>
      <c r="M4747" s="249"/>
    </row>
    <row r="4748" ht="15.75" customHeight="1">
      <c r="A4748" s="243"/>
      <c r="B4748" s="244"/>
      <c r="C4748" s="243"/>
      <c r="D4748" s="244"/>
      <c r="E4748" s="245"/>
      <c r="F4748" s="244"/>
      <c r="G4748" s="246"/>
      <c r="H4748" s="247"/>
      <c r="I4748" s="86"/>
      <c r="J4748" s="86"/>
      <c r="K4748" s="248"/>
      <c r="M4748" s="249"/>
    </row>
    <row r="4749" ht="15.75" customHeight="1">
      <c r="A4749" s="243"/>
      <c r="B4749" s="244"/>
      <c r="C4749" s="243"/>
      <c r="D4749" s="244"/>
      <c r="E4749" s="245"/>
      <c r="F4749" s="244"/>
      <c r="G4749" s="246"/>
      <c r="H4749" s="247"/>
      <c r="I4749" s="86"/>
      <c r="J4749" s="86"/>
      <c r="K4749" s="248"/>
      <c r="M4749" s="249"/>
    </row>
    <row r="4750" ht="15.75" customHeight="1">
      <c r="A4750" s="243"/>
      <c r="B4750" s="244"/>
      <c r="C4750" s="243"/>
      <c r="D4750" s="244"/>
      <c r="E4750" s="245"/>
      <c r="F4750" s="244"/>
      <c r="G4750" s="246"/>
      <c r="H4750" s="247"/>
      <c r="I4750" s="86"/>
      <c r="J4750" s="86"/>
      <c r="K4750" s="248"/>
      <c r="M4750" s="249"/>
    </row>
    <row r="4751" ht="15.75" customHeight="1">
      <c r="A4751" s="243"/>
      <c r="B4751" s="244"/>
      <c r="C4751" s="243"/>
      <c r="D4751" s="244"/>
      <c r="E4751" s="245"/>
      <c r="F4751" s="244"/>
      <c r="G4751" s="246"/>
      <c r="H4751" s="247"/>
      <c r="I4751" s="86"/>
      <c r="J4751" s="86"/>
      <c r="K4751" s="248"/>
      <c r="M4751" s="249"/>
    </row>
    <row r="4752" ht="15.75" customHeight="1">
      <c r="A4752" s="243"/>
      <c r="B4752" s="244"/>
      <c r="C4752" s="243"/>
      <c r="D4752" s="244"/>
      <c r="E4752" s="245"/>
      <c r="F4752" s="244"/>
      <c r="G4752" s="246"/>
      <c r="H4752" s="247"/>
      <c r="I4752" s="86"/>
      <c r="J4752" s="86"/>
      <c r="K4752" s="248"/>
      <c r="M4752" s="249"/>
    </row>
    <row r="4753" ht="15.75" customHeight="1">
      <c r="A4753" s="243"/>
      <c r="B4753" s="244"/>
      <c r="C4753" s="243"/>
      <c r="D4753" s="244"/>
      <c r="E4753" s="245"/>
      <c r="F4753" s="244"/>
      <c r="G4753" s="246"/>
      <c r="H4753" s="247"/>
      <c r="I4753" s="86"/>
      <c r="J4753" s="86"/>
      <c r="K4753" s="248"/>
      <c r="M4753" s="249"/>
    </row>
    <row r="4754" ht="15.75" customHeight="1">
      <c r="A4754" s="243"/>
      <c r="B4754" s="244"/>
      <c r="C4754" s="243"/>
      <c r="D4754" s="244"/>
      <c r="E4754" s="245"/>
      <c r="F4754" s="244"/>
      <c r="G4754" s="246"/>
      <c r="H4754" s="247"/>
      <c r="I4754" s="86"/>
      <c r="J4754" s="86"/>
      <c r="K4754" s="248"/>
      <c r="M4754" s="249"/>
    </row>
    <row r="4755" ht="15.75" customHeight="1">
      <c r="A4755" s="243"/>
      <c r="B4755" s="244"/>
      <c r="C4755" s="243"/>
      <c r="D4755" s="244"/>
      <c r="E4755" s="245"/>
      <c r="F4755" s="244"/>
      <c r="G4755" s="246"/>
      <c r="H4755" s="247"/>
      <c r="I4755" s="86"/>
      <c r="J4755" s="86"/>
      <c r="K4755" s="248"/>
      <c r="M4755" s="249"/>
    </row>
    <row r="4756" ht="15.75" customHeight="1">
      <c r="A4756" s="243"/>
      <c r="B4756" s="244"/>
      <c r="C4756" s="243"/>
      <c r="D4756" s="244"/>
      <c r="E4756" s="245"/>
      <c r="F4756" s="244"/>
      <c r="G4756" s="246"/>
      <c r="H4756" s="247"/>
      <c r="I4756" s="86"/>
      <c r="J4756" s="86"/>
      <c r="K4756" s="248"/>
      <c r="M4756" s="249"/>
    </row>
    <row r="4757" ht="15.75" customHeight="1">
      <c r="A4757" s="243"/>
      <c r="B4757" s="244"/>
      <c r="C4757" s="243"/>
      <c r="D4757" s="244"/>
      <c r="E4757" s="245"/>
      <c r="F4757" s="244"/>
      <c r="G4757" s="246"/>
      <c r="H4757" s="247"/>
      <c r="I4757" s="86"/>
      <c r="J4757" s="86"/>
      <c r="K4757" s="248"/>
      <c r="M4757" s="249"/>
    </row>
    <row r="4758" ht="15.75" customHeight="1">
      <c r="A4758" s="243"/>
      <c r="B4758" s="244"/>
      <c r="C4758" s="243"/>
      <c r="D4758" s="244"/>
      <c r="E4758" s="245"/>
      <c r="F4758" s="244"/>
      <c r="G4758" s="246"/>
      <c r="H4758" s="247"/>
      <c r="I4758" s="86"/>
      <c r="J4758" s="86"/>
      <c r="K4758" s="248"/>
      <c r="M4758" s="249"/>
    </row>
    <row r="4759" ht="15.75" customHeight="1">
      <c r="A4759" s="243"/>
      <c r="B4759" s="244"/>
      <c r="C4759" s="243"/>
      <c r="D4759" s="244"/>
      <c r="E4759" s="245"/>
      <c r="F4759" s="244"/>
      <c r="G4759" s="246"/>
      <c r="H4759" s="247"/>
      <c r="I4759" s="86"/>
      <c r="J4759" s="86"/>
      <c r="K4759" s="248"/>
      <c r="M4759" s="249"/>
    </row>
    <row r="4760" ht="15.75" customHeight="1">
      <c r="A4760" s="243"/>
      <c r="B4760" s="244"/>
      <c r="C4760" s="243"/>
      <c r="D4760" s="244"/>
      <c r="E4760" s="245"/>
      <c r="F4760" s="244"/>
      <c r="G4760" s="246"/>
      <c r="H4760" s="247"/>
      <c r="I4760" s="86"/>
      <c r="J4760" s="86"/>
      <c r="K4760" s="248"/>
      <c r="M4760" s="249"/>
    </row>
    <row r="4761" ht="15.75" customHeight="1">
      <c r="A4761" s="243"/>
      <c r="B4761" s="244"/>
      <c r="C4761" s="243"/>
      <c r="D4761" s="244"/>
      <c r="E4761" s="245"/>
      <c r="F4761" s="244"/>
      <c r="G4761" s="246"/>
      <c r="H4761" s="247"/>
      <c r="I4761" s="86"/>
      <c r="J4761" s="86"/>
      <c r="K4761" s="248"/>
      <c r="M4761" s="249"/>
    </row>
    <row r="4762" ht="15.75" customHeight="1">
      <c r="A4762" s="243"/>
      <c r="B4762" s="244"/>
      <c r="C4762" s="243"/>
      <c r="D4762" s="244"/>
      <c r="E4762" s="245"/>
      <c r="F4762" s="244"/>
      <c r="G4762" s="246"/>
      <c r="H4762" s="247"/>
      <c r="I4762" s="86"/>
      <c r="J4762" s="86"/>
      <c r="K4762" s="248"/>
      <c r="M4762" s="249"/>
    </row>
    <row r="4763" ht="15.75" customHeight="1">
      <c r="A4763" s="243"/>
      <c r="B4763" s="244"/>
      <c r="C4763" s="243"/>
      <c r="D4763" s="244"/>
      <c r="E4763" s="245"/>
      <c r="F4763" s="244"/>
      <c r="G4763" s="246"/>
      <c r="H4763" s="247"/>
      <c r="I4763" s="86"/>
      <c r="J4763" s="86"/>
      <c r="K4763" s="248"/>
      <c r="M4763" s="249"/>
    </row>
    <row r="4764" ht="15.75" customHeight="1">
      <c r="A4764" s="243"/>
      <c r="B4764" s="244"/>
      <c r="C4764" s="243"/>
      <c r="D4764" s="244"/>
      <c r="E4764" s="245"/>
      <c r="F4764" s="244"/>
      <c r="G4764" s="246"/>
      <c r="H4764" s="247"/>
      <c r="I4764" s="86"/>
      <c r="J4764" s="86"/>
      <c r="K4764" s="248"/>
      <c r="M4764" s="249"/>
    </row>
    <row r="4765" ht="15.75" customHeight="1">
      <c r="A4765" s="243"/>
      <c r="B4765" s="244"/>
      <c r="C4765" s="243"/>
      <c r="D4765" s="244"/>
      <c r="E4765" s="245"/>
      <c r="F4765" s="244"/>
      <c r="G4765" s="246"/>
      <c r="H4765" s="247"/>
      <c r="I4765" s="86"/>
      <c r="J4765" s="86"/>
      <c r="K4765" s="248"/>
      <c r="M4765" s="249"/>
    </row>
    <row r="4766" ht="15.75" customHeight="1">
      <c r="A4766" s="243"/>
      <c r="B4766" s="244"/>
      <c r="C4766" s="243"/>
      <c r="D4766" s="244"/>
      <c r="E4766" s="245"/>
      <c r="F4766" s="244"/>
      <c r="G4766" s="246"/>
      <c r="H4766" s="247"/>
      <c r="I4766" s="86"/>
      <c r="J4766" s="86"/>
      <c r="K4766" s="248"/>
      <c r="M4766" s="249"/>
    </row>
    <row r="4767" ht="15.75" customHeight="1">
      <c r="A4767" s="243"/>
      <c r="B4767" s="244"/>
      <c r="C4767" s="243"/>
      <c r="D4767" s="244"/>
      <c r="E4767" s="245"/>
      <c r="F4767" s="244"/>
      <c r="G4767" s="246"/>
      <c r="H4767" s="247"/>
      <c r="I4767" s="86"/>
      <c r="J4767" s="86"/>
      <c r="K4767" s="248"/>
      <c r="M4767" s="249"/>
    </row>
    <row r="4768" ht="15.75" customHeight="1">
      <c r="A4768" s="243"/>
      <c r="B4768" s="244"/>
      <c r="C4768" s="243"/>
      <c r="D4768" s="244"/>
      <c r="E4768" s="245"/>
      <c r="F4768" s="244"/>
      <c r="G4768" s="246"/>
      <c r="H4768" s="247"/>
      <c r="I4768" s="86"/>
      <c r="J4768" s="86"/>
      <c r="K4768" s="248"/>
      <c r="M4768" s="249"/>
    </row>
    <row r="4769" ht="15.75" customHeight="1">
      <c r="A4769" s="243"/>
      <c r="B4769" s="244"/>
      <c r="C4769" s="243"/>
      <c r="D4769" s="244"/>
      <c r="E4769" s="245"/>
      <c r="F4769" s="244"/>
      <c r="G4769" s="246"/>
      <c r="H4769" s="247"/>
      <c r="I4769" s="86"/>
      <c r="J4769" s="86"/>
      <c r="K4769" s="248"/>
      <c r="M4769" s="249"/>
    </row>
    <row r="4770" ht="15.75" customHeight="1">
      <c r="A4770" s="243"/>
      <c r="B4770" s="244"/>
      <c r="C4770" s="243"/>
      <c r="D4770" s="244"/>
      <c r="E4770" s="245"/>
      <c r="F4770" s="244"/>
      <c r="G4770" s="246"/>
      <c r="H4770" s="247"/>
      <c r="I4770" s="86"/>
      <c r="J4770" s="86"/>
      <c r="K4770" s="248"/>
      <c r="M4770" s="249"/>
    </row>
    <row r="4771" ht="15.75" customHeight="1">
      <c r="A4771" s="243"/>
      <c r="B4771" s="244"/>
      <c r="C4771" s="243"/>
      <c r="D4771" s="244"/>
      <c r="E4771" s="245"/>
      <c r="F4771" s="244"/>
      <c r="G4771" s="246"/>
      <c r="H4771" s="247"/>
      <c r="I4771" s="86"/>
      <c r="J4771" s="86"/>
      <c r="K4771" s="248"/>
      <c r="M4771" s="249"/>
    </row>
    <row r="4772" ht="15.75" customHeight="1">
      <c r="A4772" s="243"/>
      <c r="B4772" s="244"/>
      <c r="C4772" s="243"/>
      <c r="D4772" s="244"/>
      <c r="E4772" s="245"/>
      <c r="F4772" s="244"/>
      <c r="G4772" s="246"/>
      <c r="H4772" s="247"/>
      <c r="I4772" s="86"/>
      <c r="J4772" s="86"/>
      <c r="K4772" s="248"/>
      <c r="M4772" s="249"/>
    </row>
    <row r="4773" ht="15.75" customHeight="1">
      <c r="A4773" s="243"/>
      <c r="B4773" s="244"/>
      <c r="C4773" s="243"/>
      <c r="D4773" s="244"/>
      <c r="E4773" s="245"/>
      <c r="F4773" s="244"/>
      <c r="G4773" s="246"/>
      <c r="H4773" s="247"/>
      <c r="I4773" s="86"/>
      <c r="J4773" s="86"/>
      <c r="K4773" s="248"/>
      <c r="M4773" s="249"/>
    </row>
    <row r="4774" ht="15.75" customHeight="1">
      <c r="A4774" s="243"/>
      <c r="B4774" s="244"/>
      <c r="C4774" s="243"/>
      <c r="D4774" s="244"/>
      <c r="E4774" s="245"/>
      <c r="F4774" s="244"/>
      <c r="G4774" s="246"/>
      <c r="H4774" s="247"/>
      <c r="I4774" s="86"/>
      <c r="J4774" s="86"/>
      <c r="K4774" s="248"/>
      <c r="M4774" s="249"/>
    </row>
    <row r="4775" ht="15.75" customHeight="1">
      <c r="A4775" s="243"/>
      <c r="B4775" s="244"/>
      <c r="C4775" s="243"/>
      <c r="D4775" s="244"/>
      <c r="E4775" s="245"/>
      <c r="F4775" s="244"/>
      <c r="G4775" s="246"/>
      <c r="H4775" s="247"/>
      <c r="I4775" s="86"/>
      <c r="J4775" s="86"/>
      <c r="K4775" s="248"/>
      <c r="M4775" s="249"/>
    </row>
    <row r="4776" ht="15.75" customHeight="1">
      <c r="A4776" s="243"/>
      <c r="B4776" s="244"/>
      <c r="C4776" s="243"/>
      <c r="D4776" s="244"/>
      <c r="E4776" s="245"/>
      <c r="F4776" s="244"/>
      <c r="G4776" s="246"/>
      <c r="H4776" s="247"/>
      <c r="I4776" s="86"/>
      <c r="J4776" s="86"/>
      <c r="K4776" s="248"/>
      <c r="M4776" s="249"/>
    </row>
    <row r="4777" ht="15.75" customHeight="1">
      <c r="A4777" s="243"/>
      <c r="B4777" s="244"/>
      <c r="C4777" s="243"/>
      <c r="D4777" s="244"/>
      <c r="E4777" s="245"/>
      <c r="F4777" s="244"/>
      <c r="G4777" s="246"/>
      <c r="H4777" s="247"/>
      <c r="I4777" s="86"/>
      <c r="J4777" s="86"/>
      <c r="K4777" s="248"/>
      <c r="M4777" s="249"/>
    </row>
    <row r="4778" ht="15.75" customHeight="1">
      <c r="A4778" s="243"/>
      <c r="B4778" s="244"/>
      <c r="C4778" s="243"/>
      <c r="D4778" s="244"/>
      <c r="E4778" s="245"/>
      <c r="F4778" s="244"/>
      <c r="G4778" s="246"/>
      <c r="H4778" s="247"/>
      <c r="I4778" s="86"/>
      <c r="J4778" s="86"/>
      <c r="K4778" s="248"/>
      <c r="M4778" s="249"/>
    </row>
    <row r="4779" ht="15.75" customHeight="1">
      <c r="A4779" s="243"/>
      <c r="B4779" s="244"/>
      <c r="C4779" s="243"/>
      <c r="D4779" s="244"/>
      <c r="E4779" s="245"/>
      <c r="F4779" s="244"/>
      <c r="G4779" s="246"/>
      <c r="H4779" s="247"/>
      <c r="I4779" s="86"/>
      <c r="J4779" s="86"/>
      <c r="K4779" s="248"/>
      <c r="M4779" s="249"/>
    </row>
    <row r="4780" ht="15.75" customHeight="1">
      <c r="A4780" s="243"/>
      <c r="B4780" s="244"/>
      <c r="C4780" s="243"/>
      <c r="D4780" s="244"/>
      <c r="E4780" s="245"/>
      <c r="F4780" s="244"/>
      <c r="G4780" s="246"/>
      <c r="H4780" s="247"/>
      <c r="I4780" s="86"/>
      <c r="J4780" s="86"/>
      <c r="K4780" s="248"/>
      <c r="M4780" s="249"/>
    </row>
    <row r="4781" ht="15.75" customHeight="1">
      <c r="A4781" s="243"/>
      <c r="B4781" s="244"/>
      <c r="C4781" s="243"/>
      <c r="D4781" s="244"/>
      <c r="E4781" s="245"/>
      <c r="F4781" s="244"/>
      <c r="G4781" s="246"/>
      <c r="H4781" s="247"/>
      <c r="I4781" s="86"/>
      <c r="J4781" s="86"/>
      <c r="K4781" s="248"/>
      <c r="M4781" s="249"/>
    </row>
    <row r="4782" ht="15.75" customHeight="1">
      <c r="A4782" s="243"/>
      <c r="B4782" s="244"/>
      <c r="C4782" s="243"/>
      <c r="D4782" s="244"/>
      <c r="E4782" s="245"/>
      <c r="F4782" s="244"/>
      <c r="G4782" s="246"/>
      <c r="H4782" s="247"/>
      <c r="I4782" s="86"/>
      <c r="J4782" s="86"/>
      <c r="K4782" s="248"/>
      <c r="M4782" s="249"/>
    </row>
    <row r="4783" ht="15.75" customHeight="1">
      <c r="A4783" s="243"/>
      <c r="B4783" s="244"/>
      <c r="C4783" s="243"/>
      <c r="D4783" s="244"/>
      <c r="E4783" s="245"/>
      <c r="F4783" s="244"/>
      <c r="G4783" s="246"/>
      <c r="H4783" s="247"/>
      <c r="I4783" s="86"/>
      <c r="J4783" s="86"/>
      <c r="K4783" s="248"/>
      <c r="M4783" s="249"/>
    </row>
    <row r="4784" ht="15.75" customHeight="1">
      <c r="A4784" s="243"/>
      <c r="B4784" s="244"/>
      <c r="C4784" s="243"/>
      <c r="D4784" s="244"/>
      <c r="E4784" s="245"/>
      <c r="F4784" s="244"/>
      <c r="G4784" s="246"/>
      <c r="H4784" s="247"/>
      <c r="I4784" s="86"/>
      <c r="J4784" s="86"/>
      <c r="K4784" s="248"/>
      <c r="M4784" s="249"/>
    </row>
    <row r="4785" ht="15.75" customHeight="1">
      <c r="A4785" s="243"/>
      <c r="B4785" s="244"/>
      <c r="C4785" s="243"/>
      <c r="D4785" s="244"/>
      <c r="E4785" s="245"/>
      <c r="F4785" s="244"/>
      <c r="G4785" s="246"/>
      <c r="H4785" s="247"/>
      <c r="I4785" s="86"/>
      <c r="J4785" s="86"/>
      <c r="K4785" s="248"/>
      <c r="M4785" s="249"/>
    </row>
    <row r="4786" ht="15.75" customHeight="1">
      <c r="A4786" s="243"/>
      <c r="B4786" s="244"/>
      <c r="C4786" s="243"/>
      <c r="D4786" s="244"/>
      <c r="E4786" s="245"/>
      <c r="F4786" s="244"/>
      <c r="G4786" s="246"/>
      <c r="H4786" s="247"/>
      <c r="I4786" s="86"/>
      <c r="J4786" s="86"/>
      <c r="K4786" s="248"/>
      <c r="M4786" s="249"/>
    </row>
    <row r="4787" ht="15.75" customHeight="1">
      <c r="A4787" s="243"/>
      <c r="B4787" s="244"/>
      <c r="C4787" s="243"/>
      <c r="D4787" s="244"/>
      <c r="E4787" s="245"/>
      <c r="F4787" s="244"/>
      <c r="G4787" s="246"/>
      <c r="H4787" s="247"/>
      <c r="I4787" s="86"/>
      <c r="J4787" s="86"/>
      <c r="K4787" s="248"/>
      <c r="M4787" s="249"/>
    </row>
    <row r="4788" ht="15.75" customHeight="1">
      <c r="A4788" s="243"/>
      <c r="B4788" s="244"/>
      <c r="C4788" s="243"/>
      <c r="D4788" s="244"/>
      <c r="E4788" s="245"/>
      <c r="F4788" s="244"/>
      <c r="G4788" s="246"/>
      <c r="H4788" s="247"/>
      <c r="I4788" s="86"/>
      <c r="J4788" s="86"/>
      <c r="K4788" s="248"/>
      <c r="M4788" s="249"/>
    </row>
    <row r="4789" ht="15.75" customHeight="1">
      <c r="A4789" s="243"/>
      <c r="B4789" s="244"/>
      <c r="C4789" s="243"/>
      <c r="D4789" s="244"/>
      <c r="E4789" s="245"/>
      <c r="F4789" s="244"/>
      <c r="G4789" s="246"/>
      <c r="H4789" s="247"/>
      <c r="I4789" s="86"/>
      <c r="J4789" s="86"/>
      <c r="K4789" s="248"/>
      <c r="M4789" s="249"/>
    </row>
    <row r="4790" ht="15.75" customHeight="1">
      <c r="A4790" s="243"/>
      <c r="B4790" s="244"/>
      <c r="C4790" s="243"/>
      <c r="D4790" s="244"/>
      <c r="E4790" s="245"/>
      <c r="F4790" s="244"/>
      <c r="G4790" s="246"/>
      <c r="H4790" s="247"/>
      <c r="I4790" s="86"/>
      <c r="J4790" s="86"/>
      <c r="K4790" s="248"/>
      <c r="M4790" s="249"/>
    </row>
    <row r="4791" ht="15.75" customHeight="1">
      <c r="A4791" s="243"/>
      <c r="B4791" s="244"/>
      <c r="C4791" s="243"/>
      <c r="D4791" s="244"/>
      <c r="E4791" s="245"/>
      <c r="F4791" s="244"/>
      <c r="G4791" s="246"/>
      <c r="H4791" s="247"/>
      <c r="I4791" s="86"/>
      <c r="J4791" s="86"/>
      <c r="K4791" s="248"/>
      <c r="M4791" s="249"/>
    </row>
    <row r="4792" ht="15.75" customHeight="1">
      <c r="A4792" s="243"/>
      <c r="B4792" s="244"/>
      <c r="C4792" s="243"/>
      <c r="D4792" s="244"/>
      <c r="E4792" s="245"/>
      <c r="F4792" s="244"/>
      <c r="G4792" s="246"/>
      <c r="H4792" s="247"/>
      <c r="I4792" s="86"/>
      <c r="J4792" s="86"/>
      <c r="K4792" s="248"/>
      <c r="M4792" s="249"/>
    </row>
    <row r="4793" ht="15.75" customHeight="1">
      <c r="A4793" s="243"/>
      <c r="B4793" s="244"/>
      <c r="C4793" s="243"/>
      <c r="D4793" s="244"/>
      <c r="E4793" s="245"/>
      <c r="F4793" s="244"/>
      <c r="G4793" s="246"/>
      <c r="H4793" s="247"/>
      <c r="I4793" s="86"/>
      <c r="J4793" s="86"/>
      <c r="K4793" s="248"/>
      <c r="M4793" s="249"/>
    </row>
    <row r="4794" ht="15.75" customHeight="1">
      <c r="A4794" s="243"/>
      <c r="B4794" s="244"/>
      <c r="C4794" s="243"/>
      <c r="D4794" s="244"/>
      <c r="E4794" s="245"/>
      <c r="F4794" s="244"/>
      <c r="G4794" s="246"/>
      <c r="H4794" s="247"/>
      <c r="I4794" s="86"/>
      <c r="J4794" s="86"/>
      <c r="K4794" s="248"/>
      <c r="M4794" s="249"/>
    </row>
    <row r="4795" ht="15.75" customHeight="1">
      <c r="A4795" s="243"/>
      <c r="B4795" s="244"/>
      <c r="C4795" s="243"/>
      <c r="D4795" s="244"/>
      <c r="E4795" s="245"/>
      <c r="F4795" s="244"/>
      <c r="G4795" s="246"/>
      <c r="H4795" s="247"/>
      <c r="I4795" s="86"/>
      <c r="J4795" s="86"/>
      <c r="K4795" s="248"/>
      <c r="M4795" s="249"/>
    </row>
    <row r="4796" ht="15.75" customHeight="1">
      <c r="A4796" s="243"/>
      <c r="B4796" s="244"/>
      <c r="C4796" s="243"/>
      <c r="D4796" s="244"/>
      <c r="E4796" s="245"/>
      <c r="F4796" s="244"/>
      <c r="G4796" s="246"/>
      <c r="H4796" s="247"/>
      <c r="I4796" s="86"/>
      <c r="J4796" s="86"/>
      <c r="K4796" s="248"/>
      <c r="M4796" s="249"/>
    </row>
    <row r="4797" ht="15.75" customHeight="1">
      <c r="A4797" s="243"/>
      <c r="B4797" s="244"/>
      <c r="C4797" s="243"/>
      <c r="D4797" s="244"/>
      <c r="E4797" s="245"/>
      <c r="F4797" s="244"/>
      <c r="G4797" s="246"/>
      <c r="H4797" s="247"/>
      <c r="I4797" s="86"/>
      <c r="J4797" s="86"/>
      <c r="K4797" s="248"/>
      <c r="M4797" s="249"/>
    </row>
    <row r="4798" ht="15.75" customHeight="1">
      <c r="A4798" s="243"/>
      <c r="B4798" s="244"/>
      <c r="C4798" s="243"/>
      <c r="D4798" s="244"/>
      <c r="E4798" s="245"/>
      <c r="F4798" s="244"/>
      <c r="G4798" s="246"/>
      <c r="H4798" s="247"/>
      <c r="I4798" s="86"/>
      <c r="J4798" s="86"/>
      <c r="K4798" s="248"/>
      <c r="M4798" s="249"/>
    </row>
    <row r="4799" ht="15.75" customHeight="1">
      <c r="A4799" s="243"/>
      <c r="B4799" s="244"/>
      <c r="C4799" s="243"/>
      <c r="D4799" s="244"/>
      <c r="E4799" s="245"/>
      <c r="F4799" s="244"/>
      <c r="G4799" s="246"/>
      <c r="H4799" s="247"/>
      <c r="I4799" s="86"/>
      <c r="J4799" s="86"/>
      <c r="K4799" s="248"/>
      <c r="M4799" s="249"/>
    </row>
    <row r="4800" ht="15.75" customHeight="1">
      <c r="A4800" s="243"/>
      <c r="B4800" s="244"/>
      <c r="C4800" s="243"/>
      <c r="D4800" s="244"/>
      <c r="E4800" s="245"/>
      <c r="F4800" s="244"/>
      <c r="G4800" s="246"/>
      <c r="H4800" s="247"/>
      <c r="I4800" s="86"/>
      <c r="J4800" s="86"/>
      <c r="K4800" s="248"/>
      <c r="M4800" s="249"/>
    </row>
    <row r="4801" ht="15.75" customHeight="1">
      <c r="A4801" s="243"/>
      <c r="B4801" s="244"/>
      <c r="C4801" s="243"/>
      <c r="D4801" s="244"/>
      <c r="E4801" s="245"/>
      <c r="F4801" s="244"/>
      <c r="G4801" s="246"/>
      <c r="H4801" s="247"/>
      <c r="I4801" s="86"/>
      <c r="J4801" s="86"/>
      <c r="K4801" s="248"/>
      <c r="M4801" s="249"/>
    </row>
    <row r="4802" ht="15.75" customHeight="1">
      <c r="A4802" s="243"/>
      <c r="B4802" s="244"/>
      <c r="C4802" s="243"/>
      <c r="D4802" s="244"/>
      <c r="E4802" s="245"/>
      <c r="F4802" s="244"/>
      <c r="G4802" s="246"/>
      <c r="H4802" s="247"/>
      <c r="I4802" s="86"/>
      <c r="J4802" s="86"/>
      <c r="K4802" s="248"/>
      <c r="M4802" s="249"/>
    </row>
    <row r="4803" ht="15.75" customHeight="1">
      <c r="A4803" s="243"/>
      <c r="B4803" s="244"/>
      <c r="C4803" s="243"/>
      <c r="D4803" s="244"/>
      <c r="E4803" s="245"/>
      <c r="F4803" s="244"/>
      <c r="G4803" s="246"/>
      <c r="H4803" s="247"/>
      <c r="I4803" s="86"/>
      <c r="J4803" s="86"/>
      <c r="K4803" s="248"/>
      <c r="M4803" s="249"/>
    </row>
    <row r="4804" ht="15.75" customHeight="1">
      <c r="A4804" s="243"/>
      <c r="B4804" s="244"/>
      <c r="C4804" s="243"/>
      <c r="D4804" s="244"/>
      <c r="E4804" s="245"/>
      <c r="F4804" s="244"/>
      <c r="G4804" s="246"/>
      <c r="H4804" s="247"/>
      <c r="I4804" s="86"/>
      <c r="J4804" s="86"/>
      <c r="K4804" s="248"/>
      <c r="M4804" s="249"/>
    </row>
    <row r="4805" ht="15.75" customHeight="1">
      <c r="A4805" s="243"/>
      <c r="B4805" s="244"/>
      <c r="C4805" s="243"/>
      <c r="D4805" s="244"/>
      <c r="E4805" s="245"/>
      <c r="F4805" s="244"/>
      <c r="G4805" s="246"/>
      <c r="H4805" s="247"/>
      <c r="I4805" s="86"/>
      <c r="J4805" s="86"/>
      <c r="K4805" s="248"/>
      <c r="M4805" s="249"/>
    </row>
    <row r="4806" ht="15.75" customHeight="1">
      <c r="A4806" s="243"/>
      <c r="B4806" s="244"/>
      <c r="C4806" s="243"/>
      <c r="D4806" s="244"/>
      <c r="E4806" s="245"/>
      <c r="F4806" s="244"/>
      <c r="G4806" s="246"/>
      <c r="H4806" s="247"/>
      <c r="I4806" s="86"/>
      <c r="J4806" s="86"/>
      <c r="K4806" s="248"/>
      <c r="M4806" s="249"/>
    </row>
    <row r="4807" ht="15.75" customHeight="1">
      <c r="A4807" s="243"/>
      <c r="B4807" s="244"/>
      <c r="C4807" s="243"/>
      <c r="D4807" s="244"/>
      <c r="E4807" s="245"/>
      <c r="F4807" s="244"/>
      <c r="G4807" s="246"/>
      <c r="H4807" s="247"/>
      <c r="I4807" s="86"/>
      <c r="J4807" s="86"/>
      <c r="K4807" s="248"/>
      <c r="M4807" s="249"/>
    </row>
    <row r="4808" ht="15.75" customHeight="1">
      <c r="A4808" s="243"/>
      <c r="B4808" s="244"/>
      <c r="C4808" s="243"/>
      <c r="D4808" s="244"/>
      <c r="E4808" s="245"/>
      <c r="F4808" s="244"/>
      <c r="G4808" s="246"/>
      <c r="H4808" s="247"/>
      <c r="I4808" s="86"/>
      <c r="J4808" s="86"/>
      <c r="K4808" s="248"/>
      <c r="M4808" s="249"/>
    </row>
    <row r="4809" ht="15.75" customHeight="1">
      <c r="A4809" s="243"/>
      <c r="B4809" s="244"/>
      <c r="C4809" s="243"/>
      <c r="D4809" s="244"/>
      <c r="E4809" s="245"/>
      <c r="F4809" s="244"/>
      <c r="G4809" s="246"/>
      <c r="H4809" s="247"/>
      <c r="I4809" s="86"/>
      <c r="J4809" s="86"/>
      <c r="K4809" s="248"/>
      <c r="M4809" s="249"/>
    </row>
    <row r="4810" ht="15.75" customHeight="1">
      <c r="A4810" s="243"/>
      <c r="B4810" s="244"/>
      <c r="C4810" s="243"/>
      <c r="D4810" s="244"/>
      <c r="E4810" s="245"/>
      <c r="F4810" s="244"/>
      <c r="G4810" s="246"/>
      <c r="H4810" s="247"/>
      <c r="I4810" s="86"/>
      <c r="J4810" s="86"/>
      <c r="K4810" s="248"/>
      <c r="M4810" s="249"/>
    </row>
    <row r="4811" ht="15.75" customHeight="1">
      <c r="A4811" s="243"/>
      <c r="B4811" s="244"/>
      <c r="C4811" s="243"/>
      <c r="D4811" s="244"/>
      <c r="E4811" s="245"/>
      <c r="F4811" s="244"/>
      <c r="G4811" s="246"/>
      <c r="H4811" s="247"/>
      <c r="I4811" s="86"/>
      <c r="J4811" s="86"/>
      <c r="K4811" s="248"/>
      <c r="M4811" s="249"/>
    </row>
    <row r="4812" ht="15.75" customHeight="1">
      <c r="A4812" s="243"/>
      <c r="B4812" s="244"/>
      <c r="C4812" s="243"/>
      <c r="D4812" s="244"/>
      <c r="E4812" s="245"/>
      <c r="F4812" s="244"/>
      <c r="G4812" s="246"/>
      <c r="H4812" s="247"/>
      <c r="I4812" s="86"/>
      <c r="J4812" s="86"/>
      <c r="K4812" s="248"/>
      <c r="M4812" s="249"/>
    </row>
    <row r="4813" ht="15.75" customHeight="1">
      <c r="A4813" s="243"/>
      <c r="B4813" s="244"/>
      <c r="C4813" s="243"/>
      <c r="D4813" s="244"/>
      <c r="E4813" s="245"/>
      <c r="F4813" s="244"/>
      <c r="G4813" s="246"/>
      <c r="H4813" s="247"/>
      <c r="I4813" s="86"/>
      <c r="J4813" s="86"/>
      <c r="K4813" s="248"/>
      <c r="M4813" s="249"/>
    </row>
    <row r="4814" ht="15.75" customHeight="1">
      <c r="A4814" s="243"/>
      <c r="B4814" s="244"/>
      <c r="C4814" s="243"/>
      <c r="D4814" s="244"/>
      <c r="E4814" s="245"/>
      <c r="F4814" s="244"/>
      <c r="G4814" s="246"/>
      <c r="H4814" s="247"/>
      <c r="I4814" s="86"/>
      <c r="J4814" s="86"/>
      <c r="K4814" s="248"/>
      <c r="M4814" s="249"/>
    </row>
    <row r="4815" ht="15.75" customHeight="1">
      <c r="A4815" s="243"/>
      <c r="B4815" s="244"/>
      <c r="C4815" s="243"/>
      <c r="D4815" s="244"/>
      <c r="E4815" s="245"/>
      <c r="F4815" s="244"/>
      <c r="G4815" s="246"/>
      <c r="H4815" s="247"/>
      <c r="I4815" s="86"/>
      <c r="J4815" s="86"/>
      <c r="K4815" s="248"/>
      <c r="M4815" s="249"/>
    </row>
    <row r="4816" ht="15.75" customHeight="1">
      <c r="A4816" s="243"/>
      <c r="B4816" s="244"/>
      <c r="C4816" s="243"/>
      <c r="D4816" s="244"/>
      <c r="E4816" s="245"/>
      <c r="F4816" s="244"/>
      <c r="G4816" s="246"/>
      <c r="H4816" s="247"/>
      <c r="I4816" s="86"/>
      <c r="J4816" s="86"/>
      <c r="K4816" s="248"/>
      <c r="M4816" s="249"/>
    </row>
    <row r="4817" ht="15.75" customHeight="1">
      <c r="A4817" s="243"/>
      <c r="B4817" s="244"/>
      <c r="C4817" s="243"/>
      <c r="D4817" s="244"/>
      <c r="E4817" s="245"/>
      <c r="F4817" s="244"/>
      <c r="G4817" s="246"/>
      <c r="H4817" s="247"/>
      <c r="I4817" s="86"/>
      <c r="J4817" s="86"/>
      <c r="K4817" s="248"/>
      <c r="M4817" s="249"/>
    </row>
    <row r="4818" ht="15.75" customHeight="1">
      <c r="A4818" s="243"/>
      <c r="B4818" s="244"/>
      <c r="C4818" s="243"/>
      <c r="D4818" s="244"/>
      <c r="E4818" s="245"/>
      <c r="F4818" s="244"/>
      <c r="G4818" s="246"/>
      <c r="H4818" s="247"/>
      <c r="I4818" s="86"/>
      <c r="J4818" s="86"/>
      <c r="K4818" s="248"/>
      <c r="M4818" s="249"/>
    </row>
    <row r="4819" ht="15.75" customHeight="1">
      <c r="A4819" s="243"/>
      <c r="B4819" s="244"/>
      <c r="C4819" s="243"/>
      <c r="D4819" s="244"/>
      <c r="E4819" s="245"/>
      <c r="F4819" s="244"/>
      <c r="G4819" s="246"/>
      <c r="H4819" s="247"/>
      <c r="I4819" s="86"/>
      <c r="J4819" s="86"/>
      <c r="K4819" s="248"/>
      <c r="M4819" s="249"/>
    </row>
    <row r="4820" ht="15.75" customHeight="1">
      <c r="A4820" s="243"/>
      <c r="B4820" s="244"/>
      <c r="C4820" s="243"/>
      <c r="D4820" s="244"/>
      <c r="E4820" s="245"/>
      <c r="F4820" s="244"/>
      <c r="G4820" s="246"/>
      <c r="H4820" s="247"/>
      <c r="I4820" s="86"/>
      <c r="J4820" s="86"/>
      <c r="K4820" s="248"/>
      <c r="M4820" s="249"/>
    </row>
    <row r="4821" ht="15.75" customHeight="1">
      <c r="A4821" s="243"/>
      <c r="B4821" s="244"/>
      <c r="C4821" s="243"/>
      <c r="D4821" s="244"/>
      <c r="E4821" s="245"/>
      <c r="F4821" s="244"/>
      <c r="G4821" s="246"/>
      <c r="H4821" s="247"/>
      <c r="I4821" s="86"/>
      <c r="J4821" s="86"/>
      <c r="K4821" s="248"/>
      <c r="M4821" s="249"/>
    </row>
    <row r="4822" ht="15.75" customHeight="1">
      <c r="A4822" s="243"/>
      <c r="B4822" s="244"/>
      <c r="C4822" s="243"/>
      <c r="D4822" s="244"/>
      <c r="E4822" s="245"/>
      <c r="F4822" s="244"/>
      <c r="G4822" s="246"/>
      <c r="H4822" s="247"/>
      <c r="I4822" s="86"/>
      <c r="J4822" s="86"/>
      <c r="K4822" s="248"/>
      <c r="M4822" s="249"/>
    </row>
    <row r="4823" ht="15.75" customHeight="1">
      <c r="A4823" s="243"/>
      <c r="B4823" s="244"/>
      <c r="C4823" s="243"/>
      <c r="D4823" s="244"/>
      <c r="E4823" s="245"/>
      <c r="F4823" s="244"/>
      <c r="G4823" s="246"/>
      <c r="H4823" s="247"/>
      <c r="I4823" s="86"/>
      <c r="J4823" s="86"/>
      <c r="K4823" s="248"/>
      <c r="M4823" s="249"/>
    </row>
    <row r="4824" ht="15.75" customHeight="1">
      <c r="A4824" s="243"/>
      <c r="B4824" s="244"/>
      <c r="C4824" s="243"/>
      <c r="D4824" s="244"/>
      <c r="E4824" s="245"/>
      <c r="F4824" s="244"/>
      <c r="G4824" s="246"/>
      <c r="H4824" s="247"/>
      <c r="I4824" s="86"/>
      <c r="J4824" s="86"/>
      <c r="K4824" s="248"/>
      <c r="M4824" s="249"/>
    </row>
    <row r="4825" ht="15.75" customHeight="1">
      <c r="A4825" s="243"/>
      <c r="B4825" s="244"/>
      <c r="C4825" s="243"/>
      <c r="D4825" s="244"/>
      <c r="E4825" s="245"/>
      <c r="F4825" s="244"/>
      <c r="G4825" s="246"/>
      <c r="H4825" s="247"/>
      <c r="I4825" s="86"/>
      <c r="J4825" s="86"/>
      <c r="K4825" s="248"/>
      <c r="M4825" s="249"/>
    </row>
    <row r="4826" ht="15.75" customHeight="1">
      <c r="A4826" s="243"/>
      <c r="B4826" s="244"/>
      <c r="C4826" s="243"/>
      <c r="D4826" s="244"/>
      <c r="E4826" s="245"/>
      <c r="F4826" s="244"/>
      <c r="G4826" s="246"/>
      <c r="H4826" s="247"/>
      <c r="I4826" s="86"/>
      <c r="J4826" s="86"/>
      <c r="K4826" s="248"/>
      <c r="M4826" s="249"/>
    </row>
    <row r="4827" ht="15.75" customHeight="1">
      <c r="A4827" s="243"/>
      <c r="B4827" s="244"/>
      <c r="C4827" s="243"/>
      <c r="D4827" s="244"/>
      <c r="E4827" s="245"/>
      <c r="F4827" s="244"/>
      <c r="G4827" s="246"/>
      <c r="H4827" s="247"/>
      <c r="I4827" s="86"/>
      <c r="J4827" s="86"/>
      <c r="K4827" s="248"/>
      <c r="M4827" s="249"/>
    </row>
    <row r="4828" ht="15.75" customHeight="1">
      <c r="A4828" s="243"/>
      <c r="B4828" s="244"/>
      <c r="C4828" s="243"/>
      <c r="D4828" s="244"/>
      <c r="E4828" s="245"/>
      <c r="F4828" s="244"/>
      <c r="G4828" s="246"/>
      <c r="H4828" s="247"/>
      <c r="I4828" s="86"/>
      <c r="J4828" s="86"/>
      <c r="K4828" s="248"/>
      <c r="M4828" s="249"/>
    </row>
    <row r="4829" ht="15.75" customHeight="1">
      <c r="A4829" s="243"/>
      <c r="B4829" s="244"/>
      <c r="C4829" s="243"/>
      <c r="D4829" s="244"/>
      <c r="E4829" s="245"/>
      <c r="F4829" s="244"/>
      <c r="G4829" s="246"/>
      <c r="H4829" s="247"/>
      <c r="I4829" s="86"/>
      <c r="J4829" s="86"/>
      <c r="K4829" s="248"/>
      <c r="M4829" s="249"/>
    </row>
    <row r="4830" ht="15.75" customHeight="1">
      <c r="A4830" s="243"/>
      <c r="B4830" s="244"/>
      <c r="C4830" s="243"/>
      <c r="D4830" s="244"/>
      <c r="E4830" s="245"/>
      <c r="F4830" s="244"/>
      <c r="G4830" s="246"/>
      <c r="H4830" s="247"/>
      <c r="I4830" s="86"/>
      <c r="J4830" s="86"/>
      <c r="K4830" s="248"/>
      <c r="M4830" s="249"/>
    </row>
    <row r="4831" ht="15.75" customHeight="1">
      <c r="A4831" s="243"/>
      <c r="B4831" s="244"/>
      <c r="C4831" s="243"/>
      <c r="D4831" s="244"/>
      <c r="E4831" s="245"/>
      <c r="F4831" s="244"/>
      <c r="G4831" s="246"/>
      <c r="H4831" s="247"/>
      <c r="I4831" s="86"/>
      <c r="J4831" s="86"/>
      <c r="K4831" s="248"/>
      <c r="M4831" s="249"/>
    </row>
    <row r="4832" ht="15.75" customHeight="1">
      <c r="A4832" s="243"/>
      <c r="B4832" s="244"/>
      <c r="C4832" s="243"/>
      <c r="D4832" s="244"/>
      <c r="E4832" s="245"/>
      <c r="F4832" s="244"/>
      <c r="G4832" s="246"/>
      <c r="H4832" s="247"/>
      <c r="I4832" s="86"/>
      <c r="J4832" s="86"/>
      <c r="K4832" s="248"/>
      <c r="M4832" s="249"/>
    </row>
    <row r="4833" ht="15.75" customHeight="1">
      <c r="A4833" s="243"/>
      <c r="B4833" s="244"/>
      <c r="C4833" s="243"/>
      <c r="D4833" s="244"/>
      <c r="E4833" s="245"/>
      <c r="F4833" s="244"/>
      <c r="G4833" s="246"/>
      <c r="H4833" s="247"/>
      <c r="I4833" s="86"/>
      <c r="J4833" s="86"/>
      <c r="K4833" s="248"/>
      <c r="M4833" s="249"/>
    </row>
    <row r="4834" ht="15.75" customHeight="1">
      <c r="A4834" s="243"/>
      <c r="B4834" s="244"/>
      <c r="C4834" s="243"/>
      <c r="D4834" s="244"/>
      <c r="E4834" s="245"/>
      <c r="F4834" s="244"/>
      <c r="G4834" s="246"/>
      <c r="H4834" s="247"/>
      <c r="I4834" s="86"/>
      <c r="J4834" s="86"/>
      <c r="K4834" s="248"/>
      <c r="M4834" s="249"/>
    </row>
    <row r="4835" ht="15.75" customHeight="1">
      <c r="A4835" s="243"/>
      <c r="B4835" s="244"/>
      <c r="C4835" s="243"/>
      <c r="D4835" s="244"/>
      <c r="E4835" s="245"/>
      <c r="F4835" s="244"/>
      <c r="G4835" s="246"/>
      <c r="H4835" s="247"/>
      <c r="I4835" s="86"/>
      <c r="J4835" s="86"/>
      <c r="K4835" s="248"/>
      <c r="M4835" s="249"/>
    </row>
    <row r="4836" ht="15.75" customHeight="1">
      <c r="A4836" s="243"/>
      <c r="B4836" s="244"/>
      <c r="C4836" s="243"/>
      <c r="D4836" s="244"/>
      <c r="E4836" s="245"/>
      <c r="F4836" s="244"/>
      <c r="G4836" s="246"/>
      <c r="H4836" s="247"/>
      <c r="I4836" s="86"/>
      <c r="J4836" s="86"/>
      <c r="K4836" s="248"/>
      <c r="M4836" s="249"/>
    </row>
    <row r="4837" ht="15.75" customHeight="1">
      <c r="A4837" s="243"/>
      <c r="B4837" s="244"/>
      <c r="C4837" s="243"/>
      <c r="D4837" s="244"/>
      <c r="E4837" s="245"/>
      <c r="F4837" s="244"/>
      <c r="G4837" s="246"/>
      <c r="H4837" s="247"/>
      <c r="I4837" s="86"/>
      <c r="J4837" s="86"/>
      <c r="K4837" s="248"/>
      <c r="M4837" s="249"/>
    </row>
    <row r="4838" ht="15.75" customHeight="1">
      <c r="A4838" s="243"/>
      <c r="B4838" s="244"/>
      <c r="C4838" s="243"/>
      <c r="D4838" s="244"/>
      <c r="E4838" s="245"/>
      <c r="F4838" s="244"/>
      <c r="G4838" s="246"/>
      <c r="H4838" s="247"/>
      <c r="I4838" s="86"/>
      <c r="J4838" s="86"/>
      <c r="K4838" s="248"/>
      <c r="M4838" s="249"/>
    </row>
    <row r="4839" ht="15.75" customHeight="1">
      <c r="A4839" s="243"/>
      <c r="B4839" s="244"/>
      <c r="C4839" s="243"/>
      <c r="D4839" s="244"/>
      <c r="E4839" s="245"/>
      <c r="F4839" s="244"/>
      <c r="G4839" s="246"/>
      <c r="H4839" s="247"/>
      <c r="I4839" s="86"/>
      <c r="J4839" s="86"/>
      <c r="K4839" s="248"/>
      <c r="M4839" s="249"/>
    </row>
    <row r="4840" ht="15.75" customHeight="1">
      <c r="A4840" s="243"/>
      <c r="B4840" s="244"/>
      <c r="C4840" s="243"/>
      <c r="D4840" s="244"/>
      <c r="E4840" s="245"/>
      <c r="F4840" s="244"/>
      <c r="G4840" s="246"/>
      <c r="H4840" s="247"/>
      <c r="I4840" s="86"/>
      <c r="J4840" s="86"/>
      <c r="K4840" s="248"/>
      <c r="M4840" s="249"/>
    </row>
    <row r="4841" ht="15.75" customHeight="1">
      <c r="A4841" s="243"/>
      <c r="B4841" s="244"/>
      <c r="C4841" s="243"/>
      <c r="D4841" s="244"/>
      <c r="E4841" s="245"/>
      <c r="F4841" s="244"/>
      <c r="G4841" s="246"/>
      <c r="H4841" s="247"/>
      <c r="I4841" s="86"/>
      <c r="J4841" s="86"/>
      <c r="K4841" s="248"/>
      <c r="M4841" s="249"/>
    </row>
    <row r="4842" ht="15.75" customHeight="1">
      <c r="A4842" s="243"/>
      <c r="B4842" s="244"/>
      <c r="C4842" s="243"/>
      <c r="D4842" s="244"/>
      <c r="E4842" s="245"/>
      <c r="F4842" s="244"/>
      <c r="G4842" s="246"/>
      <c r="H4842" s="247"/>
      <c r="I4842" s="86"/>
      <c r="J4842" s="86"/>
      <c r="K4842" s="248"/>
      <c r="M4842" s="249"/>
    </row>
    <row r="4843" ht="15.75" customHeight="1">
      <c r="A4843" s="243"/>
      <c r="B4843" s="244"/>
      <c r="C4843" s="243"/>
      <c r="D4843" s="244"/>
      <c r="E4843" s="245"/>
      <c r="F4843" s="244"/>
      <c r="G4843" s="246"/>
      <c r="H4843" s="247"/>
      <c r="I4843" s="86"/>
      <c r="J4843" s="86"/>
      <c r="K4843" s="248"/>
      <c r="M4843" s="249"/>
    </row>
    <row r="4844" ht="15.75" customHeight="1">
      <c r="A4844" s="243"/>
      <c r="B4844" s="244"/>
      <c r="C4844" s="243"/>
      <c r="D4844" s="244"/>
      <c r="E4844" s="245"/>
      <c r="F4844" s="244"/>
      <c r="G4844" s="246"/>
      <c r="H4844" s="247"/>
      <c r="I4844" s="86"/>
      <c r="J4844" s="86"/>
      <c r="K4844" s="248"/>
      <c r="M4844" s="249"/>
    </row>
    <row r="4845" ht="15.75" customHeight="1">
      <c r="A4845" s="243"/>
      <c r="B4845" s="244"/>
      <c r="C4845" s="243"/>
      <c r="D4845" s="244"/>
      <c r="E4845" s="245"/>
      <c r="F4845" s="244"/>
      <c r="G4845" s="246"/>
      <c r="H4845" s="247"/>
      <c r="I4845" s="86"/>
      <c r="J4845" s="86"/>
      <c r="K4845" s="248"/>
      <c r="M4845" s="249"/>
    </row>
    <row r="4846" ht="15.75" customHeight="1">
      <c r="A4846" s="243"/>
      <c r="B4846" s="244"/>
      <c r="C4846" s="243"/>
      <c r="D4846" s="244"/>
      <c r="E4846" s="245"/>
      <c r="F4846" s="244"/>
      <c r="G4846" s="246"/>
      <c r="H4846" s="247"/>
      <c r="I4846" s="86"/>
      <c r="J4846" s="86"/>
      <c r="K4846" s="248"/>
      <c r="M4846" s="249"/>
    </row>
    <row r="4847" ht="15.75" customHeight="1">
      <c r="A4847" s="243"/>
      <c r="B4847" s="244"/>
      <c r="C4847" s="243"/>
      <c r="D4847" s="244"/>
      <c r="E4847" s="245"/>
      <c r="F4847" s="244"/>
      <c r="G4847" s="246"/>
      <c r="H4847" s="247"/>
      <c r="I4847" s="86"/>
      <c r="J4847" s="86"/>
      <c r="K4847" s="248"/>
      <c r="M4847" s="249"/>
    </row>
    <row r="4848" ht="15.75" customHeight="1">
      <c r="A4848" s="243"/>
      <c r="B4848" s="244"/>
      <c r="C4848" s="243"/>
      <c r="D4848" s="244"/>
      <c r="E4848" s="245"/>
      <c r="F4848" s="244"/>
      <c r="G4848" s="246"/>
      <c r="H4848" s="247"/>
      <c r="I4848" s="86"/>
      <c r="J4848" s="86"/>
      <c r="K4848" s="248"/>
      <c r="M4848" s="249"/>
    </row>
    <row r="4849" ht="15.75" customHeight="1">
      <c r="A4849" s="243"/>
      <c r="B4849" s="244"/>
      <c r="C4849" s="243"/>
      <c r="D4849" s="244"/>
      <c r="E4849" s="245"/>
      <c r="F4849" s="244"/>
      <c r="G4849" s="246"/>
      <c r="H4849" s="247"/>
      <c r="I4849" s="86"/>
      <c r="J4849" s="86"/>
      <c r="K4849" s="248"/>
      <c r="M4849" s="249"/>
    </row>
    <row r="4850" ht="15.75" customHeight="1">
      <c r="A4850" s="243"/>
      <c r="B4850" s="244"/>
      <c r="C4850" s="243"/>
      <c r="D4850" s="244"/>
      <c r="E4850" s="245"/>
      <c r="F4850" s="244"/>
      <c r="G4850" s="246"/>
      <c r="H4850" s="247"/>
      <c r="I4850" s="86"/>
      <c r="J4850" s="86"/>
      <c r="K4850" s="248"/>
      <c r="M4850" s="249"/>
    </row>
    <row r="4851" ht="15.75" customHeight="1">
      <c r="A4851" s="243"/>
      <c r="B4851" s="244"/>
      <c r="C4851" s="243"/>
      <c r="D4851" s="244"/>
      <c r="E4851" s="245"/>
      <c r="F4851" s="244"/>
      <c r="G4851" s="246"/>
      <c r="H4851" s="247"/>
      <c r="I4851" s="86"/>
      <c r="J4851" s="86"/>
      <c r="K4851" s="248"/>
      <c r="M4851" s="249"/>
    </row>
    <row r="4852" ht="15.75" customHeight="1">
      <c r="A4852" s="243"/>
      <c r="B4852" s="244"/>
      <c r="C4852" s="243"/>
      <c r="D4852" s="244"/>
      <c r="E4852" s="245"/>
      <c r="F4852" s="244"/>
      <c r="G4852" s="246"/>
      <c r="H4852" s="247"/>
      <c r="I4852" s="86"/>
      <c r="J4852" s="86"/>
      <c r="K4852" s="248"/>
      <c r="M4852" s="249"/>
    </row>
    <row r="4853" ht="15.75" customHeight="1">
      <c r="A4853" s="243"/>
      <c r="B4853" s="244"/>
      <c r="C4853" s="243"/>
      <c r="D4853" s="244"/>
      <c r="E4853" s="245"/>
      <c r="F4853" s="244"/>
      <c r="G4853" s="246"/>
      <c r="H4853" s="247"/>
      <c r="I4853" s="86"/>
      <c r="J4853" s="86"/>
      <c r="K4853" s="248"/>
      <c r="M4853" s="249"/>
    </row>
    <row r="4854" ht="15.75" customHeight="1">
      <c r="A4854" s="243"/>
      <c r="B4854" s="244"/>
      <c r="C4854" s="243"/>
      <c r="D4854" s="244"/>
      <c r="E4854" s="245"/>
      <c r="F4854" s="244"/>
      <c r="G4854" s="246"/>
      <c r="H4854" s="247"/>
      <c r="I4854" s="86"/>
      <c r="J4854" s="86"/>
      <c r="K4854" s="248"/>
      <c r="M4854" s="249"/>
    </row>
    <row r="4855" ht="15.75" customHeight="1">
      <c r="A4855" s="243"/>
      <c r="B4855" s="244"/>
      <c r="C4855" s="243"/>
      <c r="D4855" s="244"/>
      <c r="E4855" s="245"/>
      <c r="F4855" s="244"/>
      <c r="G4855" s="246"/>
      <c r="H4855" s="247"/>
      <c r="I4855" s="86"/>
      <c r="J4855" s="86"/>
      <c r="K4855" s="248"/>
      <c r="M4855" s="249"/>
    </row>
    <row r="4856" ht="15.75" customHeight="1">
      <c r="A4856" s="243"/>
      <c r="B4856" s="244"/>
      <c r="C4856" s="243"/>
      <c r="D4856" s="244"/>
      <c r="E4856" s="245"/>
      <c r="F4856" s="244"/>
      <c r="G4856" s="246"/>
      <c r="H4856" s="247"/>
      <c r="I4856" s="86"/>
      <c r="J4856" s="86"/>
      <c r="K4856" s="248"/>
      <c r="M4856" s="249"/>
    </row>
    <row r="4857" ht="15.75" customHeight="1">
      <c r="A4857" s="243"/>
      <c r="B4857" s="244"/>
      <c r="C4857" s="243"/>
      <c r="D4857" s="244"/>
      <c r="E4857" s="245"/>
      <c r="F4857" s="244"/>
      <c r="G4857" s="246"/>
      <c r="H4857" s="247"/>
      <c r="I4857" s="86"/>
      <c r="J4857" s="86"/>
      <c r="K4857" s="248"/>
      <c r="M4857" s="249"/>
    </row>
    <row r="4858" ht="15.75" customHeight="1">
      <c r="A4858" s="243"/>
      <c r="B4858" s="244"/>
      <c r="C4858" s="243"/>
      <c r="D4858" s="244"/>
      <c r="E4858" s="245"/>
      <c r="F4858" s="244"/>
      <c r="G4858" s="246"/>
      <c r="H4858" s="247"/>
      <c r="I4858" s="86"/>
      <c r="J4858" s="86"/>
      <c r="K4858" s="248"/>
      <c r="M4858" s="249"/>
    </row>
    <row r="4859" ht="15.75" customHeight="1">
      <c r="A4859" s="243"/>
      <c r="B4859" s="244"/>
      <c r="C4859" s="243"/>
      <c r="D4859" s="244"/>
      <c r="E4859" s="245"/>
      <c r="F4859" s="244"/>
      <c r="G4859" s="246"/>
      <c r="H4859" s="247"/>
      <c r="I4859" s="86"/>
      <c r="J4859" s="86"/>
      <c r="K4859" s="248"/>
      <c r="M4859" s="249"/>
    </row>
    <row r="4860" ht="15.75" customHeight="1">
      <c r="A4860" s="243"/>
      <c r="B4860" s="244"/>
      <c r="C4860" s="243"/>
      <c r="D4860" s="244"/>
      <c r="E4860" s="245"/>
      <c r="F4860" s="244"/>
      <c r="G4860" s="246"/>
      <c r="H4860" s="247"/>
      <c r="I4860" s="86"/>
      <c r="J4860" s="86"/>
      <c r="K4860" s="248"/>
      <c r="M4860" s="249"/>
    </row>
    <row r="4861" ht="15.75" customHeight="1">
      <c r="A4861" s="243"/>
      <c r="B4861" s="244"/>
      <c r="C4861" s="243"/>
      <c r="D4861" s="244"/>
      <c r="E4861" s="245"/>
      <c r="F4861" s="244"/>
      <c r="G4861" s="246"/>
      <c r="H4861" s="247"/>
      <c r="I4861" s="86"/>
      <c r="J4861" s="86"/>
      <c r="K4861" s="248"/>
      <c r="M4861" s="249"/>
    </row>
    <row r="4862" ht="15.75" customHeight="1">
      <c r="A4862" s="243"/>
      <c r="B4862" s="244"/>
      <c r="C4862" s="243"/>
      <c r="D4862" s="244"/>
      <c r="E4862" s="245"/>
      <c r="F4862" s="244"/>
      <c r="G4862" s="246"/>
      <c r="H4862" s="247"/>
      <c r="I4862" s="86"/>
      <c r="J4862" s="86"/>
      <c r="K4862" s="248"/>
      <c r="M4862" s="249"/>
    </row>
    <row r="4863" ht="15.75" customHeight="1">
      <c r="A4863" s="243"/>
      <c r="B4863" s="244"/>
      <c r="C4863" s="243"/>
      <c r="D4863" s="244"/>
      <c r="E4863" s="245"/>
      <c r="F4863" s="244"/>
      <c r="G4863" s="246"/>
      <c r="H4863" s="247"/>
      <c r="I4863" s="86"/>
      <c r="J4863" s="86"/>
      <c r="K4863" s="248"/>
      <c r="M4863" s="249"/>
    </row>
    <row r="4864" ht="15.75" customHeight="1">
      <c r="A4864" s="243"/>
      <c r="B4864" s="244"/>
      <c r="C4864" s="243"/>
      <c r="D4864" s="244"/>
      <c r="E4864" s="245"/>
      <c r="F4864" s="244"/>
      <c r="G4864" s="246"/>
      <c r="H4864" s="247"/>
      <c r="I4864" s="86"/>
      <c r="J4864" s="86"/>
      <c r="K4864" s="248"/>
      <c r="M4864" s="249"/>
    </row>
    <row r="4865" ht="15.75" customHeight="1">
      <c r="A4865" s="243"/>
      <c r="B4865" s="244"/>
      <c r="C4865" s="243"/>
      <c r="D4865" s="244"/>
      <c r="E4865" s="245"/>
      <c r="F4865" s="244"/>
      <c r="G4865" s="246"/>
      <c r="H4865" s="247"/>
      <c r="I4865" s="86"/>
      <c r="J4865" s="86"/>
      <c r="K4865" s="248"/>
      <c r="M4865" s="249"/>
    </row>
    <row r="4866" ht="15.75" customHeight="1">
      <c r="A4866" s="243"/>
      <c r="B4866" s="244"/>
      <c r="C4866" s="243"/>
      <c r="D4866" s="244"/>
      <c r="E4866" s="245"/>
      <c r="F4866" s="244"/>
      <c r="G4866" s="246"/>
      <c r="H4866" s="247"/>
      <c r="I4866" s="86"/>
      <c r="J4866" s="86"/>
      <c r="K4866" s="248"/>
      <c r="M4866" s="249"/>
    </row>
    <row r="4867" ht="15.75" customHeight="1">
      <c r="A4867" s="243"/>
      <c r="B4867" s="244"/>
      <c r="C4867" s="243"/>
      <c r="D4867" s="244"/>
      <c r="E4867" s="245"/>
      <c r="F4867" s="244"/>
      <c r="G4867" s="246"/>
      <c r="H4867" s="247"/>
      <c r="I4867" s="86"/>
      <c r="J4867" s="86"/>
      <c r="K4867" s="248"/>
      <c r="M4867" s="249"/>
    </row>
    <row r="4868" ht="15.75" customHeight="1">
      <c r="A4868" s="243"/>
      <c r="B4868" s="244"/>
      <c r="C4868" s="243"/>
      <c r="D4868" s="244"/>
      <c r="E4868" s="245"/>
      <c r="F4868" s="244"/>
      <c r="G4868" s="246"/>
      <c r="H4868" s="247"/>
      <c r="I4868" s="86"/>
      <c r="J4868" s="86"/>
      <c r="K4868" s="248"/>
      <c r="M4868" s="249"/>
    </row>
    <row r="4869" ht="15.75" customHeight="1">
      <c r="A4869" s="243"/>
      <c r="B4869" s="244"/>
      <c r="C4869" s="243"/>
      <c r="D4869" s="244"/>
      <c r="E4869" s="245"/>
      <c r="F4869" s="244"/>
      <c r="G4869" s="246"/>
      <c r="H4869" s="247"/>
      <c r="I4869" s="86"/>
      <c r="J4869" s="86"/>
      <c r="K4869" s="248"/>
      <c r="M4869" s="249"/>
    </row>
    <row r="4870" ht="15.75" customHeight="1">
      <c r="A4870" s="243"/>
      <c r="B4870" s="244"/>
      <c r="C4870" s="243"/>
      <c r="D4870" s="244"/>
      <c r="E4870" s="245"/>
      <c r="F4870" s="244"/>
      <c r="G4870" s="246"/>
      <c r="H4870" s="247"/>
      <c r="I4870" s="86"/>
      <c r="J4870" s="86"/>
      <c r="K4870" s="248"/>
      <c r="M4870" s="249"/>
    </row>
    <row r="4871" ht="15.75" customHeight="1">
      <c r="A4871" s="243"/>
      <c r="B4871" s="244"/>
      <c r="C4871" s="243"/>
      <c r="D4871" s="244"/>
      <c r="E4871" s="245"/>
      <c r="F4871" s="244"/>
      <c r="G4871" s="246"/>
      <c r="H4871" s="247"/>
      <c r="I4871" s="86"/>
      <c r="J4871" s="86"/>
      <c r="K4871" s="248"/>
      <c r="M4871" s="249"/>
    </row>
    <row r="4872" ht="15.75" customHeight="1">
      <c r="A4872" s="243"/>
      <c r="B4872" s="244"/>
      <c r="C4872" s="243"/>
      <c r="D4872" s="244"/>
      <c r="E4872" s="245"/>
      <c r="F4872" s="244"/>
      <c r="G4872" s="246"/>
      <c r="H4872" s="247"/>
      <c r="I4872" s="86"/>
      <c r="J4872" s="86"/>
      <c r="K4872" s="248"/>
      <c r="M4872" s="249"/>
    </row>
    <row r="4873" ht="15.75" customHeight="1">
      <c r="A4873" s="243"/>
      <c r="B4873" s="244"/>
      <c r="C4873" s="243"/>
      <c r="D4873" s="244"/>
      <c r="E4873" s="245"/>
      <c r="F4873" s="244"/>
      <c r="G4873" s="246"/>
      <c r="H4873" s="247"/>
      <c r="I4873" s="86"/>
      <c r="J4873" s="86"/>
      <c r="K4873" s="248"/>
      <c r="M4873" s="249"/>
    </row>
    <row r="4874" ht="15.75" customHeight="1">
      <c r="A4874" s="243"/>
      <c r="B4874" s="244"/>
      <c r="C4874" s="243"/>
      <c r="D4874" s="244"/>
      <c r="E4874" s="245"/>
      <c r="F4874" s="244"/>
      <c r="G4874" s="246"/>
      <c r="H4874" s="247"/>
      <c r="I4874" s="86"/>
      <c r="J4874" s="86"/>
      <c r="K4874" s="248"/>
      <c r="M4874" s="249"/>
    </row>
    <row r="4875" ht="15.75" customHeight="1">
      <c r="A4875" s="243"/>
      <c r="B4875" s="244"/>
      <c r="C4875" s="243"/>
      <c r="D4875" s="244"/>
      <c r="E4875" s="245"/>
      <c r="F4875" s="244"/>
      <c r="G4875" s="246"/>
      <c r="H4875" s="247"/>
      <c r="I4875" s="86"/>
      <c r="J4875" s="86"/>
      <c r="K4875" s="248"/>
      <c r="M4875" s="249"/>
    </row>
    <row r="4876" ht="15.75" customHeight="1">
      <c r="A4876" s="243"/>
      <c r="B4876" s="244"/>
      <c r="C4876" s="243"/>
      <c r="D4876" s="244"/>
      <c r="E4876" s="245"/>
      <c r="F4876" s="244"/>
      <c r="G4876" s="246"/>
      <c r="H4876" s="247"/>
      <c r="I4876" s="86"/>
      <c r="J4876" s="86"/>
      <c r="K4876" s="248"/>
      <c r="M4876" s="249"/>
    </row>
    <row r="4877" ht="15.75" customHeight="1">
      <c r="A4877" s="243"/>
      <c r="B4877" s="244"/>
      <c r="C4877" s="243"/>
      <c r="D4877" s="244"/>
      <c r="E4877" s="245"/>
      <c r="F4877" s="244"/>
      <c r="G4877" s="246"/>
      <c r="H4877" s="247"/>
      <c r="I4877" s="86"/>
      <c r="J4877" s="86"/>
      <c r="K4877" s="248"/>
      <c r="M4877" s="249"/>
    </row>
    <row r="4878" ht="15.75" customHeight="1">
      <c r="A4878" s="243"/>
      <c r="B4878" s="244"/>
      <c r="C4878" s="243"/>
      <c r="D4878" s="244"/>
      <c r="E4878" s="245"/>
      <c r="F4878" s="244"/>
      <c r="G4878" s="246"/>
      <c r="H4878" s="247"/>
      <c r="I4878" s="86"/>
      <c r="J4878" s="86"/>
      <c r="K4878" s="248"/>
      <c r="M4878" s="249"/>
    </row>
    <row r="4879" ht="15.75" customHeight="1">
      <c r="A4879" s="243"/>
      <c r="B4879" s="244"/>
      <c r="C4879" s="243"/>
      <c r="D4879" s="244"/>
      <c r="E4879" s="245"/>
      <c r="F4879" s="244"/>
      <c r="G4879" s="246"/>
      <c r="H4879" s="247"/>
      <c r="I4879" s="86"/>
      <c r="J4879" s="86"/>
      <c r="K4879" s="248"/>
      <c r="M4879" s="249"/>
    </row>
    <row r="4880" ht="15.75" customHeight="1">
      <c r="A4880" s="243"/>
      <c r="B4880" s="244"/>
      <c r="C4880" s="243"/>
      <c r="D4880" s="244"/>
      <c r="E4880" s="245"/>
      <c r="F4880" s="244"/>
      <c r="G4880" s="246"/>
      <c r="H4880" s="247"/>
      <c r="I4880" s="86"/>
      <c r="J4880" s="86"/>
      <c r="K4880" s="248"/>
      <c r="M4880" s="249"/>
    </row>
    <row r="4881" ht="15.75" customHeight="1">
      <c r="A4881" s="243"/>
      <c r="B4881" s="244"/>
      <c r="C4881" s="243"/>
      <c r="D4881" s="244"/>
      <c r="E4881" s="245"/>
      <c r="F4881" s="244"/>
      <c r="G4881" s="246"/>
      <c r="H4881" s="247"/>
      <c r="I4881" s="86"/>
      <c r="J4881" s="86"/>
      <c r="K4881" s="248"/>
      <c r="M4881" s="249"/>
    </row>
    <row r="4882" ht="15.75" customHeight="1">
      <c r="A4882" s="243"/>
      <c r="B4882" s="244"/>
      <c r="C4882" s="243"/>
      <c r="D4882" s="244"/>
      <c r="E4882" s="245"/>
      <c r="F4882" s="244"/>
      <c r="G4882" s="246"/>
      <c r="H4882" s="247"/>
      <c r="I4882" s="86"/>
      <c r="J4882" s="86"/>
      <c r="K4882" s="248"/>
      <c r="M4882" s="249"/>
    </row>
    <row r="4883" ht="15.75" customHeight="1">
      <c r="A4883" s="243"/>
      <c r="B4883" s="244"/>
      <c r="C4883" s="243"/>
      <c r="D4883" s="244"/>
      <c r="E4883" s="245"/>
      <c r="F4883" s="244"/>
      <c r="G4883" s="246"/>
      <c r="H4883" s="247"/>
      <c r="I4883" s="86"/>
      <c r="J4883" s="86"/>
      <c r="K4883" s="248"/>
      <c r="M4883" s="249"/>
    </row>
    <row r="4884" ht="15.75" customHeight="1">
      <c r="A4884" s="243"/>
      <c r="B4884" s="244"/>
      <c r="C4884" s="243"/>
      <c r="D4884" s="244"/>
      <c r="E4884" s="245"/>
      <c r="F4884" s="244"/>
      <c r="G4884" s="246"/>
      <c r="H4884" s="247"/>
      <c r="I4884" s="86"/>
      <c r="J4884" s="86"/>
      <c r="K4884" s="248"/>
      <c r="M4884" s="249"/>
    </row>
    <row r="4885" ht="15.75" customHeight="1">
      <c r="A4885" s="243"/>
      <c r="B4885" s="244"/>
      <c r="C4885" s="243"/>
      <c r="D4885" s="244"/>
      <c r="E4885" s="245"/>
      <c r="F4885" s="244"/>
      <c r="G4885" s="246"/>
      <c r="H4885" s="247"/>
      <c r="I4885" s="86"/>
      <c r="J4885" s="86"/>
      <c r="K4885" s="248"/>
      <c r="M4885" s="249"/>
    </row>
    <row r="4886" ht="15.75" customHeight="1">
      <c r="A4886" s="243"/>
      <c r="B4886" s="244"/>
      <c r="C4886" s="243"/>
      <c r="D4886" s="244"/>
      <c r="E4886" s="245"/>
      <c r="F4886" s="244"/>
      <c r="G4886" s="246"/>
      <c r="H4886" s="247"/>
      <c r="I4886" s="86"/>
      <c r="J4886" s="86"/>
      <c r="K4886" s="248"/>
      <c r="M4886" s="249"/>
    </row>
    <row r="4887" ht="15.75" customHeight="1">
      <c r="A4887" s="243"/>
      <c r="B4887" s="244"/>
      <c r="C4887" s="243"/>
      <c r="D4887" s="244"/>
      <c r="E4887" s="245"/>
      <c r="F4887" s="244"/>
      <c r="G4887" s="246"/>
      <c r="H4887" s="247"/>
      <c r="I4887" s="86"/>
      <c r="J4887" s="86"/>
      <c r="K4887" s="248"/>
      <c r="M4887" s="249"/>
    </row>
    <row r="4888" ht="15.75" customHeight="1">
      <c r="A4888" s="243"/>
      <c r="B4888" s="244"/>
      <c r="C4888" s="243"/>
      <c r="D4888" s="244"/>
      <c r="E4888" s="245"/>
      <c r="F4888" s="244"/>
      <c r="G4888" s="246"/>
      <c r="H4888" s="247"/>
      <c r="I4888" s="86"/>
      <c r="J4888" s="86"/>
      <c r="K4888" s="248"/>
      <c r="M4888" s="249"/>
    </row>
    <row r="4889" ht="15.75" customHeight="1">
      <c r="A4889" s="243"/>
      <c r="B4889" s="244"/>
      <c r="C4889" s="243"/>
      <c r="D4889" s="244"/>
      <c r="E4889" s="245"/>
      <c r="F4889" s="244"/>
      <c r="G4889" s="246"/>
      <c r="H4889" s="247"/>
      <c r="I4889" s="86"/>
      <c r="J4889" s="86"/>
      <c r="K4889" s="248"/>
      <c r="M4889" s="249"/>
    </row>
    <row r="4890" ht="15.75" customHeight="1">
      <c r="A4890" s="243"/>
      <c r="B4890" s="244"/>
      <c r="C4890" s="243"/>
      <c r="D4890" s="244"/>
      <c r="E4890" s="245"/>
      <c r="F4890" s="244"/>
      <c r="G4890" s="246"/>
      <c r="H4890" s="247"/>
      <c r="I4890" s="86"/>
      <c r="J4890" s="86"/>
      <c r="K4890" s="248"/>
      <c r="M4890" s="249"/>
    </row>
    <row r="4891" ht="15.75" customHeight="1">
      <c r="A4891" s="243"/>
      <c r="B4891" s="244"/>
      <c r="C4891" s="243"/>
      <c r="D4891" s="244"/>
      <c r="E4891" s="245"/>
      <c r="F4891" s="244"/>
      <c r="G4891" s="246"/>
      <c r="H4891" s="247"/>
      <c r="I4891" s="86"/>
      <c r="J4891" s="86"/>
      <c r="K4891" s="248"/>
      <c r="M4891" s="249"/>
    </row>
    <row r="4892" ht="15.75" customHeight="1">
      <c r="A4892" s="243"/>
      <c r="B4892" s="244"/>
      <c r="C4892" s="243"/>
      <c r="D4892" s="244"/>
      <c r="E4892" s="245"/>
      <c r="F4892" s="244"/>
      <c r="G4892" s="246"/>
      <c r="H4892" s="247"/>
      <c r="I4892" s="86"/>
      <c r="J4892" s="86"/>
      <c r="K4892" s="248"/>
      <c r="M4892" s="249"/>
    </row>
    <row r="4893" ht="15.75" customHeight="1">
      <c r="A4893" s="243"/>
      <c r="B4893" s="244"/>
      <c r="C4893" s="243"/>
      <c r="D4893" s="244"/>
      <c r="E4893" s="245"/>
      <c r="F4893" s="244"/>
      <c r="G4893" s="246"/>
      <c r="H4893" s="247"/>
      <c r="I4893" s="86"/>
      <c r="J4893" s="86"/>
      <c r="K4893" s="248"/>
      <c r="M4893" s="249"/>
    </row>
    <row r="4894" ht="15.75" customHeight="1">
      <c r="A4894" s="243"/>
      <c r="B4894" s="244"/>
      <c r="C4894" s="243"/>
      <c r="D4894" s="244"/>
      <c r="E4894" s="245"/>
      <c r="F4894" s="244"/>
      <c r="G4894" s="246"/>
      <c r="H4894" s="247"/>
      <c r="I4894" s="86"/>
      <c r="J4894" s="86"/>
      <c r="K4894" s="248"/>
      <c r="M4894" s="249"/>
    </row>
    <row r="4895" ht="15.75" customHeight="1">
      <c r="A4895" s="243"/>
      <c r="B4895" s="244"/>
      <c r="C4895" s="243"/>
      <c r="D4895" s="244"/>
      <c r="E4895" s="245"/>
      <c r="F4895" s="244"/>
      <c r="G4895" s="246"/>
      <c r="H4895" s="247"/>
      <c r="I4895" s="86"/>
      <c r="J4895" s="86"/>
      <c r="K4895" s="248"/>
      <c r="M4895" s="249"/>
    </row>
    <row r="4896" ht="15.75" customHeight="1">
      <c r="A4896" s="243"/>
      <c r="B4896" s="244"/>
      <c r="C4896" s="243"/>
      <c r="D4896" s="244"/>
      <c r="E4896" s="245"/>
      <c r="F4896" s="244"/>
      <c r="G4896" s="246"/>
      <c r="H4896" s="247"/>
      <c r="I4896" s="86"/>
      <c r="J4896" s="86"/>
      <c r="K4896" s="248"/>
      <c r="M4896" s="249"/>
    </row>
    <row r="4897" ht="15.75" customHeight="1">
      <c r="A4897" s="243"/>
      <c r="B4897" s="244"/>
      <c r="C4897" s="243"/>
      <c r="D4897" s="244"/>
      <c r="E4897" s="245"/>
      <c r="F4897" s="244"/>
      <c r="G4897" s="246"/>
      <c r="H4897" s="247"/>
      <c r="I4897" s="86"/>
      <c r="J4897" s="86"/>
      <c r="K4897" s="248"/>
      <c r="M4897" s="249"/>
    </row>
    <row r="4898" ht="15.75" customHeight="1">
      <c r="A4898" s="243"/>
      <c r="B4898" s="244"/>
      <c r="C4898" s="243"/>
      <c r="D4898" s="244"/>
      <c r="E4898" s="245"/>
      <c r="F4898" s="244"/>
      <c r="G4898" s="246"/>
      <c r="H4898" s="247"/>
      <c r="I4898" s="86"/>
      <c r="J4898" s="86"/>
      <c r="K4898" s="248"/>
      <c r="M4898" s="249"/>
    </row>
    <row r="4899" ht="15.75" customHeight="1">
      <c r="A4899" s="243"/>
      <c r="B4899" s="244"/>
      <c r="C4899" s="243"/>
      <c r="D4899" s="244"/>
      <c r="E4899" s="245"/>
      <c r="F4899" s="244"/>
      <c r="G4899" s="246"/>
      <c r="H4899" s="247"/>
      <c r="I4899" s="86"/>
      <c r="J4899" s="86"/>
      <c r="K4899" s="248"/>
      <c r="M4899" s="249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